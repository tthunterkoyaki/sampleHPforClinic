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thun\OneDrive\Documents\"/>
    </mc:Choice>
  </mc:AlternateContent>
  <xr:revisionPtr revIDLastSave="0" documentId="8_{3C30E5BA-15FF-4BAA-BC32-1598A0335DEA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ポートフォリオ実績" sheetId="1" r:id="rId1"/>
    <sheet name="ベンチマークリターン" sheetId="2" r:id="rId2"/>
    <sheet name="基準資産配分（設定）" sheetId="3" r:id="rId3"/>
    <sheet name="計算シート" sheetId="4" r:id="rId4"/>
    <sheet name="ダッシュボード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5" l="1"/>
  <c r="G8" i="5"/>
  <c r="G7" i="5"/>
  <c r="G6" i="5"/>
  <c r="G5" i="5"/>
  <c r="G4" i="5"/>
  <c r="G3" i="5"/>
  <c r="A4" i="5"/>
  <c r="A5" i="5" s="1"/>
  <c r="F2000" i="4"/>
  <c r="E2000" i="4"/>
  <c r="D2000" i="4"/>
  <c r="C2000" i="4"/>
  <c r="B2000" i="4"/>
  <c r="Q2000" i="4" s="1"/>
  <c r="A2000" i="4"/>
  <c r="P2000" i="4" s="1"/>
  <c r="F1999" i="4"/>
  <c r="E1999" i="4"/>
  <c r="D1999" i="4"/>
  <c r="C1999" i="4"/>
  <c r="B1999" i="4"/>
  <c r="A1999" i="4"/>
  <c r="F1998" i="4"/>
  <c r="E1998" i="4"/>
  <c r="D1998" i="4"/>
  <c r="C1998" i="4"/>
  <c r="B1998" i="4"/>
  <c r="S1998" i="4" s="1"/>
  <c r="A1998" i="4"/>
  <c r="V1998" i="4" s="1"/>
  <c r="F1997" i="4"/>
  <c r="E1997" i="4"/>
  <c r="D1997" i="4"/>
  <c r="C1997" i="4"/>
  <c r="B1997" i="4"/>
  <c r="R1997" i="4" s="1"/>
  <c r="A1997" i="4"/>
  <c r="P1997" i="4" s="1"/>
  <c r="F1996" i="4"/>
  <c r="E1996" i="4"/>
  <c r="D1996" i="4"/>
  <c r="C1996" i="4"/>
  <c r="B1996" i="4"/>
  <c r="A1996" i="4"/>
  <c r="P1996" i="4" s="1"/>
  <c r="F1995" i="4"/>
  <c r="E1995" i="4"/>
  <c r="D1995" i="4"/>
  <c r="C1995" i="4"/>
  <c r="B1995" i="4"/>
  <c r="S1995" i="4" s="1"/>
  <c r="A1995" i="4"/>
  <c r="G1995" i="4" s="1"/>
  <c r="W1994" i="4"/>
  <c r="T1994" i="4"/>
  <c r="F1994" i="4"/>
  <c r="E1994" i="4"/>
  <c r="D1994" i="4"/>
  <c r="C1994" i="4"/>
  <c r="B1994" i="4"/>
  <c r="A1994" i="4"/>
  <c r="P1994" i="4" s="1"/>
  <c r="F1993" i="4"/>
  <c r="E1993" i="4"/>
  <c r="D1993" i="4"/>
  <c r="C1993" i="4"/>
  <c r="B1993" i="4"/>
  <c r="S1993" i="4" s="1"/>
  <c r="A1993" i="4"/>
  <c r="G1993" i="4" s="1"/>
  <c r="F1992" i="4"/>
  <c r="E1992" i="4"/>
  <c r="D1992" i="4"/>
  <c r="C1992" i="4"/>
  <c r="B1992" i="4"/>
  <c r="S1992" i="4" s="1"/>
  <c r="A1992" i="4"/>
  <c r="K1992" i="4" s="1"/>
  <c r="F1991" i="4"/>
  <c r="E1991" i="4"/>
  <c r="D1991" i="4"/>
  <c r="C1991" i="4"/>
  <c r="B1991" i="4"/>
  <c r="A1991" i="4"/>
  <c r="U1991" i="4" s="1"/>
  <c r="F1990" i="4"/>
  <c r="E1990" i="4"/>
  <c r="D1990" i="4"/>
  <c r="C1990" i="4"/>
  <c r="B1990" i="4"/>
  <c r="S1990" i="4" s="1"/>
  <c r="A1990" i="4"/>
  <c r="G1990" i="4" s="1"/>
  <c r="F1989" i="4"/>
  <c r="E1989" i="4"/>
  <c r="D1989" i="4"/>
  <c r="C1989" i="4"/>
  <c r="B1989" i="4"/>
  <c r="R1989" i="4" s="1"/>
  <c r="A1989" i="4"/>
  <c r="F1988" i="4"/>
  <c r="E1988" i="4"/>
  <c r="D1988" i="4"/>
  <c r="C1988" i="4"/>
  <c r="B1988" i="4"/>
  <c r="A1988" i="4"/>
  <c r="P1988" i="4" s="1"/>
  <c r="S1987" i="4"/>
  <c r="F1987" i="4"/>
  <c r="E1987" i="4"/>
  <c r="D1987" i="4"/>
  <c r="C1987" i="4"/>
  <c r="B1987" i="4"/>
  <c r="A1987" i="4"/>
  <c r="O1987" i="4" s="1"/>
  <c r="R1986" i="4"/>
  <c r="F1986" i="4"/>
  <c r="E1986" i="4"/>
  <c r="D1986" i="4"/>
  <c r="C1986" i="4"/>
  <c r="B1986" i="4"/>
  <c r="S1986" i="4" s="1"/>
  <c r="A1986" i="4"/>
  <c r="J1986" i="4" s="1"/>
  <c r="F1985" i="4"/>
  <c r="E1985" i="4"/>
  <c r="D1985" i="4"/>
  <c r="C1985" i="4"/>
  <c r="B1985" i="4"/>
  <c r="I1985" i="4" s="1"/>
  <c r="A1985" i="4"/>
  <c r="K1985" i="4" s="1"/>
  <c r="F1984" i="4"/>
  <c r="E1984" i="4"/>
  <c r="D1984" i="4"/>
  <c r="C1984" i="4"/>
  <c r="B1984" i="4"/>
  <c r="I1984" i="4" s="1"/>
  <c r="A1984" i="4"/>
  <c r="J1984" i="4" s="1"/>
  <c r="F1983" i="4"/>
  <c r="E1983" i="4"/>
  <c r="D1983" i="4"/>
  <c r="C1983" i="4"/>
  <c r="B1983" i="4"/>
  <c r="I1983" i="4" s="1"/>
  <c r="A1983" i="4"/>
  <c r="K1983" i="4" s="1"/>
  <c r="F1982" i="4"/>
  <c r="E1982" i="4"/>
  <c r="D1982" i="4"/>
  <c r="C1982" i="4"/>
  <c r="B1982" i="4"/>
  <c r="R1982" i="4" s="1"/>
  <c r="A1982" i="4"/>
  <c r="V1982" i="4" s="1"/>
  <c r="R1981" i="4"/>
  <c r="F1981" i="4"/>
  <c r="E1981" i="4"/>
  <c r="D1981" i="4"/>
  <c r="C1981" i="4"/>
  <c r="B1981" i="4"/>
  <c r="S1981" i="4" s="1"/>
  <c r="A1981" i="4"/>
  <c r="W1980" i="4"/>
  <c r="F1980" i="4"/>
  <c r="E1980" i="4"/>
  <c r="D1980" i="4"/>
  <c r="C1980" i="4"/>
  <c r="B1980" i="4"/>
  <c r="A1980" i="4"/>
  <c r="K1980" i="4" s="1"/>
  <c r="S1979" i="4"/>
  <c r="F1979" i="4"/>
  <c r="E1979" i="4"/>
  <c r="D1979" i="4"/>
  <c r="C1979" i="4"/>
  <c r="B1979" i="4"/>
  <c r="R1979" i="4" s="1"/>
  <c r="A1979" i="4"/>
  <c r="V1979" i="4" s="1"/>
  <c r="O1978" i="4"/>
  <c r="F1978" i="4"/>
  <c r="E1978" i="4"/>
  <c r="D1978" i="4"/>
  <c r="C1978" i="4"/>
  <c r="B1978" i="4"/>
  <c r="S1978" i="4" s="1"/>
  <c r="A1978" i="4"/>
  <c r="U1978" i="4" s="1"/>
  <c r="J1977" i="4"/>
  <c r="F1977" i="4"/>
  <c r="E1977" i="4"/>
  <c r="D1977" i="4"/>
  <c r="C1977" i="4"/>
  <c r="B1977" i="4"/>
  <c r="I1977" i="4" s="1"/>
  <c r="A1977" i="4"/>
  <c r="G1977" i="4" s="1"/>
  <c r="H1976" i="4"/>
  <c r="F1976" i="4"/>
  <c r="E1976" i="4"/>
  <c r="D1976" i="4"/>
  <c r="C1976" i="4"/>
  <c r="B1976" i="4"/>
  <c r="S1976" i="4" s="1"/>
  <c r="A1976" i="4"/>
  <c r="Q1975" i="4"/>
  <c r="P1975" i="4"/>
  <c r="I1975" i="4"/>
  <c r="F1975" i="4"/>
  <c r="E1975" i="4"/>
  <c r="D1975" i="4"/>
  <c r="C1975" i="4"/>
  <c r="B1975" i="4"/>
  <c r="R1975" i="4" s="1"/>
  <c r="A1975" i="4"/>
  <c r="J1975" i="4" s="1"/>
  <c r="F1974" i="4"/>
  <c r="E1974" i="4"/>
  <c r="D1974" i="4"/>
  <c r="C1974" i="4"/>
  <c r="B1974" i="4"/>
  <c r="S1974" i="4" s="1"/>
  <c r="A1974" i="4"/>
  <c r="W1974" i="4" s="1"/>
  <c r="F1973" i="4"/>
  <c r="E1973" i="4"/>
  <c r="D1973" i="4"/>
  <c r="C1973" i="4"/>
  <c r="B1973" i="4"/>
  <c r="A1973" i="4"/>
  <c r="U1973" i="4" s="1"/>
  <c r="F1972" i="4"/>
  <c r="E1972" i="4"/>
  <c r="D1972" i="4"/>
  <c r="C1972" i="4"/>
  <c r="B1972" i="4"/>
  <c r="A1972" i="4"/>
  <c r="F1971" i="4"/>
  <c r="E1971" i="4"/>
  <c r="D1971" i="4"/>
  <c r="C1971" i="4"/>
  <c r="B1971" i="4"/>
  <c r="S1971" i="4" s="1"/>
  <c r="A1971" i="4"/>
  <c r="T1971" i="4" s="1"/>
  <c r="F1970" i="4"/>
  <c r="E1970" i="4"/>
  <c r="D1970" i="4"/>
  <c r="C1970" i="4"/>
  <c r="B1970" i="4"/>
  <c r="A1970" i="4"/>
  <c r="U1970" i="4" s="1"/>
  <c r="I1969" i="4"/>
  <c r="H1969" i="4"/>
  <c r="L1969" i="4" s="1"/>
  <c r="F1969" i="4"/>
  <c r="E1969" i="4"/>
  <c r="D1969" i="4"/>
  <c r="C1969" i="4"/>
  <c r="B1969" i="4"/>
  <c r="S1969" i="4" s="1"/>
  <c r="A1969" i="4"/>
  <c r="O1969" i="4" s="1"/>
  <c r="U1968" i="4"/>
  <c r="F1968" i="4"/>
  <c r="E1968" i="4"/>
  <c r="D1968" i="4"/>
  <c r="C1968" i="4"/>
  <c r="B1968" i="4"/>
  <c r="Q1968" i="4" s="1"/>
  <c r="A1968" i="4"/>
  <c r="G1968" i="4" s="1"/>
  <c r="F1967" i="4"/>
  <c r="E1967" i="4"/>
  <c r="D1967" i="4"/>
  <c r="C1967" i="4"/>
  <c r="B1967" i="4"/>
  <c r="A1967" i="4"/>
  <c r="O1967" i="4" s="1"/>
  <c r="J1966" i="4"/>
  <c r="G1966" i="4"/>
  <c r="F1966" i="4"/>
  <c r="E1966" i="4"/>
  <c r="D1966" i="4"/>
  <c r="C1966" i="4"/>
  <c r="B1966" i="4"/>
  <c r="S1966" i="4" s="1"/>
  <c r="A1966" i="4"/>
  <c r="M1966" i="4" s="1"/>
  <c r="V1965" i="4"/>
  <c r="M1965" i="4"/>
  <c r="F1965" i="4"/>
  <c r="E1965" i="4"/>
  <c r="D1965" i="4"/>
  <c r="C1965" i="4"/>
  <c r="B1965" i="4"/>
  <c r="A1965" i="4"/>
  <c r="T1965" i="4" s="1"/>
  <c r="S1964" i="4"/>
  <c r="F1964" i="4"/>
  <c r="E1964" i="4"/>
  <c r="D1964" i="4"/>
  <c r="C1964" i="4"/>
  <c r="B1964" i="4"/>
  <c r="R1964" i="4" s="1"/>
  <c r="A1964" i="4"/>
  <c r="F1963" i="4"/>
  <c r="E1963" i="4"/>
  <c r="D1963" i="4"/>
  <c r="C1963" i="4"/>
  <c r="B1963" i="4"/>
  <c r="Q1963" i="4" s="1"/>
  <c r="A1963" i="4"/>
  <c r="K1963" i="4" s="1"/>
  <c r="H1962" i="4"/>
  <c r="F1962" i="4"/>
  <c r="E1962" i="4"/>
  <c r="D1962" i="4"/>
  <c r="C1962" i="4"/>
  <c r="B1962" i="4"/>
  <c r="S1962" i="4" s="1"/>
  <c r="A1962" i="4"/>
  <c r="P1962" i="4" s="1"/>
  <c r="O1961" i="4"/>
  <c r="G1961" i="4"/>
  <c r="F1961" i="4"/>
  <c r="E1961" i="4"/>
  <c r="D1961" i="4"/>
  <c r="C1961" i="4"/>
  <c r="B1961" i="4"/>
  <c r="S1961" i="4" s="1"/>
  <c r="A1961" i="4"/>
  <c r="T1961" i="4" s="1"/>
  <c r="Q1960" i="4"/>
  <c r="J1960" i="4"/>
  <c r="F1960" i="4"/>
  <c r="E1960" i="4"/>
  <c r="D1960" i="4"/>
  <c r="C1960" i="4"/>
  <c r="B1960" i="4"/>
  <c r="A1960" i="4"/>
  <c r="K1960" i="4" s="1"/>
  <c r="S1959" i="4"/>
  <c r="I1959" i="4"/>
  <c r="F1959" i="4"/>
  <c r="E1959" i="4"/>
  <c r="D1959" i="4"/>
  <c r="C1959" i="4"/>
  <c r="B1959" i="4"/>
  <c r="R1959" i="4" s="1"/>
  <c r="A1959" i="4"/>
  <c r="F1958" i="4"/>
  <c r="E1958" i="4"/>
  <c r="D1958" i="4"/>
  <c r="C1958" i="4"/>
  <c r="B1958" i="4"/>
  <c r="A1958" i="4"/>
  <c r="K1958" i="4" s="1"/>
  <c r="G1957" i="4"/>
  <c r="F1957" i="4"/>
  <c r="E1957" i="4"/>
  <c r="D1957" i="4"/>
  <c r="C1957" i="4"/>
  <c r="B1957" i="4"/>
  <c r="H1957" i="4" s="1"/>
  <c r="N1957" i="4" s="1"/>
  <c r="A1957" i="4"/>
  <c r="J1957" i="4" s="1"/>
  <c r="J1956" i="4"/>
  <c r="F1956" i="4"/>
  <c r="E1956" i="4"/>
  <c r="D1956" i="4"/>
  <c r="C1956" i="4"/>
  <c r="B1956" i="4"/>
  <c r="S1956" i="4" s="1"/>
  <c r="A1956" i="4"/>
  <c r="U1956" i="4" s="1"/>
  <c r="G1955" i="4"/>
  <c r="F1955" i="4"/>
  <c r="E1955" i="4"/>
  <c r="D1955" i="4"/>
  <c r="C1955" i="4"/>
  <c r="B1955" i="4"/>
  <c r="S1955" i="4" s="1"/>
  <c r="A1955" i="4"/>
  <c r="T1955" i="4" s="1"/>
  <c r="U1954" i="4"/>
  <c r="F1954" i="4"/>
  <c r="E1954" i="4"/>
  <c r="D1954" i="4"/>
  <c r="C1954" i="4"/>
  <c r="B1954" i="4"/>
  <c r="R1954" i="4" s="1"/>
  <c r="A1954" i="4"/>
  <c r="K1954" i="4" s="1"/>
  <c r="F1953" i="4"/>
  <c r="E1953" i="4"/>
  <c r="D1953" i="4"/>
  <c r="C1953" i="4"/>
  <c r="B1953" i="4"/>
  <c r="R1953" i="4" s="1"/>
  <c r="A1953" i="4"/>
  <c r="P1953" i="4" s="1"/>
  <c r="F1952" i="4"/>
  <c r="E1952" i="4"/>
  <c r="D1952" i="4"/>
  <c r="C1952" i="4"/>
  <c r="B1952" i="4"/>
  <c r="A1952" i="4"/>
  <c r="T1952" i="4" s="1"/>
  <c r="F1951" i="4"/>
  <c r="E1951" i="4"/>
  <c r="D1951" i="4"/>
  <c r="C1951" i="4"/>
  <c r="B1951" i="4"/>
  <c r="R1951" i="4" s="1"/>
  <c r="A1951" i="4"/>
  <c r="R1950" i="4"/>
  <c r="F1950" i="4"/>
  <c r="E1950" i="4"/>
  <c r="D1950" i="4"/>
  <c r="C1950" i="4"/>
  <c r="B1950" i="4"/>
  <c r="A1950" i="4"/>
  <c r="K1950" i="4" s="1"/>
  <c r="G1949" i="4"/>
  <c r="F1949" i="4"/>
  <c r="E1949" i="4"/>
  <c r="D1949" i="4"/>
  <c r="C1949" i="4"/>
  <c r="B1949" i="4"/>
  <c r="R1949" i="4" s="1"/>
  <c r="A1949" i="4"/>
  <c r="J1948" i="4"/>
  <c r="F1948" i="4"/>
  <c r="E1948" i="4"/>
  <c r="D1948" i="4"/>
  <c r="C1948" i="4"/>
  <c r="B1948" i="4"/>
  <c r="S1948" i="4" s="1"/>
  <c r="A1948" i="4"/>
  <c r="U1948" i="4" s="1"/>
  <c r="F1947" i="4"/>
  <c r="E1947" i="4"/>
  <c r="D1947" i="4"/>
  <c r="C1947" i="4"/>
  <c r="B1947" i="4"/>
  <c r="S1947" i="4" s="1"/>
  <c r="A1947" i="4"/>
  <c r="W1947" i="4" s="1"/>
  <c r="G1946" i="4"/>
  <c r="F1946" i="4"/>
  <c r="E1946" i="4"/>
  <c r="D1946" i="4"/>
  <c r="C1946" i="4"/>
  <c r="B1946" i="4"/>
  <c r="R1946" i="4" s="1"/>
  <c r="A1946" i="4"/>
  <c r="J1946" i="4" s="1"/>
  <c r="P1945" i="4"/>
  <c r="G1945" i="4"/>
  <c r="F1945" i="4"/>
  <c r="E1945" i="4"/>
  <c r="D1945" i="4"/>
  <c r="C1945" i="4"/>
  <c r="B1945" i="4"/>
  <c r="R1945" i="4" s="1"/>
  <c r="A1945" i="4"/>
  <c r="T1945" i="4" s="1"/>
  <c r="J1944" i="4"/>
  <c r="F1944" i="4"/>
  <c r="E1944" i="4"/>
  <c r="D1944" i="4"/>
  <c r="C1944" i="4"/>
  <c r="B1944" i="4"/>
  <c r="A1944" i="4"/>
  <c r="P1944" i="4" s="1"/>
  <c r="I1943" i="4"/>
  <c r="F1943" i="4"/>
  <c r="E1943" i="4"/>
  <c r="D1943" i="4"/>
  <c r="C1943" i="4"/>
  <c r="B1943" i="4"/>
  <c r="R1943" i="4" s="1"/>
  <c r="A1943" i="4"/>
  <c r="H1942" i="4"/>
  <c r="F1942" i="4"/>
  <c r="E1942" i="4"/>
  <c r="D1942" i="4"/>
  <c r="C1942" i="4"/>
  <c r="B1942" i="4"/>
  <c r="R1942" i="4" s="1"/>
  <c r="A1942" i="4"/>
  <c r="O1942" i="4" s="1"/>
  <c r="S1941" i="4"/>
  <c r="F1941" i="4"/>
  <c r="E1941" i="4"/>
  <c r="D1941" i="4"/>
  <c r="C1941" i="4"/>
  <c r="B1941" i="4"/>
  <c r="R1941" i="4" s="1"/>
  <c r="A1941" i="4"/>
  <c r="W1941" i="4" s="1"/>
  <c r="J1940" i="4"/>
  <c r="H1940" i="4"/>
  <c r="L1940" i="4" s="1"/>
  <c r="F1940" i="4"/>
  <c r="E1940" i="4"/>
  <c r="D1940" i="4"/>
  <c r="C1940" i="4"/>
  <c r="B1940" i="4"/>
  <c r="A1940" i="4"/>
  <c r="U1940" i="4" s="1"/>
  <c r="Q1939" i="4"/>
  <c r="I1939" i="4"/>
  <c r="F1939" i="4"/>
  <c r="E1939" i="4"/>
  <c r="D1939" i="4"/>
  <c r="C1939" i="4"/>
  <c r="B1939" i="4"/>
  <c r="S1939" i="4" s="1"/>
  <c r="A1939" i="4"/>
  <c r="M1938" i="4"/>
  <c r="G1938" i="4"/>
  <c r="F1938" i="4"/>
  <c r="E1938" i="4"/>
  <c r="D1938" i="4"/>
  <c r="C1938" i="4"/>
  <c r="B1938" i="4"/>
  <c r="R1938" i="4" s="1"/>
  <c r="A1938" i="4"/>
  <c r="J1938" i="4" s="1"/>
  <c r="P1937" i="4"/>
  <c r="M1937" i="4"/>
  <c r="F1937" i="4"/>
  <c r="E1937" i="4"/>
  <c r="D1937" i="4"/>
  <c r="C1937" i="4"/>
  <c r="B1937" i="4"/>
  <c r="R1937" i="4" s="1"/>
  <c r="A1937" i="4"/>
  <c r="V1936" i="4"/>
  <c r="F1936" i="4"/>
  <c r="E1936" i="4"/>
  <c r="D1936" i="4"/>
  <c r="C1936" i="4"/>
  <c r="B1936" i="4"/>
  <c r="A1936" i="4"/>
  <c r="F1935" i="4"/>
  <c r="E1935" i="4"/>
  <c r="D1935" i="4"/>
  <c r="C1935" i="4"/>
  <c r="B1935" i="4"/>
  <c r="R1935" i="4" s="1"/>
  <c r="A1935" i="4"/>
  <c r="K1934" i="4"/>
  <c r="F1934" i="4"/>
  <c r="E1934" i="4"/>
  <c r="D1934" i="4"/>
  <c r="C1934" i="4"/>
  <c r="B1934" i="4"/>
  <c r="A1934" i="4"/>
  <c r="V1934" i="4" s="1"/>
  <c r="F1933" i="4"/>
  <c r="E1933" i="4"/>
  <c r="D1933" i="4"/>
  <c r="C1933" i="4"/>
  <c r="B1933" i="4"/>
  <c r="A1933" i="4"/>
  <c r="G1933" i="4" s="1"/>
  <c r="F1932" i="4"/>
  <c r="E1932" i="4"/>
  <c r="D1932" i="4"/>
  <c r="C1932" i="4"/>
  <c r="B1932" i="4"/>
  <c r="A1932" i="4"/>
  <c r="J1932" i="4" s="1"/>
  <c r="F1931" i="4"/>
  <c r="E1931" i="4"/>
  <c r="D1931" i="4"/>
  <c r="C1931" i="4"/>
  <c r="B1931" i="4"/>
  <c r="A1931" i="4"/>
  <c r="U1931" i="4" s="1"/>
  <c r="Q1930" i="4"/>
  <c r="F1930" i="4"/>
  <c r="E1930" i="4"/>
  <c r="D1930" i="4"/>
  <c r="C1930" i="4"/>
  <c r="B1930" i="4"/>
  <c r="R1930" i="4" s="1"/>
  <c r="A1930" i="4"/>
  <c r="F1929" i="4"/>
  <c r="E1929" i="4"/>
  <c r="D1929" i="4"/>
  <c r="C1929" i="4"/>
  <c r="B1929" i="4"/>
  <c r="A1929" i="4"/>
  <c r="K1929" i="4" s="1"/>
  <c r="F1928" i="4"/>
  <c r="E1928" i="4"/>
  <c r="D1928" i="4"/>
  <c r="C1928" i="4"/>
  <c r="B1928" i="4"/>
  <c r="A1928" i="4"/>
  <c r="V1928" i="4" s="1"/>
  <c r="P1927" i="4"/>
  <c r="F1927" i="4"/>
  <c r="E1927" i="4"/>
  <c r="D1927" i="4"/>
  <c r="C1927" i="4"/>
  <c r="B1927" i="4"/>
  <c r="R1927" i="4" s="1"/>
  <c r="A1927" i="4"/>
  <c r="U1927" i="4" s="1"/>
  <c r="R1926" i="4"/>
  <c r="P1926" i="4"/>
  <c r="F1926" i="4"/>
  <c r="E1926" i="4"/>
  <c r="D1926" i="4"/>
  <c r="C1926" i="4"/>
  <c r="B1926" i="4"/>
  <c r="A1926" i="4"/>
  <c r="K1925" i="4"/>
  <c r="F1925" i="4"/>
  <c r="E1925" i="4"/>
  <c r="D1925" i="4"/>
  <c r="C1925" i="4"/>
  <c r="B1925" i="4"/>
  <c r="A1925" i="4"/>
  <c r="V1925" i="4" s="1"/>
  <c r="R1924" i="4"/>
  <c r="I1924" i="4"/>
  <c r="H1924" i="4"/>
  <c r="L1924" i="4" s="1"/>
  <c r="F1924" i="4"/>
  <c r="E1924" i="4"/>
  <c r="D1924" i="4"/>
  <c r="C1924" i="4"/>
  <c r="B1924" i="4"/>
  <c r="S1924" i="4" s="1"/>
  <c r="A1924" i="4"/>
  <c r="G1924" i="4" s="1"/>
  <c r="Q1923" i="4"/>
  <c r="I1923" i="4"/>
  <c r="F1923" i="4"/>
  <c r="E1923" i="4"/>
  <c r="D1923" i="4"/>
  <c r="C1923" i="4"/>
  <c r="B1923" i="4"/>
  <c r="S1923" i="4" s="1"/>
  <c r="A1923" i="4"/>
  <c r="G1923" i="4" s="1"/>
  <c r="W1922" i="4"/>
  <c r="F1922" i="4"/>
  <c r="E1922" i="4"/>
  <c r="D1922" i="4"/>
  <c r="C1922" i="4"/>
  <c r="B1922" i="4"/>
  <c r="R1922" i="4" s="1"/>
  <c r="A1922" i="4"/>
  <c r="J1922" i="4" s="1"/>
  <c r="F1921" i="4"/>
  <c r="E1921" i="4"/>
  <c r="D1921" i="4"/>
  <c r="C1921" i="4"/>
  <c r="B1921" i="4"/>
  <c r="A1921" i="4"/>
  <c r="M1921" i="4" s="1"/>
  <c r="F1920" i="4"/>
  <c r="E1920" i="4"/>
  <c r="D1920" i="4"/>
  <c r="C1920" i="4"/>
  <c r="B1920" i="4"/>
  <c r="A1920" i="4"/>
  <c r="T1920" i="4" s="1"/>
  <c r="F1919" i="4"/>
  <c r="E1919" i="4"/>
  <c r="D1919" i="4"/>
  <c r="C1919" i="4"/>
  <c r="B1919" i="4"/>
  <c r="S1919" i="4" s="1"/>
  <c r="A1919" i="4"/>
  <c r="P1919" i="4" s="1"/>
  <c r="F1918" i="4"/>
  <c r="E1918" i="4"/>
  <c r="D1918" i="4"/>
  <c r="C1918" i="4"/>
  <c r="B1918" i="4"/>
  <c r="R1918" i="4" s="1"/>
  <c r="A1918" i="4"/>
  <c r="F1917" i="4"/>
  <c r="E1917" i="4"/>
  <c r="D1917" i="4"/>
  <c r="C1917" i="4"/>
  <c r="B1917" i="4"/>
  <c r="S1917" i="4" s="1"/>
  <c r="A1917" i="4"/>
  <c r="P1917" i="4" s="1"/>
  <c r="F1916" i="4"/>
  <c r="E1916" i="4"/>
  <c r="D1916" i="4"/>
  <c r="C1916" i="4"/>
  <c r="B1916" i="4"/>
  <c r="Q1916" i="4" s="1"/>
  <c r="A1916" i="4"/>
  <c r="F1915" i="4"/>
  <c r="E1915" i="4"/>
  <c r="D1915" i="4"/>
  <c r="C1915" i="4"/>
  <c r="B1915" i="4"/>
  <c r="S1915" i="4" s="1"/>
  <c r="A1915" i="4"/>
  <c r="O1915" i="4" s="1"/>
  <c r="F1914" i="4"/>
  <c r="E1914" i="4"/>
  <c r="D1914" i="4"/>
  <c r="C1914" i="4"/>
  <c r="B1914" i="4"/>
  <c r="R1914" i="4" s="1"/>
  <c r="A1914" i="4"/>
  <c r="G1914" i="4" s="1"/>
  <c r="K1913" i="4"/>
  <c r="G1913" i="4"/>
  <c r="F1913" i="4"/>
  <c r="E1913" i="4"/>
  <c r="D1913" i="4"/>
  <c r="C1913" i="4"/>
  <c r="B1913" i="4"/>
  <c r="H1913" i="4" s="1"/>
  <c r="A1913" i="4"/>
  <c r="V1913" i="4" s="1"/>
  <c r="S1912" i="4"/>
  <c r="F1912" i="4"/>
  <c r="E1912" i="4"/>
  <c r="D1912" i="4"/>
  <c r="C1912" i="4"/>
  <c r="B1912" i="4"/>
  <c r="H1912" i="4" s="1"/>
  <c r="L1912" i="4" s="1"/>
  <c r="A1912" i="4"/>
  <c r="F1911" i="4"/>
  <c r="E1911" i="4"/>
  <c r="D1911" i="4"/>
  <c r="C1911" i="4"/>
  <c r="B1911" i="4"/>
  <c r="A1911" i="4"/>
  <c r="J1911" i="4" s="1"/>
  <c r="F1910" i="4"/>
  <c r="E1910" i="4"/>
  <c r="D1910" i="4"/>
  <c r="C1910" i="4"/>
  <c r="B1910" i="4"/>
  <c r="S1910" i="4" s="1"/>
  <c r="A1910" i="4"/>
  <c r="T1910" i="4" s="1"/>
  <c r="T1909" i="4"/>
  <c r="F1909" i="4"/>
  <c r="E1909" i="4"/>
  <c r="D1909" i="4"/>
  <c r="C1909" i="4"/>
  <c r="B1909" i="4"/>
  <c r="S1909" i="4" s="1"/>
  <c r="A1909" i="4"/>
  <c r="V1909" i="4" s="1"/>
  <c r="Q1908" i="4"/>
  <c r="F1908" i="4"/>
  <c r="E1908" i="4"/>
  <c r="D1908" i="4"/>
  <c r="C1908" i="4"/>
  <c r="B1908" i="4"/>
  <c r="A1908" i="4"/>
  <c r="S1907" i="4"/>
  <c r="H1907" i="4"/>
  <c r="F1907" i="4"/>
  <c r="E1907" i="4"/>
  <c r="D1907" i="4"/>
  <c r="C1907" i="4"/>
  <c r="B1907" i="4"/>
  <c r="A1907" i="4"/>
  <c r="F1906" i="4"/>
  <c r="E1906" i="4"/>
  <c r="D1906" i="4"/>
  <c r="C1906" i="4"/>
  <c r="B1906" i="4"/>
  <c r="H1906" i="4" s="1"/>
  <c r="A1906" i="4"/>
  <c r="U1905" i="4"/>
  <c r="I1905" i="4"/>
  <c r="F1905" i="4"/>
  <c r="E1905" i="4"/>
  <c r="D1905" i="4"/>
  <c r="C1905" i="4"/>
  <c r="B1905" i="4"/>
  <c r="Q1905" i="4" s="1"/>
  <c r="A1905" i="4"/>
  <c r="W1905" i="4" s="1"/>
  <c r="Q1904" i="4"/>
  <c r="F1904" i="4"/>
  <c r="E1904" i="4"/>
  <c r="D1904" i="4"/>
  <c r="C1904" i="4"/>
  <c r="B1904" i="4"/>
  <c r="S1904" i="4" s="1"/>
  <c r="A1904" i="4"/>
  <c r="T1903" i="4"/>
  <c r="F1903" i="4"/>
  <c r="E1903" i="4"/>
  <c r="D1903" i="4"/>
  <c r="C1903" i="4"/>
  <c r="B1903" i="4"/>
  <c r="R1903" i="4" s="1"/>
  <c r="A1903" i="4"/>
  <c r="O1903" i="4" s="1"/>
  <c r="G1902" i="4"/>
  <c r="F1902" i="4"/>
  <c r="E1902" i="4"/>
  <c r="D1902" i="4"/>
  <c r="C1902" i="4"/>
  <c r="B1902" i="4"/>
  <c r="S1902" i="4" s="1"/>
  <c r="A1902" i="4"/>
  <c r="V1902" i="4" s="1"/>
  <c r="F1901" i="4"/>
  <c r="E1901" i="4"/>
  <c r="D1901" i="4"/>
  <c r="C1901" i="4"/>
  <c r="B1901" i="4"/>
  <c r="H1901" i="4" s="1"/>
  <c r="N1901" i="4" s="1"/>
  <c r="A1901" i="4"/>
  <c r="Q1900" i="4"/>
  <c r="H1900" i="4"/>
  <c r="N1900" i="4" s="1"/>
  <c r="F1900" i="4"/>
  <c r="E1900" i="4"/>
  <c r="D1900" i="4"/>
  <c r="C1900" i="4"/>
  <c r="B1900" i="4"/>
  <c r="R1900" i="4" s="1"/>
  <c r="A1900" i="4"/>
  <c r="T1900" i="4" s="1"/>
  <c r="F1899" i="4"/>
  <c r="E1899" i="4"/>
  <c r="D1899" i="4"/>
  <c r="C1899" i="4"/>
  <c r="B1899" i="4"/>
  <c r="S1899" i="4" s="1"/>
  <c r="A1899" i="4"/>
  <c r="O1899" i="4" s="1"/>
  <c r="F1898" i="4"/>
  <c r="E1898" i="4"/>
  <c r="D1898" i="4"/>
  <c r="C1898" i="4"/>
  <c r="B1898" i="4"/>
  <c r="R1898" i="4" s="1"/>
  <c r="A1898" i="4"/>
  <c r="G1898" i="4" s="1"/>
  <c r="F1897" i="4"/>
  <c r="E1897" i="4"/>
  <c r="D1897" i="4"/>
  <c r="C1897" i="4"/>
  <c r="B1897" i="4"/>
  <c r="H1897" i="4" s="1"/>
  <c r="A1897" i="4"/>
  <c r="W1897" i="4" s="1"/>
  <c r="H1896" i="4"/>
  <c r="N1896" i="4" s="1"/>
  <c r="G1896" i="4"/>
  <c r="F1896" i="4"/>
  <c r="E1896" i="4"/>
  <c r="D1896" i="4"/>
  <c r="C1896" i="4"/>
  <c r="B1896" i="4"/>
  <c r="S1896" i="4" s="1"/>
  <c r="A1896" i="4"/>
  <c r="P1896" i="4" s="1"/>
  <c r="V1895" i="4"/>
  <c r="T1895" i="4"/>
  <c r="F1895" i="4"/>
  <c r="E1895" i="4"/>
  <c r="D1895" i="4"/>
  <c r="C1895" i="4"/>
  <c r="B1895" i="4"/>
  <c r="R1895" i="4" s="1"/>
  <c r="A1895" i="4"/>
  <c r="J1895" i="4" s="1"/>
  <c r="F1894" i="4"/>
  <c r="E1894" i="4"/>
  <c r="D1894" i="4"/>
  <c r="C1894" i="4"/>
  <c r="B1894" i="4"/>
  <c r="R1894" i="4" s="1"/>
  <c r="A1894" i="4"/>
  <c r="P1894" i="4" s="1"/>
  <c r="F1893" i="4"/>
  <c r="E1893" i="4"/>
  <c r="D1893" i="4"/>
  <c r="C1893" i="4"/>
  <c r="B1893" i="4"/>
  <c r="Q1893" i="4" s="1"/>
  <c r="A1893" i="4"/>
  <c r="M1893" i="4" s="1"/>
  <c r="F1892" i="4"/>
  <c r="E1892" i="4"/>
  <c r="D1892" i="4"/>
  <c r="C1892" i="4"/>
  <c r="B1892" i="4"/>
  <c r="Q1892" i="4" s="1"/>
  <c r="A1892" i="4"/>
  <c r="P1892" i="4" s="1"/>
  <c r="F1891" i="4"/>
  <c r="E1891" i="4"/>
  <c r="D1891" i="4"/>
  <c r="C1891" i="4"/>
  <c r="B1891" i="4"/>
  <c r="R1891" i="4" s="1"/>
  <c r="A1891" i="4"/>
  <c r="G1891" i="4" s="1"/>
  <c r="F1890" i="4"/>
  <c r="E1890" i="4"/>
  <c r="D1890" i="4"/>
  <c r="C1890" i="4"/>
  <c r="B1890" i="4"/>
  <c r="Q1890" i="4" s="1"/>
  <c r="A1890" i="4"/>
  <c r="P1890" i="4" s="1"/>
  <c r="F1889" i="4"/>
  <c r="E1889" i="4"/>
  <c r="D1889" i="4"/>
  <c r="C1889" i="4"/>
  <c r="B1889" i="4"/>
  <c r="S1889" i="4" s="1"/>
  <c r="A1889" i="4"/>
  <c r="V1889" i="4" s="1"/>
  <c r="F1888" i="4"/>
  <c r="E1888" i="4"/>
  <c r="D1888" i="4"/>
  <c r="C1888" i="4"/>
  <c r="B1888" i="4"/>
  <c r="R1888" i="4" s="1"/>
  <c r="A1888" i="4"/>
  <c r="M1888" i="4" s="1"/>
  <c r="F1887" i="4"/>
  <c r="E1887" i="4"/>
  <c r="D1887" i="4"/>
  <c r="C1887" i="4"/>
  <c r="B1887" i="4"/>
  <c r="R1887" i="4" s="1"/>
  <c r="A1887" i="4"/>
  <c r="W1887" i="4" s="1"/>
  <c r="F1886" i="4"/>
  <c r="E1886" i="4"/>
  <c r="D1886" i="4"/>
  <c r="C1886" i="4"/>
  <c r="B1886" i="4"/>
  <c r="A1886" i="4"/>
  <c r="V1886" i="4" s="1"/>
  <c r="F1885" i="4"/>
  <c r="E1885" i="4"/>
  <c r="D1885" i="4"/>
  <c r="C1885" i="4"/>
  <c r="B1885" i="4"/>
  <c r="R1885" i="4" s="1"/>
  <c r="A1885" i="4"/>
  <c r="O1885" i="4" s="1"/>
  <c r="F1884" i="4"/>
  <c r="E1884" i="4"/>
  <c r="D1884" i="4"/>
  <c r="C1884" i="4"/>
  <c r="B1884" i="4"/>
  <c r="R1884" i="4" s="1"/>
  <c r="A1884" i="4"/>
  <c r="F1883" i="4"/>
  <c r="E1883" i="4"/>
  <c r="D1883" i="4"/>
  <c r="C1883" i="4"/>
  <c r="B1883" i="4"/>
  <c r="A1883" i="4"/>
  <c r="K1883" i="4" s="1"/>
  <c r="F1882" i="4"/>
  <c r="E1882" i="4"/>
  <c r="D1882" i="4"/>
  <c r="C1882" i="4"/>
  <c r="B1882" i="4"/>
  <c r="A1882" i="4"/>
  <c r="S1881" i="4"/>
  <c r="F1881" i="4"/>
  <c r="E1881" i="4"/>
  <c r="D1881" i="4"/>
  <c r="C1881" i="4"/>
  <c r="B1881" i="4"/>
  <c r="R1881" i="4" s="1"/>
  <c r="A1881" i="4"/>
  <c r="T1881" i="4" s="1"/>
  <c r="O1880" i="4"/>
  <c r="M1880" i="4"/>
  <c r="F1880" i="4"/>
  <c r="E1880" i="4"/>
  <c r="D1880" i="4"/>
  <c r="C1880" i="4"/>
  <c r="B1880" i="4"/>
  <c r="A1880" i="4"/>
  <c r="F1879" i="4"/>
  <c r="E1879" i="4"/>
  <c r="D1879" i="4"/>
  <c r="C1879" i="4"/>
  <c r="B1879" i="4"/>
  <c r="A1879" i="4"/>
  <c r="U1879" i="4" s="1"/>
  <c r="F1878" i="4"/>
  <c r="E1878" i="4"/>
  <c r="D1878" i="4"/>
  <c r="C1878" i="4"/>
  <c r="B1878" i="4"/>
  <c r="A1878" i="4"/>
  <c r="V1878" i="4" s="1"/>
  <c r="F1877" i="4"/>
  <c r="E1877" i="4"/>
  <c r="D1877" i="4"/>
  <c r="C1877" i="4"/>
  <c r="B1877" i="4"/>
  <c r="R1877" i="4" s="1"/>
  <c r="A1877" i="4"/>
  <c r="T1877" i="4" s="1"/>
  <c r="F1876" i="4"/>
  <c r="E1876" i="4"/>
  <c r="D1876" i="4"/>
  <c r="C1876" i="4"/>
  <c r="B1876" i="4"/>
  <c r="R1876" i="4" s="1"/>
  <c r="A1876" i="4"/>
  <c r="U1876" i="4" s="1"/>
  <c r="F1875" i="4"/>
  <c r="E1875" i="4"/>
  <c r="D1875" i="4"/>
  <c r="C1875" i="4"/>
  <c r="B1875" i="4"/>
  <c r="A1875" i="4"/>
  <c r="K1875" i="4" s="1"/>
  <c r="F1874" i="4"/>
  <c r="E1874" i="4"/>
  <c r="D1874" i="4"/>
  <c r="C1874" i="4"/>
  <c r="B1874" i="4"/>
  <c r="A1874" i="4"/>
  <c r="F1873" i="4"/>
  <c r="E1873" i="4"/>
  <c r="D1873" i="4"/>
  <c r="C1873" i="4"/>
  <c r="B1873" i="4"/>
  <c r="A1873" i="4"/>
  <c r="K1873" i="4" s="1"/>
  <c r="F1872" i="4"/>
  <c r="E1872" i="4"/>
  <c r="D1872" i="4"/>
  <c r="C1872" i="4"/>
  <c r="B1872" i="4"/>
  <c r="R1872" i="4" s="1"/>
  <c r="A1872" i="4"/>
  <c r="V1872" i="4" s="1"/>
  <c r="F1871" i="4"/>
  <c r="E1871" i="4"/>
  <c r="D1871" i="4"/>
  <c r="C1871" i="4"/>
  <c r="B1871" i="4"/>
  <c r="R1871" i="4" s="1"/>
  <c r="A1871" i="4"/>
  <c r="U1871" i="4" s="1"/>
  <c r="F1870" i="4"/>
  <c r="E1870" i="4"/>
  <c r="D1870" i="4"/>
  <c r="C1870" i="4"/>
  <c r="B1870" i="4"/>
  <c r="Q1870" i="4" s="1"/>
  <c r="A1870" i="4"/>
  <c r="V1870" i="4" s="1"/>
  <c r="F1869" i="4"/>
  <c r="E1869" i="4"/>
  <c r="D1869" i="4"/>
  <c r="C1869" i="4"/>
  <c r="B1869" i="4"/>
  <c r="R1869" i="4" s="1"/>
  <c r="A1869" i="4"/>
  <c r="T1869" i="4" s="1"/>
  <c r="F1868" i="4"/>
  <c r="E1868" i="4"/>
  <c r="D1868" i="4"/>
  <c r="C1868" i="4"/>
  <c r="B1868" i="4"/>
  <c r="R1868" i="4" s="1"/>
  <c r="A1868" i="4"/>
  <c r="U1868" i="4" s="1"/>
  <c r="F1867" i="4"/>
  <c r="E1867" i="4"/>
  <c r="D1867" i="4"/>
  <c r="C1867" i="4"/>
  <c r="B1867" i="4"/>
  <c r="A1867" i="4"/>
  <c r="K1867" i="4" s="1"/>
  <c r="F1866" i="4"/>
  <c r="E1866" i="4"/>
  <c r="D1866" i="4"/>
  <c r="C1866" i="4"/>
  <c r="B1866" i="4"/>
  <c r="A1866" i="4"/>
  <c r="P1866" i="4" s="1"/>
  <c r="F1865" i="4"/>
  <c r="E1865" i="4"/>
  <c r="D1865" i="4"/>
  <c r="C1865" i="4"/>
  <c r="B1865" i="4"/>
  <c r="A1865" i="4"/>
  <c r="T1865" i="4" s="1"/>
  <c r="U1864" i="4"/>
  <c r="G1864" i="4"/>
  <c r="F1864" i="4"/>
  <c r="E1864" i="4"/>
  <c r="D1864" i="4"/>
  <c r="C1864" i="4"/>
  <c r="B1864" i="4"/>
  <c r="R1864" i="4" s="1"/>
  <c r="A1864" i="4"/>
  <c r="P1864" i="4" s="1"/>
  <c r="R1863" i="4"/>
  <c r="G1863" i="4"/>
  <c r="F1863" i="4"/>
  <c r="E1863" i="4"/>
  <c r="D1863" i="4"/>
  <c r="C1863" i="4"/>
  <c r="B1863" i="4"/>
  <c r="Q1863" i="4" s="1"/>
  <c r="A1863" i="4"/>
  <c r="U1863" i="4" s="1"/>
  <c r="I1862" i="4"/>
  <c r="H1862" i="4"/>
  <c r="F1862" i="4"/>
  <c r="E1862" i="4"/>
  <c r="D1862" i="4"/>
  <c r="C1862" i="4"/>
  <c r="B1862" i="4"/>
  <c r="S1862" i="4" s="1"/>
  <c r="A1862" i="4"/>
  <c r="V1862" i="4" s="1"/>
  <c r="I1861" i="4"/>
  <c r="H1861" i="4"/>
  <c r="F1861" i="4"/>
  <c r="E1861" i="4"/>
  <c r="D1861" i="4"/>
  <c r="C1861" i="4"/>
  <c r="B1861" i="4"/>
  <c r="R1861" i="4" s="1"/>
  <c r="A1861" i="4"/>
  <c r="F1860" i="4"/>
  <c r="E1860" i="4"/>
  <c r="D1860" i="4"/>
  <c r="C1860" i="4"/>
  <c r="B1860" i="4"/>
  <c r="R1860" i="4" s="1"/>
  <c r="A1860" i="4"/>
  <c r="F1859" i="4"/>
  <c r="E1859" i="4"/>
  <c r="D1859" i="4"/>
  <c r="C1859" i="4"/>
  <c r="B1859" i="4"/>
  <c r="R1859" i="4" s="1"/>
  <c r="A1859" i="4"/>
  <c r="F1858" i="4"/>
  <c r="E1858" i="4"/>
  <c r="D1858" i="4"/>
  <c r="C1858" i="4"/>
  <c r="B1858" i="4"/>
  <c r="A1858" i="4"/>
  <c r="W1858" i="4" s="1"/>
  <c r="F1857" i="4"/>
  <c r="E1857" i="4"/>
  <c r="D1857" i="4"/>
  <c r="C1857" i="4"/>
  <c r="B1857" i="4"/>
  <c r="S1857" i="4" s="1"/>
  <c r="A1857" i="4"/>
  <c r="F1856" i="4"/>
  <c r="E1856" i="4"/>
  <c r="D1856" i="4"/>
  <c r="C1856" i="4"/>
  <c r="B1856" i="4"/>
  <c r="S1856" i="4" s="1"/>
  <c r="A1856" i="4"/>
  <c r="W1856" i="4" s="1"/>
  <c r="F1855" i="4"/>
  <c r="E1855" i="4"/>
  <c r="D1855" i="4"/>
  <c r="C1855" i="4"/>
  <c r="B1855" i="4"/>
  <c r="I1855" i="4" s="1"/>
  <c r="A1855" i="4"/>
  <c r="O1855" i="4" s="1"/>
  <c r="F1854" i="4"/>
  <c r="E1854" i="4"/>
  <c r="D1854" i="4"/>
  <c r="C1854" i="4"/>
  <c r="B1854" i="4"/>
  <c r="S1854" i="4" s="1"/>
  <c r="A1854" i="4"/>
  <c r="S1853" i="4"/>
  <c r="F1853" i="4"/>
  <c r="E1853" i="4"/>
  <c r="D1853" i="4"/>
  <c r="C1853" i="4"/>
  <c r="B1853" i="4"/>
  <c r="R1853" i="4" s="1"/>
  <c r="A1853" i="4"/>
  <c r="T1853" i="4" s="1"/>
  <c r="F1852" i="4"/>
  <c r="E1852" i="4"/>
  <c r="D1852" i="4"/>
  <c r="C1852" i="4"/>
  <c r="B1852" i="4"/>
  <c r="R1852" i="4" s="1"/>
  <c r="A1852" i="4"/>
  <c r="U1852" i="4" s="1"/>
  <c r="F1851" i="4"/>
  <c r="E1851" i="4"/>
  <c r="D1851" i="4"/>
  <c r="C1851" i="4"/>
  <c r="B1851" i="4"/>
  <c r="R1851" i="4" s="1"/>
  <c r="A1851" i="4"/>
  <c r="V1851" i="4" s="1"/>
  <c r="F1850" i="4"/>
  <c r="E1850" i="4"/>
  <c r="D1850" i="4"/>
  <c r="C1850" i="4"/>
  <c r="B1850" i="4"/>
  <c r="A1850" i="4"/>
  <c r="P1850" i="4" s="1"/>
  <c r="F1849" i="4"/>
  <c r="E1849" i="4"/>
  <c r="D1849" i="4"/>
  <c r="C1849" i="4"/>
  <c r="B1849" i="4"/>
  <c r="Q1849" i="4" s="1"/>
  <c r="A1849" i="4"/>
  <c r="R1848" i="4"/>
  <c r="F1848" i="4"/>
  <c r="E1848" i="4"/>
  <c r="D1848" i="4"/>
  <c r="C1848" i="4"/>
  <c r="B1848" i="4"/>
  <c r="S1848" i="4" s="1"/>
  <c r="A1848" i="4"/>
  <c r="F1847" i="4"/>
  <c r="E1847" i="4"/>
  <c r="D1847" i="4"/>
  <c r="C1847" i="4"/>
  <c r="B1847" i="4"/>
  <c r="A1847" i="4"/>
  <c r="W1847" i="4" s="1"/>
  <c r="F1846" i="4"/>
  <c r="E1846" i="4"/>
  <c r="D1846" i="4"/>
  <c r="C1846" i="4"/>
  <c r="B1846" i="4"/>
  <c r="I1846" i="4" s="1"/>
  <c r="A1846" i="4"/>
  <c r="V1846" i="4" s="1"/>
  <c r="F1845" i="4"/>
  <c r="E1845" i="4"/>
  <c r="D1845" i="4"/>
  <c r="C1845" i="4"/>
  <c r="B1845" i="4"/>
  <c r="R1845" i="4" s="1"/>
  <c r="A1845" i="4"/>
  <c r="G1845" i="4" s="1"/>
  <c r="K1844" i="4"/>
  <c r="G1844" i="4"/>
  <c r="F1844" i="4"/>
  <c r="E1844" i="4"/>
  <c r="D1844" i="4"/>
  <c r="C1844" i="4"/>
  <c r="B1844" i="4"/>
  <c r="R1844" i="4" s="1"/>
  <c r="A1844" i="4"/>
  <c r="U1844" i="4" s="1"/>
  <c r="W1843" i="4"/>
  <c r="V1843" i="4"/>
  <c r="F1843" i="4"/>
  <c r="E1843" i="4"/>
  <c r="D1843" i="4"/>
  <c r="C1843" i="4"/>
  <c r="B1843" i="4"/>
  <c r="A1843" i="4"/>
  <c r="O1843" i="4" s="1"/>
  <c r="F1842" i="4"/>
  <c r="E1842" i="4"/>
  <c r="D1842" i="4"/>
  <c r="C1842" i="4"/>
  <c r="B1842" i="4"/>
  <c r="A1842" i="4"/>
  <c r="T1842" i="4" s="1"/>
  <c r="H1841" i="4"/>
  <c r="F1841" i="4"/>
  <c r="E1841" i="4"/>
  <c r="D1841" i="4"/>
  <c r="C1841" i="4"/>
  <c r="B1841" i="4"/>
  <c r="R1841" i="4" s="1"/>
  <c r="A1841" i="4"/>
  <c r="F1840" i="4"/>
  <c r="E1840" i="4"/>
  <c r="D1840" i="4"/>
  <c r="C1840" i="4"/>
  <c r="B1840" i="4"/>
  <c r="S1840" i="4" s="1"/>
  <c r="A1840" i="4"/>
  <c r="V1840" i="4" s="1"/>
  <c r="F1839" i="4"/>
  <c r="E1839" i="4"/>
  <c r="D1839" i="4"/>
  <c r="C1839" i="4"/>
  <c r="B1839" i="4"/>
  <c r="A1839" i="4"/>
  <c r="F1838" i="4"/>
  <c r="E1838" i="4"/>
  <c r="D1838" i="4"/>
  <c r="C1838" i="4"/>
  <c r="B1838" i="4"/>
  <c r="A1838" i="4"/>
  <c r="M1838" i="4" s="1"/>
  <c r="W1837" i="4"/>
  <c r="F1837" i="4"/>
  <c r="E1837" i="4"/>
  <c r="D1837" i="4"/>
  <c r="C1837" i="4"/>
  <c r="B1837" i="4"/>
  <c r="R1837" i="4" s="1"/>
  <c r="A1837" i="4"/>
  <c r="O1837" i="4" s="1"/>
  <c r="F1836" i="4"/>
  <c r="E1836" i="4"/>
  <c r="D1836" i="4"/>
  <c r="C1836" i="4"/>
  <c r="B1836" i="4"/>
  <c r="A1836" i="4"/>
  <c r="W1835" i="4"/>
  <c r="M1835" i="4"/>
  <c r="F1835" i="4"/>
  <c r="E1835" i="4"/>
  <c r="D1835" i="4"/>
  <c r="C1835" i="4"/>
  <c r="B1835" i="4"/>
  <c r="H1835" i="4" s="1"/>
  <c r="L1835" i="4" s="1"/>
  <c r="A1835" i="4"/>
  <c r="G1835" i="4" s="1"/>
  <c r="P1834" i="4"/>
  <c r="H1834" i="4"/>
  <c r="F1834" i="4"/>
  <c r="E1834" i="4"/>
  <c r="D1834" i="4"/>
  <c r="C1834" i="4"/>
  <c r="B1834" i="4"/>
  <c r="S1834" i="4" s="1"/>
  <c r="A1834" i="4"/>
  <c r="T1834" i="4" s="1"/>
  <c r="W1833" i="4"/>
  <c r="U1833" i="4"/>
  <c r="F1833" i="4"/>
  <c r="E1833" i="4"/>
  <c r="D1833" i="4"/>
  <c r="C1833" i="4"/>
  <c r="B1833" i="4"/>
  <c r="R1833" i="4" s="1"/>
  <c r="A1833" i="4"/>
  <c r="P1833" i="4" s="1"/>
  <c r="F1832" i="4"/>
  <c r="E1832" i="4"/>
  <c r="D1832" i="4"/>
  <c r="C1832" i="4"/>
  <c r="B1832" i="4"/>
  <c r="S1832" i="4" s="1"/>
  <c r="A1832" i="4"/>
  <c r="G1832" i="4" s="1"/>
  <c r="F1831" i="4"/>
  <c r="E1831" i="4"/>
  <c r="D1831" i="4"/>
  <c r="C1831" i="4"/>
  <c r="B1831" i="4"/>
  <c r="R1831" i="4" s="1"/>
  <c r="A1831" i="4"/>
  <c r="W1831" i="4" s="1"/>
  <c r="F1830" i="4"/>
  <c r="E1830" i="4"/>
  <c r="D1830" i="4"/>
  <c r="C1830" i="4"/>
  <c r="B1830" i="4"/>
  <c r="R1830" i="4" s="1"/>
  <c r="A1830" i="4"/>
  <c r="F1829" i="4"/>
  <c r="E1829" i="4"/>
  <c r="D1829" i="4"/>
  <c r="C1829" i="4"/>
  <c r="B1829" i="4"/>
  <c r="A1829" i="4"/>
  <c r="U1829" i="4" s="1"/>
  <c r="F1828" i="4"/>
  <c r="E1828" i="4"/>
  <c r="D1828" i="4"/>
  <c r="C1828" i="4"/>
  <c r="B1828" i="4"/>
  <c r="S1828" i="4" s="1"/>
  <c r="A1828" i="4"/>
  <c r="W1828" i="4" s="1"/>
  <c r="F1827" i="4"/>
  <c r="E1827" i="4"/>
  <c r="D1827" i="4"/>
  <c r="C1827" i="4"/>
  <c r="B1827" i="4"/>
  <c r="S1827" i="4" s="1"/>
  <c r="A1827" i="4"/>
  <c r="P1827" i="4" s="1"/>
  <c r="F1826" i="4"/>
  <c r="E1826" i="4"/>
  <c r="D1826" i="4"/>
  <c r="C1826" i="4"/>
  <c r="B1826" i="4"/>
  <c r="R1826" i="4" s="1"/>
  <c r="A1826" i="4"/>
  <c r="J1826" i="4" s="1"/>
  <c r="F1825" i="4"/>
  <c r="E1825" i="4"/>
  <c r="D1825" i="4"/>
  <c r="C1825" i="4"/>
  <c r="B1825" i="4"/>
  <c r="S1825" i="4" s="1"/>
  <c r="A1825" i="4"/>
  <c r="T1825" i="4" s="1"/>
  <c r="F1824" i="4"/>
  <c r="E1824" i="4"/>
  <c r="D1824" i="4"/>
  <c r="C1824" i="4"/>
  <c r="B1824" i="4"/>
  <c r="R1824" i="4" s="1"/>
  <c r="A1824" i="4"/>
  <c r="M1824" i="4" s="1"/>
  <c r="F1823" i="4"/>
  <c r="E1823" i="4"/>
  <c r="D1823" i="4"/>
  <c r="C1823" i="4"/>
  <c r="B1823" i="4"/>
  <c r="H1823" i="4" s="1"/>
  <c r="A1823" i="4"/>
  <c r="W1823" i="4" s="1"/>
  <c r="I1822" i="4"/>
  <c r="F1822" i="4"/>
  <c r="E1822" i="4"/>
  <c r="D1822" i="4"/>
  <c r="C1822" i="4"/>
  <c r="B1822" i="4"/>
  <c r="R1822" i="4" s="1"/>
  <c r="A1822" i="4"/>
  <c r="F1821" i="4"/>
  <c r="E1821" i="4"/>
  <c r="D1821" i="4"/>
  <c r="C1821" i="4"/>
  <c r="B1821" i="4"/>
  <c r="A1821" i="4"/>
  <c r="T1821" i="4" s="1"/>
  <c r="F1820" i="4"/>
  <c r="E1820" i="4"/>
  <c r="D1820" i="4"/>
  <c r="C1820" i="4"/>
  <c r="B1820" i="4"/>
  <c r="A1820" i="4"/>
  <c r="F1819" i="4"/>
  <c r="E1819" i="4"/>
  <c r="D1819" i="4"/>
  <c r="C1819" i="4"/>
  <c r="B1819" i="4"/>
  <c r="A1819" i="4"/>
  <c r="V1819" i="4" s="1"/>
  <c r="T1818" i="4"/>
  <c r="F1818" i="4"/>
  <c r="E1818" i="4"/>
  <c r="D1818" i="4"/>
  <c r="C1818" i="4"/>
  <c r="B1818" i="4"/>
  <c r="R1818" i="4" s="1"/>
  <c r="A1818" i="4"/>
  <c r="J1818" i="4" s="1"/>
  <c r="F1817" i="4"/>
  <c r="E1817" i="4"/>
  <c r="D1817" i="4"/>
  <c r="C1817" i="4"/>
  <c r="B1817" i="4"/>
  <c r="A1817" i="4"/>
  <c r="W1817" i="4" s="1"/>
  <c r="F1816" i="4"/>
  <c r="E1816" i="4"/>
  <c r="D1816" i="4"/>
  <c r="C1816" i="4"/>
  <c r="B1816" i="4"/>
  <c r="R1816" i="4" s="1"/>
  <c r="A1816" i="4"/>
  <c r="M1816" i="4" s="1"/>
  <c r="F1815" i="4"/>
  <c r="E1815" i="4"/>
  <c r="D1815" i="4"/>
  <c r="C1815" i="4"/>
  <c r="B1815" i="4"/>
  <c r="H1815" i="4" s="1"/>
  <c r="A1815" i="4"/>
  <c r="W1815" i="4" s="1"/>
  <c r="F1814" i="4"/>
  <c r="E1814" i="4"/>
  <c r="D1814" i="4"/>
  <c r="C1814" i="4"/>
  <c r="B1814" i="4"/>
  <c r="I1814" i="4" s="1"/>
  <c r="A1814" i="4"/>
  <c r="K1814" i="4" s="1"/>
  <c r="F1813" i="4"/>
  <c r="E1813" i="4"/>
  <c r="D1813" i="4"/>
  <c r="C1813" i="4"/>
  <c r="B1813" i="4"/>
  <c r="H1813" i="4" s="1"/>
  <c r="A1813" i="4"/>
  <c r="K1813" i="4" s="1"/>
  <c r="F1812" i="4"/>
  <c r="E1812" i="4"/>
  <c r="D1812" i="4"/>
  <c r="C1812" i="4"/>
  <c r="B1812" i="4"/>
  <c r="A1812" i="4"/>
  <c r="W1812" i="4" s="1"/>
  <c r="F1811" i="4"/>
  <c r="E1811" i="4"/>
  <c r="D1811" i="4"/>
  <c r="C1811" i="4"/>
  <c r="B1811" i="4"/>
  <c r="S1811" i="4" s="1"/>
  <c r="A1811" i="4"/>
  <c r="V1811" i="4" s="1"/>
  <c r="F1810" i="4"/>
  <c r="E1810" i="4"/>
  <c r="D1810" i="4"/>
  <c r="C1810" i="4"/>
  <c r="B1810" i="4"/>
  <c r="Q1810" i="4" s="1"/>
  <c r="A1810" i="4"/>
  <c r="F1809" i="4"/>
  <c r="E1809" i="4"/>
  <c r="D1809" i="4"/>
  <c r="C1809" i="4"/>
  <c r="B1809" i="4"/>
  <c r="A1809" i="4"/>
  <c r="K1809" i="4" s="1"/>
  <c r="Q1808" i="4"/>
  <c r="F1808" i="4"/>
  <c r="E1808" i="4"/>
  <c r="D1808" i="4"/>
  <c r="C1808" i="4"/>
  <c r="B1808" i="4"/>
  <c r="S1808" i="4" s="1"/>
  <c r="A1808" i="4"/>
  <c r="U1808" i="4" s="1"/>
  <c r="F1807" i="4"/>
  <c r="E1807" i="4"/>
  <c r="D1807" i="4"/>
  <c r="C1807" i="4"/>
  <c r="B1807" i="4"/>
  <c r="A1807" i="4"/>
  <c r="P1807" i="4" s="1"/>
  <c r="F1806" i="4"/>
  <c r="E1806" i="4"/>
  <c r="D1806" i="4"/>
  <c r="C1806" i="4"/>
  <c r="B1806" i="4"/>
  <c r="Q1806" i="4" s="1"/>
  <c r="A1806" i="4"/>
  <c r="W1806" i="4" s="1"/>
  <c r="F1805" i="4"/>
  <c r="E1805" i="4"/>
  <c r="D1805" i="4"/>
  <c r="C1805" i="4"/>
  <c r="B1805" i="4"/>
  <c r="A1805" i="4"/>
  <c r="U1805" i="4" s="1"/>
  <c r="F1804" i="4"/>
  <c r="E1804" i="4"/>
  <c r="D1804" i="4"/>
  <c r="C1804" i="4"/>
  <c r="B1804" i="4"/>
  <c r="A1804" i="4"/>
  <c r="W1804" i="4" s="1"/>
  <c r="F1803" i="4"/>
  <c r="E1803" i="4"/>
  <c r="D1803" i="4"/>
  <c r="C1803" i="4"/>
  <c r="B1803" i="4"/>
  <c r="Q1803" i="4" s="1"/>
  <c r="A1803" i="4"/>
  <c r="F1802" i="4"/>
  <c r="E1802" i="4"/>
  <c r="D1802" i="4"/>
  <c r="C1802" i="4"/>
  <c r="B1802" i="4"/>
  <c r="R1802" i="4" s="1"/>
  <c r="A1802" i="4"/>
  <c r="J1802" i="4" s="1"/>
  <c r="F1801" i="4"/>
  <c r="E1801" i="4"/>
  <c r="D1801" i="4"/>
  <c r="C1801" i="4"/>
  <c r="B1801" i="4"/>
  <c r="R1801" i="4" s="1"/>
  <c r="A1801" i="4"/>
  <c r="P1801" i="4" s="1"/>
  <c r="F1800" i="4"/>
  <c r="E1800" i="4"/>
  <c r="D1800" i="4"/>
  <c r="C1800" i="4"/>
  <c r="B1800" i="4"/>
  <c r="A1800" i="4"/>
  <c r="K1800" i="4" s="1"/>
  <c r="F1799" i="4"/>
  <c r="E1799" i="4"/>
  <c r="D1799" i="4"/>
  <c r="C1799" i="4"/>
  <c r="B1799" i="4"/>
  <c r="R1799" i="4" s="1"/>
  <c r="A1799" i="4"/>
  <c r="W1799" i="4" s="1"/>
  <c r="F1798" i="4"/>
  <c r="E1798" i="4"/>
  <c r="D1798" i="4"/>
  <c r="C1798" i="4"/>
  <c r="B1798" i="4"/>
  <c r="R1798" i="4" s="1"/>
  <c r="A1798" i="4"/>
  <c r="F1797" i="4"/>
  <c r="E1797" i="4"/>
  <c r="D1797" i="4"/>
  <c r="C1797" i="4"/>
  <c r="B1797" i="4"/>
  <c r="S1797" i="4" s="1"/>
  <c r="A1797" i="4"/>
  <c r="U1797" i="4" s="1"/>
  <c r="F1796" i="4"/>
  <c r="E1796" i="4"/>
  <c r="D1796" i="4"/>
  <c r="C1796" i="4"/>
  <c r="B1796" i="4"/>
  <c r="I1796" i="4" s="1"/>
  <c r="A1796" i="4"/>
  <c r="V1796" i="4" s="1"/>
  <c r="F1795" i="4"/>
  <c r="E1795" i="4"/>
  <c r="D1795" i="4"/>
  <c r="C1795" i="4"/>
  <c r="B1795" i="4"/>
  <c r="S1795" i="4" s="1"/>
  <c r="A1795" i="4"/>
  <c r="V1795" i="4" s="1"/>
  <c r="G1794" i="4"/>
  <c r="F1794" i="4"/>
  <c r="E1794" i="4"/>
  <c r="D1794" i="4"/>
  <c r="C1794" i="4"/>
  <c r="B1794" i="4"/>
  <c r="R1794" i="4" s="1"/>
  <c r="A1794" i="4"/>
  <c r="J1794" i="4" s="1"/>
  <c r="F1793" i="4"/>
  <c r="E1793" i="4"/>
  <c r="D1793" i="4"/>
  <c r="C1793" i="4"/>
  <c r="B1793" i="4"/>
  <c r="A1793" i="4"/>
  <c r="U1793" i="4" s="1"/>
  <c r="F1792" i="4"/>
  <c r="E1792" i="4"/>
  <c r="D1792" i="4"/>
  <c r="C1792" i="4"/>
  <c r="B1792" i="4"/>
  <c r="H1792" i="4" s="1"/>
  <c r="L1792" i="4" s="1"/>
  <c r="A1792" i="4"/>
  <c r="K1792" i="4" s="1"/>
  <c r="F1791" i="4"/>
  <c r="E1791" i="4"/>
  <c r="D1791" i="4"/>
  <c r="C1791" i="4"/>
  <c r="B1791" i="4"/>
  <c r="A1791" i="4"/>
  <c r="T1791" i="4" s="1"/>
  <c r="F1790" i="4"/>
  <c r="E1790" i="4"/>
  <c r="D1790" i="4"/>
  <c r="C1790" i="4"/>
  <c r="B1790" i="4"/>
  <c r="R1790" i="4" s="1"/>
  <c r="A1790" i="4"/>
  <c r="P1790" i="4" s="1"/>
  <c r="F1789" i="4"/>
  <c r="E1789" i="4"/>
  <c r="D1789" i="4"/>
  <c r="C1789" i="4"/>
  <c r="B1789" i="4"/>
  <c r="H1789" i="4" s="1"/>
  <c r="A1789" i="4"/>
  <c r="U1789" i="4" s="1"/>
  <c r="F1788" i="4"/>
  <c r="E1788" i="4"/>
  <c r="D1788" i="4"/>
  <c r="C1788" i="4"/>
  <c r="B1788" i="4"/>
  <c r="H1788" i="4" s="1"/>
  <c r="A1788" i="4"/>
  <c r="F1787" i="4"/>
  <c r="E1787" i="4"/>
  <c r="D1787" i="4"/>
  <c r="C1787" i="4"/>
  <c r="B1787" i="4"/>
  <c r="S1787" i="4" s="1"/>
  <c r="A1787" i="4"/>
  <c r="V1787" i="4" s="1"/>
  <c r="F1786" i="4"/>
  <c r="E1786" i="4"/>
  <c r="D1786" i="4"/>
  <c r="C1786" i="4"/>
  <c r="B1786" i="4"/>
  <c r="R1786" i="4" s="1"/>
  <c r="A1786" i="4"/>
  <c r="K1786" i="4" s="1"/>
  <c r="F1785" i="4"/>
  <c r="E1785" i="4"/>
  <c r="D1785" i="4"/>
  <c r="C1785" i="4"/>
  <c r="B1785" i="4"/>
  <c r="R1785" i="4" s="1"/>
  <c r="A1785" i="4"/>
  <c r="U1785" i="4" s="1"/>
  <c r="F1784" i="4"/>
  <c r="E1784" i="4"/>
  <c r="D1784" i="4"/>
  <c r="C1784" i="4"/>
  <c r="B1784" i="4"/>
  <c r="H1784" i="4" s="1"/>
  <c r="A1784" i="4"/>
  <c r="G1784" i="4" s="1"/>
  <c r="F1783" i="4"/>
  <c r="E1783" i="4"/>
  <c r="D1783" i="4"/>
  <c r="C1783" i="4"/>
  <c r="B1783" i="4"/>
  <c r="I1783" i="4" s="1"/>
  <c r="A1783" i="4"/>
  <c r="T1783" i="4" s="1"/>
  <c r="I1782" i="4"/>
  <c r="F1782" i="4"/>
  <c r="E1782" i="4"/>
  <c r="D1782" i="4"/>
  <c r="C1782" i="4"/>
  <c r="B1782" i="4"/>
  <c r="R1782" i="4" s="1"/>
  <c r="A1782" i="4"/>
  <c r="G1782" i="4" s="1"/>
  <c r="R1781" i="4"/>
  <c r="G1781" i="4"/>
  <c r="F1781" i="4"/>
  <c r="E1781" i="4"/>
  <c r="D1781" i="4"/>
  <c r="C1781" i="4"/>
  <c r="B1781" i="4"/>
  <c r="S1781" i="4" s="1"/>
  <c r="A1781" i="4"/>
  <c r="U1781" i="4" s="1"/>
  <c r="F1780" i="4"/>
  <c r="E1780" i="4"/>
  <c r="D1780" i="4"/>
  <c r="C1780" i="4"/>
  <c r="B1780" i="4"/>
  <c r="H1780" i="4" s="1"/>
  <c r="L1780" i="4" s="1"/>
  <c r="A1780" i="4"/>
  <c r="U1780" i="4" s="1"/>
  <c r="F1779" i="4"/>
  <c r="E1779" i="4"/>
  <c r="D1779" i="4"/>
  <c r="C1779" i="4"/>
  <c r="B1779" i="4"/>
  <c r="S1779" i="4" s="1"/>
  <c r="A1779" i="4"/>
  <c r="T1779" i="4" s="1"/>
  <c r="F1778" i="4"/>
  <c r="E1778" i="4"/>
  <c r="D1778" i="4"/>
  <c r="C1778" i="4"/>
  <c r="B1778" i="4"/>
  <c r="R1778" i="4" s="1"/>
  <c r="A1778" i="4"/>
  <c r="G1778" i="4" s="1"/>
  <c r="F1777" i="4"/>
  <c r="E1777" i="4"/>
  <c r="D1777" i="4"/>
  <c r="C1777" i="4"/>
  <c r="B1777" i="4"/>
  <c r="A1777" i="4"/>
  <c r="O1777" i="4" s="1"/>
  <c r="F1776" i="4"/>
  <c r="E1776" i="4"/>
  <c r="D1776" i="4"/>
  <c r="C1776" i="4"/>
  <c r="B1776" i="4"/>
  <c r="H1776" i="4" s="1"/>
  <c r="A1776" i="4"/>
  <c r="F1775" i="4"/>
  <c r="E1775" i="4"/>
  <c r="D1775" i="4"/>
  <c r="C1775" i="4"/>
  <c r="B1775" i="4"/>
  <c r="A1775" i="4"/>
  <c r="W1775" i="4" s="1"/>
  <c r="F1774" i="4"/>
  <c r="E1774" i="4"/>
  <c r="D1774" i="4"/>
  <c r="C1774" i="4"/>
  <c r="B1774" i="4"/>
  <c r="S1774" i="4" s="1"/>
  <c r="A1774" i="4"/>
  <c r="G1774" i="4" s="1"/>
  <c r="Q1773" i="4"/>
  <c r="F1773" i="4"/>
  <c r="E1773" i="4"/>
  <c r="D1773" i="4"/>
  <c r="C1773" i="4"/>
  <c r="B1773" i="4"/>
  <c r="A1773" i="4"/>
  <c r="U1773" i="4" s="1"/>
  <c r="F1772" i="4"/>
  <c r="E1772" i="4"/>
  <c r="D1772" i="4"/>
  <c r="C1772" i="4"/>
  <c r="B1772" i="4"/>
  <c r="A1772" i="4"/>
  <c r="V1771" i="4"/>
  <c r="U1771" i="4"/>
  <c r="F1771" i="4"/>
  <c r="E1771" i="4"/>
  <c r="D1771" i="4"/>
  <c r="C1771" i="4"/>
  <c r="B1771" i="4"/>
  <c r="S1771" i="4" s="1"/>
  <c r="A1771" i="4"/>
  <c r="K1771" i="4" s="1"/>
  <c r="S1770" i="4"/>
  <c r="Q1770" i="4"/>
  <c r="H1770" i="4"/>
  <c r="F1770" i="4"/>
  <c r="E1770" i="4"/>
  <c r="D1770" i="4"/>
  <c r="C1770" i="4"/>
  <c r="B1770" i="4"/>
  <c r="R1770" i="4" s="1"/>
  <c r="A1770" i="4"/>
  <c r="V1769" i="4"/>
  <c r="U1769" i="4"/>
  <c r="F1769" i="4"/>
  <c r="E1769" i="4"/>
  <c r="D1769" i="4"/>
  <c r="C1769" i="4"/>
  <c r="B1769" i="4"/>
  <c r="R1769" i="4" s="1"/>
  <c r="A1769" i="4"/>
  <c r="O1769" i="4" s="1"/>
  <c r="F1768" i="4"/>
  <c r="E1768" i="4"/>
  <c r="D1768" i="4"/>
  <c r="C1768" i="4"/>
  <c r="B1768" i="4"/>
  <c r="A1768" i="4"/>
  <c r="F1767" i="4"/>
  <c r="E1767" i="4"/>
  <c r="D1767" i="4"/>
  <c r="C1767" i="4"/>
  <c r="B1767" i="4"/>
  <c r="A1767" i="4"/>
  <c r="F1766" i="4"/>
  <c r="E1766" i="4"/>
  <c r="D1766" i="4"/>
  <c r="C1766" i="4"/>
  <c r="B1766" i="4"/>
  <c r="S1766" i="4" s="1"/>
  <c r="A1766" i="4"/>
  <c r="G1766" i="4" s="1"/>
  <c r="S1765" i="4"/>
  <c r="F1765" i="4"/>
  <c r="E1765" i="4"/>
  <c r="D1765" i="4"/>
  <c r="C1765" i="4"/>
  <c r="B1765" i="4"/>
  <c r="R1765" i="4" s="1"/>
  <c r="A1765" i="4"/>
  <c r="U1765" i="4" s="1"/>
  <c r="V1764" i="4"/>
  <c r="F1764" i="4"/>
  <c r="E1764" i="4"/>
  <c r="D1764" i="4"/>
  <c r="C1764" i="4"/>
  <c r="B1764" i="4"/>
  <c r="S1764" i="4" s="1"/>
  <c r="A1764" i="4"/>
  <c r="F1763" i="4"/>
  <c r="E1763" i="4"/>
  <c r="D1763" i="4"/>
  <c r="C1763" i="4"/>
  <c r="B1763" i="4"/>
  <c r="S1763" i="4" s="1"/>
  <c r="A1763" i="4"/>
  <c r="M1762" i="4"/>
  <c r="F1762" i="4"/>
  <c r="E1762" i="4"/>
  <c r="D1762" i="4"/>
  <c r="C1762" i="4"/>
  <c r="B1762" i="4"/>
  <c r="R1762" i="4" s="1"/>
  <c r="A1762" i="4"/>
  <c r="J1762" i="4" s="1"/>
  <c r="P1761" i="4"/>
  <c r="F1761" i="4"/>
  <c r="E1761" i="4"/>
  <c r="D1761" i="4"/>
  <c r="C1761" i="4"/>
  <c r="B1761" i="4"/>
  <c r="R1761" i="4" s="1"/>
  <c r="A1761" i="4"/>
  <c r="O1761" i="4" s="1"/>
  <c r="F1760" i="4"/>
  <c r="E1760" i="4"/>
  <c r="D1760" i="4"/>
  <c r="C1760" i="4"/>
  <c r="B1760" i="4"/>
  <c r="H1760" i="4" s="1"/>
  <c r="A1760" i="4"/>
  <c r="K1760" i="4" s="1"/>
  <c r="F1759" i="4"/>
  <c r="E1759" i="4"/>
  <c r="D1759" i="4"/>
  <c r="C1759" i="4"/>
  <c r="B1759" i="4"/>
  <c r="A1759" i="4"/>
  <c r="F1758" i="4"/>
  <c r="E1758" i="4"/>
  <c r="D1758" i="4"/>
  <c r="C1758" i="4"/>
  <c r="B1758" i="4"/>
  <c r="R1758" i="4" s="1"/>
  <c r="A1758" i="4"/>
  <c r="J1758" i="4" s="1"/>
  <c r="F1757" i="4"/>
  <c r="E1757" i="4"/>
  <c r="D1757" i="4"/>
  <c r="C1757" i="4"/>
  <c r="B1757" i="4"/>
  <c r="R1757" i="4" s="1"/>
  <c r="A1757" i="4"/>
  <c r="O1756" i="4"/>
  <c r="F1756" i="4"/>
  <c r="E1756" i="4"/>
  <c r="D1756" i="4"/>
  <c r="C1756" i="4"/>
  <c r="B1756" i="4"/>
  <c r="S1756" i="4" s="1"/>
  <c r="A1756" i="4"/>
  <c r="M1756" i="4" s="1"/>
  <c r="U1755" i="4"/>
  <c r="G1755" i="4"/>
  <c r="F1755" i="4"/>
  <c r="E1755" i="4"/>
  <c r="D1755" i="4"/>
  <c r="C1755" i="4"/>
  <c r="B1755" i="4"/>
  <c r="S1755" i="4" s="1"/>
  <c r="A1755" i="4"/>
  <c r="K1755" i="4" s="1"/>
  <c r="F1754" i="4"/>
  <c r="E1754" i="4"/>
  <c r="D1754" i="4"/>
  <c r="C1754" i="4"/>
  <c r="B1754" i="4"/>
  <c r="R1754" i="4" s="1"/>
  <c r="A1754" i="4"/>
  <c r="J1754" i="4" s="1"/>
  <c r="F1753" i="4"/>
  <c r="E1753" i="4"/>
  <c r="D1753" i="4"/>
  <c r="C1753" i="4"/>
  <c r="B1753" i="4"/>
  <c r="A1753" i="4"/>
  <c r="V1753" i="4" s="1"/>
  <c r="F1752" i="4"/>
  <c r="E1752" i="4"/>
  <c r="D1752" i="4"/>
  <c r="C1752" i="4"/>
  <c r="B1752" i="4"/>
  <c r="H1752" i="4" s="1"/>
  <c r="N1752" i="4" s="1"/>
  <c r="A1752" i="4"/>
  <c r="K1752" i="4" s="1"/>
  <c r="F1751" i="4"/>
  <c r="E1751" i="4"/>
  <c r="D1751" i="4"/>
  <c r="C1751" i="4"/>
  <c r="B1751" i="4"/>
  <c r="H1751" i="4" s="1"/>
  <c r="A1751" i="4"/>
  <c r="W1751" i="4" s="1"/>
  <c r="O1750" i="4"/>
  <c r="G1750" i="4"/>
  <c r="F1750" i="4"/>
  <c r="E1750" i="4"/>
  <c r="D1750" i="4"/>
  <c r="C1750" i="4"/>
  <c r="B1750" i="4"/>
  <c r="I1750" i="4" s="1"/>
  <c r="A1750" i="4"/>
  <c r="W1750" i="4" s="1"/>
  <c r="F1749" i="4"/>
  <c r="E1749" i="4"/>
  <c r="D1749" i="4"/>
  <c r="C1749" i="4"/>
  <c r="B1749" i="4"/>
  <c r="S1749" i="4" s="1"/>
  <c r="A1749" i="4"/>
  <c r="F1748" i="4"/>
  <c r="E1748" i="4"/>
  <c r="D1748" i="4"/>
  <c r="C1748" i="4"/>
  <c r="B1748" i="4"/>
  <c r="A1748" i="4"/>
  <c r="F1747" i="4"/>
  <c r="E1747" i="4"/>
  <c r="D1747" i="4"/>
  <c r="C1747" i="4"/>
  <c r="B1747" i="4"/>
  <c r="S1747" i="4" s="1"/>
  <c r="A1747" i="4"/>
  <c r="V1747" i="4" s="1"/>
  <c r="T1746" i="4"/>
  <c r="F1746" i="4"/>
  <c r="E1746" i="4"/>
  <c r="D1746" i="4"/>
  <c r="C1746" i="4"/>
  <c r="B1746" i="4"/>
  <c r="R1746" i="4" s="1"/>
  <c r="A1746" i="4"/>
  <c r="J1746" i="4" s="1"/>
  <c r="O1745" i="4"/>
  <c r="F1745" i="4"/>
  <c r="E1745" i="4"/>
  <c r="D1745" i="4"/>
  <c r="C1745" i="4"/>
  <c r="B1745" i="4"/>
  <c r="S1745" i="4" s="1"/>
  <c r="A1745" i="4"/>
  <c r="V1745" i="4" s="1"/>
  <c r="K1744" i="4"/>
  <c r="F1744" i="4"/>
  <c r="E1744" i="4"/>
  <c r="D1744" i="4"/>
  <c r="C1744" i="4"/>
  <c r="B1744" i="4"/>
  <c r="H1744" i="4" s="1"/>
  <c r="N1744" i="4" s="1"/>
  <c r="A1744" i="4"/>
  <c r="J1743" i="4"/>
  <c r="F1743" i="4"/>
  <c r="E1743" i="4"/>
  <c r="D1743" i="4"/>
  <c r="C1743" i="4"/>
  <c r="B1743" i="4"/>
  <c r="S1743" i="4" s="1"/>
  <c r="A1743" i="4"/>
  <c r="F1742" i="4"/>
  <c r="E1742" i="4"/>
  <c r="D1742" i="4"/>
  <c r="C1742" i="4"/>
  <c r="B1742" i="4"/>
  <c r="R1742" i="4" s="1"/>
  <c r="A1742" i="4"/>
  <c r="W1742" i="4" s="1"/>
  <c r="F1741" i="4"/>
  <c r="E1741" i="4"/>
  <c r="D1741" i="4"/>
  <c r="C1741" i="4"/>
  <c r="B1741" i="4"/>
  <c r="A1741" i="4"/>
  <c r="V1741" i="4" s="1"/>
  <c r="F1740" i="4"/>
  <c r="E1740" i="4"/>
  <c r="D1740" i="4"/>
  <c r="C1740" i="4"/>
  <c r="B1740" i="4"/>
  <c r="H1740" i="4" s="1"/>
  <c r="A1740" i="4"/>
  <c r="F1739" i="4"/>
  <c r="E1739" i="4"/>
  <c r="D1739" i="4"/>
  <c r="C1739" i="4"/>
  <c r="B1739" i="4"/>
  <c r="I1739" i="4" s="1"/>
  <c r="A1739" i="4"/>
  <c r="T1739" i="4" s="1"/>
  <c r="F1738" i="4"/>
  <c r="E1738" i="4"/>
  <c r="D1738" i="4"/>
  <c r="C1738" i="4"/>
  <c r="B1738" i="4"/>
  <c r="R1738" i="4" s="1"/>
  <c r="A1738" i="4"/>
  <c r="P1738" i="4" s="1"/>
  <c r="M1737" i="4"/>
  <c r="K1737" i="4"/>
  <c r="F1737" i="4"/>
  <c r="E1737" i="4"/>
  <c r="D1737" i="4"/>
  <c r="C1737" i="4"/>
  <c r="B1737" i="4"/>
  <c r="H1737" i="4" s="1"/>
  <c r="A1737" i="4"/>
  <c r="V1737" i="4" s="1"/>
  <c r="F1736" i="4"/>
  <c r="E1736" i="4"/>
  <c r="D1736" i="4"/>
  <c r="C1736" i="4"/>
  <c r="B1736" i="4"/>
  <c r="H1736" i="4" s="1"/>
  <c r="A1736" i="4"/>
  <c r="H1735" i="4"/>
  <c r="F1735" i="4"/>
  <c r="E1735" i="4"/>
  <c r="D1735" i="4"/>
  <c r="C1735" i="4"/>
  <c r="B1735" i="4"/>
  <c r="S1735" i="4" s="1"/>
  <c r="A1735" i="4"/>
  <c r="P1735" i="4" s="1"/>
  <c r="H1734" i="4"/>
  <c r="F1734" i="4"/>
  <c r="E1734" i="4"/>
  <c r="D1734" i="4"/>
  <c r="C1734" i="4"/>
  <c r="B1734" i="4"/>
  <c r="A1734" i="4"/>
  <c r="U1734" i="4" s="1"/>
  <c r="F1733" i="4"/>
  <c r="E1733" i="4"/>
  <c r="D1733" i="4"/>
  <c r="C1733" i="4"/>
  <c r="B1733" i="4"/>
  <c r="R1733" i="4" s="1"/>
  <c r="A1733" i="4"/>
  <c r="G1733" i="4" s="1"/>
  <c r="F1732" i="4"/>
  <c r="E1732" i="4"/>
  <c r="D1732" i="4"/>
  <c r="C1732" i="4"/>
  <c r="B1732" i="4"/>
  <c r="H1732" i="4" s="1"/>
  <c r="A1732" i="4"/>
  <c r="T1732" i="4" s="1"/>
  <c r="F1731" i="4"/>
  <c r="E1731" i="4"/>
  <c r="D1731" i="4"/>
  <c r="C1731" i="4"/>
  <c r="B1731" i="4"/>
  <c r="R1731" i="4" s="1"/>
  <c r="A1731" i="4"/>
  <c r="W1731" i="4" s="1"/>
  <c r="V1730" i="4"/>
  <c r="F1730" i="4"/>
  <c r="E1730" i="4"/>
  <c r="D1730" i="4"/>
  <c r="C1730" i="4"/>
  <c r="B1730" i="4"/>
  <c r="R1730" i="4" s="1"/>
  <c r="A1730" i="4"/>
  <c r="T1730" i="4" s="1"/>
  <c r="M1729" i="4"/>
  <c r="G1729" i="4"/>
  <c r="F1729" i="4"/>
  <c r="E1729" i="4"/>
  <c r="D1729" i="4"/>
  <c r="C1729" i="4"/>
  <c r="B1729" i="4"/>
  <c r="H1729" i="4" s="1"/>
  <c r="A1729" i="4"/>
  <c r="V1729" i="4" s="1"/>
  <c r="F1728" i="4"/>
  <c r="E1728" i="4"/>
  <c r="D1728" i="4"/>
  <c r="C1728" i="4"/>
  <c r="B1728" i="4"/>
  <c r="A1728" i="4"/>
  <c r="J1728" i="4" s="1"/>
  <c r="F1727" i="4"/>
  <c r="E1727" i="4"/>
  <c r="D1727" i="4"/>
  <c r="C1727" i="4"/>
  <c r="B1727" i="4"/>
  <c r="S1727" i="4" s="1"/>
  <c r="A1727" i="4"/>
  <c r="V1727" i="4" s="1"/>
  <c r="F1726" i="4"/>
  <c r="E1726" i="4"/>
  <c r="D1726" i="4"/>
  <c r="C1726" i="4"/>
  <c r="B1726" i="4"/>
  <c r="S1726" i="4" s="1"/>
  <c r="A1726" i="4"/>
  <c r="G1726" i="4" s="1"/>
  <c r="F1725" i="4"/>
  <c r="E1725" i="4"/>
  <c r="D1725" i="4"/>
  <c r="C1725" i="4"/>
  <c r="B1725" i="4"/>
  <c r="R1725" i="4" s="1"/>
  <c r="A1725" i="4"/>
  <c r="W1725" i="4" s="1"/>
  <c r="J1724" i="4"/>
  <c r="F1724" i="4"/>
  <c r="E1724" i="4"/>
  <c r="D1724" i="4"/>
  <c r="C1724" i="4"/>
  <c r="B1724" i="4"/>
  <c r="S1724" i="4" s="1"/>
  <c r="A1724" i="4"/>
  <c r="T1724" i="4" s="1"/>
  <c r="F1723" i="4"/>
  <c r="E1723" i="4"/>
  <c r="D1723" i="4"/>
  <c r="C1723" i="4"/>
  <c r="B1723" i="4"/>
  <c r="A1723" i="4"/>
  <c r="F1722" i="4"/>
  <c r="E1722" i="4"/>
  <c r="D1722" i="4"/>
  <c r="C1722" i="4"/>
  <c r="B1722" i="4"/>
  <c r="R1722" i="4" s="1"/>
  <c r="A1722" i="4"/>
  <c r="F1721" i="4"/>
  <c r="E1721" i="4"/>
  <c r="D1721" i="4"/>
  <c r="C1721" i="4"/>
  <c r="B1721" i="4"/>
  <c r="S1721" i="4" s="1"/>
  <c r="A1721" i="4"/>
  <c r="V1721" i="4" s="1"/>
  <c r="J1720" i="4"/>
  <c r="F1720" i="4"/>
  <c r="E1720" i="4"/>
  <c r="D1720" i="4"/>
  <c r="C1720" i="4"/>
  <c r="B1720" i="4"/>
  <c r="H1720" i="4" s="1"/>
  <c r="A1720" i="4"/>
  <c r="F1719" i="4"/>
  <c r="E1719" i="4"/>
  <c r="D1719" i="4"/>
  <c r="C1719" i="4"/>
  <c r="B1719" i="4"/>
  <c r="A1719" i="4"/>
  <c r="W1719" i="4" s="1"/>
  <c r="F1718" i="4"/>
  <c r="E1718" i="4"/>
  <c r="D1718" i="4"/>
  <c r="C1718" i="4"/>
  <c r="B1718" i="4"/>
  <c r="R1718" i="4" s="1"/>
  <c r="A1718" i="4"/>
  <c r="U1718" i="4" s="1"/>
  <c r="F1717" i="4"/>
  <c r="E1717" i="4"/>
  <c r="D1717" i="4"/>
  <c r="C1717" i="4"/>
  <c r="B1717" i="4"/>
  <c r="R1717" i="4" s="1"/>
  <c r="A1717" i="4"/>
  <c r="V1717" i="4" s="1"/>
  <c r="F1716" i="4"/>
  <c r="E1716" i="4"/>
  <c r="D1716" i="4"/>
  <c r="C1716" i="4"/>
  <c r="B1716" i="4"/>
  <c r="R1716" i="4" s="1"/>
  <c r="A1716" i="4"/>
  <c r="P1716" i="4" s="1"/>
  <c r="F1715" i="4"/>
  <c r="E1715" i="4"/>
  <c r="D1715" i="4"/>
  <c r="C1715" i="4"/>
  <c r="B1715" i="4"/>
  <c r="R1715" i="4" s="1"/>
  <c r="A1715" i="4"/>
  <c r="F1714" i="4"/>
  <c r="E1714" i="4"/>
  <c r="D1714" i="4"/>
  <c r="C1714" i="4"/>
  <c r="B1714" i="4"/>
  <c r="A1714" i="4"/>
  <c r="F1713" i="4"/>
  <c r="E1713" i="4"/>
  <c r="D1713" i="4"/>
  <c r="C1713" i="4"/>
  <c r="B1713" i="4"/>
  <c r="S1713" i="4" s="1"/>
  <c r="A1713" i="4"/>
  <c r="F1712" i="4"/>
  <c r="E1712" i="4"/>
  <c r="D1712" i="4"/>
  <c r="C1712" i="4"/>
  <c r="B1712" i="4"/>
  <c r="R1712" i="4" s="1"/>
  <c r="A1712" i="4"/>
  <c r="U1712" i="4" s="1"/>
  <c r="F1711" i="4"/>
  <c r="E1711" i="4"/>
  <c r="D1711" i="4"/>
  <c r="C1711" i="4"/>
  <c r="B1711" i="4"/>
  <c r="S1711" i="4" s="1"/>
  <c r="A1711" i="4"/>
  <c r="G1711" i="4" s="1"/>
  <c r="H1710" i="4"/>
  <c r="L1710" i="4" s="1"/>
  <c r="F1710" i="4"/>
  <c r="E1710" i="4"/>
  <c r="D1710" i="4"/>
  <c r="C1710" i="4"/>
  <c r="B1710" i="4"/>
  <c r="R1710" i="4" s="1"/>
  <c r="A1710" i="4"/>
  <c r="U1710" i="4" s="1"/>
  <c r="G1709" i="4"/>
  <c r="F1709" i="4"/>
  <c r="E1709" i="4"/>
  <c r="D1709" i="4"/>
  <c r="C1709" i="4"/>
  <c r="B1709" i="4"/>
  <c r="R1709" i="4" s="1"/>
  <c r="A1709" i="4"/>
  <c r="V1709" i="4" s="1"/>
  <c r="O1708" i="4"/>
  <c r="F1708" i="4"/>
  <c r="E1708" i="4"/>
  <c r="D1708" i="4"/>
  <c r="C1708" i="4"/>
  <c r="B1708" i="4"/>
  <c r="R1708" i="4" s="1"/>
  <c r="A1708" i="4"/>
  <c r="P1708" i="4" s="1"/>
  <c r="F1707" i="4"/>
  <c r="E1707" i="4"/>
  <c r="D1707" i="4"/>
  <c r="C1707" i="4"/>
  <c r="B1707" i="4"/>
  <c r="R1707" i="4" s="1"/>
  <c r="A1707" i="4"/>
  <c r="P1707" i="4" s="1"/>
  <c r="F1706" i="4"/>
  <c r="E1706" i="4"/>
  <c r="D1706" i="4"/>
  <c r="C1706" i="4"/>
  <c r="B1706" i="4"/>
  <c r="R1706" i="4" s="1"/>
  <c r="A1706" i="4"/>
  <c r="P1706" i="4" s="1"/>
  <c r="F1705" i="4"/>
  <c r="E1705" i="4"/>
  <c r="D1705" i="4"/>
  <c r="C1705" i="4"/>
  <c r="B1705" i="4"/>
  <c r="R1705" i="4" s="1"/>
  <c r="A1705" i="4"/>
  <c r="F1704" i="4"/>
  <c r="E1704" i="4"/>
  <c r="D1704" i="4"/>
  <c r="C1704" i="4"/>
  <c r="B1704" i="4"/>
  <c r="H1704" i="4" s="1"/>
  <c r="A1704" i="4"/>
  <c r="F1703" i="4"/>
  <c r="E1703" i="4"/>
  <c r="D1703" i="4"/>
  <c r="C1703" i="4"/>
  <c r="B1703" i="4"/>
  <c r="S1703" i="4" s="1"/>
  <c r="A1703" i="4"/>
  <c r="W1703" i="4" s="1"/>
  <c r="F1702" i="4"/>
  <c r="E1702" i="4"/>
  <c r="D1702" i="4"/>
  <c r="C1702" i="4"/>
  <c r="B1702" i="4"/>
  <c r="S1702" i="4" s="1"/>
  <c r="A1702" i="4"/>
  <c r="U1702" i="4" s="1"/>
  <c r="F1701" i="4"/>
  <c r="E1701" i="4"/>
  <c r="D1701" i="4"/>
  <c r="C1701" i="4"/>
  <c r="B1701" i="4"/>
  <c r="R1701" i="4" s="1"/>
  <c r="A1701" i="4"/>
  <c r="J1701" i="4" s="1"/>
  <c r="F1700" i="4"/>
  <c r="E1700" i="4"/>
  <c r="D1700" i="4"/>
  <c r="C1700" i="4"/>
  <c r="B1700" i="4"/>
  <c r="R1700" i="4" s="1"/>
  <c r="A1700" i="4"/>
  <c r="P1700" i="4" s="1"/>
  <c r="F1699" i="4"/>
  <c r="E1699" i="4"/>
  <c r="D1699" i="4"/>
  <c r="C1699" i="4"/>
  <c r="B1699" i="4"/>
  <c r="R1699" i="4" s="1"/>
  <c r="A1699" i="4"/>
  <c r="M1699" i="4" s="1"/>
  <c r="M1698" i="4"/>
  <c r="F1698" i="4"/>
  <c r="E1698" i="4"/>
  <c r="D1698" i="4"/>
  <c r="C1698" i="4"/>
  <c r="B1698" i="4"/>
  <c r="A1698" i="4"/>
  <c r="P1698" i="4" s="1"/>
  <c r="F1697" i="4"/>
  <c r="E1697" i="4"/>
  <c r="D1697" i="4"/>
  <c r="C1697" i="4"/>
  <c r="B1697" i="4"/>
  <c r="R1697" i="4" s="1"/>
  <c r="A1697" i="4"/>
  <c r="F1696" i="4"/>
  <c r="E1696" i="4"/>
  <c r="D1696" i="4"/>
  <c r="C1696" i="4"/>
  <c r="B1696" i="4"/>
  <c r="H1696" i="4" s="1"/>
  <c r="A1696" i="4"/>
  <c r="U1696" i="4" s="1"/>
  <c r="F1695" i="4"/>
  <c r="E1695" i="4"/>
  <c r="D1695" i="4"/>
  <c r="C1695" i="4"/>
  <c r="B1695" i="4"/>
  <c r="Q1695" i="4" s="1"/>
  <c r="A1695" i="4"/>
  <c r="W1695" i="4" s="1"/>
  <c r="F1694" i="4"/>
  <c r="E1694" i="4"/>
  <c r="D1694" i="4"/>
  <c r="C1694" i="4"/>
  <c r="B1694" i="4"/>
  <c r="S1694" i="4" s="1"/>
  <c r="A1694" i="4"/>
  <c r="U1693" i="4"/>
  <c r="F1693" i="4"/>
  <c r="E1693" i="4"/>
  <c r="D1693" i="4"/>
  <c r="C1693" i="4"/>
  <c r="B1693" i="4"/>
  <c r="R1693" i="4" s="1"/>
  <c r="A1693" i="4"/>
  <c r="J1693" i="4" s="1"/>
  <c r="F1692" i="4"/>
  <c r="E1692" i="4"/>
  <c r="D1692" i="4"/>
  <c r="C1692" i="4"/>
  <c r="B1692" i="4"/>
  <c r="R1692" i="4" s="1"/>
  <c r="A1692" i="4"/>
  <c r="P1692" i="4" s="1"/>
  <c r="F1691" i="4"/>
  <c r="E1691" i="4"/>
  <c r="D1691" i="4"/>
  <c r="C1691" i="4"/>
  <c r="B1691" i="4"/>
  <c r="R1691" i="4" s="1"/>
  <c r="A1691" i="4"/>
  <c r="P1691" i="4" s="1"/>
  <c r="F1690" i="4"/>
  <c r="E1690" i="4"/>
  <c r="D1690" i="4"/>
  <c r="C1690" i="4"/>
  <c r="B1690" i="4"/>
  <c r="A1690" i="4"/>
  <c r="T1690" i="4" s="1"/>
  <c r="F1689" i="4"/>
  <c r="E1689" i="4"/>
  <c r="D1689" i="4"/>
  <c r="C1689" i="4"/>
  <c r="B1689" i="4"/>
  <c r="R1689" i="4" s="1"/>
  <c r="A1689" i="4"/>
  <c r="T1689" i="4" s="1"/>
  <c r="F1688" i="4"/>
  <c r="E1688" i="4"/>
  <c r="D1688" i="4"/>
  <c r="C1688" i="4"/>
  <c r="B1688" i="4"/>
  <c r="S1688" i="4" s="1"/>
  <c r="A1688" i="4"/>
  <c r="U1688" i="4" s="1"/>
  <c r="F1687" i="4"/>
  <c r="E1687" i="4"/>
  <c r="D1687" i="4"/>
  <c r="C1687" i="4"/>
  <c r="B1687" i="4"/>
  <c r="A1687" i="4"/>
  <c r="W1687" i="4" s="1"/>
  <c r="H1686" i="4"/>
  <c r="L1686" i="4" s="1"/>
  <c r="F1686" i="4"/>
  <c r="E1686" i="4"/>
  <c r="D1686" i="4"/>
  <c r="C1686" i="4"/>
  <c r="B1686" i="4"/>
  <c r="S1686" i="4" s="1"/>
  <c r="A1686" i="4"/>
  <c r="Q1685" i="4"/>
  <c r="F1685" i="4"/>
  <c r="E1685" i="4"/>
  <c r="D1685" i="4"/>
  <c r="C1685" i="4"/>
  <c r="B1685" i="4"/>
  <c r="R1685" i="4" s="1"/>
  <c r="A1685" i="4"/>
  <c r="J1685" i="4" s="1"/>
  <c r="S1684" i="4"/>
  <c r="F1684" i="4"/>
  <c r="E1684" i="4"/>
  <c r="D1684" i="4"/>
  <c r="C1684" i="4"/>
  <c r="B1684" i="4"/>
  <c r="R1684" i="4" s="1"/>
  <c r="A1684" i="4"/>
  <c r="U1684" i="4" s="1"/>
  <c r="F1683" i="4"/>
  <c r="E1683" i="4"/>
  <c r="D1683" i="4"/>
  <c r="C1683" i="4"/>
  <c r="B1683" i="4"/>
  <c r="R1683" i="4" s="1"/>
  <c r="A1683" i="4"/>
  <c r="P1683" i="4" s="1"/>
  <c r="F1682" i="4"/>
  <c r="E1682" i="4"/>
  <c r="D1682" i="4"/>
  <c r="C1682" i="4"/>
  <c r="B1682" i="4"/>
  <c r="R1682" i="4" s="1"/>
  <c r="A1682" i="4"/>
  <c r="P1682" i="4" s="1"/>
  <c r="F1681" i="4"/>
  <c r="E1681" i="4"/>
  <c r="D1681" i="4"/>
  <c r="C1681" i="4"/>
  <c r="B1681" i="4"/>
  <c r="R1681" i="4" s="1"/>
  <c r="A1681" i="4"/>
  <c r="F1680" i="4"/>
  <c r="E1680" i="4"/>
  <c r="D1680" i="4"/>
  <c r="C1680" i="4"/>
  <c r="B1680" i="4"/>
  <c r="A1680" i="4"/>
  <c r="U1680" i="4" s="1"/>
  <c r="F1679" i="4"/>
  <c r="E1679" i="4"/>
  <c r="D1679" i="4"/>
  <c r="C1679" i="4"/>
  <c r="B1679" i="4"/>
  <c r="I1679" i="4" s="1"/>
  <c r="A1679" i="4"/>
  <c r="W1679" i="4" s="1"/>
  <c r="F1678" i="4"/>
  <c r="E1678" i="4"/>
  <c r="D1678" i="4"/>
  <c r="C1678" i="4"/>
  <c r="B1678" i="4"/>
  <c r="S1678" i="4" s="1"/>
  <c r="A1678" i="4"/>
  <c r="V1678" i="4" s="1"/>
  <c r="W1677" i="4"/>
  <c r="M1677" i="4"/>
  <c r="F1677" i="4"/>
  <c r="E1677" i="4"/>
  <c r="D1677" i="4"/>
  <c r="C1677" i="4"/>
  <c r="B1677" i="4"/>
  <c r="R1677" i="4" s="1"/>
  <c r="A1677" i="4"/>
  <c r="J1677" i="4" s="1"/>
  <c r="O1676" i="4"/>
  <c r="F1676" i="4"/>
  <c r="E1676" i="4"/>
  <c r="D1676" i="4"/>
  <c r="C1676" i="4"/>
  <c r="B1676" i="4"/>
  <c r="A1676" i="4"/>
  <c r="U1676" i="4" s="1"/>
  <c r="F1675" i="4"/>
  <c r="E1675" i="4"/>
  <c r="D1675" i="4"/>
  <c r="C1675" i="4"/>
  <c r="B1675" i="4"/>
  <c r="S1675" i="4" s="1"/>
  <c r="A1675" i="4"/>
  <c r="P1675" i="4" s="1"/>
  <c r="F1674" i="4"/>
  <c r="E1674" i="4"/>
  <c r="D1674" i="4"/>
  <c r="C1674" i="4"/>
  <c r="B1674" i="4"/>
  <c r="R1674" i="4" s="1"/>
  <c r="A1674" i="4"/>
  <c r="J1674" i="4" s="1"/>
  <c r="F1673" i="4"/>
  <c r="E1673" i="4"/>
  <c r="D1673" i="4"/>
  <c r="C1673" i="4"/>
  <c r="B1673" i="4"/>
  <c r="R1673" i="4" s="1"/>
  <c r="A1673" i="4"/>
  <c r="P1673" i="4" s="1"/>
  <c r="F1672" i="4"/>
  <c r="E1672" i="4"/>
  <c r="D1672" i="4"/>
  <c r="C1672" i="4"/>
  <c r="B1672" i="4"/>
  <c r="R1672" i="4" s="1"/>
  <c r="A1672" i="4"/>
  <c r="U1672" i="4" s="1"/>
  <c r="F1671" i="4"/>
  <c r="E1671" i="4"/>
  <c r="D1671" i="4"/>
  <c r="C1671" i="4"/>
  <c r="B1671" i="4"/>
  <c r="A1671" i="4"/>
  <c r="O1671" i="4" s="1"/>
  <c r="F1670" i="4"/>
  <c r="E1670" i="4"/>
  <c r="D1670" i="4"/>
  <c r="C1670" i="4"/>
  <c r="B1670" i="4"/>
  <c r="S1670" i="4" s="1"/>
  <c r="A1670" i="4"/>
  <c r="V1670" i="4" s="1"/>
  <c r="F1669" i="4"/>
  <c r="E1669" i="4"/>
  <c r="D1669" i="4"/>
  <c r="C1669" i="4"/>
  <c r="B1669" i="4"/>
  <c r="R1669" i="4" s="1"/>
  <c r="A1669" i="4"/>
  <c r="J1669" i="4" s="1"/>
  <c r="F1668" i="4"/>
  <c r="E1668" i="4"/>
  <c r="D1668" i="4"/>
  <c r="C1668" i="4"/>
  <c r="B1668" i="4"/>
  <c r="R1668" i="4" s="1"/>
  <c r="A1668" i="4"/>
  <c r="P1668" i="4" s="1"/>
  <c r="F1667" i="4"/>
  <c r="E1667" i="4"/>
  <c r="D1667" i="4"/>
  <c r="C1667" i="4"/>
  <c r="B1667" i="4"/>
  <c r="A1667" i="4"/>
  <c r="F1666" i="4"/>
  <c r="E1666" i="4"/>
  <c r="D1666" i="4"/>
  <c r="C1666" i="4"/>
  <c r="B1666" i="4"/>
  <c r="A1666" i="4"/>
  <c r="U1666" i="4" s="1"/>
  <c r="H1665" i="4"/>
  <c r="N1665" i="4" s="1"/>
  <c r="F1665" i="4"/>
  <c r="E1665" i="4"/>
  <c r="D1665" i="4"/>
  <c r="C1665" i="4"/>
  <c r="B1665" i="4"/>
  <c r="R1665" i="4" s="1"/>
  <c r="A1665" i="4"/>
  <c r="F1664" i="4"/>
  <c r="E1664" i="4"/>
  <c r="D1664" i="4"/>
  <c r="C1664" i="4"/>
  <c r="B1664" i="4"/>
  <c r="S1664" i="4" s="1"/>
  <c r="A1664" i="4"/>
  <c r="J1664" i="4" s="1"/>
  <c r="F1663" i="4"/>
  <c r="E1663" i="4"/>
  <c r="D1663" i="4"/>
  <c r="C1663" i="4"/>
  <c r="B1663" i="4"/>
  <c r="R1663" i="4" s="1"/>
  <c r="A1663" i="4"/>
  <c r="U1663" i="4" s="1"/>
  <c r="F1662" i="4"/>
  <c r="E1662" i="4"/>
  <c r="D1662" i="4"/>
  <c r="C1662" i="4"/>
  <c r="B1662" i="4"/>
  <c r="S1662" i="4" s="1"/>
  <c r="A1662" i="4"/>
  <c r="T1662" i="4" s="1"/>
  <c r="F1661" i="4"/>
  <c r="E1661" i="4"/>
  <c r="D1661" i="4"/>
  <c r="C1661" i="4"/>
  <c r="B1661" i="4"/>
  <c r="R1661" i="4" s="1"/>
  <c r="A1661" i="4"/>
  <c r="O1660" i="4"/>
  <c r="F1660" i="4"/>
  <c r="E1660" i="4"/>
  <c r="D1660" i="4"/>
  <c r="C1660" i="4"/>
  <c r="B1660" i="4"/>
  <c r="S1660" i="4" s="1"/>
  <c r="A1660" i="4"/>
  <c r="V1660" i="4" s="1"/>
  <c r="J1659" i="4"/>
  <c r="F1659" i="4"/>
  <c r="E1659" i="4"/>
  <c r="D1659" i="4"/>
  <c r="C1659" i="4"/>
  <c r="B1659" i="4"/>
  <c r="H1659" i="4" s="1"/>
  <c r="L1659" i="4" s="1"/>
  <c r="A1659" i="4"/>
  <c r="V1659" i="4" s="1"/>
  <c r="T1658" i="4"/>
  <c r="H1658" i="4"/>
  <c r="N1658" i="4" s="1"/>
  <c r="F1658" i="4"/>
  <c r="E1658" i="4"/>
  <c r="D1658" i="4"/>
  <c r="C1658" i="4"/>
  <c r="B1658" i="4"/>
  <c r="S1658" i="4" s="1"/>
  <c r="A1658" i="4"/>
  <c r="P1658" i="4" s="1"/>
  <c r="F1657" i="4"/>
  <c r="E1657" i="4"/>
  <c r="D1657" i="4"/>
  <c r="C1657" i="4"/>
  <c r="B1657" i="4"/>
  <c r="Q1657" i="4" s="1"/>
  <c r="A1657" i="4"/>
  <c r="V1657" i="4" s="1"/>
  <c r="F1656" i="4"/>
  <c r="E1656" i="4"/>
  <c r="D1656" i="4"/>
  <c r="C1656" i="4"/>
  <c r="B1656" i="4"/>
  <c r="S1656" i="4" s="1"/>
  <c r="A1656" i="4"/>
  <c r="O1656" i="4" s="1"/>
  <c r="F1655" i="4"/>
  <c r="E1655" i="4"/>
  <c r="D1655" i="4"/>
  <c r="C1655" i="4"/>
  <c r="B1655" i="4"/>
  <c r="A1655" i="4"/>
  <c r="T1655" i="4" s="1"/>
  <c r="F1654" i="4"/>
  <c r="E1654" i="4"/>
  <c r="D1654" i="4"/>
  <c r="C1654" i="4"/>
  <c r="B1654" i="4"/>
  <c r="S1654" i="4" s="1"/>
  <c r="A1654" i="4"/>
  <c r="G1654" i="4" s="1"/>
  <c r="F1653" i="4"/>
  <c r="E1653" i="4"/>
  <c r="D1653" i="4"/>
  <c r="C1653" i="4"/>
  <c r="B1653" i="4"/>
  <c r="R1653" i="4" s="1"/>
  <c r="A1653" i="4"/>
  <c r="J1653" i="4" s="1"/>
  <c r="F1652" i="4"/>
  <c r="E1652" i="4"/>
  <c r="D1652" i="4"/>
  <c r="C1652" i="4"/>
  <c r="B1652" i="4"/>
  <c r="S1652" i="4" s="1"/>
  <c r="A1652" i="4"/>
  <c r="O1652" i="4" s="1"/>
  <c r="F1651" i="4"/>
  <c r="E1651" i="4"/>
  <c r="D1651" i="4"/>
  <c r="C1651" i="4"/>
  <c r="B1651" i="4"/>
  <c r="A1651" i="4"/>
  <c r="W1651" i="4" s="1"/>
  <c r="Q1650" i="4"/>
  <c r="F1650" i="4"/>
  <c r="E1650" i="4"/>
  <c r="D1650" i="4"/>
  <c r="C1650" i="4"/>
  <c r="B1650" i="4"/>
  <c r="S1650" i="4" s="1"/>
  <c r="A1650" i="4"/>
  <c r="V1649" i="4"/>
  <c r="F1649" i="4"/>
  <c r="E1649" i="4"/>
  <c r="D1649" i="4"/>
  <c r="C1649" i="4"/>
  <c r="B1649" i="4"/>
  <c r="S1649" i="4" s="1"/>
  <c r="A1649" i="4"/>
  <c r="U1649" i="4" s="1"/>
  <c r="M1648" i="4"/>
  <c r="F1648" i="4"/>
  <c r="E1648" i="4"/>
  <c r="D1648" i="4"/>
  <c r="C1648" i="4"/>
  <c r="B1648" i="4"/>
  <c r="S1648" i="4" s="1"/>
  <c r="A1648" i="4"/>
  <c r="T1648" i="4" s="1"/>
  <c r="I1647" i="4"/>
  <c r="F1647" i="4"/>
  <c r="E1647" i="4"/>
  <c r="D1647" i="4"/>
  <c r="C1647" i="4"/>
  <c r="B1647" i="4"/>
  <c r="S1647" i="4" s="1"/>
  <c r="A1647" i="4"/>
  <c r="K1647" i="4" s="1"/>
  <c r="F1646" i="4"/>
  <c r="E1646" i="4"/>
  <c r="D1646" i="4"/>
  <c r="C1646" i="4"/>
  <c r="B1646" i="4"/>
  <c r="R1646" i="4" s="1"/>
  <c r="A1646" i="4"/>
  <c r="J1646" i="4" s="1"/>
  <c r="F1645" i="4"/>
  <c r="E1645" i="4"/>
  <c r="D1645" i="4"/>
  <c r="C1645" i="4"/>
  <c r="B1645" i="4"/>
  <c r="R1645" i="4" s="1"/>
  <c r="A1645" i="4"/>
  <c r="P1645" i="4" s="1"/>
  <c r="F1644" i="4"/>
  <c r="E1644" i="4"/>
  <c r="D1644" i="4"/>
  <c r="C1644" i="4"/>
  <c r="B1644" i="4"/>
  <c r="H1644" i="4" s="1"/>
  <c r="A1644" i="4"/>
  <c r="F1643" i="4"/>
  <c r="E1643" i="4"/>
  <c r="D1643" i="4"/>
  <c r="C1643" i="4"/>
  <c r="B1643" i="4"/>
  <c r="A1643" i="4"/>
  <c r="W1643" i="4" s="1"/>
  <c r="F1642" i="4"/>
  <c r="E1642" i="4"/>
  <c r="D1642" i="4"/>
  <c r="C1642" i="4"/>
  <c r="B1642" i="4"/>
  <c r="A1642" i="4"/>
  <c r="G1642" i="4" s="1"/>
  <c r="H1641" i="4"/>
  <c r="F1641" i="4"/>
  <c r="E1641" i="4"/>
  <c r="D1641" i="4"/>
  <c r="C1641" i="4"/>
  <c r="B1641" i="4"/>
  <c r="S1641" i="4" s="1"/>
  <c r="A1641" i="4"/>
  <c r="U1641" i="4" s="1"/>
  <c r="F1640" i="4"/>
  <c r="E1640" i="4"/>
  <c r="D1640" i="4"/>
  <c r="C1640" i="4"/>
  <c r="B1640" i="4"/>
  <c r="S1640" i="4" s="1"/>
  <c r="A1640" i="4"/>
  <c r="T1640" i="4" s="1"/>
  <c r="F1639" i="4"/>
  <c r="E1639" i="4"/>
  <c r="D1639" i="4"/>
  <c r="C1639" i="4"/>
  <c r="B1639" i="4"/>
  <c r="A1639" i="4"/>
  <c r="K1639" i="4" s="1"/>
  <c r="F1638" i="4"/>
  <c r="E1638" i="4"/>
  <c r="D1638" i="4"/>
  <c r="C1638" i="4"/>
  <c r="B1638" i="4"/>
  <c r="R1638" i="4" s="1"/>
  <c r="A1638" i="4"/>
  <c r="J1638" i="4" s="1"/>
  <c r="F1637" i="4"/>
  <c r="E1637" i="4"/>
  <c r="D1637" i="4"/>
  <c r="C1637" i="4"/>
  <c r="B1637" i="4"/>
  <c r="R1637" i="4" s="1"/>
  <c r="A1637" i="4"/>
  <c r="P1637" i="4" s="1"/>
  <c r="F1636" i="4"/>
  <c r="E1636" i="4"/>
  <c r="D1636" i="4"/>
  <c r="C1636" i="4"/>
  <c r="B1636" i="4"/>
  <c r="H1636" i="4" s="1"/>
  <c r="A1636" i="4"/>
  <c r="M1635" i="4"/>
  <c r="J1635" i="4"/>
  <c r="F1635" i="4"/>
  <c r="E1635" i="4"/>
  <c r="D1635" i="4"/>
  <c r="C1635" i="4"/>
  <c r="B1635" i="4"/>
  <c r="A1635" i="4"/>
  <c r="W1635" i="4" s="1"/>
  <c r="W1634" i="4"/>
  <c r="G1634" i="4"/>
  <c r="F1634" i="4"/>
  <c r="E1634" i="4"/>
  <c r="D1634" i="4"/>
  <c r="C1634" i="4"/>
  <c r="B1634" i="4"/>
  <c r="S1634" i="4" s="1"/>
  <c r="A1634" i="4"/>
  <c r="I1633" i="4"/>
  <c r="F1633" i="4"/>
  <c r="E1633" i="4"/>
  <c r="D1633" i="4"/>
  <c r="C1633" i="4"/>
  <c r="B1633" i="4"/>
  <c r="S1633" i="4" s="1"/>
  <c r="A1633" i="4"/>
  <c r="U1633" i="4" s="1"/>
  <c r="W1632" i="4"/>
  <c r="I1632" i="4"/>
  <c r="F1632" i="4"/>
  <c r="E1632" i="4"/>
  <c r="D1632" i="4"/>
  <c r="C1632" i="4"/>
  <c r="B1632" i="4"/>
  <c r="S1632" i="4" s="1"/>
  <c r="A1632" i="4"/>
  <c r="G1632" i="4" s="1"/>
  <c r="I1631" i="4"/>
  <c r="F1631" i="4"/>
  <c r="E1631" i="4"/>
  <c r="D1631" i="4"/>
  <c r="C1631" i="4"/>
  <c r="B1631" i="4"/>
  <c r="R1631" i="4" s="1"/>
  <c r="A1631" i="4"/>
  <c r="G1631" i="4" s="1"/>
  <c r="U1630" i="4"/>
  <c r="J1630" i="4"/>
  <c r="F1630" i="4"/>
  <c r="E1630" i="4"/>
  <c r="D1630" i="4"/>
  <c r="C1630" i="4"/>
  <c r="B1630" i="4"/>
  <c r="R1630" i="4" s="1"/>
  <c r="A1630" i="4"/>
  <c r="V1630" i="4" s="1"/>
  <c r="R1629" i="4"/>
  <c r="F1629" i="4"/>
  <c r="E1629" i="4"/>
  <c r="D1629" i="4"/>
  <c r="C1629" i="4"/>
  <c r="B1629" i="4"/>
  <c r="A1629" i="4"/>
  <c r="K1629" i="4" s="1"/>
  <c r="I1628" i="4"/>
  <c r="F1628" i="4"/>
  <c r="E1628" i="4"/>
  <c r="D1628" i="4"/>
  <c r="C1628" i="4"/>
  <c r="B1628" i="4"/>
  <c r="S1628" i="4" s="1"/>
  <c r="A1628" i="4"/>
  <c r="K1628" i="4" s="1"/>
  <c r="F1627" i="4"/>
  <c r="E1627" i="4"/>
  <c r="D1627" i="4"/>
  <c r="C1627" i="4"/>
  <c r="B1627" i="4"/>
  <c r="R1627" i="4" s="1"/>
  <c r="A1627" i="4"/>
  <c r="M1627" i="4" s="1"/>
  <c r="F1626" i="4"/>
  <c r="E1626" i="4"/>
  <c r="D1626" i="4"/>
  <c r="C1626" i="4"/>
  <c r="B1626" i="4"/>
  <c r="I1626" i="4" s="1"/>
  <c r="A1626" i="4"/>
  <c r="J1626" i="4" s="1"/>
  <c r="I1625" i="4"/>
  <c r="F1625" i="4"/>
  <c r="E1625" i="4"/>
  <c r="D1625" i="4"/>
  <c r="C1625" i="4"/>
  <c r="B1625" i="4"/>
  <c r="S1625" i="4" s="1"/>
  <c r="A1625" i="4"/>
  <c r="V1625" i="4" s="1"/>
  <c r="M1624" i="4"/>
  <c r="G1624" i="4"/>
  <c r="F1624" i="4"/>
  <c r="E1624" i="4"/>
  <c r="D1624" i="4"/>
  <c r="C1624" i="4"/>
  <c r="B1624" i="4"/>
  <c r="A1624" i="4"/>
  <c r="T1624" i="4" s="1"/>
  <c r="Q1623" i="4"/>
  <c r="I1623" i="4"/>
  <c r="F1623" i="4"/>
  <c r="E1623" i="4"/>
  <c r="D1623" i="4"/>
  <c r="C1623" i="4"/>
  <c r="B1623" i="4"/>
  <c r="S1623" i="4" s="1"/>
  <c r="A1623" i="4"/>
  <c r="G1623" i="4" s="1"/>
  <c r="F1622" i="4"/>
  <c r="E1622" i="4"/>
  <c r="D1622" i="4"/>
  <c r="C1622" i="4"/>
  <c r="B1622" i="4"/>
  <c r="A1622" i="4"/>
  <c r="G1621" i="4"/>
  <c r="F1621" i="4"/>
  <c r="E1621" i="4"/>
  <c r="D1621" i="4"/>
  <c r="C1621" i="4"/>
  <c r="B1621" i="4"/>
  <c r="R1621" i="4" s="1"/>
  <c r="A1621" i="4"/>
  <c r="O1621" i="4" s="1"/>
  <c r="I1620" i="4"/>
  <c r="F1620" i="4"/>
  <c r="E1620" i="4"/>
  <c r="D1620" i="4"/>
  <c r="C1620" i="4"/>
  <c r="B1620" i="4"/>
  <c r="H1620" i="4" s="1"/>
  <c r="N1620" i="4" s="1"/>
  <c r="A1620" i="4"/>
  <c r="K1620" i="4" s="1"/>
  <c r="J1619" i="4"/>
  <c r="F1619" i="4"/>
  <c r="E1619" i="4"/>
  <c r="D1619" i="4"/>
  <c r="C1619" i="4"/>
  <c r="B1619" i="4"/>
  <c r="S1619" i="4" s="1"/>
  <c r="A1619" i="4"/>
  <c r="W1619" i="4" s="1"/>
  <c r="F1618" i="4"/>
  <c r="E1618" i="4"/>
  <c r="D1618" i="4"/>
  <c r="C1618" i="4"/>
  <c r="B1618" i="4"/>
  <c r="R1618" i="4" s="1"/>
  <c r="A1618" i="4"/>
  <c r="J1618" i="4" s="1"/>
  <c r="F1617" i="4"/>
  <c r="E1617" i="4"/>
  <c r="D1617" i="4"/>
  <c r="C1617" i="4"/>
  <c r="B1617" i="4"/>
  <c r="S1617" i="4" s="1"/>
  <c r="A1617" i="4"/>
  <c r="F1616" i="4"/>
  <c r="E1616" i="4"/>
  <c r="D1616" i="4"/>
  <c r="C1616" i="4"/>
  <c r="B1616" i="4"/>
  <c r="S1616" i="4" s="1"/>
  <c r="A1616" i="4"/>
  <c r="T1616" i="4" s="1"/>
  <c r="I1615" i="4"/>
  <c r="F1615" i="4"/>
  <c r="E1615" i="4"/>
  <c r="D1615" i="4"/>
  <c r="C1615" i="4"/>
  <c r="B1615" i="4"/>
  <c r="S1615" i="4" s="1"/>
  <c r="A1615" i="4"/>
  <c r="K1615" i="4" s="1"/>
  <c r="U1614" i="4"/>
  <c r="F1614" i="4"/>
  <c r="E1614" i="4"/>
  <c r="D1614" i="4"/>
  <c r="C1614" i="4"/>
  <c r="B1614" i="4"/>
  <c r="R1614" i="4" s="1"/>
  <c r="A1614" i="4"/>
  <c r="K1613" i="4"/>
  <c r="F1613" i="4"/>
  <c r="E1613" i="4"/>
  <c r="D1613" i="4"/>
  <c r="C1613" i="4"/>
  <c r="B1613" i="4"/>
  <c r="R1613" i="4" s="1"/>
  <c r="A1613" i="4"/>
  <c r="F1612" i="4"/>
  <c r="E1612" i="4"/>
  <c r="D1612" i="4"/>
  <c r="C1612" i="4"/>
  <c r="B1612" i="4"/>
  <c r="A1612" i="4"/>
  <c r="F1611" i="4"/>
  <c r="E1611" i="4"/>
  <c r="D1611" i="4"/>
  <c r="C1611" i="4"/>
  <c r="B1611" i="4"/>
  <c r="H1611" i="4" s="1"/>
  <c r="A1611" i="4"/>
  <c r="W1611" i="4" s="1"/>
  <c r="F1610" i="4"/>
  <c r="E1610" i="4"/>
  <c r="D1610" i="4"/>
  <c r="C1610" i="4"/>
  <c r="B1610" i="4"/>
  <c r="H1610" i="4" s="1"/>
  <c r="A1610" i="4"/>
  <c r="W1610" i="4" s="1"/>
  <c r="I1609" i="4"/>
  <c r="F1609" i="4"/>
  <c r="E1609" i="4"/>
  <c r="D1609" i="4"/>
  <c r="C1609" i="4"/>
  <c r="B1609" i="4"/>
  <c r="S1609" i="4" s="1"/>
  <c r="A1609" i="4"/>
  <c r="P1609" i="4" s="1"/>
  <c r="I1608" i="4"/>
  <c r="F1608" i="4"/>
  <c r="E1608" i="4"/>
  <c r="D1608" i="4"/>
  <c r="C1608" i="4"/>
  <c r="B1608" i="4"/>
  <c r="S1608" i="4" s="1"/>
  <c r="A1608" i="4"/>
  <c r="H1607" i="4"/>
  <c r="N1607" i="4" s="1"/>
  <c r="F1607" i="4"/>
  <c r="E1607" i="4"/>
  <c r="D1607" i="4"/>
  <c r="C1607" i="4"/>
  <c r="B1607" i="4"/>
  <c r="S1607" i="4" s="1"/>
  <c r="A1607" i="4"/>
  <c r="K1607" i="4" s="1"/>
  <c r="O1606" i="4"/>
  <c r="H1606" i="4"/>
  <c r="L1606" i="4" s="1"/>
  <c r="F1606" i="4"/>
  <c r="E1606" i="4"/>
  <c r="D1606" i="4"/>
  <c r="C1606" i="4"/>
  <c r="B1606" i="4"/>
  <c r="R1606" i="4" s="1"/>
  <c r="A1606" i="4"/>
  <c r="J1606" i="4" s="1"/>
  <c r="T1605" i="4"/>
  <c r="P1605" i="4"/>
  <c r="F1605" i="4"/>
  <c r="E1605" i="4"/>
  <c r="D1605" i="4"/>
  <c r="C1605" i="4"/>
  <c r="B1605" i="4"/>
  <c r="R1605" i="4" s="1"/>
  <c r="A1605" i="4"/>
  <c r="O1605" i="4" s="1"/>
  <c r="F1604" i="4"/>
  <c r="E1604" i="4"/>
  <c r="D1604" i="4"/>
  <c r="C1604" i="4"/>
  <c r="B1604" i="4"/>
  <c r="H1604" i="4" s="1"/>
  <c r="N1604" i="4" s="1"/>
  <c r="A1604" i="4"/>
  <c r="R1603" i="4"/>
  <c r="F1603" i="4"/>
  <c r="E1603" i="4"/>
  <c r="D1603" i="4"/>
  <c r="C1603" i="4"/>
  <c r="B1603" i="4"/>
  <c r="S1603" i="4" s="1"/>
  <c r="A1603" i="4"/>
  <c r="W1603" i="4" s="1"/>
  <c r="F1602" i="4"/>
  <c r="E1602" i="4"/>
  <c r="D1602" i="4"/>
  <c r="C1602" i="4"/>
  <c r="B1602" i="4"/>
  <c r="A1602" i="4"/>
  <c r="W1602" i="4" s="1"/>
  <c r="F1601" i="4"/>
  <c r="E1601" i="4"/>
  <c r="D1601" i="4"/>
  <c r="C1601" i="4"/>
  <c r="B1601" i="4"/>
  <c r="S1601" i="4" s="1"/>
  <c r="A1601" i="4"/>
  <c r="V1601" i="4" s="1"/>
  <c r="F1600" i="4"/>
  <c r="E1600" i="4"/>
  <c r="D1600" i="4"/>
  <c r="C1600" i="4"/>
  <c r="B1600" i="4"/>
  <c r="S1600" i="4" s="1"/>
  <c r="A1600" i="4"/>
  <c r="F1599" i="4"/>
  <c r="E1599" i="4"/>
  <c r="D1599" i="4"/>
  <c r="C1599" i="4"/>
  <c r="B1599" i="4"/>
  <c r="S1599" i="4" s="1"/>
  <c r="A1599" i="4"/>
  <c r="K1599" i="4" s="1"/>
  <c r="W1598" i="4"/>
  <c r="F1598" i="4"/>
  <c r="E1598" i="4"/>
  <c r="D1598" i="4"/>
  <c r="C1598" i="4"/>
  <c r="B1598" i="4"/>
  <c r="R1598" i="4" s="1"/>
  <c r="A1598" i="4"/>
  <c r="J1598" i="4" s="1"/>
  <c r="O1597" i="4"/>
  <c r="G1597" i="4"/>
  <c r="F1597" i="4"/>
  <c r="E1597" i="4"/>
  <c r="D1597" i="4"/>
  <c r="C1597" i="4"/>
  <c r="B1597" i="4"/>
  <c r="R1597" i="4" s="1"/>
  <c r="A1597" i="4"/>
  <c r="P1597" i="4" s="1"/>
  <c r="U1596" i="4"/>
  <c r="F1596" i="4"/>
  <c r="E1596" i="4"/>
  <c r="D1596" i="4"/>
  <c r="C1596" i="4"/>
  <c r="B1596" i="4"/>
  <c r="H1596" i="4" s="1"/>
  <c r="N1596" i="4" s="1"/>
  <c r="A1596" i="4"/>
  <c r="V1596" i="4" s="1"/>
  <c r="T1595" i="4"/>
  <c r="J1595" i="4"/>
  <c r="F1595" i="4"/>
  <c r="E1595" i="4"/>
  <c r="D1595" i="4"/>
  <c r="C1595" i="4"/>
  <c r="B1595" i="4"/>
  <c r="S1595" i="4" s="1"/>
  <c r="A1595" i="4"/>
  <c r="W1595" i="4" s="1"/>
  <c r="I1594" i="4"/>
  <c r="F1594" i="4"/>
  <c r="E1594" i="4"/>
  <c r="D1594" i="4"/>
  <c r="C1594" i="4"/>
  <c r="B1594" i="4"/>
  <c r="H1594" i="4" s="1"/>
  <c r="N1594" i="4" s="1"/>
  <c r="A1594" i="4"/>
  <c r="G1594" i="4" s="1"/>
  <c r="F1593" i="4"/>
  <c r="E1593" i="4"/>
  <c r="D1593" i="4"/>
  <c r="C1593" i="4"/>
  <c r="B1593" i="4"/>
  <c r="Q1593" i="4" s="1"/>
  <c r="A1593" i="4"/>
  <c r="F1592" i="4"/>
  <c r="E1592" i="4"/>
  <c r="D1592" i="4"/>
  <c r="C1592" i="4"/>
  <c r="B1592" i="4"/>
  <c r="S1592" i="4" s="1"/>
  <c r="A1592" i="4"/>
  <c r="F1591" i="4"/>
  <c r="E1591" i="4"/>
  <c r="D1591" i="4"/>
  <c r="C1591" i="4"/>
  <c r="B1591" i="4"/>
  <c r="S1591" i="4" s="1"/>
  <c r="A1591" i="4"/>
  <c r="V1591" i="4" s="1"/>
  <c r="I1590" i="4"/>
  <c r="F1590" i="4"/>
  <c r="E1590" i="4"/>
  <c r="D1590" i="4"/>
  <c r="C1590" i="4"/>
  <c r="B1590" i="4"/>
  <c r="R1590" i="4" s="1"/>
  <c r="A1590" i="4"/>
  <c r="F1589" i="4"/>
  <c r="E1589" i="4"/>
  <c r="D1589" i="4"/>
  <c r="C1589" i="4"/>
  <c r="B1589" i="4"/>
  <c r="R1589" i="4" s="1"/>
  <c r="A1589" i="4"/>
  <c r="F1588" i="4"/>
  <c r="E1588" i="4"/>
  <c r="D1588" i="4"/>
  <c r="C1588" i="4"/>
  <c r="B1588" i="4"/>
  <c r="H1588" i="4" s="1"/>
  <c r="N1588" i="4" s="1"/>
  <c r="A1588" i="4"/>
  <c r="U1588" i="4" s="1"/>
  <c r="F1587" i="4"/>
  <c r="E1587" i="4"/>
  <c r="D1587" i="4"/>
  <c r="C1587" i="4"/>
  <c r="B1587" i="4"/>
  <c r="H1587" i="4" s="1"/>
  <c r="A1587" i="4"/>
  <c r="W1587" i="4" s="1"/>
  <c r="F1586" i="4"/>
  <c r="E1586" i="4"/>
  <c r="D1586" i="4"/>
  <c r="C1586" i="4"/>
  <c r="B1586" i="4"/>
  <c r="H1586" i="4" s="1"/>
  <c r="N1586" i="4" s="1"/>
  <c r="A1586" i="4"/>
  <c r="J1586" i="4" s="1"/>
  <c r="F1585" i="4"/>
  <c r="E1585" i="4"/>
  <c r="D1585" i="4"/>
  <c r="C1585" i="4"/>
  <c r="B1585" i="4"/>
  <c r="S1585" i="4" s="1"/>
  <c r="A1585" i="4"/>
  <c r="Q1584" i="4"/>
  <c r="H1584" i="4"/>
  <c r="F1584" i="4"/>
  <c r="E1584" i="4"/>
  <c r="D1584" i="4"/>
  <c r="C1584" i="4"/>
  <c r="B1584" i="4"/>
  <c r="S1584" i="4" s="1"/>
  <c r="A1584" i="4"/>
  <c r="T1584" i="4" s="1"/>
  <c r="M1583" i="4"/>
  <c r="J1583" i="4"/>
  <c r="F1583" i="4"/>
  <c r="E1583" i="4"/>
  <c r="D1583" i="4"/>
  <c r="C1583" i="4"/>
  <c r="B1583" i="4"/>
  <c r="A1583" i="4"/>
  <c r="K1583" i="4" s="1"/>
  <c r="Q1582" i="4"/>
  <c r="F1582" i="4"/>
  <c r="E1582" i="4"/>
  <c r="D1582" i="4"/>
  <c r="C1582" i="4"/>
  <c r="B1582" i="4"/>
  <c r="R1582" i="4" s="1"/>
  <c r="A1582" i="4"/>
  <c r="P1582" i="4" s="1"/>
  <c r="H1581" i="4"/>
  <c r="L1581" i="4" s="1"/>
  <c r="F1581" i="4"/>
  <c r="E1581" i="4"/>
  <c r="D1581" i="4"/>
  <c r="C1581" i="4"/>
  <c r="B1581" i="4"/>
  <c r="S1581" i="4" s="1"/>
  <c r="A1581" i="4"/>
  <c r="P1581" i="4" s="1"/>
  <c r="V1580" i="4"/>
  <c r="F1580" i="4"/>
  <c r="E1580" i="4"/>
  <c r="D1580" i="4"/>
  <c r="C1580" i="4"/>
  <c r="B1580" i="4"/>
  <c r="R1580" i="4" s="1"/>
  <c r="A1580" i="4"/>
  <c r="P1580" i="4" s="1"/>
  <c r="F1579" i="4"/>
  <c r="E1579" i="4"/>
  <c r="D1579" i="4"/>
  <c r="C1579" i="4"/>
  <c r="B1579" i="4"/>
  <c r="R1579" i="4" s="1"/>
  <c r="A1579" i="4"/>
  <c r="F1578" i="4"/>
  <c r="E1578" i="4"/>
  <c r="D1578" i="4"/>
  <c r="C1578" i="4"/>
  <c r="B1578" i="4"/>
  <c r="R1578" i="4" s="1"/>
  <c r="A1578" i="4"/>
  <c r="U1577" i="4"/>
  <c r="F1577" i="4"/>
  <c r="E1577" i="4"/>
  <c r="D1577" i="4"/>
  <c r="C1577" i="4"/>
  <c r="B1577" i="4"/>
  <c r="H1577" i="4" s="1"/>
  <c r="A1577" i="4"/>
  <c r="M1577" i="4" s="1"/>
  <c r="G1576" i="4"/>
  <c r="F1576" i="4"/>
  <c r="E1576" i="4"/>
  <c r="D1576" i="4"/>
  <c r="C1576" i="4"/>
  <c r="B1576" i="4"/>
  <c r="R1576" i="4" s="1"/>
  <c r="A1576" i="4"/>
  <c r="W1576" i="4" s="1"/>
  <c r="F1575" i="4"/>
  <c r="E1575" i="4"/>
  <c r="D1575" i="4"/>
  <c r="C1575" i="4"/>
  <c r="B1575" i="4"/>
  <c r="S1575" i="4" s="1"/>
  <c r="A1575" i="4"/>
  <c r="P1575" i="4" s="1"/>
  <c r="H1574" i="4"/>
  <c r="L1574" i="4" s="1"/>
  <c r="F1574" i="4"/>
  <c r="E1574" i="4"/>
  <c r="D1574" i="4"/>
  <c r="C1574" i="4"/>
  <c r="B1574" i="4"/>
  <c r="R1574" i="4" s="1"/>
  <c r="A1574" i="4"/>
  <c r="T1574" i="4" s="1"/>
  <c r="F1573" i="4"/>
  <c r="E1573" i="4"/>
  <c r="D1573" i="4"/>
  <c r="C1573" i="4"/>
  <c r="B1573" i="4"/>
  <c r="R1573" i="4" s="1"/>
  <c r="A1573" i="4"/>
  <c r="U1573" i="4" s="1"/>
  <c r="F1572" i="4"/>
  <c r="E1572" i="4"/>
  <c r="D1572" i="4"/>
  <c r="C1572" i="4"/>
  <c r="B1572" i="4"/>
  <c r="R1572" i="4" s="1"/>
  <c r="A1572" i="4"/>
  <c r="P1572" i="4" s="1"/>
  <c r="F1571" i="4"/>
  <c r="E1571" i="4"/>
  <c r="D1571" i="4"/>
  <c r="C1571" i="4"/>
  <c r="B1571" i="4"/>
  <c r="A1571" i="4"/>
  <c r="P1571" i="4" s="1"/>
  <c r="F1570" i="4"/>
  <c r="E1570" i="4"/>
  <c r="D1570" i="4"/>
  <c r="C1570" i="4"/>
  <c r="B1570" i="4"/>
  <c r="R1570" i="4" s="1"/>
  <c r="A1570" i="4"/>
  <c r="V1569" i="4"/>
  <c r="F1569" i="4"/>
  <c r="E1569" i="4"/>
  <c r="D1569" i="4"/>
  <c r="C1569" i="4"/>
  <c r="B1569" i="4"/>
  <c r="A1569" i="4"/>
  <c r="O1569" i="4" s="1"/>
  <c r="F1568" i="4"/>
  <c r="E1568" i="4"/>
  <c r="D1568" i="4"/>
  <c r="C1568" i="4"/>
  <c r="B1568" i="4"/>
  <c r="R1568" i="4" s="1"/>
  <c r="A1568" i="4"/>
  <c r="G1568" i="4" s="1"/>
  <c r="F1567" i="4"/>
  <c r="E1567" i="4"/>
  <c r="D1567" i="4"/>
  <c r="C1567" i="4"/>
  <c r="B1567" i="4"/>
  <c r="S1567" i="4" s="1"/>
  <c r="A1567" i="4"/>
  <c r="U1567" i="4" s="1"/>
  <c r="F1566" i="4"/>
  <c r="E1566" i="4"/>
  <c r="D1566" i="4"/>
  <c r="C1566" i="4"/>
  <c r="B1566" i="4"/>
  <c r="R1566" i="4" s="1"/>
  <c r="A1566" i="4"/>
  <c r="T1566" i="4" s="1"/>
  <c r="K1565" i="4"/>
  <c r="F1565" i="4"/>
  <c r="E1565" i="4"/>
  <c r="D1565" i="4"/>
  <c r="C1565" i="4"/>
  <c r="B1565" i="4"/>
  <c r="R1565" i="4" s="1"/>
  <c r="A1565" i="4"/>
  <c r="U1565" i="4" s="1"/>
  <c r="V1564" i="4"/>
  <c r="F1564" i="4"/>
  <c r="E1564" i="4"/>
  <c r="D1564" i="4"/>
  <c r="C1564" i="4"/>
  <c r="B1564" i="4"/>
  <c r="R1564" i="4" s="1"/>
  <c r="A1564" i="4"/>
  <c r="P1564" i="4" s="1"/>
  <c r="T1563" i="4"/>
  <c r="F1563" i="4"/>
  <c r="E1563" i="4"/>
  <c r="D1563" i="4"/>
  <c r="C1563" i="4"/>
  <c r="B1563" i="4"/>
  <c r="A1563" i="4"/>
  <c r="F1562" i="4"/>
  <c r="E1562" i="4"/>
  <c r="D1562" i="4"/>
  <c r="C1562" i="4"/>
  <c r="B1562" i="4"/>
  <c r="R1562" i="4" s="1"/>
  <c r="A1562" i="4"/>
  <c r="M1561" i="4"/>
  <c r="F1561" i="4"/>
  <c r="E1561" i="4"/>
  <c r="D1561" i="4"/>
  <c r="C1561" i="4"/>
  <c r="B1561" i="4"/>
  <c r="H1561" i="4" s="1"/>
  <c r="A1561" i="4"/>
  <c r="O1561" i="4" s="1"/>
  <c r="F1560" i="4"/>
  <c r="E1560" i="4"/>
  <c r="D1560" i="4"/>
  <c r="C1560" i="4"/>
  <c r="B1560" i="4"/>
  <c r="R1560" i="4" s="1"/>
  <c r="A1560" i="4"/>
  <c r="G1560" i="4" s="1"/>
  <c r="F1559" i="4"/>
  <c r="E1559" i="4"/>
  <c r="D1559" i="4"/>
  <c r="C1559" i="4"/>
  <c r="B1559" i="4"/>
  <c r="S1559" i="4" s="1"/>
  <c r="A1559" i="4"/>
  <c r="U1559" i="4" s="1"/>
  <c r="F1558" i="4"/>
  <c r="E1558" i="4"/>
  <c r="D1558" i="4"/>
  <c r="C1558" i="4"/>
  <c r="B1558" i="4"/>
  <c r="R1558" i="4" s="1"/>
  <c r="A1558" i="4"/>
  <c r="T1558" i="4" s="1"/>
  <c r="F1557" i="4"/>
  <c r="E1557" i="4"/>
  <c r="D1557" i="4"/>
  <c r="C1557" i="4"/>
  <c r="B1557" i="4"/>
  <c r="R1557" i="4" s="1"/>
  <c r="A1557" i="4"/>
  <c r="U1557" i="4" s="1"/>
  <c r="F1556" i="4"/>
  <c r="E1556" i="4"/>
  <c r="D1556" i="4"/>
  <c r="C1556" i="4"/>
  <c r="B1556" i="4"/>
  <c r="R1556" i="4" s="1"/>
  <c r="A1556" i="4"/>
  <c r="P1556" i="4" s="1"/>
  <c r="F1555" i="4"/>
  <c r="E1555" i="4"/>
  <c r="D1555" i="4"/>
  <c r="C1555" i="4"/>
  <c r="B1555" i="4"/>
  <c r="A1555" i="4"/>
  <c r="F1554" i="4"/>
  <c r="E1554" i="4"/>
  <c r="D1554" i="4"/>
  <c r="C1554" i="4"/>
  <c r="B1554" i="4"/>
  <c r="R1554" i="4" s="1"/>
  <c r="A1554" i="4"/>
  <c r="T1553" i="4"/>
  <c r="F1553" i="4"/>
  <c r="E1553" i="4"/>
  <c r="D1553" i="4"/>
  <c r="C1553" i="4"/>
  <c r="B1553" i="4"/>
  <c r="A1553" i="4"/>
  <c r="U1553" i="4" s="1"/>
  <c r="F1552" i="4"/>
  <c r="E1552" i="4"/>
  <c r="D1552" i="4"/>
  <c r="C1552" i="4"/>
  <c r="B1552" i="4"/>
  <c r="R1552" i="4" s="1"/>
  <c r="A1552" i="4"/>
  <c r="G1552" i="4" s="1"/>
  <c r="F1551" i="4"/>
  <c r="E1551" i="4"/>
  <c r="D1551" i="4"/>
  <c r="C1551" i="4"/>
  <c r="B1551" i="4"/>
  <c r="S1551" i="4" s="1"/>
  <c r="A1551" i="4"/>
  <c r="P1551" i="4" s="1"/>
  <c r="F1550" i="4"/>
  <c r="E1550" i="4"/>
  <c r="D1550" i="4"/>
  <c r="C1550" i="4"/>
  <c r="B1550" i="4"/>
  <c r="R1550" i="4" s="1"/>
  <c r="A1550" i="4"/>
  <c r="T1550" i="4" s="1"/>
  <c r="F1549" i="4"/>
  <c r="E1549" i="4"/>
  <c r="D1549" i="4"/>
  <c r="C1549" i="4"/>
  <c r="B1549" i="4"/>
  <c r="R1549" i="4" s="1"/>
  <c r="A1549" i="4"/>
  <c r="U1549" i="4" s="1"/>
  <c r="M1548" i="4"/>
  <c r="F1548" i="4"/>
  <c r="E1548" i="4"/>
  <c r="D1548" i="4"/>
  <c r="C1548" i="4"/>
  <c r="B1548" i="4"/>
  <c r="R1548" i="4" s="1"/>
  <c r="A1548" i="4"/>
  <c r="P1548" i="4" s="1"/>
  <c r="F1547" i="4"/>
  <c r="E1547" i="4"/>
  <c r="D1547" i="4"/>
  <c r="C1547" i="4"/>
  <c r="B1547" i="4"/>
  <c r="A1547" i="4"/>
  <c r="P1547" i="4" s="1"/>
  <c r="F1546" i="4"/>
  <c r="E1546" i="4"/>
  <c r="D1546" i="4"/>
  <c r="C1546" i="4"/>
  <c r="B1546" i="4"/>
  <c r="R1546" i="4" s="1"/>
  <c r="A1546" i="4"/>
  <c r="P1545" i="4"/>
  <c r="F1545" i="4"/>
  <c r="E1545" i="4"/>
  <c r="D1545" i="4"/>
  <c r="C1545" i="4"/>
  <c r="B1545" i="4"/>
  <c r="H1545" i="4" s="1"/>
  <c r="A1545" i="4"/>
  <c r="U1545" i="4" s="1"/>
  <c r="F1544" i="4"/>
  <c r="E1544" i="4"/>
  <c r="D1544" i="4"/>
  <c r="C1544" i="4"/>
  <c r="B1544" i="4"/>
  <c r="S1544" i="4" s="1"/>
  <c r="A1544" i="4"/>
  <c r="G1544" i="4" s="1"/>
  <c r="F1543" i="4"/>
  <c r="E1543" i="4"/>
  <c r="D1543" i="4"/>
  <c r="C1543" i="4"/>
  <c r="B1543" i="4"/>
  <c r="S1543" i="4" s="1"/>
  <c r="A1543" i="4"/>
  <c r="U1543" i="4" s="1"/>
  <c r="H1542" i="4"/>
  <c r="L1542" i="4" s="1"/>
  <c r="F1542" i="4"/>
  <c r="E1542" i="4"/>
  <c r="D1542" i="4"/>
  <c r="C1542" i="4"/>
  <c r="B1542" i="4"/>
  <c r="R1542" i="4" s="1"/>
  <c r="A1542" i="4"/>
  <c r="O1542" i="4" s="1"/>
  <c r="P1541" i="4"/>
  <c r="F1541" i="4"/>
  <c r="E1541" i="4"/>
  <c r="D1541" i="4"/>
  <c r="C1541" i="4"/>
  <c r="B1541" i="4"/>
  <c r="A1541" i="4"/>
  <c r="J1541" i="4" s="1"/>
  <c r="U1540" i="4"/>
  <c r="J1540" i="4"/>
  <c r="F1540" i="4"/>
  <c r="E1540" i="4"/>
  <c r="D1540" i="4"/>
  <c r="C1540" i="4"/>
  <c r="B1540" i="4"/>
  <c r="R1540" i="4" s="1"/>
  <c r="A1540" i="4"/>
  <c r="P1540" i="4" s="1"/>
  <c r="F1539" i="4"/>
  <c r="E1539" i="4"/>
  <c r="D1539" i="4"/>
  <c r="C1539" i="4"/>
  <c r="B1539" i="4"/>
  <c r="A1539" i="4"/>
  <c r="P1539" i="4" s="1"/>
  <c r="F1538" i="4"/>
  <c r="E1538" i="4"/>
  <c r="D1538" i="4"/>
  <c r="C1538" i="4"/>
  <c r="B1538" i="4"/>
  <c r="R1538" i="4" s="1"/>
  <c r="A1538" i="4"/>
  <c r="J1537" i="4"/>
  <c r="F1537" i="4"/>
  <c r="E1537" i="4"/>
  <c r="D1537" i="4"/>
  <c r="C1537" i="4"/>
  <c r="B1537" i="4"/>
  <c r="H1537" i="4" s="1"/>
  <c r="A1537" i="4"/>
  <c r="F1536" i="4"/>
  <c r="E1536" i="4"/>
  <c r="D1536" i="4"/>
  <c r="C1536" i="4"/>
  <c r="B1536" i="4"/>
  <c r="R1536" i="4" s="1"/>
  <c r="A1536" i="4"/>
  <c r="G1536" i="4" s="1"/>
  <c r="F1535" i="4"/>
  <c r="E1535" i="4"/>
  <c r="D1535" i="4"/>
  <c r="C1535" i="4"/>
  <c r="B1535" i="4"/>
  <c r="A1535" i="4"/>
  <c r="U1535" i="4" s="1"/>
  <c r="F1534" i="4"/>
  <c r="E1534" i="4"/>
  <c r="D1534" i="4"/>
  <c r="C1534" i="4"/>
  <c r="B1534" i="4"/>
  <c r="A1534" i="4"/>
  <c r="K1533" i="4"/>
  <c r="G1533" i="4"/>
  <c r="F1533" i="4"/>
  <c r="E1533" i="4"/>
  <c r="D1533" i="4"/>
  <c r="C1533" i="4"/>
  <c r="B1533" i="4"/>
  <c r="A1533" i="4"/>
  <c r="U1533" i="4" s="1"/>
  <c r="K1532" i="4"/>
  <c r="F1532" i="4"/>
  <c r="E1532" i="4"/>
  <c r="D1532" i="4"/>
  <c r="C1532" i="4"/>
  <c r="B1532" i="4"/>
  <c r="A1532" i="4"/>
  <c r="O1532" i="4" s="1"/>
  <c r="U1531" i="4"/>
  <c r="F1531" i="4"/>
  <c r="E1531" i="4"/>
  <c r="D1531" i="4"/>
  <c r="C1531" i="4"/>
  <c r="B1531" i="4"/>
  <c r="A1531" i="4"/>
  <c r="P1531" i="4" s="1"/>
  <c r="F1530" i="4"/>
  <c r="E1530" i="4"/>
  <c r="D1530" i="4"/>
  <c r="C1530" i="4"/>
  <c r="B1530" i="4"/>
  <c r="Q1530" i="4" s="1"/>
  <c r="A1530" i="4"/>
  <c r="U1530" i="4" s="1"/>
  <c r="W1529" i="4"/>
  <c r="G1529" i="4"/>
  <c r="F1529" i="4"/>
  <c r="E1529" i="4"/>
  <c r="D1529" i="4"/>
  <c r="C1529" i="4"/>
  <c r="B1529" i="4"/>
  <c r="H1529" i="4" s="1"/>
  <c r="A1529" i="4"/>
  <c r="U1529" i="4" s="1"/>
  <c r="S1528" i="4"/>
  <c r="I1528" i="4"/>
  <c r="F1528" i="4"/>
  <c r="E1528" i="4"/>
  <c r="D1528" i="4"/>
  <c r="C1528" i="4"/>
  <c r="B1528" i="4"/>
  <c r="R1528" i="4" s="1"/>
  <c r="A1528" i="4"/>
  <c r="O1528" i="4" s="1"/>
  <c r="F1527" i="4"/>
  <c r="E1527" i="4"/>
  <c r="D1527" i="4"/>
  <c r="C1527" i="4"/>
  <c r="B1527" i="4"/>
  <c r="A1527" i="4"/>
  <c r="U1527" i="4" s="1"/>
  <c r="F1526" i="4"/>
  <c r="E1526" i="4"/>
  <c r="D1526" i="4"/>
  <c r="C1526" i="4"/>
  <c r="B1526" i="4"/>
  <c r="R1526" i="4" s="1"/>
  <c r="A1526" i="4"/>
  <c r="G1526" i="4" s="1"/>
  <c r="F1525" i="4"/>
  <c r="E1525" i="4"/>
  <c r="D1525" i="4"/>
  <c r="C1525" i="4"/>
  <c r="B1525" i="4"/>
  <c r="A1525" i="4"/>
  <c r="U1525" i="4" s="1"/>
  <c r="S1524" i="4"/>
  <c r="F1524" i="4"/>
  <c r="E1524" i="4"/>
  <c r="D1524" i="4"/>
  <c r="C1524" i="4"/>
  <c r="B1524" i="4"/>
  <c r="R1524" i="4" s="1"/>
  <c r="A1524" i="4"/>
  <c r="P1524" i="4" s="1"/>
  <c r="F1523" i="4"/>
  <c r="E1523" i="4"/>
  <c r="D1523" i="4"/>
  <c r="C1523" i="4"/>
  <c r="B1523" i="4"/>
  <c r="A1523" i="4"/>
  <c r="P1523" i="4" s="1"/>
  <c r="F1522" i="4"/>
  <c r="E1522" i="4"/>
  <c r="D1522" i="4"/>
  <c r="C1522" i="4"/>
  <c r="B1522" i="4"/>
  <c r="R1522" i="4" s="1"/>
  <c r="A1522" i="4"/>
  <c r="U1522" i="4" s="1"/>
  <c r="F1521" i="4"/>
  <c r="E1521" i="4"/>
  <c r="D1521" i="4"/>
  <c r="C1521" i="4"/>
  <c r="B1521" i="4"/>
  <c r="S1521" i="4" s="1"/>
  <c r="A1521" i="4"/>
  <c r="P1521" i="4" s="1"/>
  <c r="F1520" i="4"/>
  <c r="E1520" i="4"/>
  <c r="D1520" i="4"/>
  <c r="C1520" i="4"/>
  <c r="B1520" i="4"/>
  <c r="A1520" i="4"/>
  <c r="G1520" i="4" s="1"/>
  <c r="F1519" i="4"/>
  <c r="E1519" i="4"/>
  <c r="D1519" i="4"/>
  <c r="C1519" i="4"/>
  <c r="B1519" i="4"/>
  <c r="A1519" i="4"/>
  <c r="V1519" i="4" s="1"/>
  <c r="I1518" i="4"/>
  <c r="F1518" i="4"/>
  <c r="E1518" i="4"/>
  <c r="D1518" i="4"/>
  <c r="C1518" i="4"/>
  <c r="B1518" i="4"/>
  <c r="R1518" i="4" s="1"/>
  <c r="A1518" i="4"/>
  <c r="W1518" i="4" s="1"/>
  <c r="G1517" i="4"/>
  <c r="F1517" i="4"/>
  <c r="E1517" i="4"/>
  <c r="D1517" i="4"/>
  <c r="C1517" i="4"/>
  <c r="B1517" i="4"/>
  <c r="R1517" i="4" s="1"/>
  <c r="A1517" i="4"/>
  <c r="U1517" i="4" s="1"/>
  <c r="O1516" i="4"/>
  <c r="F1516" i="4"/>
  <c r="E1516" i="4"/>
  <c r="D1516" i="4"/>
  <c r="C1516" i="4"/>
  <c r="B1516" i="4"/>
  <c r="R1516" i="4" s="1"/>
  <c r="A1516" i="4"/>
  <c r="P1516" i="4" s="1"/>
  <c r="V1515" i="4"/>
  <c r="T1515" i="4"/>
  <c r="F1515" i="4"/>
  <c r="E1515" i="4"/>
  <c r="D1515" i="4"/>
  <c r="C1515" i="4"/>
  <c r="B1515" i="4"/>
  <c r="R1515" i="4" s="1"/>
  <c r="A1515" i="4"/>
  <c r="P1515" i="4" s="1"/>
  <c r="T1514" i="4"/>
  <c r="F1514" i="4"/>
  <c r="E1514" i="4"/>
  <c r="D1514" i="4"/>
  <c r="C1514" i="4"/>
  <c r="B1514" i="4"/>
  <c r="A1514" i="4"/>
  <c r="U1514" i="4" s="1"/>
  <c r="S1513" i="4"/>
  <c r="F1513" i="4"/>
  <c r="E1513" i="4"/>
  <c r="D1513" i="4"/>
  <c r="C1513" i="4"/>
  <c r="B1513" i="4"/>
  <c r="H1513" i="4" s="1"/>
  <c r="A1513" i="4"/>
  <c r="J1513" i="4" s="1"/>
  <c r="F1512" i="4"/>
  <c r="E1512" i="4"/>
  <c r="D1512" i="4"/>
  <c r="C1512" i="4"/>
  <c r="B1512" i="4"/>
  <c r="A1512" i="4"/>
  <c r="W1512" i="4" s="1"/>
  <c r="F1511" i="4"/>
  <c r="E1511" i="4"/>
  <c r="D1511" i="4"/>
  <c r="C1511" i="4"/>
  <c r="B1511" i="4"/>
  <c r="A1511" i="4"/>
  <c r="V1511" i="4" s="1"/>
  <c r="F1510" i="4"/>
  <c r="E1510" i="4"/>
  <c r="D1510" i="4"/>
  <c r="C1510" i="4"/>
  <c r="B1510" i="4"/>
  <c r="H1510" i="4" s="1"/>
  <c r="A1510" i="4"/>
  <c r="F1509" i="4"/>
  <c r="E1509" i="4"/>
  <c r="D1509" i="4"/>
  <c r="C1509" i="4"/>
  <c r="B1509" i="4"/>
  <c r="R1509" i="4" s="1"/>
  <c r="A1509" i="4"/>
  <c r="F1508" i="4"/>
  <c r="E1508" i="4"/>
  <c r="D1508" i="4"/>
  <c r="C1508" i="4"/>
  <c r="B1508" i="4"/>
  <c r="A1508" i="4"/>
  <c r="R1507" i="4"/>
  <c r="F1507" i="4"/>
  <c r="E1507" i="4"/>
  <c r="D1507" i="4"/>
  <c r="C1507" i="4"/>
  <c r="B1507" i="4"/>
  <c r="A1507" i="4"/>
  <c r="P1507" i="4" s="1"/>
  <c r="S1506" i="4"/>
  <c r="F1506" i="4"/>
  <c r="E1506" i="4"/>
  <c r="D1506" i="4"/>
  <c r="C1506" i="4"/>
  <c r="B1506" i="4"/>
  <c r="R1506" i="4" s="1"/>
  <c r="A1506" i="4"/>
  <c r="M1506" i="4" s="1"/>
  <c r="T1505" i="4"/>
  <c r="F1505" i="4"/>
  <c r="E1505" i="4"/>
  <c r="D1505" i="4"/>
  <c r="C1505" i="4"/>
  <c r="B1505" i="4"/>
  <c r="H1505" i="4" s="1"/>
  <c r="A1505" i="4"/>
  <c r="O1505" i="4" s="1"/>
  <c r="J1504" i="4"/>
  <c r="F1504" i="4"/>
  <c r="E1504" i="4"/>
  <c r="D1504" i="4"/>
  <c r="C1504" i="4"/>
  <c r="B1504" i="4"/>
  <c r="A1504" i="4"/>
  <c r="K1504" i="4" s="1"/>
  <c r="J1503" i="4"/>
  <c r="F1503" i="4"/>
  <c r="E1503" i="4"/>
  <c r="D1503" i="4"/>
  <c r="C1503" i="4"/>
  <c r="B1503" i="4"/>
  <c r="A1503" i="4"/>
  <c r="M1503" i="4" s="1"/>
  <c r="F1502" i="4"/>
  <c r="E1502" i="4"/>
  <c r="D1502" i="4"/>
  <c r="C1502" i="4"/>
  <c r="B1502" i="4"/>
  <c r="A1502" i="4"/>
  <c r="F1501" i="4"/>
  <c r="E1501" i="4"/>
  <c r="D1501" i="4"/>
  <c r="C1501" i="4"/>
  <c r="B1501" i="4"/>
  <c r="A1501" i="4"/>
  <c r="U1501" i="4" s="1"/>
  <c r="F1500" i="4"/>
  <c r="E1500" i="4"/>
  <c r="D1500" i="4"/>
  <c r="C1500" i="4"/>
  <c r="B1500" i="4"/>
  <c r="S1500" i="4" s="1"/>
  <c r="A1500" i="4"/>
  <c r="F1499" i="4"/>
  <c r="E1499" i="4"/>
  <c r="D1499" i="4"/>
  <c r="C1499" i="4"/>
  <c r="B1499" i="4"/>
  <c r="I1499" i="4" s="1"/>
  <c r="A1499" i="4"/>
  <c r="V1499" i="4" s="1"/>
  <c r="I1498" i="4"/>
  <c r="F1498" i="4"/>
  <c r="E1498" i="4"/>
  <c r="D1498" i="4"/>
  <c r="C1498" i="4"/>
  <c r="B1498" i="4"/>
  <c r="R1498" i="4" s="1"/>
  <c r="A1498" i="4"/>
  <c r="J1497" i="4"/>
  <c r="F1497" i="4"/>
  <c r="E1497" i="4"/>
  <c r="D1497" i="4"/>
  <c r="C1497" i="4"/>
  <c r="B1497" i="4"/>
  <c r="A1497" i="4"/>
  <c r="U1497" i="4" s="1"/>
  <c r="S1496" i="4"/>
  <c r="F1496" i="4"/>
  <c r="E1496" i="4"/>
  <c r="D1496" i="4"/>
  <c r="C1496" i="4"/>
  <c r="B1496" i="4"/>
  <c r="H1496" i="4" s="1"/>
  <c r="L1496" i="4" s="1"/>
  <c r="A1496" i="4"/>
  <c r="V1496" i="4" s="1"/>
  <c r="U1495" i="4"/>
  <c r="F1495" i="4"/>
  <c r="E1495" i="4"/>
  <c r="D1495" i="4"/>
  <c r="C1495" i="4"/>
  <c r="B1495" i="4"/>
  <c r="S1495" i="4" s="1"/>
  <c r="A1495" i="4"/>
  <c r="V1495" i="4" s="1"/>
  <c r="F1494" i="4"/>
  <c r="E1494" i="4"/>
  <c r="D1494" i="4"/>
  <c r="C1494" i="4"/>
  <c r="B1494" i="4"/>
  <c r="R1494" i="4" s="1"/>
  <c r="A1494" i="4"/>
  <c r="G1494" i="4" s="1"/>
  <c r="F1493" i="4"/>
  <c r="E1493" i="4"/>
  <c r="D1493" i="4"/>
  <c r="C1493" i="4"/>
  <c r="B1493" i="4"/>
  <c r="A1493" i="4"/>
  <c r="U1493" i="4" s="1"/>
  <c r="F1492" i="4"/>
  <c r="E1492" i="4"/>
  <c r="D1492" i="4"/>
  <c r="C1492" i="4"/>
  <c r="B1492" i="4"/>
  <c r="A1492" i="4"/>
  <c r="W1492" i="4" s="1"/>
  <c r="F1491" i="4"/>
  <c r="E1491" i="4"/>
  <c r="D1491" i="4"/>
  <c r="C1491" i="4"/>
  <c r="B1491" i="4"/>
  <c r="S1491" i="4" s="1"/>
  <c r="A1491" i="4"/>
  <c r="T1491" i="4" s="1"/>
  <c r="P1490" i="4"/>
  <c r="F1490" i="4"/>
  <c r="E1490" i="4"/>
  <c r="D1490" i="4"/>
  <c r="C1490" i="4"/>
  <c r="B1490" i="4"/>
  <c r="A1490" i="4"/>
  <c r="G1490" i="4" s="1"/>
  <c r="P1489" i="4"/>
  <c r="F1489" i="4"/>
  <c r="E1489" i="4"/>
  <c r="D1489" i="4"/>
  <c r="C1489" i="4"/>
  <c r="B1489" i="4"/>
  <c r="R1489" i="4" s="1"/>
  <c r="A1489" i="4"/>
  <c r="O1489" i="4" s="1"/>
  <c r="F1488" i="4"/>
  <c r="E1488" i="4"/>
  <c r="D1488" i="4"/>
  <c r="C1488" i="4"/>
  <c r="B1488" i="4"/>
  <c r="H1488" i="4" s="1"/>
  <c r="L1488" i="4" s="1"/>
  <c r="A1488" i="4"/>
  <c r="G1488" i="4" s="1"/>
  <c r="F1487" i="4"/>
  <c r="E1487" i="4"/>
  <c r="D1487" i="4"/>
  <c r="C1487" i="4"/>
  <c r="B1487" i="4"/>
  <c r="S1487" i="4" s="1"/>
  <c r="A1487" i="4"/>
  <c r="J1487" i="4" s="1"/>
  <c r="F1486" i="4"/>
  <c r="E1486" i="4"/>
  <c r="D1486" i="4"/>
  <c r="C1486" i="4"/>
  <c r="B1486" i="4"/>
  <c r="R1486" i="4" s="1"/>
  <c r="A1486" i="4"/>
  <c r="P1486" i="4" s="1"/>
  <c r="F1485" i="4"/>
  <c r="E1485" i="4"/>
  <c r="D1485" i="4"/>
  <c r="C1485" i="4"/>
  <c r="B1485" i="4"/>
  <c r="S1485" i="4" s="1"/>
  <c r="A1485" i="4"/>
  <c r="U1485" i="4" s="1"/>
  <c r="F1484" i="4"/>
  <c r="E1484" i="4"/>
  <c r="D1484" i="4"/>
  <c r="C1484" i="4"/>
  <c r="B1484" i="4"/>
  <c r="A1484" i="4"/>
  <c r="K1484" i="4" s="1"/>
  <c r="F1483" i="4"/>
  <c r="E1483" i="4"/>
  <c r="D1483" i="4"/>
  <c r="C1483" i="4"/>
  <c r="B1483" i="4"/>
  <c r="S1483" i="4" s="1"/>
  <c r="A1483" i="4"/>
  <c r="Q1482" i="4"/>
  <c r="F1482" i="4"/>
  <c r="E1482" i="4"/>
  <c r="D1482" i="4"/>
  <c r="C1482" i="4"/>
  <c r="B1482" i="4"/>
  <c r="R1482" i="4" s="1"/>
  <c r="A1482" i="4"/>
  <c r="P1482" i="4" s="1"/>
  <c r="F1481" i="4"/>
  <c r="E1481" i="4"/>
  <c r="D1481" i="4"/>
  <c r="C1481" i="4"/>
  <c r="B1481" i="4"/>
  <c r="S1481" i="4" s="1"/>
  <c r="A1481" i="4"/>
  <c r="P1481" i="4" s="1"/>
  <c r="F1480" i="4"/>
  <c r="E1480" i="4"/>
  <c r="D1480" i="4"/>
  <c r="C1480" i="4"/>
  <c r="B1480" i="4"/>
  <c r="A1480" i="4"/>
  <c r="K1480" i="4" s="1"/>
  <c r="F1479" i="4"/>
  <c r="E1479" i="4"/>
  <c r="D1479" i="4"/>
  <c r="C1479" i="4"/>
  <c r="B1479" i="4"/>
  <c r="H1479" i="4" s="1"/>
  <c r="L1479" i="4" s="1"/>
  <c r="A1479" i="4"/>
  <c r="P1479" i="4" s="1"/>
  <c r="F1478" i="4"/>
  <c r="E1478" i="4"/>
  <c r="D1478" i="4"/>
  <c r="C1478" i="4"/>
  <c r="B1478" i="4"/>
  <c r="A1478" i="4"/>
  <c r="V1478" i="4" s="1"/>
  <c r="F1477" i="4"/>
  <c r="E1477" i="4"/>
  <c r="D1477" i="4"/>
  <c r="C1477" i="4"/>
  <c r="B1477" i="4"/>
  <c r="Q1477" i="4" s="1"/>
  <c r="A1477" i="4"/>
  <c r="J1477" i="4" s="1"/>
  <c r="H1476" i="4"/>
  <c r="F1476" i="4"/>
  <c r="E1476" i="4"/>
  <c r="D1476" i="4"/>
  <c r="C1476" i="4"/>
  <c r="B1476" i="4"/>
  <c r="S1476" i="4" s="1"/>
  <c r="A1476" i="4"/>
  <c r="I1475" i="4"/>
  <c r="G1475" i="4"/>
  <c r="F1475" i="4"/>
  <c r="E1475" i="4"/>
  <c r="D1475" i="4"/>
  <c r="C1475" i="4"/>
  <c r="B1475" i="4"/>
  <c r="S1475" i="4" s="1"/>
  <c r="A1475" i="4"/>
  <c r="V1475" i="4" s="1"/>
  <c r="O1474" i="4"/>
  <c r="F1474" i="4"/>
  <c r="E1474" i="4"/>
  <c r="D1474" i="4"/>
  <c r="C1474" i="4"/>
  <c r="B1474" i="4"/>
  <c r="A1474" i="4"/>
  <c r="U1474" i="4" s="1"/>
  <c r="F1473" i="4"/>
  <c r="E1473" i="4"/>
  <c r="D1473" i="4"/>
  <c r="C1473" i="4"/>
  <c r="B1473" i="4"/>
  <c r="R1473" i="4" s="1"/>
  <c r="A1473" i="4"/>
  <c r="T1473" i="4" s="1"/>
  <c r="F1472" i="4"/>
  <c r="E1472" i="4"/>
  <c r="D1472" i="4"/>
  <c r="C1472" i="4"/>
  <c r="B1472" i="4"/>
  <c r="S1472" i="4" s="1"/>
  <c r="A1472" i="4"/>
  <c r="M1472" i="4" s="1"/>
  <c r="F1471" i="4"/>
  <c r="E1471" i="4"/>
  <c r="D1471" i="4"/>
  <c r="C1471" i="4"/>
  <c r="B1471" i="4"/>
  <c r="A1471" i="4"/>
  <c r="J1471" i="4" s="1"/>
  <c r="J1470" i="4"/>
  <c r="F1470" i="4"/>
  <c r="E1470" i="4"/>
  <c r="D1470" i="4"/>
  <c r="C1470" i="4"/>
  <c r="B1470" i="4"/>
  <c r="S1470" i="4" s="1"/>
  <c r="A1470" i="4"/>
  <c r="W1470" i="4" s="1"/>
  <c r="F1469" i="4"/>
  <c r="E1469" i="4"/>
  <c r="D1469" i="4"/>
  <c r="C1469" i="4"/>
  <c r="B1469" i="4"/>
  <c r="Q1469" i="4" s="1"/>
  <c r="A1469" i="4"/>
  <c r="J1469" i="4" s="1"/>
  <c r="F1468" i="4"/>
  <c r="E1468" i="4"/>
  <c r="D1468" i="4"/>
  <c r="C1468" i="4"/>
  <c r="B1468" i="4"/>
  <c r="S1468" i="4" s="1"/>
  <c r="A1468" i="4"/>
  <c r="P1467" i="4"/>
  <c r="F1467" i="4"/>
  <c r="E1467" i="4"/>
  <c r="D1467" i="4"/>
  <c r="C1467" i="4"/>
  <c r="B1467" i="4"/>
  <c r="S1467" i="4" s="1"/>
  <c r="A1467" i="4"/>
  <c r="V1467" i="4" s="1"/>
  <c r="I1466" i="4"/>
  <c r="H1466" i="4"/>
  <c r="L1466" i="4" s="1"/>
  <c r="F1466" i="4"/>
  <c r="E1466" i="4"/>
  <c r="D1466" i="4"/>
  <c r="C1466" i="4"/>
  <c r="B1466" i="4"/>
  <c r="S1466" i="4" s="1"/>
  <c r="A1466" i="4"/>
  <c r="U1466" i="4" s="1"/>
  <c r="G1465" i="4"/>
  <c r="F1465" i="4"/>
  <c r="E1465" i="4"/>
  <c r="D1465" i="4"/>
  <c r="C1465" i="4"/>
  <c r="B1465" i="4"/>
  <c r="R1465" i="4" s="1"/>
  <c r="A1465" i="4"/>
  <c r="T1465" i="4" s="1"/>
  <c r="F1464" i="4"/>
  <c r="E1464" i="4"/>
  <c r="D1464" i="4"/>
  <c r="C1464" i="4"/>
  <c r="B1464" i="4"/>
  <c r="S1464" i="4" s="1"/>
  <c r="A1464" i="4"/>
  <c r="T1464" i="4" s="1"/>
  <c r="F1463" i="4"/>
  <c r="E1463" i="4"/>
  <c r="D1463" i="4"/>
  <c r="C1463" i="4"/>
  <c r="B1463" i="4"/>
  <c r="R1463" i="4" s="1"/>
  <c r="A1463" i="4"/>
  <c r="K1463" i="4" s="1"/>
  <c r="F1462" i="4"/>
  <c r="E1462" i="4"/>
  <c r="D1462" i="4"/>
  <c r="C1462" i="4"/>
  <c r="B1462" i="4"/>
  <c r="A1462" i="4"/>
  <c r="W1462" i="4" s="1"/>
  <c r="F1461" i="4"/>
  <c r="E1461" i="4"/>
  <c r="D1461" i="4"/>
  <c r="C1461" i="4"/>
  <c r="B1461" i="4"/>
  <c r="Q1461" i="4" s="1"/>
  <c r="A1461" i="4"/>
  <c r="J1461" i="4" s="1"/>
  <c r="Q1460" i="4"/>
  <c r="I1460" i="4"/>
  <c r="F1460" i="4"/>
  <c r="E1460" i="4"/>
  <c r="D1460" i="4"/>
  <c r="C1460" i="4"/>
  <c r="B1460" i="4"/>
  <c r="S1460" i="4" s="1"/>
  <c r="A1460" i="4"/>
  <c r="F1459" i="4"/>
  <c r="E1459" i="4"/>
  <c r="D1459" i="4"/>
  <c r="C1459" i="4"/>
  <c r="B1459" i="4"/>
  <c r="S1459" i="4" s="1"/>
  <c r="A1459" i="4"/>
  <c r="V1459" i="4" s="1"/>
  <c r="F1458" i="4"/>
  <c r="E1458" i="4"/>
  <c r="D1458" i="4"/>
  <c r="C1458" i="4"/>
  <c r="B1458" i="4"/>
  <c r="S1458" i="4" s="1"/>
  <c r="A1458" i="4"/>
  <c r="F1457" i="4"/>
  <c r="E1457" i="4"/>
  <c r="D1457" i="4"/>
  <c r="C1457" i="4"/>
  <c r="B1457" i="4"/>
  <c r="R1457" i="4" s="1"/>
  <c r="A1457" i="4"/>
  <c r="F1456" i="4"/>
  <c r="E1456" i="4"/>
  <c r="D1456" i="4"/>
  <c r="C1456" i="4"/>
  <c r="B1456" i="4"/>
  <c r="A1456" i="4"/>
  <c r="W1456" i="4" s="1"/>
  <c r="M1455" i="4"/>
  <c r="G1455" i="4"/>
  <c r="F1455" i="4"/>
  <c r="E1455" i="4"/>
  <c r="D1455" i="4"/>
  <c r="C1455" i="4"/>
  <c r="B1455" i="4"/>
  <c r="R1455" i="4" s="1"/>
  <c r="A1455" i="4"/>
  <c r="J1455" i="4" s="1"/>
  <c r="U1454" i="4"/>
  <c r="J1454" i="4"/>
  <c r="F1454" i="4"/>
  <c r="E1454" i="4"/>
  <c r="D1454" i="4"/>
  <c r="C1454" i="4"/>
  <c r="B1454" i="4"/>
  <c r="A1454" i="4"/>
  <c r="W1454" i="4" s="1"/>
  <c r="F1453" i="4"/>
  <c r="E1453" i="4"/>
  <c r="D1453" i="4"/>
  <c r="C1453" i="4"/>
  <c r="B1453" i="4"/>
  <c r="I1453" i="4" s="1"/>
  <c r="A1453" i="4"/>
  <c r="J1453" i="4" s="1"/>
  <c r="F1452" i="4"/>
  <c r="E1452" i="4"/>
  <c r="D1452" i="4"/>
  <c r="C1452" i="4"/>
  <c r="B1452" i="4"/>
  <c r="S1452" i="4" s="1"/>
  <c r="A1452" i="4"/>
  <c r="F1451" i="4"/>
  <c r="E1451" i="4"/>
  <c r="D1451" i="4"/>
  <c r="C1451" i="4"/>
  <c r="B1451" i="4"/>
  <c r="R1451" i="4" s="1"/>
  <c r="A1451" i="4"/>
  <c r="V1451" i="4" s="1"/>
  <c r="G1450" i="4"/>
  <c r="F1450" i="4"/>
  <c r="E1450" i="4"/>
  <c r="D1450" i="4"/>
  <c r="C1450" i="4"/>
  <c r="B1450" i="4"/>
  <c r="S1450" i="4" s="1"/>
  <c r="A1450" i="4"/>
  <c r="U1450" i="4" s="1"/>
  <c r="G1449" i="4"/>
  <c r="F1449" i="4"/>
  <c r="E1449" i="4"/>
  <c r="D1449" i="4"/>
  <c r="C1449" i="4"/>
  <c r="B1449" i="4"/>
  <c r="R1449" i="4" s="1"/>
  <c r="A1449" i="4"/>
  <c r="T1449" i="4" s="1"/>
  <c r="H1448" i="4"/>
  <c r="L1448" i="4" s="1"/>
  <c r="G1448" i="4"/>
  <c r="F1448" i="4"/>
  <c r="E1448" i="4"/>
  <c r="D1448" i="4"/>
  <c r="C1448" i="4"/>
  <c r="B1448" i="4"/>
  <c r="S1448" i="4" s="1"/>
  <c r="A1448" i="4"/>
  <c r="K1448" i="4" s="1"/>
  <c r="F1447" i="4"/>
  <c r="E1447" i="4"/>
  <c r="D1447" i="4"/>
  <c r="C1447" i="4"/>
  <c r="B1447" i="4"/>
  <c r="R1447" i="4" s="1"/>
  <c r="A1447" i="4"/>
  <c r="J1447" i="4" s="1"/>
  <c r="J1446" i="4"/>
  <c r="F1446" i="4"/>
  <c r="E1446" i="4"/>
  <c r="D1446" i="4"/>
  <c r="C1446" i="4"/>
  <c r="B1446" i="4"/>
  <c r="R1446" i="4" s="1"/>
  <c r="A1446" i="4"/>
  <c r="W1446" i="4" s="1"/>
  <c r="F1445" i="4"/>
  <c r="E1445" i="4"/>
  <c r="D1445" i="4"/>
  <c r="C1445" i="4"/>
  <c r="B1445" i="4"/>
  <c r="Q1445" i="4" s="1"/>
  <c r="A1445" i="4"/>
  <c r="J1445" i="4" s="1"/>
  <c r="Q1444" i="4"/>
  <c r="I1444" i="4"/>
  <c r="H1444" i="4"/>
  <c r="F1444" i="4"/>
  <c r="E1444" i="4"/>
  <c r="D1444" i="4"/>
  <c r="C1444" i="4"/>
  <c r="B1444" i="4"/>
  <c r="S1444" i="4" s="1"/>
  <c r="A1444" i="4"/>
  <c r="G1443" i="4"/>
  <c r="F1443" i="4"/>
  <c r="E1443" i="4"/>
  <c r="D1443" i="4"/>
  <c r="C1443" i="4"/>
  <c r="B1443" i="4"/>
  <c r="A1443" i="4"/>
  <c r="V1443" i="4" s="1"/>
  <c r="G1442" i="4"/>
  <c r="F1442" i="4"/>
  <c r="E1442" i="4"/>
  <c r="D1442" i="4"/>
  <c r="C1442" i="4"/>
  <c r="B1442" i="4"/>
  <c r="A1442" i="4"/>
  <c r="U1442" i="4" s="1"/>
  <c r="O1441" i="4"/>
  <c r="G1441" i="4"/>
  <c r="F1441" i="4"/>
  <c r="E1441" i="4"/>
  <c r="D1441" i="4"/>
  <c r="C1441" i="4"/>
  <c r="B1441" i="4"/>
  <c r="Q1441" i="4" s="1"/>
  <c r="A1441" i="4"/>
  <c r="T1441" i="4" s="1"/>
  <c r="V1440" i="4"/>
  <c r="O1440" i="4"/>
  <c r="H1440" i="4"/>
  <c r="L1440" i="4" s="1"/>
  <c r="F1440" i="4"/>
  <c r="E1440" i="4"/>
  <c r="D1440" i="4"/>
  <c r="C1440" i="4"/>
  <c r="B1440" i="4"/>
  <c r="S1440" i="4" s="1"/>
  <c r="A1440" i="4"/>
  <c r="K1440" i="4" s="1"/>
  <c r="Q1439" i="4"/>
  <c r="F1439" i="4"/>
  <c r="E1439" i="4"/>
  <c r="D1439" i="4"/>
  <c r="C1439" i="4"/>
  <c r="B1439" i="4"/>
  <c r="R1439" i="4" s="1"/>
  <c r="A1439" i="4"/>
  <c r="T1439" i="4" s="1"/>
  <c r="T1438" i="4"/>
  <c r="F1438" i="4"/>
  <c r="E1438" i="4"/>
  <c r="D1438" i="4"/>
  <c r="C1438" i="4"/>
  <c r="B1438" i="4"/>
  <c r="A1438" i="4"/>
  <c r="M1438" i="4" s="1"/>
  <c r="F1437" i="4"/>
  <c r="E1437" i="4"/>
  <c r="D1437" i="4"/>
  <c r="C1437" i="4"/>
  <c r="B1437" i="4"/>
  <c r="A1437" i="4"/>
  <c r="J1437" i="4" s="1"/>
  <c r="F1436" i="4"/>
  <c r="E1436" i="4"/>
  <c r="D1436" i="4"/>
  <c r="C1436" i="4"/>
  <c r="B1436" i="4"/>
  <c r="A1436" i="4"/>
  <c r="F1435" i="4"/>
  <c r="E1435" i="4"/>
  <c r="D1435" i="4"/>
  <c r="C1435" i="4"/>
  <c r="B1435" i="4"/>
  <c r="I1435" i="4" s="1"/>
  <c r="A1435" i="4"/>
  <c r="P1435" i="4" s="1"/>
  <c r="F1434" i="4"/>
  <c r="E1434" i="4"/>
  <c r="D1434" i="4"/>
  <c r="C1434" i="4"/>
  <c r="B1434" i="4"/>
  <c r="A1434" i="4"/>
  <c r="F1433" i="4"/>
  <c r="E1433" i="4"/>
  <c r="D1433" i="4"/>
  <c r="C1433" i="4"/>
  <c r="B1433" i="4"/>
  <c r="A1433" i="4"/>
  <c r="T1433" i="4" s="1"/>
  <c r="F1432" i="4"/>
  <c r="E1432" i="4"/>
  <c r="D1432" i="4"/>
  <c r="C1432" i="4"/>
  <c r="B1432" i="4"/>
  <c r="S1432" i="4" s="1"/>
  <c r="A1432" i="4"/>
  <c r="T1432" i="4" s="1"/>
  <c r="F1431" i="4"/>
  <c r="E1431" i="4"/>
  <c r="D1431" i="4"/>
  <c r="C1431" i="4"/>
  <c r="B1431" i="4"/>
  <c r="A1431" i="4"/>
  <c r="J1431" i="4" s="1"/>
  <c r="F1430" i="4"/>
  <c r="E1430" i="4"/>
  <c r="D1430" i="4"/>
  <c r="C1430" i="4"/>
  <c r="B1430" i="4"/>
  <c r="A1430" i="4"/>
  <c r="R1429" i="4"/>
  <c r="F1429" i="4"/>
  <c r="E1429" i="4"/>
  <c r="D1429" i="4"/>
  <c r="C1429" i="4"/>
  <c r="B1429" i="4"/>
  <c r="H1429" i="4" s="1"/>
  <c r="A1429" i="4"/>
  <c r="J1429" i="4" s="1"/>
  <c r="F1428" i="4"/>
  <c r="E1428" i="4"/>
  <c r="D1428" i="4"/>
  <c r="C1428" i="4"/>
  <c r="B1428" i="4"/>
  <c r="S1428" i="4" s="1"/>
  <c r="A1428" i="4"/>
  <c r="P1428" i="4" s="1"/>
  <c r="F1427" i="4"/>
  <c r="E1427" i="4"/>
  <c r="D1427" i="4"/>
  <c r="C1427" i="4"/>
  <c r="B1427" i="4"/>
  <c r="R1427" i="4" s="1"/>
  <c r="A1427" i="4"/>
  <c r="F1426" i="4"/>
  <c r="E1426" i="4"/>
  <c r="D1426" i="4"/>
  <c r="C1426" i="4"/>
  <c r="B1426" i="4"/>
  <c r="S1426" i="4" s="1"/>
  <c r="A1426" i="4"/>
  <c r="U1426" i="4" s="1"/>
  <c r="F1425" i="4"/>
  <c r="E1425" i="4"/>
  <c r="D1425" i="4"/>
  <c r="C1425" i="4"/>
  <c r="B1425" i="4"/>
  <c r="R1425" i="4" s="1"/>
  <c r="A1425" i="4"/>
  <c r="T1425" i="4" s="1"/>
  <c r="F1424" i="4"/>
  <c r="E1424" i="4"/>
  <c r="D1424" i="4"/>
  <c r="C1424" i="4"/>
  <c r="B1424" i="4"/>
  <c r="A1424" i="4"/>
  <c r="K1424" i="4" s="1"/>
  <c r="F1423" i="4"/>
  <c r="E1423" i="4"/>
  <c r="D1423" i="4"/>
  <c r="C1423" i="4"/>
  <c r="B1423" i="4"/>
  <c r="A1423" i="4"/>
  <c r="J1423" i="4" s="1"/>
  <c r="F1422" i="4"/>
  <c r="E1422" i="4"/>
  <c r="D1422" i="4"/>
  <c r="C1422" i="4"/>
  <c r="B1422" i="4"/>
  <c r="A1422" i="4"/>
  <c r="W1422" i="4" s="1"/>
  <c r="F1421" i="4"/>
  <c r="E1421" i="4"/>
  <c r="D1421" i="4"/>
  <c r="C1421" i="4"/>
  <c r="B1421" i="4"/>
  <c r="H1421" i="4" s="1"/>
  <c r="A1421" i="4"/>
  <c r="F1420" i="4"/>
  <c r="E1420" i="4"/>
  <c r="D1420" i="4"/>
  <c r="C1420" i="4"/>
  <c r="B1420" i="4"/>
  <c r="A1420" i="4"/>
  <c r="J1420" i="4" s="1"/>
  <c r="Q1419" i="4"/>
  <c r="H1419" i="4"/>
  <c r="F1419" i="4"/>
  <c r="E1419" i="4"/>
  <c r="D1419" i="4"/>
  <c r="C1419" i="4"/>
  <c r="B1419" i="4"/>
  <c r="R1419" i="4" s="1"/>
  <c r="A1419" i="4"/>
  <c r="O1418" i="4"/>
  <c r="F1418" i="4"/>
  <c r="E1418" i="4"/>
  <c r="D1418" i="4"/>
  <c r="C1418" i="4"/>
  <c r="B1418" i="4"/>
  <c r="H1418" i="4" s="1"/>
  <c r="A1418" i="4"/>
  <c r="U1418" i="4" s="1"/>
  <c r="I1417" i="4"/>
  <c r="F1417" i="4"/>
  <c r="E1417" i="4"/>
  <c r="D1417" i="4"/>
  <c r="C1417" i="4"/>
  <c r="B1417" i="4"/>
  <c r="R1417" i="4" s="1"/>
  <c r="A1417" i="4"/>
  <c r="H1416" i="4"/>
  <c r="N1416" i="4" s="1"/>
  <c r="F1416" i="4"/>
  <c r="E1416" i="4"/>
  <c r="D1416" i="4"/>
  <c r="C1416" i="4"/>
  <c r="B1416" i="4"/>
  <c r="S1416" i="4" s="1"/>
  <c r="A1416" i="4"/>
  <c r="J1416" i="4" s="1"/>
  <c r="F1415" i="4"/>
  <c r="E1415" i="4"/>
  <c r="D1415" i="4"/>
  <c r="C1415" i="4"/>
  <c r="B1415" i="4"/>
  <c r="A1415" i="4"/>
  <c r="J1415" i="4" s="1"/>
  <c r="F1414" i="4"/>
  <c r="E1414" i="4"/>
  <c r="D1414" i="4"/>
  <c r="C1414" i="4"/>
  <c r="B1414" i="4"/>
  <c r="S1414" i="4" s="1"/>
  <c r="A1414" i="4"/>
  <c r="M1414" i="4" s="1"/>
  <c r="F1413" i="4"/>
  <c r="E1413" i="4"/>
  <c r="D1413" i="4"/>
  <c r="C1413" i="4"/>
  <c r="B1413" i="4"/>
  <c r="H1413" i="4" s="1"/>
  <c r="N1413" i="4" s="1"/>
  <c r="A1413" i="4"/>
  <c r="U1413" i="4" s="1"/>
  <c r="F1412" i="4"/>
  <c r="E1412" i="4"/>
  <c r="D1412" i="4"/>
  <c r="C1412" i="4"/>
  <c r="B1412" i="4"/>
  <c r="I1412" i="4" s="1"/>
  <c r="A1412" i="4"/>
  <c r="T1412" i="4" s="1"/>
  <c r="R1411" i="4"/>
  <c r="F1411" i="4"/>
  <c r="E1411" i="4"/>
  <c r="D1411" i="4"/>
  <c r="C1411" i="4"/>
  <c r="B1411" i="4"/>
  <c r="I1411" i="4" s="1"/>
  <c r="A1411" i="4"/>
  <c r="O1411" i="4" s="1"/>
  <c r="F1410" i="4"/>
  <c r="E1410" i="4"/>
  <c r="D1410" i="4"/>
  <c r="C1410" i="4"/>
  <c r="B1410" i="4"/>
  <c r="S1410" i="4" s="1"/>
  <c r="A1410" i="4"/>
  <c r="G1410" i="4" s="1"/>
  <c r="F1409" i="4"/>
  <c r="E1409" i="4"/>
  <c r="D1409" i="4"/>
  <c r="C1409" i="4"/>
  <c r="B1409" i="4"/>
  <c r="R1409" i="4" s="1"/>
  <c r="A1409" i="4"/>
  <c r="F1408" i="4"/>
  <c r="E1408" i="4"/>
  <c r="D1408" i="4"/>
  <c r="C1408" i="4"/>
  <c r="B1408" i="4"/>
  <c r="A1408" i="4"/>
  <c r="J1408" i="4" s="1"/>
  <c r="F1407" i="4"/>
  <c r="E1407" i="4"/>
  <c r="D1407" i="4"/>
  <c r="C1407" i="4"/>
  <c r="B1407" i="4"/>
  <c r="A1407" i="4"/>
  <c r="R1406" i="4"/>
  <c r="F1406" i="4"/>
  <c r="E1406" i="4"/>
  <c r="D1406" i="4"/>
  <c r="C1406" i="4"/>
  <c r="B1406" i="4"/>
  <c r="A1406" i="4"/>
  <c r="W1406" i="4" s="1"/>
  <c r="F1405" i="4"/>
  <c r="E1405" i="4"/>
  <c r="D1405" i="4"/>
  <c r="C1405" i="4"/>
  <c r="B1405" i="4"/>
  <c r="H1405" i="4" s="1"/>
  <c r="N1405" i="4" s="1"/>
  <c r="A1405" i="4"/>
  <c r="J1405" i="4" s="1"/>
  <c r="F1404" i="4"/>
  <c r="E1404" i="4"/>
  <c r="D1404" i="4"/>
  <c r="C1404" i="4"/>
  <c r="B1404" i="4"/>
  <c r="R1404" i="4" s="1"/>
  <c r="A1404" i="4"/>
  <c r="F1403" i="4"/>
  <c r="E1403" i="4"/>
  <c r="D1403" i="4"/>
  <c r="C1403" i="4"/>
  <c r="B1403" i="4"/>
  <c r="I1403" i="4" s="1"/>
  <c r="A1403" i="4"/>
  <c r="J1403" i="4" s="1"/>
  <c r="F1402" i="4"/>
  <c r="E1402" i="4"/>
  <c r="D1402" i="4"/>
  <c r="C1402" i="4"/>
  <c r="B1402" i="4"/>
  <c r="I1402" i="4" s="1"/>
  <c r="A1402" i="4"/>
  <c r="J1402" i="4" s="1"/>
  <c r="F1401" i="4"/>
  <c r="E1401" i="4"/>
  <c r="D1401" i="4"/>
  <c r="C1401" i="4"/>
  <c r="B1401" i="4"/>
  <c r="A1401" i="4"/>
  <c r="G1401" i="4" s="1"/>
  <c r="F1400" i="4"/>
  <c r="E1400" i="4"/>
  <c r="D1400" i="4"/>
  <c r="C1400" i="4"/>
  <c r="B1400" i="4"/>
  <c r="A1400" i="4"/>
  <c r="K1400" i="4" s="1"/>
  <c r="F1399" i="4"/>
  <c r="E1399" i="4"/>
  <c r="D1399" i="4"/>
  <c r="C1399" i="4"/>
  <c r="B1399" i="4"/>
  <c r="R1399" i="4" s="1"/>
  <c r="A1399" i="4"/>
  <c r="V1399" i="4" s="1"/>
  <c r="F1398" i="4"/>
  <c r="E1398" i="4"/>
  <c r="D1398" i="4"/>
  <c r="C1398" i="4"/>
  <c r="B1398" i="4"/>
  <c r="A1398" i="4"/>
  <c r="W1398" i="4" s="1"/>
  <c r="F1397" i="4"/>
  <c r="E1397" i="4"/>
  <c r="D1397" i="4"/>
  <c r="C1397" i="4"/>
  <c r="B1397" i="4"/>
  <c r="H1397" i="4" s="1"/>
  <c r="N1397" i="4" s="1"/>
  <c r="A1397" i="4"/>
  <c r="F1396" i="4"/>
  <c r="E1396" i="4"/>
  <c r="D1396" i="4"/>
  <c r="C1396" i="4"/>
  <c r="B1396" i="4"/>
  <c r="Q1396" i="4" s="1"/>
  <c r="A1396" i="4"/>
  <c r="T1396" i="4" s="1"/>
  <c r="F1395" i="4"/>
  <c r="E1395" i="4"/>
  <c r="D1395" i="4"/>
  <c r="C1395" i="4"/>
  <c r="B1395" i="4"/>
  <c r="A1395" i="4"/>
  <c r="K1395" i="4" s="1"/>
  <c r="F1394" i="4"/>
  <c r="E1394" i="4"/>
  <c r="D1394" i="4"/>
  <c r="C1394" i="4"/>
  <c r="B1394" i="4"/>
  <c r="Q1394" i="4" s="1"/>
  <c r="A1394" i="4"/>
  <c r="V1394" i="4" s="1"/>
  <c r="F1393" i="4"/>
  <c r="E1393" i="4"/>
  <c r="D1393" i="4"/>
  <c r="C1393" i="4"/>
  <c r="B1393" i="4"/>
  <c r="R1393" i="4" s="1"/>
  <c r="A1393" i="4"/>
  <c r="F1392" i="4"/>
  <c r="E1392" i="4"/>
  <c r="D1392" i="4"/>
  <c r="C1392" i="4"/>
  <c r="B1392" i="4"/>
  <c r="R1392" i="4" s="1"/>
  <c r="A1392" i="4"/>
  <c r="W1392" i="4" s="1"/>
  <c r="F1391" i="4"/>
  <c r="E1391" i="4"/>
  <c r="D1391" i="4"/>
  <c r="C1391" i="4"/>
  <c r="B1391" i="4"/>
  <c r="R1391" i="4" s="1"/>
  <c r="A1391" i="4"/>
  <c r="V1391" i="4" s="1"/>
  <c r="F1390" i="4"/>
  <c r="E1390" i="4"/>
  <c r="D1390" i="4"/>
  <c r="C1390" i="4"/>
  <c r="B1390" i="4"/>
  <c r="A1390" i="4"/>
  <c r="W1390" i="4" s="1"/>
  <c r="F1389" i="4"/>
  <c r="E1389" i="4"/>
  <c r="D1389" i="4"/>
  <c r="C1389" i="4"/>
  <c r="B1389" i="4"/>
  <c r="H1389" i="4" s="1"/>
  <c r="N1389" i="4" s="1"/>
  <c r="A1389" i="4"/>
  <c r="O1389" i="4" s="1"/>
  <c r="F1388" i="4"/>
  <c r="E1388" i="4"/>
  <c r="D1388" i="4"/>
  <c r="C1388" i="4"/>
  <c r="B1388" i="4"/>
  <c r="R1388" i="4" s="1"/>
  <c r="A1388" i="4"/>
  <c r="V1388" i="4" s="1"/>
  <c r="F1387" i="4"/>
  <c r="E1387" i="4"/>
  <c r="D1387" i="4"/>
  <c r="C1387" i="4"/>
  <c r="B1387" i="4"/>
  <c r="Q1387" i="4" s="1"/>
  <c r="A1387" i="4"/>
  <c r="O1387" i="4" s="1"/>
  <c r="F1386" i="4"/>
  <c r="E1386" i="4"/>
  <c r="D1386" i="4"/>
  <c r="C1386" i="4"/>
  <c r="B1386" i="4"/>
  <c r="S1386" i="4" s="1"/>
  <c r="A1386" i="4"/>
  <c r="O1386" i="4" s="1"/>
  <c r="F1385" i="4"/>
  <c r="E1385" i="4"/>
  <c r="D1385" i="4"/>
  <c r="C1385" i="4"/>
  <c r="B1385" i="4"/>
  <c r="R1385" i="4" s="1"/>
  <c r="A1385" i="4"/>
  <c r="W1385" i="4" s="1"/>
  <c r="F1384" i="4"/>
  <c r="E1384" i="4"/>
  <c r="D1384" i="4"/>
  <c r="C1384" i="4"/>
  <c r="B1384" i="4"/>
  <c r="A1384" i="4"/>
  <c r="K1384" i="4" s="1"/>
  <c r="F1383" i="4"/>
  <c r="E1383" i="4"/>
  <c r="D1383" i="4"/>
  <c r="C1383" i="4"/>
  <c r="B1383" i="4"/>
  <c r="R1383" i="4" s="1"/>
  <c r="A1383" i="4"/>
  <c r="K1383" i="4" s="1"/>
  <c r="F1382" i="4"/>
  <c r="E1382" i="4"/>
  <c r="D1382" i="4"/>
  <c r="C1382" i="4"/>
  <c r="B1382" i="4"/>
  <c r="H1382" i="4" s="1"/>
  <c r="L1382" i="4" s="1"/>
  <c r="A1382" i="4"/>
  <c r="W1382" i="4" s="1"/>
  <c r="F1381" i="4"/>
  <c r="E1381" i="4"/>
  <c r="D1381" i="4"/>
  <c r="C1381" i="4"/>
  <c r="B1381" i="4"/>
  <c r="H1381" i="4" s="1"/>
  <c r="N1381" i="4" s="1"/>
  <c r="A1381" i="4"/>
  <c r="K1381" i="4" s="1"/>
  <c r="F1380" i="4"/>
  <c r="E1380" i="4"/>
  <c r="D1380" i="4"/>
  <c r="C1380" i="4"/>
  <c r="B1380" i="4"/>
  <c r="A1380" i="4"/>
  <c r="V1380" i="4" s="1"/>
  <c r="F1379" i="4"/>
  <c r="E1379" i="4"/>
  <c r="D1379" i="4"/>
  <c r="C1379" i="4"/>
  <c r="B1379" i="4"/>
  <c r="A1379" i="4"/>
  <c r="W1379" i="4" s="1"/>
  <c r="F1378" i="4"/>
  <c r="E1378" i="4"/>
  <c r="D1378" i="4"/>
  <c r="C1378" i="4"/>
  <c r="B1378" i="4"/>
  <c r="H1378" i="4" s="1"/>
  <c r="L1378" i="4" s="1"/>
  <c r="A1378" i="4"/>
  <c r="W1378" i="4" s="1"/>
  <c r="F1377" i="4"/>
  <c r="E1377" i="4"/>
  <c r="D1377" i="4"/>
  <c r="C1377" i="4"/>
  <c r="B1377" i="4"/>
  <c r="R1377" i="4" s="1"/>
  <c r="A1377" i="4"/>
  <c r="U1377" i="4" s="1"/>
  <c r="F1376" i="4"/>
  <c r="E1376" i="4"/>
  <c r="D1376" i="4"/>
  <c r="C1376" i="4"/>
  <c r="B1376" i="4"/>
  <c r="A1376" i="4"/>
  <c r="T1376" i="4" s="1"/>
  <c r="F1375" i="4"/>
  <c r="E1375" i="4"/>
  <c r="D1375" i="4"/>
  <c r="C1375" i="4"/>
  <c r="B1375" i="4"/>
  <c r="R1375" i="4" s="1"/>
  <c r="A1375" i="4"/>
  <c r="F1374" i="4"/>
  <c r="E1374" i="4"/>
  <c r="D1374" i="4"/>
  <c r="C1374" i="4"/>
  <c r="B1374" i="4"/>
  <c r="S1374" i="4" s="1"/>
  <c r="A1374" i="4"/>
  <c r="W1374" i="4" s="1"/>
  <c r="F1373" i="4"/>
  <c r="E1373" i="4"/>
  <c r="D1373" i="4"/>
  <c r="C1373" i="4"/>
  <c r="B1373" i="4"/>
  <c r="A1373" i="4"/>
  <c r="K1373" i="4" s="1"/>
  <c r="F1372" i="4"/>
  <c r="E1372" i="4"/>
  <c r="D1372" i="4"/>
  <c r="C1372" i="4"/>
  <c r="B1372" i="4"/>
  <c r="A1372" i="4"/>
  <c r="F1371" i="4"/>
  <c r="E1371" i="4"/>
  <c r="D1371" i="4"/>
  <c r="C1371" i="4"/>
  <c r="B1371" i="4"/>
  <c r="H1371" i="4" s="1"/>
  <c r="A1371" i="4"/>
  <c r="W1371" i="4" s="1"/>
  <c r="F1370" i="4"/>
  <c r="E1370" i="4"/>
  <c r="D1370" i="4"/>
  <c r="C1370" i="4"/>
  <c r="B1370" i="4"/>
  <c r="I1370" i="4" s="1"/>
  <c r="A1370" i="4"/>
  <c r="V1370" i="4" s="1"/>
  <c r="F1369" i="4"/>
  <c r="E1369" i="4"/>
  <c r="D1369" i="4"/>
  <c r="C1369" i="4"/>
  <c r="B1369" i="4"/>
  <c r="R1369" i="4" s="1"/>
  <c r="A1369" i="4"/>
  <c r="U1369" i="4" s="1"/>
  <c r="F1368" i="4"/>
  <c r="E1368" i="4"/>
  <c r="D1368" i="4"/>
  <c r="C1368" i="4"/>
  <c r="B1368" i="4"/>
  <c r="A1368" i="4"/>
  <c r="F1367" i="4"/>
  <c r="E1367" i="4"/>
  <c r="D1367" i="4"/>
  <c r="C1367" i="4"/>
  <c r="B1367" i="4"/>
  <c r="R1367" i="4" s="1"/>
  <c r="A1367" i="4"/>
  <c r="U1367" i="4" s="1"/>
  <c r="F1366" i="4"/>
  <c r="E1366" i="4"/>
  <c r="D1366" i="4"/>
  <c r="C1366" i="4"/>
  <c r="B1366" i="4"/>
  <c r="R1366" i="4" s="1"/>
  <c r="A1366" i="4"/>
  <c r="W1366" i="4" s="1"/>
  <c r="F1365" i="4"/>
  <c r="E1365" i="4"/>
  <c r="D1365" i="4"/>
  <c r="C1365" i="4"/>
  <c r="B1365" i="4"/>
  <c r="Q1365" i="4" s="1"/>
  <c r="A1365" i="4"/>
  <c r="O1365" i="4" s="1"/>
  <c r="F1364" i="4"/>
  <c r="E1364" i="4"/>
  <c r="D1364" i="4"/>
  <c r="C1364" i="4"/>
  <c r="B1364" i="4"/>
  <c r="H1364" i="4" s="1"/>
  <c r="N1364" i="4" s="1"/>
  <c r="A1364" i="4"/>
  <c r="O1364" i="4" s="1"/>
  <c r="F1363" i="4"/>
  <c r="E1363" i="4"/>
  <c r="D1363" i="4"/>
  <c r="C1363" i="4"/>
  <c r="B1363" i="4"/>
  <c r="S1363" i="4" s="1"/>
  <c r="A1363" i="4"/>
  <c r="G1363" i="4" s="1"/>
  <c r="F1362" i="4"/>
  <c r="E1362" i="4"/>
  <c r="D1362" i="4"/>
  <c r="C1362" i="4"/>
  <c r="B1362" i="4"/>
  <c r="A1362" i="4"/>
  <c r="V1362" i="4" s="1"/>
  <c r="F1361" i="4"/>
  <c r="E1361" i="4"/>
  <c r="D1361" i="4"/>
  <c r="C1361" i="4"/>
  <c r="B1361" i="4"/>
  <c r="R1361" i="4" s="1"/>
  <c r="A1361" i="4"/>
  <c r="F1360" i="4"/>
  <c r="E1360" i="4"/>
  <c r="D1360" i="4"/>
  <c r="C1360" i="4"/>
  <c r="B1360" i="4"/>
  <c r="A1360" i="4"/>
  <c r="W1360" i="4" s="1"/>
  <c r="F1359" i="4"/>
  <c r="E1359" i="4"/>
  <c r="D1359" i="4"/>
  <c r="C1359" i="4"/>
  <c r="B1359" i="4"/>
  <c r="H1359" i="4" s="1"/>
  <c r="L1359" i="4" s="1"/>
  <c r="A1359" i="4"/>
  <c r="W1359" i="4" s="1"/>
  <c r="F1358" i="4"/>
  <c r="E1358" i="4"/>
  <c r="D1358" i="4"/>
  <c r="C1358" i="4"/>
  <c r="B1358" i="4"/>
  <c r="R1358" i="4" s="1"/>
  <c r="A1358" i="4"/>
  <c r="V1358" i="4" s="1"/>
  <c r="F1357" i="4"/>
  <c r="E1357" i="4"/>
  <c r="D1357" i="4"/>
  <c r="C1357" i="4"/>
  <c r="B1357" i="4"/>
  <c r="A1357" i="4"/>
  <c r="U1357" i="4" s="1"/>
  <c r="F1356" i="4"/>
  <c r="E1356" i="4"/>
  <c r="D1356" i="4"/>
  <c r="C1356" i="4"/>
  <c r="B1356" i="4"/>
  <c r="I1356" i="4" s="1"/>
  <c r="A1356" i="4"/>
  <c r="T1356" i="4" s="1"/>
  <c r="F1355" i="4"/>
  <c r="E1355" i="4"/>
  <c r="D1355" i="4"/>
  <c r="C1355" i="4"/>
  <c r="B1355" i="4"/>
  <c r="S1355" i="4" s="1"/>
  <c r="A1355" i="4"/>
  <c r="J1355" i="4" s="1"/>
  <c r="F1354" i="4"/>
  <c r="E1354" i="4"/>
  <c r="D1354" i="4"/>
  <c r="C1354" i="4"/>
  <c r="B1354" i="4"/>
  <c r="S1354" i="4" s="1"/>
  <c r="A1354" i="4"/>
  <c r="F1353" i="4"/>
  <c r="E1353" i="4"/>
  <c r="D1353" i="4"/>
  <c r="C1353" i="4"/>
  <c r="B1353" i="4"/>
  <c r="R1353" i="4" s="1"/>
  <c r="A1353" i="4"/>
  <c r="J1353" i="4" s="1"/>
  <c r="F1352" i="4"/>
  <c r="E1352" i="4"/>
  <c r="D1352" i="4"/>
  <c r="C1352" i="4"/>
  <c r="B1352" i="4"/>
  <c r="S1352" i="4" s="1"/>
  <c r="A1352" i="4"/>
  <c r="U1352" i="4" s="1"/>
  <c r="F1351" i="4"/>
  <c r="E1351" i="4"/>
  <c r="D1351" i="4"/>
  <c r="C1351" i="4"/>
  <c r="B1351" i="4"/>
  <c r="I1351" i="4" s="1"/>
  <c r="A1351" i="4"/>
  <c r="P1351" i="4" s="1"/>
  <c r="F1350" i="4"/>
  <c r="E1350" i="4"/>
  <c r="D1350" i="4"/>
  <c r="C1350" i="4"/>
  <c r="B1350" i="4"/>
  <c r="S1350" i="4" s="1"/>
  <c r="A1350" i="4"/>
  <c r="P1350" i="4" s="1"/>
  <c r="M1349" i="4"/>
  <c r="G1349" i="4"/>
  <c r="F1349" i="4"/>
  <c r="E1349" i="4"/>
  <c r="D1349" i="4"/>
  <c r="C1349" i="4"/>
  <c r="B1349" i="4"/>
  <c r="R1349" i="4" s="1"/>
  <c r="A1349" i="4"/>
  <c r="O1349" i="4" s="1"/>
  <c r="V1348" i="4"/>
  <c r="U1348" i="4"/>
  <c r="F1348" i="4"/>
  <c r="E1348" i="4"/>
  <c r="D1348" i="4"/>
  <c r="C1348" i="4"/>
  <c r="B1348" i="4"/>
  <c r="R1348" i="4" s="1"/>
  <c r="A1348" i="4"/>
  <c r="P1348" i="4" s="1"/>
  <c r="F1347" i="4"/>
  <c r="E1347" i="4"/>
  <c r="D1347" i="4"/>
  <c r="C1347" i="4"/>
  <c r="B1347" i="4"/>
  <c r="R1347" i="4" s="1"/>
  <c r="A1347" i="4"/>
  <c r="P1347" i="4" s="1"/>
  <c r="F1346" i="4"/>
  <c r="E1346" i="4"/>
  <c r="D1346" i="4"/>
  <c r="C1346" i="4"/>
  <c r="B1346" i="4"/>
  <c r="R1346" i="4" s="1"/>
  <c r="A1346" i="4"/>
  <c r="F1345" i="4"/>
  <c r="E1345" i="4"/>
  <c r="D1345" i="4"/>
  <c r="C1345" i="4"/>
  <c r="B1345" i="4"/>
  <c r="A1345" i="4"/>
  <c r="W1345" i="4" s="1"/>
  <c r="W1344" i="4"/>
  <c r="F1344" i="4"/>
  <c r="E1344" i="4"/>
  <c r="D1344" i="4"/>
  <c r="C1344" i="4"/>
  <c r="B1344" i="4"/>
  <c r="R1344" i="4" s="1"/>
  <c r="A1344" i="4"/>
  <c r="G1344" i="4" s="1"/>
  <c r="V1343" i="4"/>
  <c r="F1343" i="4"/>
  <c r="E1343" i="4"/>
  <c r="D1343" i="4"/>
  <c r="C1343" i="4"/>
  <c r="B1343" i="4"/>
  <c r="S1343" i="4" s="1"/>
  <c r="A1343" i="4"/>
  <c r="U1343" i="4" s="1"/>
  <c r="Q1342" i="4"/>
  <c r="F1342" i="4"/>
  <c r="E1342" i="4"/>
  <c r="D1342" i="4"/>
  <c r="C1342" i="4"/>
  <c r="B1342" i="4"/>
  <c r="R1342" i="4" s="1"/>
  <c r="A1342" i="4"/>
  <c r="T1342" i="4" s="1"/>
  <c r="P1341" i="4"/>
  <c r="F1341" i="4"/>
  <c r="E1341" i="4"/>
  <c r="D1341" i="4"/>
  <c r="C1341" i="4"/>
  <c r="B1341" i="4"/>
  <c r="R1341" i="4" s="1"/>
  <c r="A1341" i="4"/>
  <c r="V1341" i="4" s="1"/>
  <c r="O1340" i="4"/>
  <c r="F1340" i="4"/>
  <c r="E1340" i="4"/>
  <c r="D1340" i="4"/>
  <c r="C1340" i="4"/>
  <c r="B1340" i="4"/>
  <c r="R1340" i="4" s="1"/>
  <c r="A1340" i="4"/>
  <c r="P1340" i="4" s="1"/>
  <c r="F1339" i="4"/>
  <c r="E1339" i="4"/>
  <c r="D1339" i="4"/>
  <c r="C1339" i="4"/>
  <c r="B1339" i="4"/>
  <c r="A1339" i="4"/>
  <c r="P1339" i="4" s="1"/>
  <c r="F1338" i="4"/>
  <c r="E1338" i="4"/>
  <c r="D1338" i="4"/>
  <c r="C1338" i="4"/>
  <c r="B1338" i="4"/>
  <c r="A1338" i="4"/>
  <c r="F1337" i="4"/>
  <c r="E1337" i="4"/>
  <c r="D1337" i="4"/>
  <c r="C1337" i="4"/>
  <c r="B1337" i="4"/>
  <c r="A1337" i="4"/>
  <c r="F1336" i="4"/>
  <c r="E1336" i="4"/>
  <c r="D1336" i="4"/>
  <c r="C1336" i="4"/>
  <c r="B1336" i="4"/>
  <c r="R1336" i="4" s="1"/>
  <c r="A1336" i="4"/>
  <c r="F1335" i="4"/>
  <c r="E1335" i="4"/>
  <c r="D1335" i="4"/>
  <c r="C1335" i="4"/>
  <c r="B1335" i="4"/>
  <c r="S1335" i="4" s="1"/>
  <c r="A1335" i="4"/>
  <c r="F1334" i="4"/>
  <c r="E1334" i="4"/>
  <c r="D1334" i="4"/>
  <c r="C1334" i="4"/>
  <c r="B1334" i="4"/>
  <c r="R1334" i="4" s="1"/>
  <c r="A1334" i="4"/>
  <c r="T1334" i="4" s="1"/>
  <c r="F1333" i="4"/>
  <c r="E1333" i="4"/>
  <c r="D1333" i="4"/>
  <c r="C1333" i="4"/>
  <c r="B1333" i="4"/>
  <c r="R1333" i="4" s="1"/>
  <c r="A1333" i="4"/>
  <c r="V1333" i="4" s="1"/>
  <c r="M1332" i="4"/>
  <c r="F1332" i="4"/>
  <c r="E1332" i="4"/>
  <c r="D1332" i="4"/>
  <c r="C1332" i="4"/>
  <c r="B1332" i="4"/>
  <c r="R1332" i="4" s="1"/>
  <c r="A1332" i="4"/>
  <c r="P1332" i="4" s="1"/>
  <c r="K1331" i="4"/>
  <c r="J1331" i="4"/>
  <c r="F1331" i="4"/>
  <c r="E1331" i="4"/>
  <c r="D1331" i="4"/>
  <c r="C1331" i="4"/>
  <c r="B1331" i="4"/>
  <c r="R1331" i="4" s="1"/>
  <c r="A1331" i="4"/>
  <c r="P1331" i="4" s="1"/>
  <c r="F1330" i="4"/>
  <c r="E1330" i="4"/>
  <c r="D1330" i="4"/>
  <c r="C1330" i="4"/>
  <c r="B1330" i="4"/>
  <c r="H1330" i="4" s="1"/>
  <c r="A1330" i="4"/>
  <c r="K1330" i="4" s="1"/>
  <c r="F1329" i="4"/>
  <c r="E1329" i="4"/>
  <c r="D1329" i="4"/>
  <c r="C1329" i="4"/>
  <c r="B1329" i="4"/>
  <c r="H1329" i="4" s="1"/>
  <c r="A1329" i="4"/>
  <c r="W1329" i="4" s="1"/>
  <c r="F1328" i="4"/>
  <c r="E1328" i="4"/>
  <c r="D1328" i="4"/>
  <c r="C1328" i="4"/>
  <c r="B1328" i="4"/>
  <c r="A1328" i="4"/>
  <c r="F1327" i="4"/>
  <c r="E1327" i="4"/>
  <c r="D1327" i="4"/>
  <c r="C1327" i="4"/>
  <c r="B1327" i="4"/>
  <c r="S1327" i="4" s="1"/>
  <c r="A1327" i="4"/>
  <c r="S1326" i="4"/>
  <c r="F1326" i="4"/>
  <c r="E1326" i="4"/>
  <c r="D1326" i="4"/>
  <c r="C1326" i="4"/>
  <c r="B1326" i="4"/>
  <c r="R1326" i="4" s="1"/>
  <c r="A1326" i="4"/>
  <c r="T1326" i="4" s="1"/>
  <c r="F1325" i="4"/>
  <c r="E1325" i="4"/>
  <c r="D1325" i="4"/>
  <c r="C1325" i="4"/>
  <c r="B1325" i="4"/>
  <c r="R1325" i="4" s="1"/>
  <c r="A1325" i="4"/>
  <c r="W1325" i="4" s="1"/>
  <c r="S1324" i="4"/>
  <c r="F1324" i="4"/>
  <c r="E1324" i="4"/>
  <c r="D1324" i="4"/>
  <c r="C1324" i="4"/>
  <c r="B1324" i="4"/>
  <c r="R1324" i="4" s="1"/>
  <c r="A1324" i="4"/>
  <c r="P1324" i="4" s="1"/>
  <c r="F1323" i="4"/>
  <c r="E1323" i="4"/>
  <c r="D1323" i="4"/>
  <c r="C1323" i="4"/>
  <c r="B1323" i="4"/>
  <c r="A1323" i="4"/>
  <c r="P1323" i="4" s="1"/>
  <c r="F1322" i="4"/>
  <c r="E1322" i="4"/>
  <c r="D1322" i="4"/>
  <c r="C1322" i="4"/>
  <c r="B1322" i="4"/>
  <c r="H1322" i="4" s="1"/>
  <c r="A1322" i="4"/>
  <c r="K1322" i="4" s="1"/>
  <c r="F1321" i="4"/>
  <c r="E1321" i="4"/>
  <c r="D1321" i="4"/>
  <c r="C1321" i="4"/>
  <c r="B1321" i="4"/>
  <c r="H1321" i="4" s="1"/>
  <c r="A1321" i="4"/>
  <c r="W1321" i="4" s="1"/>
  <c r="F1320" i="4"/>
  <c r="E1320" i="4"/>
  <c r="D1320" i="4"/>
  <c r="C1320" i="4"/>
  <c r="B1320" i="4"/>
  <c r="Q1320" i="4" s="1"/>
  <c r="A1320" i="4"/>
  <c r="W1320" i="4" s="1"/>
  <c r="F1319" i="4"/>
  <c r="E1319" i="4"/>
  <c r="D1319" i="4"/>
  <c r="C1319" i="4"/>
  <c r="B1319" i="4"/>
  <c r="S1319" i="4" s="1"/>
  <c r="A1319" i="4"/>
  <c r="U1319" i="4" s="1"/>
  <c r="F1318" i="4"/>
  <c r="E1318" i="4"/>
  <c r="D1318" i="4"/>
  <c r="C1318" i="4"/>
  <c r="B1318" i="4"/>
  <c r="R1318" i="4" s="1"/>
  <c r="A1318" i="4"/>
  <c r="T1318" i="4" s="1"/>
  <c r="F1317" i="4"/>
  <c r="E1317" i="4"/>
  <c r="D1317" i="4"/>
  <c r="C1317" i="4"/>
  <c r="B1317" i="4"/>
  <c r="R1317" i="4" s="1"/>
  <c r="A1317" i="4"/>
  <c r="V1317" i="4" s="1"/>
  <c r="F1316" i="4"/>
  <c r="E1316" i="4"/>
  <c r="D1316" i="4"/>
  <c r="C1316" i="4"/>
  <c r="B1316" i="4"/>
  <c r="R1316" i="4" s="1"/>
  <c r="A1316" i="4"/>
  <c r="K1316" i="4" s="1"/>
  <c r="F1315" i="4"/>
  <c r="E1315" i="4"/>
  <c r="D1315" i="4"/>
  <c r="C1315" i="4"/>
  <c r="B1315" i="4"/>
  <c r="A1315" i="4"/>
  <c r="F1314" i="4"/>
  <c r="E1314" i="4"/>
  <c r="D1314" i="4"/>
  <c r="C1314" i="4"/>
  <c r="B1314" i="4"/>
  <c r="H1314" i="4" s="1"/>
  <c r="A1314" i="4"/>
  <c r="K1314" i="4" s="1"/>
  <c r="F1313" i="4"/>
  <c r="E1313" i="4"/>
  <c r="D1313" i="4"/>
  <c r="C1313" i="4"/>
  <c r="B1313" i="4"/>
  <c r="A1313" i="4"/>
  <c r="W1313" i="4" s="1"/>
  <c r="F1312" i="4"/>
  <c r="E1312" i="4"/>
  <c r="D1312" i="4"/>
  <c r="C1312" i="4"/>
  <c r="B1312" i="4"/>
  <c r="R1312" i="4" s="1"/>
  <c r="A1312" i="4"/>
  <c r="F1311" i="4"/>
  <c r="E1311" i="4"/>
  <c r="D1311" i="4"/>
  <c r="C1311" i="4"/>
  <c r="B1311" i="4"/>
  <c r="S1311" i="4" s="1"/>
  <c r="A1311" i="4"/>
  <c r="U1311" i="4" s="1"/>
  <c r="F1310" i="4"/>
  <c r="E1310" i="4"/>
  <c r="D1310" i="4"/>
  <c r="C1310" i="4"/>
  <c r="B1310" i="4"/>
  <c r="R1310" i="4" s="1"/>
  <c r="A1310" i="4"/>
  <c r="T1310" i="4" s="1"/>
  <c r="F1309" i="4"/>
  <c r="E1309" i="4"/>
  <c r="D1309" i="4"/>
  <c r="C1309" i="4"/>
  <c r="B1309" i="4"/>
  <c r="R1309" i="4" s="1"/>
  <c r="A1309" i="4"/>
  <c r="W1309" i="4" s="1"/>
  <c r="F1308" i="4"/>
  <c r="E1308" i="4"/>
  <c r="D1308" i="4"/>
  <c r="C1308" i="4"/>
  <c r="B1308" i="4"/>
  <c r="R1308" i="4" s="1"/>
  <c r="A1308" i="4"/>
  <c r="P1308" i="4" s="1"/>
  <c r="F1307" i="4"/>
  <c r="E1307" i="4"/>
  <c r="D1307" i="4"/>
  <c r="C1307" i="4"/>
  <c r="B1307" i="4"/>
  <c r="A1307" i="4"/>
  <c r="P1307" i="4" s="1"/>
  <c r="F1306" i="4"/>
  <c r="E1306" i="4"/>
  <c r="D1306" i="4"/>
  <c r="C1306" i="4"/>
  <c r="B1306" i="4"/>
  <c r="H1306" i="4" s="1"/>
  <c r="A1306" i="4"/>
  <c r="K1306" i="4" s="1"/>
  <c r="F1305" i="4"/>
  <c r="E1305" i="4"/>
  <c r="D1305" i="4"/>
  <c r="C1305" i="4"/>
  <c r="B1305" i="4"/>
  <c r="R1305" i="4" s="1"/>
  <c r="A1305" i="4"/>
  <c r="W1305" i="4" s="1"/>
  <c r="F1304" i="4"/>
  <c r="E1304" i="4"/>
  <c r="D1304" i="4"/>
  <c r="C1304" i="4"/>
  <c r="B1304" i="4"/>
  <c r="A1304" i="4"/>
  <c r="W1304" i="4" s="1"/>
  <c r="G1303" i="4"/>
  <c r="F1303" i="4"/>
  <c r="E1303" i="4"/>
  <c r="D1303" i="4"/>
  <c r="C1303" i="4"/>
  <c r="B1303" i="4"/>
  <c r="S1303" i="4" s="1"/>
  <c r="A1303" i="4"/>
  <c r="U1303" i="4" s="1"/>
  <c r="F1302" i="4"/>
  <c r="E1302" i="4"/>
  <c r="D1302" i="4"/>
  <c r="C1302" i="4"/>
  <c r="B1302" i="4"/>
  <c r="R1302" i="4" s="1"/>
  <c r="A1302" i="4"/>
  <c r="F1301" i="4"/>
  <c r="E1301" i="4"/>
  <c r="D1301" i="4"/>
  <c r="C1301" i="4"/>
  <c r="B1301" i="4"/>
  <c r="A1301" i="4"/>
  <c r="U1301" i="4" s="1"/>
  <c r="F1300" i="4"/>
  <c r="E1300" i="4"/>
  <c r="D1300" i="4"/>
  <c r="C1300" i="4"/>
  <c r="B1300" i="4"/>
  <c r="A1300" i="4"/>
  <c r="P1300" i="4" s="1"/>
  <c r="F1299" i="4"/>
  <c r="E1299" i="4"/>
  <c r="D1299" i="4"/>
  <c r="C1299" i="4"/>
  <c r="B1299" i="4"/>
  <c r="R1299" i="4" s="1"/>
  <c r="A1299" i="4"/>
  <c r="Q1298" i="4"/>
  <c r="F1298" i="4"/>
  <c r="E1298" i="4"/>
  <c r="D1298" i="4"/>
  <c r="C1298" i="4"/>
  <c r="B1298" i="4"/>
  <c r="H1298" i="4" s="1"/>
  <c r="A1298" i="4"/>
  <c r="K1298" i="4" s="1"/>
  <c r="F1297" i="4"/>
  <c r="E1297" i="4"/>
  <c r="D1297" i="4"/>
  <c r="C1297" i="4"/>
  <c r="B1297" i="4"/>
  <c r="H1297" i="4" s="1"/>
  <c r="A1297" i="4"/>
  <c r="W1297" i="4" s="1"/>
  <c r="F1296" i="4"/>
  <c r="E1296" i="4"/>
  <c r="D1296" i="4"/>
  <c r="C1296" i="4"/>
  <c r="B1296" i="4"/>
  <c r="R1296" i="4" s="1"/>
  <c r="A1296" i="4"/>
  <c r="F1295" i="4"/>
  <c r="E1295" i="4"/>
  <c r="D1295" i="4"/>
  <c r="C1295" i="4"/>
  <c r="B1295" i="4"/>
  <c r="S1295" i="4" s="1"/>
  <c r="A1295" i="4"/>
  <c r="F1294" i="4"/>
  <c r="E1294" i="4"/>
  <c r="D1294" i="4"/>
  <c r="C1294" i="4"/>
  <c r="B1294" i="4"/>
  <c r="R1294" i="4" s="1"/>
  <c r="A1294" i="4"/>
  <c r="F1293" i="4"/>
  <c r="E1293" i="4"/>
  <c r="D1293" i="4"/>
  <c r="C1293" i="4"/>
  <c r="B1293" i="4"/>
  <c r="R1293" i="4" s="1"/>
  <c r="A1293" i="4"/>
  <c r="W1293" i="4" s="1"/>
  <c r="F1292" i="4"/>
  <c r="E1292" i="4"/>
  <c r="D1292" i="4"/>
  <c r="C1292" i="4"/>
  <c r="B1292" i="4"/>
  <c r="R1292" i="4" s="1"/>
  <c r="A1292" i="4"/>
  <c r="P1292" i="4" s="1"/>
  <c r="F1291" i="4"/>
  <c r="E1291" i="4"/>
  <c r="D1291" i="4"/>
  <c r="C1291" i="4"/>
  <c r="B1291" i="4"/>
  <c r="A1291" i="4"/>
  <c r="P1291" i="4" s="1"/>
  <c r="F1290" i="4"/>
  <c r="E1290" i="4"/>
  <c r="D1290" i="4"/>
  <c r="C1290" i="4"/>
  <c r="B1290" i="4"/>
  <c r="H1290" i="4" s="1"/>
  <c r="A1290" i="4"/>
  <c r="K1290" i="4" s="1"/>
  <c r="F1289" i="4"/>
  <c r="E1289" i="4"/>
  <c r="D1289" i="4"/>
  <c r="C1289" i="4"/>
  <c r="B1289" i="4"/>
  <c r="H1289" i="4" s="1"/>
  <c r="A1289" i="4"/>
  <c r="W1289" i="4" s="1"/>
  <c r="F1288" i="4"/>
  <c r="E1288" i="4"/>
  <c r="D1288" i="4"/>
  <c r="C1288" i="4"/>
  <c r="B1288" i="4"/>
  <c r="R1288" i="4" s="1"/>
  <c r="A1288" i="4"/>
  <c r="G1288" i="4" s="1"/>
  <c r="F1287" i="4"/>
  <c r="E1287" i="4"/>
  <c r="D1287" i="4"/>
  <c r="C1287" i="4"/>
  <c r="B1287" i="4"/>
  <c r="S1287" i="4" s="1"/>
  <c r="A1287" i="4"/>
  <c r="U1287" i="4" s="1"/>
  <c r="F1286" i="4"/>
  <c r="E1286" i="4"/>
  <c r="D1286" i="4"/>
  <c r="C1286" i="4"/>
  <c r="B1286" i="4"/>
  <c r="R1286" i="4" s="1"/>
  <c r="A1286" i="4"/>
  <c r="T1286" i="4" s="1"/>
  <c r="F1285" i="4"/>
  <c r="E1285" i="4"/>
  <c r="D1285" i="4"/>
  <c r="C1285" i="4"/>
  <c r="B1285" i="4"/>
  <c r="R1285" i="4" s="1"/>
  <c r="A1285" i="4"/>
  <c r="O1285" i="4" s="1"/>
  <c r="M1284" i="4"/>
  <c r="F1284" i="4"/>
  <c r="E1284" i="4"/>
  <c r="D1284" i="4"/>
  <c r="C1284" i="4"/>
  <c r="B1284" i="4"/>
  <c r="R1284" i="4" s="1"/>
  <c r="A1284" i="4"/>
  <c r="P1284" i="4" s="1"/>
  <c r="F1283" i="4"/>
  <c r="E1283" i="4"/>
  <c r="D1283" i="4"/>
  <c r="C1283" i="4"/>
  <c r="B1283" i="4"/>
  <c r="A1283" i="4"/>
  <c r="M1283" i="4" s="1"/>
  <c r="F1282" i="4"/>
  <c r="E1282" i="4"/>
  <c r="D1282" i="4"/>
  <c r="C1282" i="4"/>
  <c r="B1282" i="4"/>
  <c r="A1282" i="4"/>
  <c r="K1282" i="4" s="1"/>
  <c r="F1281" i="4"/>
  <c r="E1281" i="4"/>
  <c r="D1281" i="4"/>
  <c r="C1281" i="4"/>
  <c r="B1281" i="4"/>
  <c r="A1281" i="4"/>
  <c r="W1281" i="4" s="1"/>
  <c r="F1280" i="4"/>
  <c r="E1280" i="4"/>
  <c r="D1280" i="4"/>
  <c r="C1280" i="4"/>
  <c r="B1280" i="4"/>
  <c r="R1280" i="4" s="1"/>
  <c r="A1280" i="4"/>
  <c r="G1280" i="4" s="1"/>
  <c r="F1279" i="4"/>
  <c r="E1279" i="4"/>
  <c r="D1279" i="4"/>
  <c r="C1279" i="4"/>
  <c r="B1279" i="4"/>
  <c r="A1279" i="4"/>
  <c r="U1279" i="4" s="1"/>
  <c r="F1278" i="4"/>
  <c r="E1278" i="4"/>
  <c r="D1278" i="4"/>
  <c r="C1278" i="4"/>
  <c r="B1278" i="4"/>
  <c r="A1278" i="4"/>
  <c r="T1278" i="4" s="1"/>
  <c r="F1277" i="4"/>
  <c r="E1277" i="4"/>
  <c r="D1277" i="4"/>
  <c r="C1277" i="4"/>
  <c r="B1277" i="4"/>
  <c r="R1277" i="4" s="1"/>
  <c r="A1277" i="4"/>
  <c r="M1277" i="4" s="1"/>
  <c r="F1276" i="4"/>
  <c r="E1276" i="4"/>
  <c r="D1276" i="4"/>
  <c r="C1276" i="4"/>
  <c r="B1276" i="4"/>
  <c r="R1276" i="4" s="1"/>
  <c r="A1276" i="4"/>
  <c r="P1276" i="4" s="1"/>
  <c r="F1275" i="4"/>
  <c r="E1275" i="4"/>
  <c r="D1275" i="4"/>
  <c r="C1275" i="4"/>
  <c r="B1275" i="4"/>
  <c r="S1275" i="4" s="1"/>
  <c r="A1275" i="4"/>
  <c r="P1275" i="4" s="1"/>
  <c r="F1274" i="4"/>
  <c r="E1274" i="4"/>
  <c r="D1274" i="4"/>
  <c r="C1274" i="4"/>
  <c r="B1274" i="4"/>
  <c r="A1274" i="4"/>
  <c r="J1274" i="4" s="1"/>
  <c r="F1273" i="4"/>
  <c r="E1273" i="4"/>
  <c r="D1273" i="4"/>
  <c r="C1273" i="4"/>
  <c r="B1273" i="4"/>
  <c r="S1273" i="4" s="1"/>
  <c r="A1273" i="4"/>
  <c r="G1272" i="4"/>
  <c r="F1272" i="4"/>
  <c r="E1272" i="4"/>
  <c r="D1272" i="4"/>
  <c r="C1272" i="4"/>
  <c r="B1272" i="4"/>
  <c r="R1272" i="4" s="1"/>
  <c r="A1272" i="4"/>
  <c r="W1272" i="4" s="1"/>
  <c r="F1271" i="4"/>
  <c r="E1271" i="4"/>
  <c r="D1271" i="4"/>
  <c r="C1271" i="4"/>
  <c r="B1271" i="4"/>
  <c r="S1271" i="4" s="1"/>
  <c r="A1271" i="4"/>
  <c r="Q1270" i="4"/>
  <c r="F1270" i="4"/>
  <c r="E1270" i="4"/>
  <c r="D1270" i="4"/>
  <c r="C1270" i="4"/>
  <c r="B1270" i="4"/>
  <c r="S1270" i="4" s="1"/>
  <c r="A1270" i="4"/>
  <c r="T1270" i="4" s="1"/>
  <c r="F1269" i="4"/>
  <c r="E1269" i="4"/>
  <c r="D1269" i="4"/>
  <c r="C1269" i="4"/>
  <c r="B1269" i="4"/>
  <c r="R1269" i="4" s="1"/>
  <c r="A1269" i="4"/>
  <c r="J1269" i="4" s="1"/>
  <c r="F1268" i="4"/>
  <c r="E1268" i="4"/>
  <c r="D1268" i="4"/>
  <c r="C1268" i="4"/>
  <c r="B1268" i="4"/>
  <c r="R1268" i="4" s="1"/>
  <c r="A1268" i="4"/>
  <c r="U1268" i="4" s="1"/>
  <c r="F1267" i="4"/>
  <c r="E1267" i="4"/>
  <c r="D1267" i="4"/>
  <c r="C1267" i="4"/>
  <c r="B1267" i="4"/>
  <c r="A1267" i="4"/>
  <c r="P1267" i="4" s="1"/>
  <c r="F1266" i="4"/>
  <c r="E1266" i="4"/>
  <c r="D1266" i="4"/>
  <c r="C1266" i="4"/>
  <c r="B1266" i="4"/>
  <c r="H1266" i="4" s="1"/>
  <c r="A1266" i="4"/>
  <c r="J1266" i="4" s="1"/>
  <c r="F1265" i="4"/>
  <c r="E1265" i="4"/>
  <c r="D1265" i="4"/>
  <c r="C1265" i="4"/>
  <c r="B1265" i="4"/>
  <c r="A1265" i="4"/>
  <c r="P1265" i="4" s="1"/>
  <c r="F1264" i="4"/>
  <c r="E1264" i="4"/>
  <c r="D1264" i="4"/>
  <c r="C1264" i="4"/>
  <c r="B1264" i="4"/>
  <c r="R1264" i="4" s="1"/>
  <c r="A1264" i="4"/>
  <c r="F1263" i="4"/>
  <c r="E1263" i="4"/>
  <c r="D1263" i="4"/>
  <c r="C1263" i="4"/>
  <c r="B1263" i="4"/>
  <c r="S1263" i="4" s="1"/>
  <c r="A1263" i="4"/>
  <c r="J1263" i="4" s="1"/>
  <c r="F1262" i="4"/>
  <c r="E1262" i="4"/>
  <c r="D1262" i="4"/>
  <c r="C1262" i="4"/>
  <c r="B1262" i="4"/>
  <c r="S1262" i="4" s="1"/>
  <c r="A1262" i="4"/>
  <c r="T1262" i="4" s="1"/>
  <c r="F1261" i="4"/>
  <c r="E1261" i="4"/>
  <c r="D1261" i="4"/>
  <c r="C1261" i="4"/>
  <c r="B1261" i="4"/>
  <c r="R1261" i="4" s="1"/>
  <c r="A1261" i="4"/>
  <c r="J1261" i="4" s="1"/>
  <c r="F1260" i="4"/>
  <c r="E1260" i="4"/>
  <c r="D1260" i="4"/>
  <c r="C1260" i="4"/>
  <c r="B1260" i="4"/>
  <c r="R1260" i="4" s="1"/>
  <c r="A1260" i="4"/>
  <c r="O1260" i="4" s="1"/>
  <c r="F1259" i="4"/>
  <c r="E1259" i="4"/>
  <c r="D1259" i="4"/>
  <c r="C1259" i="4"/>
  <c r="B1259" i="4"/>
  <c r="S1259" i="4" s="1"/>
  <c r="A1259" i="4"/>
  <c r="M1259" i="4" s="1"/>
  <c r="F1258" i="4"/>
  <c r="E1258" i="4"/>
  <c r="D1258" i="4"/>
  <c r="C1258" i="4"/>
  <c r="B1258" i="4"/>
  <c r="A1258" i="4"/>
  <c r="J1258" i="4" s="1"/>
  <c r="F1257" i="4"/>
  <c r="E1257" i="4"/>
  <c r="D1257" i="4"/>
  <c r="C1257" i="4"/>
  <c r="B1257" i="4"/>
  <c r="S1257" i="4" s="1"/>
  <c r="A1257" i="4"/>
  <c r="P1257" i="4" s="1"/>
  <c r="F1256" i="4"/>
  <c r="E1256" i="4"/>
  <c r="D1256" i="4"/>
  <c r="C1256" i="4"/>
  <c r="B1256" i="4"/>
  <c r="R1256" i="4" s="1"/>
  <c r="A1256" i="4"/>
  <c r="O1256" i="4" s="1"/>
  <c r="F1255" i="4"/>
  <c r="E1255" i="4"/>
  <c r="D1255" i="4"/>
  <c r="C1255" i="4"/>
  <c r="B1255" i="4"/>
  <c r="S1255" i="4" s="1"/>
  <c r="A1255" i="4"/>
  <c r="U1255" i="4" s="1"/>
  <c r="F1254" i="4"/>
  <c r="E1254" i="4"/>
  <c r="D1254" i="4"/>
  <c r="C1254" i="4"/>
  <c r="B1254" i="4"/>
  <c r="S1254" i="4" s="1"/>
  <c r="A1254" i="4"/>
  <c r="T1254" i="4" s="1"/>
  <c r="F1253" i="4"/>
  <c r="E1253" i="4"/>
  <c r="D1253" i="4"/>
  <c r="C1253" i="4"/>
  <c r="B1253" i="4"/>
  <c r="R1253" i="4" s="1"/>
  <c r="A1253" i="4"/>
  <c r="J1253" i="4" s="1"/>
  <c r="F1252" i="4"/>
  <c r="E1252" i="4"/>
  <c r="D1252" i="4"/>
  <c r="C1252" i="4"/>
  <c r="B1252" i="4"/>
  <c r="R1252" i="4" s="1"/>
  <c r="A1252" i="4"/>
  <c r="W1252" i="4" s="1"/>
  <c r="F1251" i="4"/>
  <c r="E1251" i="4"/>
  <c r="D1251" i="4"/>
  <c r="C1251" i="4"/>
  <c r="B1251" i="4"/>
  <c r="A1251" i="4"/>
  <c r="P1251" i="4" s="1"/>
  <c r="F1250" i="4"/>
  <c r="E1250" i="4"/>
  <c r="D1250" i="4"/>
  <c r="C1250" i="4"/>
  <c r="B1250" i="4"/>
  <c r="H1250" i="4" s="1"/>
  <c r="A1250" i="4"/>
  <c r="J1250" i="4" s="1"/>
  <c r="F1249" i="4"/>
  <c r="E1249" i="4"/>
  <c r="D1249" i="4"/>
  <c r="C1249" i="4"/>
  <c r="B1249" i="4"/>
  <c r="S1249" i="4" s="1"/>
  <c r="A1249" i="4"/>
  <c r="P1249" i="4" s="1"/>
  <c r="F1248" i="4"/>
  <c r="E1248" i="4"/>
  <c r="D1248" i="4"/>
  <c r="C1248" i="4"/>
  <c r="B1248" i="4"/>
  <c r="R1248" i="4" s="1"/>
  <c r="A1248" i="4"/>
  <c r="W1248" i="4" s="1"/>
  <c r="F1247" i="4"/>
  <c r="E1247" i="4"/>
  <c r="D1247" i="4"/>
  <c r="C1247" i="4"/>
  <c r="B1247" i="4"/>
  <c r="A1247" i="4"/>
  <c r="U1247" i="4" s="1"/>
  <c r="F1246" i="4"/>
  <c r="E1246" i="4"/>
  <c r="D1246" i="4"/>
  <c r="C1246" i="4"/>
  <c r="B1246" i="4"/>
  <c r="S1246" i="4" s="1"/>
  <c r="A1246" i="4"/>
  <c r="I1245" i="4"/>
  <c r="F1245" i="4"/>
  <c r="E1245" i="4"/>
  <c r="D1245" i="4"/>
  <c r="C1245" i="4"/>
  <c r="B1245" i="4"/>
  <c r="R1245" i="4" s="1"/>
  <c r="A1245" i="4"/>
  <c r="J1245" i="4" s="1"/>
  <c r="F1244" i="4"/>
  <c r="E1244" i="4"/>
  <c r="D1244" i="4"/>
  <c r="C1244" i="4"/>
  <c r="B1244" i="4"/>
  <c r="R1244" i="4" s="1"/>
  <c r="A1244" i="4"/>
  <c r="W1244" i="4" s="1"/>
  <c r="F1243" i="4"/>
  <c r="E1243" i="4"/>
  <c r="D1243" i="4"/>
  <c r="C1243" i="4"/>
  <c r="B1243" i="4"/>
  <c r="R1243" i="4" s="1"/>
  <c r="A1243" i="4"/>
  <c r="P1243" i="4" s="1"/>
  <c r="F1242" i="4"/>
  <c r="E1242" i="4"/>
  <c r="D1242" i="4"/>
  <c r="C1242" i="4"/>
  <c r="B1242" i="4"/>
  <c r="H1242" i="4" s="1"/>
  <c r="A1242" i="4"/>
  <c r="J1242" i="4" s="1"/>
  <c r="F1241" i="4"/>
  <c r="E1241" i="4"/>
  <c r="D1241" i="4"/>
  <c r="C1241" i="4"/>
  <c r="B1241" i="4"/>
  <c r="S1241" i="4" s="1"/>
  <c r="A1241" i="4"/>
  <c r="P1241" i="4" s="1"/>
  <c r="F1240" i="4"/>
  <c r="E1240" i="4"/>
  <c r="D1240" i="4"/>
  <c r="C1240" i="4"/>
  <c r="B1240" i="4"/>
  <c r="Q1240" i="4" s="1"/>
  <c r="A1240" i="4"/>
  <c r="G1240" i="4" s="1"/>
  <c r="F1239" i="4"/>
  <c r="E1239" i="4"/>
  <c r="D1239" i="4"/>
  <c r="C1239" i="4"/>
  <c r="B1239" i="4"/>
  <c r="S1239" i="4" s="1"/>
  <c r="A1239" i="4"/>
  <c r="F1238" i="4"/>
  <c r="E1238" i="4"/>
  <c r="D1238" i="4"/>
  <c r="C1238" i="4"/>
  <c r="B1238" i="4"/>
  <c r="A1238" i="4"/>
  <c r="V1238" i="4" s="1"/>
  <c r="F1237" i="4"/>
  <c r="E1237" i="4"/>
  <c r="D1237" i="4"/>
  <c r="C1237" i="4"/>
  <c r="B1237" i="4"/>
  <c r="A1237" i="4"/>
  <c r="J1237" i="4" s="1"/>
  <c r="F1236" i="4"/>
  <c r="E1236" i="4"/>
  <c r="D1236" i="4"/>
  <c r="C1236" i="4"/>
  <c r="B1236" i="4"/>
  <c r="R1236" i="4" s="1"/>
  <c r="A1236" i="4"/>
  <c r="M1236" i="4" s="1"/>
  <c r="F1235" i="4"/>
  <c r="E1235" i="4"/>
  <c r="D1235" i="4"/>
  <c r="C1235" i="4"/>
  <c r="B1235" i="4"/>
  <c r="A1235" i="4"/>
  <c r="P1235" i="4" s="1"/>
  <c r="F1234" i="4"/>
  <c r="E1234" i="4"/>
  <c r="D1234" i="4"/>
  <c r="C1234" i="4"/>
  <c r="B1234" i="4"/>
  <c r="A1234" i="4"/>
  <c r="M1234" i="4" s="1"/>
  <c r="F1233" i="4"/>
  <c r="E1233" i="4"/>
  <c r="D1233" i="4"/>
  <c r="C1233" i="4"/>
  <c r="B1233" i="4"/>
  <c r="S1233" i="4" s="1"/>
  <c r="A1233" i="4"/>
  <c r="T1233" i="4" s="1"/>
  <c r="F1232" i="4"/>
  <c r="E1232" i="4"/>
  <c r="D1232" i="4"/>
  <c r="C1232" i="4"/>
  <c r="B1232" i="4"/>
  <c r="R1232" i="4" s="1"/>
  <c r="A1232" i="4"/>
  <c r="F1231" i="4"/>
  <c r="E1231" i="4"/>
  <c r="D1231" i="4"/>
  <c r="C1231" i="4"/>
  <c r="B1231" i="4"/>
  <c r="I1231" i="4" s="1"/>
  <c r="A1231" i="4"/>
  <c r="J1231" i="4" s="1"/>
  <c r="F1230" i="4"/>
  <c r="E1230" i="4"/>
  <c r="D1230" i="4"/>
  <c r="C1230" i="4"/>
  <c r="B1230" i="4"/>
  <c r="S1230" i="4" s="1"/>
  <c r="A1230" i="4"/>
  <c r="U1230" i="4" s="1"/>
  <c r="F1229" i="4"/>
  <c r="E1229" i="4"/>
  <c r="D1229" i="4"/>
  <c r="C1229" i="4"/>
  <c r="B1229" i="4"/>
  <c r="R1229" i="4" s="1"/>
  <c r="A1229" i="4"/>
  <c r="K1229" i="4" s="1"/>
  <c r="F1228" i="4"/>
  <c r="E1228" i="4"/>
  <c r="D1228" i="4"/>
  <c r="C1228" i="4"/>
  <c r="B1228" i="4"/>
  <c r="R1228" i="4" s="1"/>
  <c r="A1228" i="4"/>
  <c r="F1227" i="4"/>
  <c r="E1227" i="4"/>
  <c r="D1227" i="4"/>
  <c r="C1227" i="4"/>
  <c r="B1227" i="4"/>
  <c r="A1227" i="4"/>
  <c r="P1227" i="4" s="1"/>
  <c r="F1226" i="4"/>
  <c r="E1226" i="4"/>
  <c r="D1226" i="4"/>
  <c r="C1226" i="4"/>
  <c r="B1226" i="4"/>
  <c r="A1226" i="4"/>
  <c r="K1226" i="4" s="1"/>
  <c r="F1225" i="4"/>
  <c r="E1225" i="4"/>
  <c r="D1225" i="4"/>
  <c r="C1225" i="4"/>
  <c r="B1225" i="4"/>
  <c r="A1225" i="4"/>
  <c r="J1225" i="4" s="1"/>
  <c r="F1224" i="4"/>
  <c r="E1224" i="4"/>
  <c r="D1224" i="4"/>
  <c r="C1224" i="4"/>
  <c r="B1224" i="4"/>
  <c r="A1224" i="4"/>
  <c r="G1224" i="4" s="1"/>
  <c r="F1223" i="4"/>
  <c r="E1223" i="4"/>
  <c r="D1223" i="4"/>
  <c r="C1223" i="4"/>
  <c r="B1223" i="4"/>
  <c r="S1223" i="4" s="1"/>
  <c r="A1223" i="4"/>
  <c r="V1223" i="4" s="1"/>
  <c r="Q1222" i="4"/>
  <c r="I1222" i="4"/>
  <c r="F1222" i="4"/>
  <c r="E1222" i="4"/>
  <c r="D1222" i="4"/>
  <c r="C1222" i="4"/>
  <c r="B1222" i="4"/>
  <c r="S1222" i="4" s="1"/>
  <c r="A1222" i="4"/>
  <c r="O1222" i="4" s="1"/>
  <c r="F1221" i="4"/>
  <c r="E1221" i="4"/>
  <c r="D1221" i="4"/>
  <c r="C1221" i="4"/>
  <c r="B1221" i="4"/>
  <c r="R1221" i="4" s="1"/>
  <c r="A1221" i="4"/>
  <c r="K1221" i="4" s="1"/>
  <c r="F1220" i="4"/>
  <c r="E1220" i="4"/>
  <c r="D1220" i="4"/>
  <c r="C1220" i="4"/>
  <c r="B1220" i="4"/>
  <c r="R1220" i="4" s="1"/>
  <c r="A1220" i="4"/>
  <c r="U1220" i="4" s="1"/>
  <c r="F1219" i="4"/>
  <c r="E1219" i="4"/>
  <c r="D1219" i="4"/>
  <c r="C1219" i="4"/>
  <c r="B1219" i="4"/>
  <c r="S1219" i="4" s="1"/>
  <c r="A1219" i="4"/>
  <c r="K1219" i="4" s="1"/>
  <c r="F1218" i="4"/>
  <c r="E1218" i="4"/>
  <c r="D1218" i="4"/>
  <c r="C1218" i="4"/>
  <c r="B1218" i="4"/>
  <c r="A1218" i="4"/>
  <c r="K1218" i="4" s="1"/>
  <c r="F1217" i="4"/>
  <c r="E1217" i="4"/>
  <c r="D1217" i="4"/>
  <c r="C1217" i="4"/>
  <c r="B1217" i="4"/>
  <c r="S1217" i="4" s="1"/>
  <c r="A1217" i="4"/>
  <c r="F1216" i="4"/>
  <c r="E1216" i="4"/>
  <c r="D1216" i="4"/>
  <c r="C1216" i="4"/>
  <c r="B1216" i="4"/>
  <c r="S1216" i="4" s="1"/>
  <c r="A1216" i="4"/>
  <c r="T1216" i="4" s="1"/>
  <c r="F1215" i="4"/>
  <c r="E1215" i="4"/>
  <c r="D1215" i="4"/>
  <c r="C1215" i="4"/>
  <c r="B1215" i="4"/>
  <c r="S1215" i="4" s="1"/>
  <c r="A1215" i="4"/>
  <c r="J1215" i="4" s="1"/>
  <c r="F1214" i="4"/>
  <c r="E1214" i="4"/>
  <c r="D1214" i="4"/>
  <c r="C1214" i="4"/>
  <c r="B1214" i="4"/>
  <c r="S1214" i="4" s="1"/>
  <c r="A1214" i="4"/>
  <c r="P1214" i="4" s="1"/>
  <c r="F1213" i="4"/>
  <c r="E1213" i="4"/>
  <c r="D1213" i="4"/>
  <c r="C1213" i="4"/>
  <c r="B1213" i="4"/>
  <c r="R1213" i="4" s="1"/>
  <c r="A1213" i="4"/>
  <c r="F1212" i="4"/>
  <c r="E1212" i="4"/>
  <c r="D1212" i="4"/>
  <c r="C1212" i="4"/>
  <c r="B1212" i="4"/>
  <c r="R1212" i="4" s="1"/>
  <c r="A1212" i="4"/>
  <c r="J1212" i="4" s="1"/>
  <c r="F1211" i="4"/>
  <c r="E1211" i="4"/>
  <c r="D1211" i="4"/>
  <c r="C1211" i="4"/>
  <c r="B1211" i="4"/>
  <c r="S1211" i="4" s="1"/>
  <c r="A1211" i="4"/>
  <c r="F1210" i="4"/>
  <c r="E1210" i="4"/>
  <c r="D1210" i="4"/>
  <c r="C1210" i="4"/>
  <c r="B1210" i="4"/>
  <c r="A1210" i="4"/>
  <c r="K1210" i="4" s="1"/>
  <c r="R1209" i="4"/>
  <c r="F1209" i="4"/>
  <c r="E1209" i="4"/>
  <c r="D1209" i="4"/>
  <c r="C1209" i="4"/>
  <c r="B1209" i="4"/>
  <c r="S1209" i="4" s="1"/>
  <c r="A1209" i="4"/>
  <c r="P1209" i="4" s="1"/>
  <c r="K1208" i="4"/>
  <c r="F1208" i="4"/>
  <c r="E1208" i="4"/>
  <c r="D1208" i="4"/>
  <c r="C1208" i="4"/>
  <c r="B1208" i="4"/>
  <c r="A1208" i="4"/>
  <c r="P1208" i="4" s="1"/>
  <c r="F1207" i="4"/>
  <c r="E1207" i="4"/>
  <c r="D1207" i="4"/>
  <c r="C1207" i="4"/>
  <c r="B1207" i="4"/>
  <c r="S1207" i="4" s="1"/>
  <c r="A1207" i="4"/>
  <c r="T1207" i="4" s="1"/>
  <c r="F1206" i="4"/>
  <c r="E1206" i="4"/>
  <c r="D1206" i="4"/>
  <c r="C1206" i="4"/>
  <c r="B1206" i="4"/>
  <c r="S1206" i="4" s="1"/>
  <c r="A1206" i="4"/>
  <c r="K1206" i="4" s="1"/>
  <c r="F1205" i="4"/>
  <c r="E1205" i="4"/>
  <c r="D1205" i="4"/>
  <c r="C1205" i="4"/>
  <c r="B1205" i="4"/>
  <c r="R1205" i="4" s="1"/>
  <c r="A1205" i="4"/>
  <c r="T1205" i="4" s="1"/>
  <c r="F1204" i="4"/>
  <c r="E1204" i="4"/>
  <c r="D1204" i="4"/>
  <c r="C1204" i="4"/>
  <c r="B1204" i="4"/>
  <c r="S1204" i="4" s="1"/>
  <c r="A1204" i="4"/>
  <c r="K1204" i="4" s="1"/>
  <c r="F1203" i="4"/>
  <c r="E1203" i="4"/>
  <c r="D1203" i="4"/>
  <c r="C1203" i="4"/>
  <c r="B1203" i="4"/>
  <c r="H1203" i="4" s="1"/>
  <c r="N1203" i="4" s="1"/>
  <c r="A1203" i="4"/>
  <c r="P1203" i="4" s="1"/>
  <c r="F1202" i="4"/>
  <c r="E1202" i="4"/>
  <c r="D1202" i="4"/>
  <c r="C1202" i="4"/>
  <c r="B1202" i="4"/>
  <c r="S1202" i="4" s="1"/>
  <c r="A1202" i="4"/>
  <c r="F1201" i="4"/>
  <c r="E1201" i="4"/>
  <c r="D1201" i="4"/>
  <c r="C1201" i="4"/>
  <c r="B1201" i="4"/>
  <c r="A1201" i="4"/>
  <c r="Q1200" i="4"/>
  <c r="I1200" i="4"/>
  <c r="F1200" i="4"/>
  <c r="E1200" i="4"/>
  <c r="D1200" i="4"/>
  <c r="C1200" i="4"/>
  <c r="B1200" i="4"/>
  <c r="A1200" i="4"/>
  <c r="F1199" i="4"/>
  <c r="E1199" i="4"/>
  <c r="D1199" i="4"/>
  <c r="C1199" i="4"/>
  <c r="B1199" i="4"/>
  <c r="A1199" i="4"/>
  <c r="J1198" i="4"/>
  <c r="F1198" i="4"/>
  <c r="E1198" i="4"/>
  <c r="D1198" i="4"/>
  <c r="C1198" i="4"/>
  <c r="B1198" i="4"/>
  <c r="R1198" i="4" s="1"/>
  <c r="A1198" i="4"/>
  <c r="F1197" i="4"/>
  <c r="E1197" i="4"/>
  <c r="D1197" i="4"/>
  <c r="C1197" i="4"/>
  <c r="B1197" i="4"/>
  <c r="A1197" i="4"/>
  <c r="F1196" i="4"/>
  <c r="E1196" i="4"/>
  <c r="D1196" i="4"/>
  <c r="C1196" i="4"/>
  <c r="B1196" i="4"/>
  <c r="R1196" i="4" s="1"/>
  <c r="A1196" i="4"/>
  <c r="V1196" i="4" s="1"/>
  <c r="F1195" i="4"/>
  <c r="E1195" i="4"/>
  <c r="D1195" i="4"/>
  <c r="C1195" i="4"/>
  <c r="B1195" i="4"/>
  <c r="S1195" i="4" s="1"/>
  <c r="A1195" i="4"/>
  <c r="W1195" i="4" s="1"/>
  <c r="F1194" i="4"/>
  <c r="E1194" i="4"/>
  <c r="D1194" i="4"/>
  <c r="C1194" i="4"/>
  <c r="B1194" i="4"/>
  <c r="A1194" i="4"/>
  <c r="V1193" i="4"/>
  <c r="F1193" i="4"/>
  <c r="E1193" i="4"/>
  <c r="D1193" i="4"/>
  <c r="C1193" i="4"/>
  <c r="B1193" i="4"/>
  <c r="S1193" i="4" s="1"/>
  <c r="A1193" i="4"/>
  <c r="F1192" i="4"/>
  <c r="E1192" i="4"/>
  <c r="D1192" i="4"/>
  <c r="C1192" i="4"/>
  <c r="B1192" i="4"/>
  <c r="R1192" i="4" s="1"/>
  <c r="A1192" i="4"/>
  <c r="W1192" i="4" s="1"/>
  <c r="F1191" i="4"/>
  <c r="E1191" i="4"/>
  <c r="D1191" i="4"/>
  <c r="C1191" i="4"/>
  <c r="B1191" i="4"/>
  <c r="R1191" i="4" s="1"/>
  <c r="A1191" i="4"/>
  <c r="F1190" i="4"/>
  <c r="E1190" i="4"/>
  <c r="D1190" i="4"/>
  <c r="C1190" i="4"/>
  <c r="B1190" i="4"/>
  <c r="A1190" i="4"/>
  <c r="J1190" i="4" s="1"/>
  <c r="F1189" i="4"/>
  <c r="E1189" i="4"/>
  <c r="D1189" i="4"/>
  <c r="C1189" i="4"/>
  <c r="B1189" i="4"/>
  <c r="R1189" i="4" s="1"/>
  <c r="A1189" i="4"/>
  <c r="M1188" i="4"/>
  <c r="F1188" i="4"/>
  <c r="E1188" i="4"/>
  <c r="D1188" i="4"/>
  <c r="C1188" i="4"/>
  <c r="B1188" i="4"/>
  <c r="R1188" i="4" s="1"/>
  <c r="A1188" i="4"/>
  <c r="V1188" i="4" s="1"/>
  <c r="F1187" i="4"/>
  <c r="E1187" i="4"/>
  <c r="D1187" i="4"/>
  <c r="C1187" i="4"/>
  <c r="B1187" i="4"/>
  <c r="S1187" i="4" s="1"/>
  <c r="A1187" i="4"/>
  <c r="O1187" i="4" s="1"/>
  <c r="F1186" i="4"/>
  <c r="E1186" i="4"/>
  <c r="D1186" i="4"/>
  <c r="C1186" i="4"/>
  <c r="B1186" i="4"/>
  <c r="R1186" i="4" s="1"/>
  <c r="A1186" i="4"/>
  <c r="T1186" i="4" s="1"/>
  <c r="W1185" i="4"/>
  <c r="F1185" i="4"/>
  <c r="E1185" i="4"/>
  <c r="D1185" i="4"/>
  <c r="C1185" i="4"/>
  <c r="B1185" i="4"/>
  <c r="S1185" i="4" s="1"/>
  <c r="A1185" i="4"/>
  <c r="F1184" i="4"/>
  <c r="E1184" i="4"/>
  <c r="D1184" i="4"/>
  <c r="C1184" i="4"/>
  <c r="B1184" i="4"/>
  <c r="A1184" i="4"/>
  <c r="J1184" i="4" s="1"/>
  <c r="T1183" i="4"/>
  <c r="F1183" i="4"/>
  <c r="E1183" i="4"/>
  <c r="D1183" i="4"/>
  <c r="C1183" i="4"/>
  <c r="B1183" i="4"/>
  <c r="A1183" i="4"/>
  <c r="F1182" i="4"/>
  <c r="E1182" i="4"/>
  <c r="D1182" i="4"/>
  <c r="C1182" i="4"/>
  <c r="B1182" i="4"/>
  <c r="I1182" i="4" s="1"/>
  <c r="A1182" i="4"/>
  <c r="F1181" i="4"/>
  <c r="E1181" i="4"/>
  <c r="D1181" i="4"/>
  <c r="C1181" i="4"/>
  <c r="B1181" i="4"/>
  <c r="R1181" i="4" s="1"/>
  <c r="A1181" i="4"/>
  <c r="F1180" i="4"/>
  <c r="E1180" i="4"/>
  <c r="D1180" i="4"/>
  <c r="C1180" i="4"/>
  <c r="B1180" i="4"/>
  <c r="R1180" i="4" s="1"/>
  <c r="A1180" i="4"/>
  <c r="V1180" i="4" s="1"/>
  <c r="F1179" i="4"/>
  <c r="E1179" i="4"/>
  <c r="D1179" i="4"/>
  <c r="C1179" i="4"/>
  <c r="B1179" i="4"/>
  <c r="S1179" i="4" s="1"/>
  <c r="A1179" i="4"/>
  <c r="U1179" i="4" s="1"/>
  <c r="F1178" i="4"/>
  <c r="E1178" i="4"/>
  <c r="D1178" i="4"/>
  <c r="C1178" i="4"/>
  <c r="B1178" i="4"/>
  <c r="R1178" i="4" s="1"/>
  <c r="A1178" i="4"/>
  <c r="V1178" i="4" s="1"/>
  <c r="H1177" i="4"/>
  <c r="N1177" i="4" s="1"/>
  <c r="F1177" i="4"/>
  <c r="E1177" i="4"/>
  <c r="D1177" i="4"/>
  <c r="C1177" i="4"/>
  <c r="B1177" i="4"/>
  <c r="S1177" i="4" s="1"/>
  <c r="A1177" i="4"/>
  <c r="P1177" i="4" s="1"/>
  <c r="W1176" i="4"/>
  <c r="O1176" i="4"/>
  <c r="F1176" i="4"/>
  <c r="E1176" i="4"/>
  <c r="D1176" i="4"/>
  <c r="C1176" i="4"/>
  <c r="B1176" i="4"/>
  <c r="A1176" i="4"/>
  <c r="J1176" i="4" s="1"/>
  <c r="F1175" i="4"/>
  <c r="E1175" i="4"/>
  <c r="D1175" i="4"/>
  <c r="C1175" i="4"/>
  <c r="B1175" i="4"/>
  <c r="S1175" i="4" s="1"/>
  <c r="A1175" i="4"/>
  <c r="W1175" i="4" s="1"/>
  <c r="F1174" i="4"/>
  <c r="E1174" i="4"/>
  <c r="D1174" i="4"/>
  <c r="C1174" i="4"/>
  <c r="B1174" i="4"/>
  <c r="R1174" i="4" s="1"/>
  <c r="A1174" i="4"/>
  <c r="M1174" i="4" s="1"/>
  <c r="F1173" i="4"/>
  <c r="E1173" i="4"/>
  <c r="D1173" i="4"/>
  <c r="C1173" i="4"/>
  <c r="B1173" i="4"/>
  <c r="A1173" i="4"/>
  <c r="P1173" i="4" s="1"/>
  <c r="F1172" i="4"/>
  <c r="E1172" i="4"/>
  <c r="D1172" i="4"/>
  <c r="C1172" i="4"/>
  <c r="B1172" i="4"/>
  <c r="A1172" i="4"/>
  <c r="V1172" i="4" s="1"/>
  <c r="F1171" i="4"/>
  <c r="E1171" i="4"/>
  <c r="D1171" i="4"/>
  <c r="C1171" i="4"/>
  <c r="B1171" i="4"/>
  <c r="R1171" i="4" s="1"/>
  <c r="A1171" i="4"/>
  <c r="W1171" i="4" s="1"/>
  <c r="F1170" i="4"/>
  <c r="E1170" i="4"/>
  <c r="D1170" i="4"/>
  <c r="C1170" i="4"/>
  <c r="B1170" i="4"/>
  <c r="Q1170" i="4" s="1"/>
  <c r="A1170" i="4"/>
  <c r="P1170" i="4" s="1"/>
  <c r="F1169" i="4"/>
  <c r="E1169" i="4"/>
  <c r="D1169" i="4"/>
  <c r="C1169" i="4"/>
  <c r="B1169" i="4"/>
  <c r="A1169" i="4"/>
  <c r="F1168" i="4"/>
  <c r="E1168" i="4"/>
  <c r="D1168" i="4"/>
  <c r="C1168" i="4"/>
  <c r="B1168" i="4"/>
  <c r="R1168" i="4" s="1"/>
  <c r="A1168" i="4"/>
  <c r="R1167" i="4"/>
  <c r="F1167" i="4"/>
  <c r="E1167" i="4"/>
  <c r="D1167" i="4"/>
  <c r="C1167" i="4"/>
  <c r="B1167" i="4"/>
  <c r="S1167" i="4" s="1"/>
  <c r="A1167" i="4"/>
  <c r="W1167" i="4" s="1"/>
  <c r="F1166" i="4"/>
  <c r="E1166" i="4"/>
  <c r="D1166" i="4"/>
  <c r="C1166" i="4"/>
  <c r="B1166" i="4"/>
  <c r="R1166" i="4" s="1"/>
  <c r="A1166" i="4"/>
  <c r="T1166" i="4" s="1"/>
  <c r="F1165" i="4"/>
  <c r="E1165" i="4"/>
  <c r="D1165" i="4"/>
  <c r="C1165" i="4"/>
  <c r="B1165" i="4"/>
  <c r="R1165" i="4" s="1"/>
  <c r="A1165" i="4"/>
  <c r="O1164" i="4"/>
  <c r="J1164" i="4"/>
  <c r="F1164" i="4"/>
  <c r="E1164" i="4"/>
  <c r="D1164" i="4"/>
  <c r="C1164" i="4"/>
  <c r="B1164" i="4"/>
  <c r="R1164" i="4" s="1"/>
  <c r="A1164" i="4"/>
  <c r="V1164" i="4" s="1"/>
  <c r="F1163" i="4"/>
  <c r="E1163" i="4"/>
  <c r="D1163" i="4"/>
  <c r="C1163" i="4"/>
  <c r="B1163" i="4"/>
  <c r="A1163" i="4"/>
  <c r="F1162" i="4"/>
  <c r="E1162" i="4"/>
  <c r="D1162" i="4"/>
  <c r="C1162" i="4"/>
  <c r="B1162" i="4"/>
  <c r="A1162" i="4"/>
  <c r="F1161" i="4"/>
  <c r="E1161" i="4"/>
  <c r="D1161" i="4"/>
  <c r="C1161" i="4"/>
  <c r="B1161" i="4"/>
  <c r="S1161" i="4" s="1"/>
  <c r="A1161" i="4"/>
  <c r="S1160" i="4"/>
  <c r="F1160" i="4"/>
  <c r="E1160" i="4"/>
  <c r="D1160" i="4"/>
  <c r="C1160" i="4"/>
  <c r="B1160" i="4"/>
  <c r="A1160" i="4"/>
  <c r="J1160" i="4" s="1"/>
  <c r="U1159" i="4"/>
  <c r="F1159" i="4"/>
  <c r="E1159" i="4"/>
  <c r="D1159" i="4"/>
  <c r="C1159" i="4"/>
  <c r="B1159" i="4"/>
  <c r="R1159" i="4" s="1"/>
  <c r="A1159" i="4"/>
  <c r="F1158" i="4"/>
  <c r="E1158" i="4"/>
  <c r="D1158" i="4"/>
  <c r="C1158" i="4"/>
  <c r="B1158" i="4"/>
  <c r="A1158" i="4"/>
  <c r="F1157" i="4"/>
  <c r="E1157" i="4"/>
  <c r="D1157" i="4"/>
  <c r="C1157" i="4"/>
  <c r="B1157" i="4"/>
  <c r="A1157" i="4"/>
  <c r="P1157" i="4" s="1"/>
  <c r="F1156" i="4"/>
  <c r="E1156" i="4"/>
  <c r="D1156" i="4"/>
  <c r="C1156" i="4"/>
  <c r="B1156" i="4"/>
  <c r="S1156" i="4" s="1"/>
  <c r="A1156" i="4"/>
  <c r="V1155" i="4"/>
  <c r="F1155" i="4"/>
  <c r="E1155" i="4"/>
  <c r="D1155" i="4"/>
  <c r="C1155" i="4"/>
  <c r="B1155" i="4"/>
  <c r="I1155" i="4" s="1"/>
  <c r="A1155" i="4"/>
  <c r="O1155" i="4" s="1"/>
  <c r="H1154" i="4"/>
  <c r="L1154" i="4" s="1"/>
  <c r="F1154" i="4"/>
  <c r="E1154" i="4"/>
  <c r="D1154" i="4"/>
  <c r="C1154" i="4"/>
  <c r="B1154" i="4"/>
  <c r="R1154" i="4" s="1"/>
  <c r="A1154" i="4"/>
  <c r="V1154" i="4" s="1"/>
  <c r="K1153" i="4"/>
  <c r="F1153" i="4"/>
  <c r="E1153" i="4"/>
  <c r="D1153" i="4"/>
  <c r="C1153" i="4"/>
  <c r="B1153" i="4"/>
  <c r="S1153" i="4" s="1"/>
  <c r="A1153" i="4"/>
  <c r="V1152" i="4"/>
  <c r="Q1152" i="4"/>
  <c r="F1152" i="4"/>
  <c r="E1152" i="4"/>
  <c r="D1152" i="4"/>
  <c r="C1152" i="4"/>
  <c r="B1152" i="4"/>
  <c r="R1152" i="4" s="1"/>
  <c r="A1152" i="4"/>
  <c r="J1152" i="4" s="1"/>
  <c r="F1151" i="4"/>
  <c r="E1151" i="4"/>
  <c r="D1151" i="4"/>
  <c r="C1151" i="4"/>
  <c r="B1151" i="4"/>
  <c r="A1151" i="4"/>
  <c r="F1150" i="4"/>
  <c r="E1150" i="4"/>
  <c r="D1150" i="4"/>
  <c r="C1150" i="4"/>
  <c r="B1150" i="4"/>
  <c r="Q1150" i="4" s="1"/>
  <c r="A1150" i="4"/>
  <c r="M1150" i="4" s="1"/>
  <c r="Q1149" i="4"/>
  <c r="F1149" i="4"/>
  <c r="E1149" i="4"/>
  <c r="D1149" i="4"/>
  <c r="C1149" i="4"/>
  <c r="B1149" i="4"/>
  <c r="R1149" i="4" s="1"/>
  <c r="A1149" i="4"/>
  <c r="P1148" i="4"/>
  <c r="G1148" i="4"/>
  <c r="F1148" i="4"/>
  <c r="E1148" i="4"/>
  <c r="D1148" i="4"/>
  <c r="C1148" i="4"/>
  <c r="B1148" i="4"/>
  <c r="S1148" i="4" s="1"/>
  <c r="A1148" i="4"/>
  <c r="V1148" i="4" s="1"/>
  <c r="T1147" i="4"/>
  <c r="G1147" i="4"/>
  <c r="F1147" i="4"/>
  <c r="E1147" i="4"/>
  <c r="D1147" i="4"/>
  <c r="C1147" i="4"/>
  <c r="B1147" i="4"/>
  <c r="A1147" i="4"/>
  <c r="V1147" i="4" s="1"/>
  <c r="U1146" i="4"/>
  <c r="H1146" i="4"/>
  <c r="F1146" i="4"/>
  <c r="E1146" i="4"/>
  <c r="D1146" i="4"/>
  <c r="C1146" i="4"/>
  <c r="B1146" i="4"/>
  <c r="R1146" i="4" s="1"/>
  <c r="A1146" i="4"/>
  <c r="V1146" i="4" s="1"/>
  <c r="V1145" i="4"/>
  <c r="P1145" i="4"/>
  <c r="F1145" i="4"/>
  <c r="E1145" i="4"/>
  <c r="D1145" i="4"/>
  <c r="C1145" i="4"/>
  <c r="B1145" i="4"/>
  <c r="A1145" i="4"/>
  <c r="K1145" i="4" s="1"/>
  <c r="W1144" i="4"/>
  <c r="Q1144" i="4"/>
  <c r="F1144" i="4"/>
  <c r="E1144" i="4"/>
  <c r="D1144" i="4"/>
  <c r="C1144" i="4"/>
  <c r="B1144" i="4"/>
  <c r="R1144" i="4" s="1"/>
  <c r="A1144" i="4"/>
  <c r="K1144" i="4" s="1"/>
  <c r="V1143" i="4"/>
  <c r="F1143" i="4"/>
  <c r="E1143" i="4"/>
  <c r="D1143" i="4"/>
  <c r="C1143" i="4"/>
  <c r="B1143" i="4"/>
  <c r="H1143" i="4" s="1"/>
  <c r="A1143" i="4"/>
  <c r="W1143" i="4" s="1"/>
  <c r="F1142" i="4"/>
  <c r="E1142" i="4"/>
  <c r="D1142" i="4"/>
  <c r="C1142" i="4"/>
  <c r="B1142" i="4"/>
  <c r="A1142" i="4"/>
  <c r="O1142" i="4" s="1"/>
  <c r="F1141" i="4"/>
  <c r="E1141" i="4"/>
  <c r="D1141" i="4"/>
  <c r="C1141" i="4"/>
  <c r="B1141" i="4"/>
  <c r="S1141" i="4" s="1"/>
  <c r="A1141" i="4"/>
  <c r="T1141" i="4" s="1"/>
  <c r="F1140" i="4"/>
  <c r="E1140" i="4"/>
  <c r="D1140" i="4"/>
  <c r="C1140" i="4"/>
  <c r="B1140" i="4"/>
  <c r="A1140" i="4"/>
  <c r="F1139" i="4"/>
  <c r="E1139" i="4"/>
  <c r="D1139" i="4"/>
  <c r="C1139" i="4"/>
  <c r="B1139" i="4"/>
  <c r="Q1139" i="4" s="1"/>
  <c r="A1139" i="4"/>
  <c r="P1139" i="4" s="1"/>
  <c r="F1138" i="4"/>
  <c r="E1138" i="4"/>
  <c r="D1138" i="4"/>
  <c r="C1138" i="4"/>
  <c r="B1138" i="4"/>
  <c r="R1138" i="4" s="1"/>
  <c r="A1138" i="4"/>
  <c r="K1138" i="4" s="1"/>
  <c r="F1137" i="4"/>
  <c r="E1137" i="4"/>
  <c r="D1137" i="4"/>
  <c r="C1137" i="4"/>
  <c r="B1137" i="4"/>
  <c r="A1137" i="4"/>
  <c r="K1137" i="4" s="1"/>
  <c r="F1136" i="4"/>
  <c r="E1136" i="4"/>
  <c r="D1136" i="4"/>
  <c r="C1136" i="4"/>
  <c r="B1136" i="4"/>
  <c r="A1136" i="4"/>
  <c r="G1136" i="4" s="1"/>
  <c r="F1135" i="4"/>
  <c r="E1135" i="4"/>
  <c r="D1135" i="4"/>
  <c r="C1135" i="4"/>
  <c r="B1135" i="4"/>
  <c r="A1135" i="4"/>
  <c r="F1134" i="4"/>
  <c r="E1134" i="4"/>
  <c r="D1134" i="4"/>
  <c r="C1134" i="4"/>
  <c r="B1134" i="4"/>
  <c r="H1134" i="4" s="1"/>
  <c r="N1134" i="4" s="1"/>
  <c r="A1134" i="4"/>
  <c r="W1134" i="4" s="1"/>
  <c r="F1133" i="4"/>
  <c r="E1133" i="4"/>
  <c r="D1133" i="4"/>
  <c r="C1133" i="4"/>
  <c r="B1133" i="4"/>
  <c r="R1133" i="4" s="1"/>
  <c r="A1133" i="4"/>
  <c r="V1133" i="4" s="1"/>
  <c r="F1132" i="4"/>
  <c r="E1132" i="4"/>
  <c r="D1132" i="4"/>
  <c r="C1132" i="4"/>
  <c r="B1132" i="4"/>
  <c r="H1132" i="4" s="1"/>
  <c r="A1132" i="4"/>
  <c r="O1132" i="4" s="1"/>
  <c r="F1131" i="4"/>
  <c r="E1131" i="4"/>
  <c r="D1131" i="4"/>
  <c r="C1131" i="4"/>
  <c r="B1131" i="4"/>
  <c r="R1131" i="4" s="1"/>
  <c r="A1131" i="4"/>
  <c r="W1131" i="4" s="1"/>
  <c r="F1130" i="4"/>
  <c r="E1130" i="4"/>
  <c r="D1130" i="4"/>
  <c r="C1130" i="4"/>
  <c r="B1130" i="4"/>
  <c r="A1130" i="4"/>
  <c r="P1130" i="4" s="1"/>
  <c r="F1129" i="4"/>
  <c r="E1129" i="4"/>
  <c r="D1129" i="4"/>
  <c r="C1129" i="4"/>
  <c r="B1129" i="4"/>
  <c r="A1129" i="4"/>
  <c r="F1128" i="4"/>
  <c r="E1128" i="4"/>
  <c r="D1128" i="4"/>
  <c r="C1128" i="4"/>
  <c r="B1128" i="4"/>
  <c r="S1128" i="4" s="1"/>
  <c r="A1128" i="4"/>
  <c r="H1127" i="4"/>
  <c r="F1127" i="4"/>
  <c r="E1127" i="4"/>
  <c r="D1127" i="4"/>
  <c r="C1127" i="4"/>
  <c r="B1127" i="4"/>
  <c r="R1127" i="4" s="1"/>
  <c r="A1127" i="4"/>
  <c r="K1127" i="4" s="1"/>
  <c r="F1126" i="4"/>
  <c r="E1126" i="4"/>
  <c r="D1126" i="4"/>
  <c r="C1126" i="4"/>
  <c r="B1126" i="4"/>
  <c r="A1126" i="4"/>
  <c r="P1126" i="4" s="1"/>
  <c r="V1125" i="4"/>
  <c r="F1125" i="4"/>
  <c r="E1125" i="4"/>
  <c r="D1125" i="4"/>
  <c r="C1125" i="4"/>
  <c r="B1125" i="4"/>
  <c r="A1125" i="4"/>
  <c r="K1125" i="4" s="1"/>
  <c r="F1124" i="4"/>
  <c r="E1124" i="4"/>
  <c r="D1124" i="4"/>
  <c r="C1124" i="4"/>
  <c r="B1124" i="4"/>
  <c r="A1124" i="4"/>
  <c r="W1124" i="4" s="1"/>
  <c r="Q1123" i="4"/>
  <c r="I1123" i="4"/>
  <c r="H1123" i="4"/>
  <c r="N1123" i="4" s="1"/>
  <c r="F1123" i="4"/>
  <c r="E1123" i="4"/>
  <c r="D1123" i="4"/>
  <c r="C1123" i="4"/>
  <c r="B1123" i="4"/>
  <c r="R1123" i="4" s="1"/>
  <c r="A1123" i="4"/>
  <c r="V1122" i="4"/>
  <c r="G1122" i="4"/>
  <c r="F1122" i="4"/>
  <c r="E1122" i="4"/>
  <c r="D1122" i="4"/>
  <c r="C1122" i="4"/>
  <c r="B1122" i="4"/>
  <c r="R1122" i="4" s="1"/>
  <c r="A1122" i="4"/>
  <c r="U1122" i="4" s="1"/>
  <c r="F1121" i="4"/>
  <c r="E1121" i="4"/>
  <c r="D1121" i="4"/>
  <c r="C1121" i="4"/>
  <c r="B1121" i="4"/>
  <c r="R1121" i="4" s="1"/>
  <c r="A1121" i="4"/>
  <c r="F1120" i="4"/>
  <c r="E1120" i="4"/>
  <c r="D1120" i="4"/>
  <c r="C1120" i="4"/>
  <c r="B1120" i="4"/>
  <c r="S1120" i="4" s="1"/>
  <c r="A1120" i="4"/>
  <c r="T1120" i="4" s="1"/>
  <c r="G1119" i="4"/>
  <c r="F1119" i="4"/>
  <c r="E1119" i="4"/>
  <c r="D1119" i="4"/>
  <c r="C1119" i="4"/>
  <c r="B1119" i="4"/>
  <c r="R1119" i="4" s="1"/>
  <c r="A1119" i="4"/>
  <c r="J1119" i="4" s="1"/>
  <c r="G1118" i="4"/>
  <c r="F1118" i="4"/>
  <c r="E1118" i="4"/>
  <c r="D1118" i="4"/>
  <c r="C1118" i="4"/>
  <c r="B1118" i="4"/>
  <c r="R1118" i="4" s="1"/>
  <c r="A1118" i="4"/>
  <c r="P1118" i="4" s="1"/>
  <c r="F1117" i="4"/>
  <c r="E1117" i="4"/>
  <c r="D1117" i="4"/>
  <c r="C1117" i="4"/>
  <c r="B1117" i="4"/>
  <c r="H1117" i="4" s="1"/>
  <c r="A1117" i="4"/>
  <c r="J1116" i="4"/>
  <c r="F1116" i="4"/>
  <c r="E1116" i="4"/>
  <c r="D1116" i="4"/>
  <c r="C1116" i="4"/>
  <c r="B1116" i="4"/>
  <c r="H1116" i="4" s="1"/>
  <c r="A1116" i="4"/>
  <c r="W1116" i="4" s="1"/>
  <c r="H1115" i="4"/>
  <c r="N1115" i="4" s="1"/>
  <c r="F1115" i="4"/>
  <c r="E1115" i="4"/>
  <c r="D1115" i="4"/>
  <c r="C1115" i="4"/>
  <c r="B1115" i="4"/>
  <c r="R1115" i="4" s="1"/>
  <c r="A1115" i="4"/>
  <c r="W1115" i="4" s="1"/>
  <c r="S1114" i="4"/>
  <c r="H1114" i="4"/>
  <c r="L1114" i="4" s="1"/>
  <c r="F1114" i="4"/>
  <c r="E1114" i="4"/>
  <c r="D1114" i="4"/>
  <c r="C1114" i="4"/>
  <c r="B1114" i="4"/>
  <c r="R1114" i="4" s="1"/>
  <c r="A1114" i="4"/>
  <c r="F1113" i="4"/>
  <c r="E1113" i="4"/>
  <c r="D1113" i="4"/>
  <c r="C1113" i="4"/>
  <c r="B1113" i="4"/>
  <c r="A1113" i="4"/>
  <c r="F1112" i="4"/>
  <c r="E1112" i="4"/>
  <c r="D1112" i="4"/>
  <c r="C1112" i="4"/>
  <c r="B1112" i="4"/>
  <c r="A1112" i="4"/>
  <c r="F1111" i="4"/>
  <c r="E1111" i="4"/>
  <c r="D1111" i="4"/>
  <c r="C1111" i="4"/>
  <c r="B1111" i="4"/>
  <c r="R1111" i="4" s="1"/>
  <c r="A1111" i="4"/>
  <c r="P1111" i="4" s="1"/>
  <c r="T1110" i="4"/>
  <c r="F1110" i="4"/>
  <c r="E1110" i="4"/>
  <c r="D1110" i="4"/>
  <c r="C1110" i="4"/>
  <c r="B1110" i="4"/>
  <c r="A1110" i="4"/>
  <c r="P1110" i="4" s="1"/>
  <c r="F1109" i="4"/>
  <c r="E1109" i="4"/>
  <c r="D1109" i="4"/>
  <c r="C1109" i="4"/>
  <c r="B1109" i="4"/>
  <c r="A1109" i="4"/>
  <c r="K1109" i="4" s="1"/>
  <c r="F1108" i="4"/>
  <c r="E1108" i="4"/>
  <c r="D1108" i="4"/>
  <c r="C1108" i="4"/>
  <c r="B1108" i="4"/>
  <c r="A1108" i="4"/>
  <c r="F1107" i="4"/>
  <c r="E1107" i="4"/>
  <c r="D1107" i="4"/>
  <c r="C1107" i="4"/>
  <c r="B1107" i="4"/>
  <c r="S1107" i="4" s="1"/>
  <c r="A1107" i="4"/>
  <c r="F1106" i="4"/>
  <c r="E1106" i="4"/>
  <c r="D1106" i="4"/>
  <c r="C1106" i="4"/>
  <c r="B1106" i="4"/>
  <c r="R1106" i="4" s="1"/>
  <c r="A1106" i="4"/>
  <c r="J1106" i="4" s="1"/>
  <c r="F1105" i="4"/>
  <c r="E1105" i="4"/>
  <c r="D1105" i="4"/>
  <c r="C1105" i="4"/>
  <c r="B1105" i="4"/>
  <c r="R1105" i="4" s="1"/>
  <c r="A1105" i="4"/>
  <c r="O1105" i="4" s="1"/>
  <c r="F1104" i="4"/>
  <c r="E1104" i="4"/>
  <c r="D1104" i="4"/>
  <c r="C1104" i="4"/>
  <c r="B1104" i="4"/>
  <c r="A1104" i="4"/>
  <c r="V1104" i="4" s="1"/>
  <c r="F1103" i="4"/>
  <c r="E1103" i="4"/>
  <c r="D1103" i="4"/>
  <c r="C1103" i="4"/>
  <c r="B1103" i="4"/>
  <c r="A1103" i="4"/>
  <c r="J1103" i="4" s="1"/>
  <c r="F1102" i="4"/>
  <c r="E1102" i="4"/>
  <c r="D1102" i="4"/>
  <c r="C1102" i="4"/>
  <c r="B1102" i="4"/>
  <c r="R1102" i="4" s="1"/>
  <c r="A1102" i="4"/>
  <c r="P1102" i="4" s="1"/>
  <c r="F1101" i="4"/>
  <c r="E1101" i="4"/>
  <c r="D1101" i="4"/>
  <c r="C1101" i="4"/>
  <c r="B1101" i="4"/>
  <c r="H1101" i="4" s="1"/>
  <c r="L1101" i="4" s="1"/>
  <c r="A1101" i="4"/>
  <c r="F1100" i="4"/>
  <c r="E1100" i="4"/>
  <c r="D1100" i="4"/>
  <c r="C1100" i="4"/>
  <c r="B1100" i="4"/>
  <c r="H1100" i="4" s="1"/>
  <c r="A1100" i="4"/>
  <c r="J1100" i="4" s="1"/>
  <c r="F1099" i="4"/>
  <c r="E1099" i="4"/>
  <c r="D1099" i="4"/>
  <c r="C1099" i="4"/>
  <c r="B1099" i="4"/>
  <c r="A1099" i="4"/>
  <c r="W1099" i="4" s="1"/>
  <c r="V1098" i="4"/>
  <c r="F1098" i="4"/>
  <c r="E1098" i="4"/>
  <c r="D1098" i="4"/>
  <c r="C1098" i="4"/>
  <c r="B1098" i="4"/>
  <c r="A1098" i="4"/>
  <c r="F1097" i="4"/>
  <c r="E1097" i="4"/>
  <c r="D1097" i="4"/>
  <c r="C1097" i="4"/>
  <c r="B1097" i="4"/>
  <c r="R1097" i="4" s="1"/>
  <c r="A1097" i="4"/>
  <c r="M1097" i="4" s="1"/>
  <c r="F1096" i="4"/>
  <c r="E1096" i="4"/>
  <c r="D1096" i="4"/>
  <c r="C1096" i="4"/>
  <c r="B1096" i="4"/>
  <c r="A1096" i="4"/>
  <c r="F1095" i="4"/>
  <c r="E1095" i="4"/>
  <c r="D1095" i="4"/>
  <c r="C1095" i="4"/>
  <c r="B1095" i="4"/>
  <c r="R1095" i="4" s="1"/>
  <c r="A1095" i="4"/>
  <c r="M1095" i="4" s="1"/>
  <c r="U1094" i="4"/>
  <c r="T1094" i="4"/>
  <c r="F1094" i="4"/>
  <c r="E1094" i="4"/>
  <c r="D1094" i="4"/>
  <c r="C1094" i="4"/>
  <c r="B1094" i="4"/>
  <c r="S1094" i="4" s="1"/>
  <c r="A1094" i="4"/>
  <c r="F1093" i="4"/>
  <c r="E1093" i="4"/>
  <c r="D1093" i="4"/>
  <c r="C1093" i="4"/>
  <c r="B1093" i="4"/>
  <c r="A1093" i="4"/>
  <c r="K1093" i="4" s="1"/>
  <c r="F1092" i="4"/>
  <c r="E1092" i="4"/>
  <c r="D1092" i="4"/>
  <c r="C1092" i="4"/>
  <c r="B1092" i="4"/>
  <c r="S1092" i="4" s="1"/>
  <c r="A1092" i="4"/>
  <c r="Q1091" i="4"/>
  <c r="H1091" i="4"/>
  <c r="F1091" i="4"/>
  <c r="E1091" i="4"/>
  <c r="D1091" i="4"/>
  <c r="C1091" i="4"/>
  <c r="B1091" i="4"/>
  <c r="A1091" i="4"/>
  <c r="G1091" i="4" s="1"/>
  <c r="K1090" i="4"/>
  <c r="G1090" i="4"/>
  <c r="F1090" i="4"/>
  <c r="E1090" i="4"/>
  <c r="D1090" i="4"/>
  <c r="C1090" i="4"/>
  <c r="B1090" i="4"/>
  <c r="R1090" i="4" s="1"/>
  <c r="A1090" i="4"/>
  <c r="U1090" i="4" s="1"/>
  <c r="O1089" i="4"/>
  <c r="G1089" i="4"/>
  <c r="F1089" i="4"/>
  <c r="E1089" i="4"/>
  <c r="D1089" i="4"/>
  <c r="C1089" i="4"/>
  <c r="B1089" i="4"/>
  <c r="A1089" i="4"/>
  <c r="T1089" i="4" s="1"/>
  <c r="U1088" i="4"/>
  <c r="F1088" i="4"/>
  <c r="E1088" i="4"/>
  <c r="D1088" i="4"/>
  <c r="C1088" i="4"/>
  <c r="B1088" i="4"/>
  <c r="A1088" i="4"/>
  <c r="V1088" i="4" s="1"/>
  <c r="F1087" i="4"/>
  <c r="E1087" i="4"/>
  <c r="D1087" i="4"/>
  <c r="C1087" i="4"/>
  <c r="B1087" i="4"/>
  <c r="S1087" i="4" s="1"/>
  <c r="A1087" i="4"/>
  <c r="U1087" i="4" s="1"/>
  <c r="V1086" i="4"/>
  <c r="F1086" i="4"/>
  <c r="E1086" i="4"/>
  <c r="D1086" i="4"/>
  <c r="C1086" i="4"/>
  <c r="B1086" i="4"/>
  <c r="A1086" i="4"/>
  <c r="Q1085" i="4"/>
  <c r="F1085" i="4"/>
  <c r="E1085" i="4"/>
  <c r="D1085" i="4"/>
  <c r="C1085" i="4"/>
  <c r="B1085" i="4"/>
  <c r="A1085" i="4"/>
  <c r="J1085" i="4" s="1"/>
  <c r="F1084" i="4"/>
  <c r="E1084" i="4"/>
  <c r="D1084" i="4"/>
  <c r="C1084" i="4"/>
  <c r="B1084" i="4"/>
  <c r="H1084" i="4" s="1"/>
  <c r="A1084" i="4"/>
  <c r="U1084" i="4" s="1"/>
  <c r="I1083" i="4"/>
  <c r="H1083" i="4"/>
  <c r="N1083" i="4" s="1"/>
  <c r="F1083" i="4"/>
  <c r="E1083" i="4"/>
  <c r="D1083" i="4"/>
  <c r="C1083" i="4"/>
  <c r="B1083" i="4"/>
  <c r="R1083" i="4" s="1"/>
  <c r="A1083" i="4"/>
  <c r="H1082" i="4"/>
  <c r="L1082" i="4" s="1"/>
  <c r="F1082" i="4"/>
  <c r="E1082" i="4"/>
  <c r="D1082" i="4"/>
  <c r="C1082" i="4"/>
  <c r="B1082" i="4"/>
  <c r="R1082" i="4" s="1"/>
  <c r="A1082" i="4"/>
  <c r="U1082" i="4" s="1"/>
  <c r="W1081" i="4"/>
  <c r="F1081" i="4"/>
  <c r="E1081" i="4"/>
  <c r="D1081" i="4"/>
  <c r="C1081" i="4"/>
  <c r="B1081" i="4"/>
  <c r="R1081" i="4" s="1"/>
  <c r="A1081" i="4"/>
  <c r="T1081" i="4" s="1"/>
  <c r="V1080" i="4"/>
  <c r="F1080" i="4"/>
  <c r="E1080" i="4"/>
  <c r="D1080" i="4"/>
  <c r="C1080" i="4"/>
  <c r="B1080" i="4"/>
  <c r="A1080" i="4"/>
  <c r="M1080" i="4" s="1"/>
  <c r="S1079" i="4"/>
  <c r="F1079" i="4"/>
  <c r="E1079" i="4"/>
  <c r="D1079" i="4"/>
  <c r="C1079" i="4"/>
  <c r="B1079" i="4"/>
  <c r="R1079" i="4" s="1"/>
  <c r="A1079" i="4"/>
  <c r="J1079" i="4" s="1"/>
  <c r="S1078" i="4"/>
  <c r="F1078" i="4"/>
  <c r="E1078" i="4"/>
  <c r="D1078" i="4"/>
  <c r="C1078" i="4"/>
  <c r="B1078" i="4"/>
  <c r="A1078" i="4"/>
  <c r="P1078" i="4" s="1"/>
  <c r="F1077" i="4"/>
  <c r="E1077" i="4"/>
  <c r="D1077" i="4"/>
  <c r="C1077" i="4"/>
  <c r="B1077" i="4"/>
  <c r="R1077" i="4" s="1"/>
  <c r="A1077" i="4"/>
  <c r="J1077" i="4" s="1"/>
  <c r="F1076" i="4"/>
  <c r="E1076" i="4"/>
  <c r="D1076" i="4"/>
  <c r="C1076" i="4"/>
  <c r="B1076" i="4"/>
  <c r="A1076" i="4"/>
  <c r="F1075" i="4"/>
  <c r="E1075" i="4"/>
  <c r="D1075" i="4"/>
  <c r="C1075" i="4"/>
  <c r="B1075" i="4"/>
  <c r="R1075" i="4" s="1"/>
  <c r="A1075" i="4"/>
  <c r="F1074" i="4"/>
  <c r="E1074" i="4"/>
  <c r="D1074" i="4"/>
  <c r="C1074" i="4"/>
  <c r="B1074" i="4"/>
  <c r="A1074" i="4"/>
  <c r="U1074" i="4" s="1"/>
  <c r="F1073" i="4"/>
  <c r="E1073" i="4"/>
  <c r="D1073" i="4"/>
  <c r="C1073" i="4"/>
  <c r="B1073" i="4"/>
  <c r="A1073" i="4"/>
  <c r="M1073" i="4" s="1"/>
  <c r="V1072" i="4"/>
  <c r="I1072" i="4"/>
  <c r="F1072" i="4"/>
  <c r="E1072" i="4"/>
  <c r="D1072" i="4"/>
  <c r="C1072" i="4"/>
  <c r="B1072" i="4"/>
  <c r="A1072" i="4"/>
  <c r="U1072" i="4" s="1"/>
  <c r="U1071" i="4"/>
  <c r="H1071" i="4"/>
  <c r="N1071" i="4" s="1"/>
  <c r="F1071" i="4"/>
  <c r="E1071" i="4"/>
  <c r="D1071" i="4"/>
  <c r="C1071" i="4"/>
  <c r="B1071" i="4"/>
  <c r="R1071" i="4" s="1"/>
  <c r="A1071" i="4"/>
  <c r="G1071" i="4" s="1"/>
  <c r="F1070" i="4"/>
  <c r="E1070" i="4"/>
  <c r="D1070" i="4"/>
  <c r="C1070" i="4"/>
  <c r="B1070" i="4"/>
  <c r="S1070" i="4" s="1"/>
  <c r="A1070" i="4"/>
  <c r="F1069" i="4"/>
  <c r="E1069" i="4"/>
  <c r="D1069" i="4"/>
  <c r="C1069" i="4"/>
  <c r="B1069" i="4"/>
  <c r="H1069" i="4" s="1"/>
  <c r="A1069" i="4"/>
  <c r="V1069" i="4" s="1"/>
  <c r="F1068" i="4"/>
  <c r="E1068" i="4"/>
  <c r="D1068" i="4"/>
  <c r="C1068" i="4"/>
  <c r="B1068" i="4"/>
  <c r="S1068" i="4" s="1"/>
  <c r="A1068" i="4"/>
  <c r="U1068" i="4" s="1"/>
  <c r="K1067" i="4"/>
  <c r="F1067" i="4"/>
  <c r="E1067" i="4"/>
  <c r="D1067" i="4"/>
  <c r="C1067" i="4"/>
  <c r="B1067" i="4"/>
  <c r="R1067" i="4" s="1"/>
  <c r="A1067" i="4"/>
  <c r="T1067" i="4" s="1"/>
  <c r="R1066" i="4"/>
  <c r="F1066" i="4"/>
  <c r="E1066" i="4"/>
  <c r="D1066" i="4"/>
  <c r="C1066" i="4"/>
  <c r="B1066" i="4"/>
  <c r="H1066" i="4" s="1"/>
  <c r="A1066" i="4"/>
  <c r="I1065" i="4"/>
  <c r="F1065" i="4"/>
  <c r="E1065" i="4"/>
  <c r="D1065" i="4"/>
  <c r="C1065" i="4"/>
  <c r="B1065" i="4"/>
  <c r="R1065" i="4" s="1"/>
  <c r="A1065" i="4"/>
  <c r="F1064" i="4"/>
  <c r="E1064" i="4"/>
  <c r="D1064" i="4"/>
  <c r="C1064" i="4"/>
  <c r="B1064" i="4"/>
  <c r="A1064" i="4"/>
  <c r="F1063" i="4"/>
  <c r="E1063" i="4"/>
  <c r="D1063" i="4"/>
  <c r="C1063" i="4"/>
  <c r="B1063" i="4"/>
  <c r="S1063" i="4" s="1"/>
  <c r="A1063" i="4"/>
  <c r="J1063" i="4" s="1"/>
  <c r="F1062" i="4"/>
  <c r="E1062" i="4"/>
  <c r="D1062" i="4"/>
  <c r="C1062" i="4"/>
  <c r="B1062" i="4"/>
  <c r="R1062" i="4" s="1"/>
  <c r="A1062" i="4"/>
  <c r="U1062" i="4" s="1"/>
  <c r="F1061" i="4"/>
  <c r="E1061" i="4"/>
  <c r="D1061" i="4"/>
  <c r="C1061" i="4"/>
  <c r="B1061" i="4"/>
  <c r="Q1061" i="4" s="1"/>
  <c r="A1061" i="4"/>
  <c r="M1061" i="4" s="1"/>
  <c r="F1060" i="4"/>
  <c r="E1060" i="4"/>
  <c r="D1060" i="4"/>
  <c r="C1060" i="4"/>
  <c r="B1060" i="4"/>
  <c r="I1060" i="4" s="1"/>
  <c r="A1060" i="4"/>
  <c r="U1060" i="4" s="1"/>
  <c r="F1059" i="4"/>
  <c r="E1059" i="4"/>
  <c r="D1059" i="4"/>
  <c r="C1059" i="4"/>
  <c r="B1059" i="4"/>
  <c r="S1059" i="4" s="1"/>
  <c r="A1059" i="4"/>
  <c r="O1059" i="4" s="1"/>
  <c r="G1058" i="4"/>
  <c r="F1058" i="4"/>
  <c r="E1058" i="4"/>
  <c r="D1058" i="4"/>
  <c r="C1058" i="4"/>
  <c r="B1058" i="4"/>
  <c r="S1058" i="4" s="1"/>
  <c r="A1058" i="4"/>
  <c r="P1058" i="4" s="1"/>
  <c r="F1057" i="4"/>
  <c r="E1057" i="4"/>
  <c r="D1057" i="4"/>
  <c r="C1057" i="4"/>
  <c r="B1057" i="4"/>
  <c r="I1057" i="4" s="1"/>
  <c r="A1057" i="4"/>
  <c r="F1056" i="4"/>
  <c r="E1056" i="4"/>
  <c r="D1056" i="4"/>
  <c r="C1056" i="4"/>
  <c r="B1056" i="4"/>
  <c r="A1056" i="4"/>
  <c r="T1056" i="4" s="1"/>
  <c r="P1055" i="4"/>
  <c r="F1055" i="4"/>
  <c r="E1055" i="4"/>
  <c r="D1055" i="4"/>
  <c r="C1055" i="4"/>
  <c r="B1055" i="4"/>
  <c r="R1055" i="4" s="1"/>
  <c r="A1055" i="4"/>
  <c r="F1054" i="4"/>
  <c r="E1054" i="4"/>
  <c r="D1054" i="4"/>
  <c r="C1054" i="4"/>
  <c r="B1054" i="4"/>
  <c r="A1054" i="4"/>
  <c r="P1054" i="4" s="1"/>
  <c r="F1053" i="4"/>
  <c r="E1053" i="4"/>
  <c r="D1053" i="4"/>
  <c r="C1053" i="4"/>
  <c r="B1053" i="4"/>
  <c r="H1053" i="4" s="1"/>
  <c r="A1053" i="4"/>
  <c r="S1052" i="4"/>
  <c r="F1052" i="4"/>
  <c r="E1052" i="4"/>
  <c r="D1052" i="4"/>
  <c r="C1052" i="4"/>
  <c r="B1052" i="4"/>
  <c r="R1052" i="4" s="1"/>
  <c r="A1052" i="4"/>
  <c r="F1051" i="4"/>
  <c r="E1051" i="4"/>
  <c r="D1051" i="4"/>
  <c r="C1051" i="4"/>
  <c r="B1051" i="4"/>
  <c r="A1051" i="4"/>
  <c r="K1050" i="4"/>
  <c r="F1050" i="4"/>
  <c r="E1050" i="4"/>
  <c r="D1050" i="4"/>
  <c r="C1050" i="4"/>
  <c r="B1050" i="4"/>
  <c r="I1050" i="4" s="1"/>
  <c r="A1050" i="4"/>
  <c r="U1049" i="4"/>
  <c r="F1049" i="4"/>
  <c r="E1049" i="4"/>
  <c r="D1049" i="4"/>
  <c r="C1049" i="4"/>
  <c r="B1049" i="4"/>
  <c r="A1049" i="4"/>
  <c r="G1049" i="4" s="1"/>
  <c r="M1048" i="4"/>
  <c r="F1048" i="4"/>
  <c r="E1048" i="4"/>
  <c r="D1048" i="4"/>
  <c r="C1048" i="4"/>
  <c r="B1048" i="4"/>
  <c r="A1048" i="4"/>
  <c r="F1047" i="4"/>
  <c r="E1047" i="4"/>
  <c r="D1047" i="4"/>
  <c r="C1047" i="4"/>
  <c r="B1047" i="4"/>
  <c r="A1047" i="4"/>
  <c r="F1046" i="4"/>
  <c r="E1046" i="4"/>
  <c r="D1046" i="4"/>
  <c r="C1046" i="4"/>
  <c r="B1046" i="4"/>
  <c r="A1046" i="4"/>
  <c r="F1045" i="4"/>
  <c r="E1045" i="4"/>
  <c r="D1045" i="4"/>
  <c r="C1045" i="4"/>
  <c r="B1045" i="4"/>
  <c r="A1045" i="4"/>
  <c r="T1045" i="4" s="1"/>
  <c r="P1044" i="4"/>
  <c r="F1044" i="4"/>
  <c r="E1044" i="4"/>
  <c r="D1044" i="4"/>
  <c r="C1044" i="4"/>
  <c r="B1044" i="4"/>
  <c r="A1044" i="4"/>
  <c r="M1044" i="4" s="1"/>
  <c r="F1043" i="4"/>
  <c r="E1043" i="4"/>
  <c r="D1043" i="4"/>
  <c r="C1043" i="4"/>
  <c r="B1043" i="4"/>
  <c r="R1043" i="4" s="1"/>
  <c r="A1043" i="4"/>
  <c r="J1043" i="4" s="1"/>
  <c r="F1042" i="4"/>
  <c r="E1042" i="4"/>
  <c r="D1042" i="4"/>
  <c r="C1042" i="4"/>
  <c r="B1042" i="4"/>
  <c r="S1042" i="4" s="1"/>
  <c r="A1042" i="4"/>
  <c r="P1042" i="4" s="1"/>
  <c r="W1041" i="4"/>
  <c r="M1041" i="4"/>
  <c r="G1041" i="4"/>
  <c r="F1041" i="4"/>
  <c r="E1041" i="4"/>
  <c r="D1041" i="4"/>
  <c r="C1041" i="4"/>
  <c r="B1041" i="4"/>
  <c r="A1041" i="4"/>
  <c r="O1041" i="4" s="1"/>
  <c r="F1040" i="4"/>
  <c r="E1040" i="4"/>
  <c r="D1040" i="4"/>
  <c r="C1040" i="4"/>
  <c r="B1040" i="4"/>
  <c r="A1040" i="4"/>
  <c r="G1039" i="4"/>
  <c r="F1039" i="4"/>
  <c r="E1039" i="4"/>
  <c r="D1039" i="4"/>
  <c r="C1039" i="4"/>
  <c r="B1039" i="4"/>
  <c r="A1039" i="4"/>
  <c r="J1039" i="4" s="1"/>
  <c r="F1038" i="4"/>
  <c r="E1038" i="4"/>
  <c r="D1038" i="4"/>
  <c r="C1038" i="4"/>
  <c r="B1038" i="4"/>
  <c r="R1038" i="4" s="1"/>
  <c r="A1038" i="4"/>
  <c r="O1038" i="4" s="1"/>
  <c r="V1037" i="4"/>
  <c r="F1037" i="4"/>
  <c r="E1037" i="4"/>
  <c r="D1037" i="4"/>
  <c r="C1037" i="4"/>
  <c r="B1037" i="4"/>
  <c r="A1037" i="4"/>
  <c r="K1037" i="4" s="1"/>
  <c r="M1036" i="4"/>
  <c r="F1036" i="4"/>
  <c r="E1036" i="4"/>
  <c r="D1036" i="4"/>
  <c r="C1036" i="4"/>
  <c r="B1036" i="4"/>
  <c r="S1036" i="4" s="1"/>
  <c r="A1036" i="4"/>
  <c r="U1036" i="4" s="1"/>
  <c r="F1035" i="4"/>
  <c r="E1035" i="4"/>
  <c r="D1035" i="4"/>
  <c r="C1035" i="4"/>
  <c r="B1035" i="4"/>
  <c r="S1035" i="4" s="1"/>
  <c r="A1035" i="4"/>
  <c r="F1034" i="4"/>
  <c r="E1034" i="4"/>
  <c r="D1034" i="4"/>
  <c r="C1034" i="4"/>
  <c r="B1034" i="4"/>
  <c r="S1034" i="4" s="1"/>
  <c r="A1034" i="4"/>
  <c r="K1034" i="4" s="1"/>
  <c r="F1033" i="4"/>
  <c r="E1033" i="4"/>
  <c r="D1033" i="4"/>
  <c r="C1033" i="4"/>
  <c r="B1033" i="4"/>
  <c r="S1033" i="4" s="1"/>
  <c r="A1033" i="4"/>
  <c r="I1032" i="4"/>
  <c r="F1032" i="4"/>
  <c r="E1032" i="4"/>
  <c r="D1032" i="4"/>
  <c r="C1032" i="4"/>
  <c r="B1032" i="4"/>
  <c r="S1032" i="4" s="1"/>
  <c r="A1032" i="4"/>
  <c r="V1031" i="4"/>
  <c r="F1031" i="4"/>
  <c r="E1031" i="4"/>
  <c r="D1031" i="4"/>
  <c r="C1031" i="4"/>
  <c r="B1031" i="4"/>
  <c r="A1031" i="4"/>
  <c r="O1031" i="4" s="1"/>
  <c r="O1030" i="4"/>
  <c r="F1030" i="4"/>
  <c r="E1030" i="4"/>
  <c r="D1030" i="4"/>
  <c r="C1030" i="4"/>
  <c r="B1030" i="4"/>
  <c r="S1030" i="4" s="1"/>
  <c r="A1030" i="4"/>
  <c r="J1030" i="4" s="1"/>
  <c r="F1029" i="4"/>
  <c r="E1029" i="4"/>
  <c r="D1029" i="4"/>
  <c r="C1029" i="4"/>
  <c r="B1029" i="4"/>
  <c r="A1029" i="4"/>
  <c r="T1029" i="4" s="1"/>
  <c r="F1028" i="4"/>
  <c r="E1028" i="4"/>
  <c r="D1028" i="4"/>
  <c r="C1028" i="4"/>
  <c r="B1028" i="4"/>
  <c r="A1028" i="4"/>
  <c r="T1028" i="4" s="1"/>
  <c r="F1027" i="4"/>
  <c r="E1027" i="4"/>
  <c r="D1027" i="4"/>
  <c r="C1027" i="4"/>
  <c r="B1027" i="4"/>
  <c r="A1027" i="4"/>
  <c r="F1026" i="4"/>
  <c r="E1026" i="4"/>
  <c r="D1026" i="4"/>
  <c r="C1026" i="4"/>
  <c r="B1026" i="4"/>
  <c r="A1026" i="4"/>
  <c r="G1026" i="4" s="1"/>
  <c r="F1025" i="4"/>
  <c r="E1025" i="4"/>
  <c r="D1025" i="4"/>
  <c r="C1025" i="4"/>
  <c r="B1025" i="4"/>
  <c r="A1025" i="4"/>
  <c r="V1025" i="4" s="1"/>
  <c r="F1024" i="4"/>
  <c r="E1024" i="4"/>
  <c r="D1024" i="4"/>
  <c r="C1024" i="4"/>
  <c r="B1024" i="4"/>
  <c r="S1024" i="4" s="1"/>
  <c r="A1024" i="4"/>
  <c r="T1024" i="4" s="1"/>
  <c r="F1023" i="4"/>
  <c r="E1023" i="4"/>
  <c r="D1023" i="4"/>
  <c r="C1023" i="4"/>
  <c r="B1023" i="4"/>
  <c r="R1023" i="4" s="1"/>
  <c r="A1023" i="4"/>
  <c r="J1023" i="4" s="1"/>
  <c r="F1022" i="4"/>
  <c r="E1022" i="4"/>
  <c r="D1022" i="4"/>
  <c r="C1022" i="4"/>
  <c r="B1022" i="4"/>
  <c r="S1022" i="4" s="1"/>
  <c r="A1022" i="4"/>
  <c r="P1022" i="4" s="1"/>
  <c r="R1021" i="4"/>
  <c r="F1021" i="4"/>
  <c r="E1021" i="4"/>
  <c r="D1021" i="4"/>
  <c r="C1021" i="4"/>
  <c r="B1021" i="4"/>
  <c r="H1021" i="4" s="1"/>
  <c r="L1021" i="4" s="1"/>
  <c r="A1021" i="4"/>
  <c r="F1020" i="4"/>
  <c r="E1020" i="4"/>
  <c r="D1020" i="4"/>
  <c r="C1020" i="4"/>
  <c r="B1020" i="4"/>
  <c r="H1020" i="4" s="1"/>
  <c r="A1020" i="4"/>
  <c r="F1019" i="4"/>
  <c r="E1019" i="4"/>
  <c r="D1019" i="4"/>
  <c r="C1019" i="4"/>
  <c r="B1019" i="4"/>
  <c r="A1019" i="4"/>
  <c r="G1019" i="4" s="1"/>
  <c r="F1018" i="4"/>
  <c r="E1018" i="4"/>
  <c r="D1018" i="4"/>
  <c r="C1018" i="4"/>
  <c r="B1018" i="4"/>
  <c r="A1018" i="4"/>
  <c r="P1018" i="4" s="1"/>
  <c r="F1017" i="4"/>
  <c r="E1017" i="4"/>
  <c r="D1017" i="4"/>
  <c r="C1017" i="4"/>
  <c r="B1017" i="4"/>
  <c r="I1017" i="4" s="1"/>
  <c r="A1017" i="4"/>
  <c r="F1016" i="4"/>
  <c r="E1016" i="4"/>
  <c r="D1016" i="4"/>
  <c r="C1016" i="4"/>
  <c r="B1016" i="4"/>
  <c r="S1016" i="4" s="1"/>
  <c r="A1016" i="4"/>
  <c r="F1015" i="4"/>
  <c r="E1015" i="4"/>
  <c r="D1015" i="4"/>
  <c r="C1015" i="4"/>
  <c r="B1015" i="4"/>
  <c r="A1015" i="4"/>
  <c r="F1014" i="4"/>
  <c r="E1014" i="4"/>
  <c r="D1014" i="4"/>
  <c r="C1014" i="4"/>
  <c r="B1014" i="4"/>
  <c r="R1014" i="4" s="1"/>
  <c r="A1014" i="4"/>
  <c r="G1014" i="4" s="1"/>
  <c r="F1013" i="4"/>
  <c r="E1013" i="4"/>
  <c r="D1013" i="4"/>
  <c r="C1013" i="4"/>
  <c r="B1013" i="4"/>
  <c r="A1013" i="4"/>
  <c r="V1013" i="4" s="1"/>
  <c r="T1012" i="4"/>
  <c r="F1012" i="4"/>
  <c r="E1012" i="4"/>
  <c r="D1012" i="4"/>
  <c r="C1012" i="4"/>
  <c r="B1012" i="4"/>
  <c r="S1012" i="4" s="1"/>
  <c r="A1012" i="4"/>
  <c r="T1011" i="4"/>
  <c r="F1011" i="4"/>
  <c r="E1011" i="4"/>
  <c r="D1011" i="4"/>
  <c r="C1011" i="4"/>
  <c r="B1011" i="4"/>
  <c r="R1011" i="4" s="1"/>
  <c r="A1011" i="4"/>
  <c r="M1011" i="4" s="1"/>
  <c r="F1010" i="4"/>
  <c r="E1010" i="4"/>
  <c r="D1010" i="4"/>
  <c r="C1010" i="4"/>
  <c r="B1010" i="4"/>
  <c r="A1010" i="4"/>
  <c r="O1010" i="4" s="1"/>
  <c r="F1009" i="4"/>
  <c r="E1009" i="4"/>
  <c r="D1009" i="4"/>
  <c r="C1009" i="4"/>
  <c r="B1009" i="4"/>
  <c r="A1009" i="4"/>
  <c r="P1009" i="4" s="1"/>
  <c r="F1008" i="4"/>
  <c r="E1008" i="4"/>
  <c r="D1008" i="4"/>
  <c r="C1008" i="4"/>
  <c r="B1008" i="4"/>
  <c r="Q1008" i="4" s="1"/>
  <c r="A1008" i="4"/>
  <c r="K1008" i="4" s="1"/>
  <c r="F1007" i="4"/>
  <c r="E1007" i="4"/>
  <c r="D1007" i="4"/>
  <c r="C1007" i="4"/>
  <c r="B1007" i="4"/>
  <c r="A1007" i="4"/>
  <c r="F1006" i="4"/>
  <c r="E1006" i="4"/>
  <c r="D1006" i="4"/>
  <c r="C1006" i="4"/>
  <c r="B1006" i="4"/>
  <c r="A1006" i="4"/>
  <c r="P1006" i="4" s="1"/>
  <c r="G1005" i="4"/>
  <c r="F1005" i="4"/>
  <c r="E1005" i="4"/>
  <c r="D1005" i="4"/>
  <c r="C1005" i="4"/>
  <c r="B1005" i="4"/>
  <c r="R1005" i="4" s="1"/>
  <c r="A1005" i="4"/>
  <c r="V1005" i="4" s="1"/>
  <c r="F1004" i="4"/>
  <c r="E1004" i="4"/>
  <c r="D1004" i="4"/>
  <c r="C1004" i="4"/>
  <c r="B1004" i="4"/>
  <c r="S1004" i="4" s="1"/>
  <c r="A1004" i="4"/>
  <c r="W1004" i="4" s="1"/>
  <c r="F1003" i="4"/>
  <c r="E1003" i="4"/>
  <c r="D1003" i="4"/>
  <c r="C1003" i="4"/>
  <c r="B1003" i="4"/>
  <c r="A1003" i="4"/>
  <c r="U1002" i="4"/>
  <c r="F1002" i="4"/>
  <c r="E1002" i="4"/>
  <c r="D1002" i="4"/>
  <c r="C1002" i="4"/>
  <c r="B1002" i="4"/>
  <c r="A1002" i="4"/>
  <c r="F1001" i="4"/>
  <c r="E1001" i="4"/>
  <c r="D1001" i="4"/>
  <c r="C1001" i="4"/>
  <c r="B1001" i="4"/>
  <c r="R1001" i="4" s="1"/>
  <c r="A1001" i="4"/>
  <c r="F1000" i="4"/>
  <c r="E1000" i="4"/>
  <c r="D1000" i="4"/>
  <c r="C1000" i="4"/>
  <c r="B1000" i="4"/>
  <c r="H1000" i="4" s="1"/>
  <c r="A1000" i="4"/>
  <c r="J1000" i="4" s="1"/>
  <c r="F999" i="4"/>
  <c r="E999" i="4"/>
  <c r="D999" i="4"/>
  <c r="C999" i="4"/>
  <c r="B999" i="4"/>
  <c r="Q999" i="4" s="1"/>
  <c r="A999" i="4"/>
  <c r="P999" i="4" s="1"/>
  <c r="H998" i="4"/>
  <c r="F998" i="4"/>
  <c r="E998" i="4"/>
  <c r="D998" i="4"/>
  <c r="C998" i="4"/>
  <c r="B998" i="4"/>
  <c r="Q998" i="4" s="1"/>
  <c r="A998" i="4"/>
  <c r="F997" i="4"/>
  <c r="E997" i="4"/>
  <c r="D997" i="4"/>
  <c r="C997" i="4"/>
  <c r="B997" i="4"/>
  <c r="R997" i="4" s="1"/>
  <c r="A997" i="4"/>
  <c r="K997" i="4" s="1"/>
  <c r="J996" i="4"/>
  <c r="F996" i="4"/>
  <c r="E996" i="4"/>
  <c r="D996" i="4"/>
  <c r="C996" i="4"/>
  <c r="B996" i="4"/>
  <c r="S996" i="4" s="1"/>
  <c r="A996" i="4"/>
  <c r="W996" i="4" s="1"/>
  <c r="S995" i="4"/>
  <c r="F995" i="4"/>
  <c r="E995" i="4"/>
  <c r="D995" i="4"/>
  <c r="C995" i="4"/>
  <c r="B995" i="4"/>
  <c r="R995" i="4" s="1"/>
  <c r="A995" i="4"/>
  <c r="J995" i="4" s="1"/>
  <c r="S994" i="4"/>
  <c r="F994" i="4"/>
  <c r="E994" i="4"/>
  <c r="D994" i="4"/>
  <c r="C994" i="4"/>
  <c r="B994" i="4"/>
  <c r="R994" i="4" s="1"/>
  <c r="A994" i="4"/>
  <c r="F993" i="4"/>
  <c r="E993" i="4"/>
  <c r="D993" i="4"/>
  <c r="C993" i="4"/>
  <c r="B993" i="4"/>
  <c r="A993" i="4"/>
  <c r="F992" i="4"/>
  <c r="E992" i="4"/>
  <c r="D992" i="4"/>
  <c r="C992" i="4"/>
  <c r="B992" i="4"/>
  <c r="A992" i="4"/>
  <c r="J992" i="4" s="1"/>
  <c r="I991" i="4"/>
  <c r="F991" i="4"/>
  <c r="E991" i="4"/>
  <c r="D991" i="4"/>
  <c r="C991" i="4"/>
  <c r="B991" i="4"/>
  <c r="S991" i="4" s="1"/>
  <c r="A991" i="4"/>
  <c r="F990" i="4"/>
  <c r="E990" i="4"/>
  <c r="D990" i="4"/>
  <c r="C990" i="4"/>
  <c r="B990" i="4"/>
  <c r="Q990" i="4" s="1"/>
  <c r="A990" i="4"/>
  <c r="F989" i="4"/>
  <c r="E989" i="4"/>
  <c r="D989" i="4"/>
  <c r="C989" i="4"/>
  <c r="B989" i="4"/>
  <c r="R989" i="4" s="1"/>
  <c r="A989" i="4"/>
  <c r="T989" i="4" s="1"/>
  <c r="F988" i="4"/>
  <c r="E988" i="4"/>
  <c r="D988" i="4"/>
  <c r="C988" i="4"/>
  <c r="B988" i="4"/>
  <c r="S988" i="4" s="1"/>
  <c r="A988" i="4"/>
  <c r="M988" i="4" s="1"/>
  <c r="F987" i="4"/>
  <c r="E987" i="4"/>
  <c r="D987" i="4"/>
  <c r="C987" i="4"/>
  <c r="B987" i="4"/>
  <c r="R987" i="4" s="1"/>
  <c r="A987" i="4"/>
  <c r="J987" i="4" s="1"/>
  <c r="J986" i="4"/>
  <c r="F986" i="4"/>
  <c r="E986" i="4"/>
  <c r="D986" i="4"/>
  <c r="C986" i="4"/>
  <c r="B986" i="4"/>
  <c r="R986" i="4" s="1"/>
  <c r="A986" i="4"/>
  <c r="V986" i="4" s="1"/>
  <c r="F985" i="4"/>
  <c r="E985" i="4"/>
  <c r="D985" i="4"/>
  <c r="C985" i="4"/>
  <c r="B985" i="4"/>
  <c r="S985" i="4" s="1"/>
  <c r="A985" i="4"/>
  <c r="P985" i="4" s="1"/>
  <c r="F984" i="4"/>
  <c r="E984" i="4"/>
  <c r="D984" i="4"/>
  <c r="C984" i="4"/>
  <c r="B984" i="4"/>
  <c r="Q984" i="4" s="1"/>
  <c r="A984" i="4"/>
  <c r="F983" i="4"/>
  <c r="E983" i="4"/>
  <c r="D983" i="4"/>
  <c r="C983" i="4"/>
  <c r="B983" i="4"/>
  <c r="S983" i="4" s="1"/>
  <c r="A983" i="4"/>
  <c r="H982" i="4"/>
  <c r="F982" i="4"/>
  <c r="E982" i="4"/>
  <c r="D982" i="4"/>
  <c r="C982" i="4"/>
  <c r="B982" i="4"/>
  <c r="R982" i="4" s="1"/>
  <c r="A982" i="4"/>
  <c r="G982" i="4" s="1"/>
  <c r="F981" i="4"/>
  <c r="E981" i="4"/>
  <c r="D981" i="4"/>
  <c r="C981" i="4"/>
  <c r="B981" i="4"/>
  <c r="R981" i="4" s="1"/>
  <c r="A981" i="4"/>
  <c r="T981" i="4" s="1"/>
  <c r="F980" i="4"/>
  <c r="E980" i="4"/>
  <c r="D980" i="4"/>
  <c r="C980" i="4"/>
  <c r="B980" i="4"/>
  <c r="S980" i="4" s="1"/>
  <c r="A980" i="4"/>
  <c r="K980" i="4" s="1"/>
  <c r="M979" i="4"/>
  <c r="F979" i="4"/>
  <c r="E979" i="4"/>
  <c r="D979" i="4"/>
  <c r="C979" i="4"/>
  <c r="B979" i="4"/>
  <c r="R979" i="4" s="1"/>
  <c r="A979" i="4"/>
  <c r="J979" i="4" s="1"/>
  <c r="F978" i="4"/>
  <c r="E978" i="4"/>
  <c r="D978" i="4"/>
  <c r="C978" i="4"/>
  <c r="B978" i="4"/>
  <c r="R978" i="4" s="1"/>
  <c r="A978" i="4"/>
  <c r="V978" i="4" s="1"/>
  <c r="F977" i="4"/>
  <c r="E977" i="4"/>
  <c r="D977" i="4"/>
  <c r="C977" i="4"/>
  <c r="B977" i="4"/>
  <c r="A977" i="4"/>
  <c r="P977" i="4" s="1"/>
  <c r="I976" i="4"/>
  <c r="F976" i="4"/>
  <c r="E976" i="4"/>
  <c r="D976" i="4"/>
  <c r="C976" i="4"/>
  <c r="B976" i="4"/>
  <c r="H976" i="4" s="1"/>
  <c r="A976" i="4"/>
  <c r="J976" i="4" s="1"/>
  <c r="F975" i="4"/>
  <c r="E975" i="4"/>
  <c r="D975" i="4"/>
  <c r="C975" i="4"/>
  <c r="B975" i="4"/>
  <c r="Q975" i="4" s="1"/>
  <c r="A975" i="4"/>
  <c r="P975" i="4" s="1"/>
  <c r="F974" i="4"/>
  <c r="E974" i="4"/>
  <c r="D974" i="4"/>
  <c r="C974" i="4"/>
  <c r="B974" i="4"/>
  <c r="A974" i="4"/>
  <c r="F973" i="4"/>
  <c r="E973" i="4"/>
  <c r="D973" i="4"/>
  <c r="C973" i="4"/>
  <c r="B973" i="4"/>
  <c r="A973" i="4"/>
  <c r="J973" i="4" s="1"/>
  <c r="G972" i="4"/>
  <c r="F972" i="4"/>
  <c r="E972" i="4"/>
  <c r="D972" i="4"/>
  <c r="C972" i="4"/>
  <c r="B972" i="4"/>
  <c r="S972" i="4" s="1"/>
  <c r="A972" i="4"/>
  <c r="K972" i="4" s="1"/>
  <c r="U971" i="4"/>
  <c r="F971" i="4"/>
  <c r="E971" i="4"/>
  <c r="D971" i="4"/>
  <c r="C971" i="4"/>
  <c r="B971" i="4"/>
  <c r="R971" i="4" s="1"/>
  <c r="A971" i="4"/>
  <c r="K971" i="4" s="1"/>
  <c r="M970" i="4"/>
  <c r="H970" i="4"/>
  <c r="N970" i="4" s="1"/>
  <c r="F970" i="4"/>
  <c r="E970" i="4"/>
  <c r="D970" i="4"/>
  <c r="C970" i="4"/>
  <c r="B970" i="4"/>
  <c r="R970" i="4" s="1"/>
  <c r="A970" i="4"/>
  <c r="V970" i="4" s="1"/>
  <c r="W969" i="4"/>
  <c r="G969" i="4"/>
  <c r="F969" i="4"/>
  <c r="E969" i="4"/>
  <c r="D969" i="4"/>
  <c r="C969" i="4"/>
  <c r="B969" i="4"/>
  <c r="A969" i="4"/>
  <c r="P969" i="4" s="1"/>
  <c r="F968" i="4"/>
  <c r="E968" i="4"/>
  <c r="D968" i="4"/>
  <c r="C968" i="4"/>
  <c r="B968" i="4"/>
  <c r="A968" i="4"/>
  <c r="J968" i="4" s="1"/>
  <c r="I967" i="4"/>
  <c r="F967" i="4"/>
  <c r="E967" i="4"/>
  <c r="D967" i="4"/>
  <c r="C967" i="4"/>
  <c r="B967" i="4"/>
  <c r="S967" i="4" s="1"/>
  <c r="A967" i="4"/>
  <c r="G967" i="4" s="1"/>
  <c r="F966" i="4"/>
  <c r="E966" i="4"/>
  <c r="D966" i="4"/>
  <c r="C966" i="4"/>
  <c r="B966" i="4"/>
  <c r="R966" i="4" s="1"/>
  <c r="A966" i="4"/>
  <c r="V966" i="4" s="1"/>
  <c r="F965" i="4"/>
  <c r="E965" i="4"/>
  <c r="D965" i="4"/>
  <c r="C965" i="4"/>
  <c r="B965" i="4"/>
  <c r="R965" i="4" s="1"/>
  <c r="A965" i="4"/>
  <c r="T965" i="4" s="1"/>
  <c r="T964" i="4"/>
  <c r="F964" i="4"/>
  <c r="E964" i="4"/>
  <c r="D964" i="4"/>
  <c r="C964" i="4"/>
  <c r="B964" i="4"/>
  <c r="R964" i="4" s="1"/>
  <c r="A964" i="4"/>
  <c r="K964" i="4" s="1"/>
  <c r="F963" i="4"/>
  <c r="E963" i="4"/>
  <c r="D963" i="4"/>
  <c r="C963" i="4"/>
  <c r="B963" i="4"/>
  <c r="R963" i="4" s="1"/>
  <c r="A963" i="4"/>
  <c r="U963" i="4" s="1"/>
  <c r="F962" i="4"/>
  <c r="E962" i="4"/>
  <c r="D962" i="4"/>
  <c r="C962" i="4"/>
  <c r="B962" i="4"/>
  <c r="H962" i="4" s="1"/>
  <c r="A962" i="4"/>
  <c r="V962" i="4" s="1"/>
  <c r="F961" i="4"/>
  <c r="E961" i="4"/>
  <c r="D961" i="4"/>
  <c r="C961" i="4"/>
  <c r="B961" i="4"/>
  <c r="A961" i="4"/>
  <c r="K961" i="4" s="1"/>
  <c r="F960" i="4"/>
  <c r="E960" i="4"/>
  <c r="D960" i="4"/>
  <c r="C960" i="4"/>
  <c r="B960" i="4"/>
  <c r="A960" i="4"/>
  <c r="F959" i="4"/>
  <c r="E959" i="4"/>
  <c r="D959" i="4"/>
  <c r="C959" i="4"/>
  <c r="B959" i="4"/>
  <c r="A959" i="4"/>
  <c r="U959" i="4" s="1"/>
  <c r="I958" i="4"/>
  <c r="H958" i="4"/>
  <c r="N958" i="4" s="1"/>
  <c r="F958" i="4"/>
  <c r="E958" i="4"/>
  <c r="D958" i="4"/>
  <c r="C958" i="4"/>
  <c r="B958" i="4"/>
  <c r="R958" i="4" s="1"/>
  <c r="A958" i="4"/>
  <c r="G958" i="4" s="1"/>
  <c r="S957" i="4"/>
  <c r="F957" i="4"/>
  <c r="E957" i="4"/>
  <c r="D957" i="4"/>
  <c r="C957" i="4"/>
  <c r="B957" i="4"/>
  <c r="H957" i="4" s="1"/>
  <c r="A957" i="4"/>
  <c r="W957" i="4" s="1"/>
  <c r="W956" i="4"/>
  <c r="F956" i="4"/>
  <c r="E956" i="4"/>
  <c r="D956" i="4"/>
  <c r="C956" i="4"/>
  <c r="B956" i="4"/>
  <c r="I956" i="4" s="1"/>
  <c r="A956" i="4"/>
  <c r="V956" i="4" s="1"/>
  <c r="F955" i="4"/>
  <c r="E955" i="4"/>
  <c r="D955" i="4"/>
  <c r="C955" i="4"/>
  <c r="B955" i="4"/>
  <c r="R955" i="4" s="1"/>
  <c r="A955" i="4"/>
  <c r="T955" i="4" s="1"/>
  <c r="F954" i="4"/>
  <c r="E954" i="4"/>
  <c r="D954" i="4"/>
  <c r="C954" i="4"/>
  <c r="B954" i="4"/>
  <c r="A954" i="4"/>
  <c r="W953" i="4"/>
  <c r="F953" i="4"/>
  <c r="E953" i="4"/>
  <c r="D953" i="4"/>
  <c r="C953" i="4"/>
  <c r="B953" i="4"/>
  <c r="H953" i="4" s="1"/>
  <c r="N953" i="4" s="1"/>
  <c r="A953" i="4"/>
  <c r="V953" i="4" s="1"/>
  <c r="I952" i="4"/>
  <c r="F952" i="4"/>
  <c r="E952" i="4"/>
  <c r="D952" i="4"/>
  <c r="C952" i="4"/>
  <c r="B952" i="4"/>
  <c r="H952" i="4" s="1"/>
  <c r="A952" i="4"/>
  <c r="P952" i="4" s="1"/>
  <c r="F951" i="4"/>
  <c r="E951" i="4"/>
  <c r="D951" i="4"/>
  <c r="C951" i="4"/>
  <c r="B951" i="4"/>
  <c r="I951" i="4" s="1"/>
  <c r="A951" i="4"/>
  <c r="T951" i="4" s="1"/>
  <c r="F950" i="4"/>
  <c r="E950" i="4"/>
  <c r="D950" i="4"/>
  <c r="C950" i="4"/>
  <c r="B950" i="4"/>
  <c r="R950" i="4" s="1"/>
  <c r="A950" i="4"/>
  <c r="F949" i="4"/>
  <c r="E949" i="4"/>
  <c r="D949" i="4"/>
  <c r="C949" i="4"/>
  <c r="B949" i="4"/>
  <c r="S949" i="4" s="1"/>
  <c r="A949" i="4"/>
  <c r="O949" i="4" s="1"/>
  <c r="F948" i="4"/>
  <c r="E948" i="4"/>
  <c r="D948" i="4"/>
  <c r="C948" i="4"/>
  <c r="B948" i="4"/>
  <c r="A948" i="4"/>
  <c r="V948" i="4" s="1"/>
  <c r="F947" i="4"/>
  <c r="E947" i="4"/>
  <c r="D947" i="4"/>
  <c r="C947" i="4"/>
  <c r="B947" i="4"/>
  <c r="A947" i="4"/>
  <c r="F946" i="4"/>
  <c r="E946" i="4"/>
  <c r="D946" i="4"/>
  <c r="C946" i="4"/>
  <c r="B946" i="4"/>
  <c r="H946" i="4" s="1"/>
  <c r="A946" i="4"/>
  <c r="V946" i="4" s="1"/>
  <c r="F945" i="4"/>
  <c r="E945" i="4"/>
  <c r="D945" i="4"/>
  <c r="C945" i="4"/>
  <c r="B945" i="4"/>
  <c r="A945" i="4"/>
  <c r="K945" i="4" s="1"/>
  <c r="F944" i="4"/>
  <c r="E944" i="4"/>
  <c r="D944" i="4"/>
  <c r="C944" i="4"/>
  <c r="B944" i="4"/>
  <c r="S944" i="4" s="1"/>
  <c r="A944" i="4"/>
  <c r="P944" i="4" s="1"/>
  <c r="F943" i="4"/>
  <c r="E943" i="4"/>
  <c r="D943" i="4"/>
  <c r="C943" i="4"/>
  <c r="B943" i="4"/>
  <c r="S943" i="4" s="1"/>
  <c r="A943" i="4"/>
  <c r="Q942" i="4"/>
  <c r="F942" i="4"/>
  <c r="E942" i="4"/>
  <c r="D942" i="4"/>
  <c r="C942" i="4"/>
  <c r="B942" i="4"/>
  <c r="R942" i="4" s="1"/>
  <c r="A942" i="4"/>
  <c r="W942" i="4" s="1"/>
  <c r="F941" i="4"/>
  <c r="E941" i="4"/>
  <c r="D941" i="4"/>
  <c r="C941" i="4"/>
  <c r="B941" i="4"/>
  <c r="A941" i="4"/>
  <c r="T941" i="4" s="1"/>
  <c r="I940" i="4"/>
  <c r="F940" i="4"/>
  <c r="E940" i="4"/>
  <c r="D940" i="4"/>
  <c r="C940" i="4"/>
  <c r="B940" i="4"/>
  <c r="R940" i="4" s="1"/>
  <c r="A940" i="4"/>
  <c r="G940" i="4" s="1"/>
  <c r="H939" i="4"/>
  <c r="L939" i="4" s="1"/>
  <c r="F939" i="4"/>
  <c r="E939" i="4"/>
  <c r="D939" i="4"/>
  <c r="C939" i="4"/>
  <c r="B939" i="4"/>
  <c r="R939" i="4" s="1"/>
  <c r="A939" i="4"/>
  <c r="U939" i="4" s="1"/>
  <c r="F938" i="4"/>
  <c r="E938" i="4"/>
  <c r="D938" i="4"/>
  <c r="C938" i="4"/>
  <c r="B938" i="4"/>
  <c r="S938" i="4" s="1"/>
  <c r="A938" i="4"/>
  <c r="V938" i="4" s="1"/>
  <c r="R937" i="4"/>
  <c r="F937" i="4"/>
  <c r="E937" i="4"/>
  <c r="D937" i="4"/>
  <c r="C937" i="4"/>
  <c r="B937" i="4"/>
  <c r="H937" i="4" s="1"/>
  <c r="N937" i="4" s="1"/>
  <c r="A937" i="4"/>
  <c r="F936" i="4"/>
  <c r="E936" i="4"/>
  <c r="D936" i="4"/>
  <c r="C936" i="4"/>
  <c r="B936" i="4"/>
  <c r="A936" i="4"/>
  <c r="I935" i="4"/>
  <c r="H935" i="4"/>
  <c r="F935" i="4"/>
  <c r="E935" i="4"/>
  <c r="D935" i="4"/>
  <c r="C935" i="4"/>
  <c r="B935" i="4"/>
  <c r="S935" i="4" s="1"/>
  <c r="A935" i="4"/>
  <c r="W935" i="4" s="1"/>
  <c r="T934" i="4"/>
  <c r="I934" i="4"/>
  <c r="F934" i="4"/>
  <c r="E934" i="4"/>
  <c r="D934" i="4"/>
  <c r="C934" i="4"/>
  <c r="B934" i="4"/>
  <c r="R934" i="4" s="1"/>
  <c r="A934" i="4"/>
  <c r="G934" i="4" s="1"/>
  <c r="V933" i="4"/>
  <c r="F933" i="4"/>
  <c r="E933" i="4"/>
  <c r="D933" i="4"/>
  <c r="C933" i="4"/>
  <c r="B933" i="4"/>
  <c r="A933" i="4"/>
  <c r="T933" i="4" s="1"/>
  <c r="F932" i="4"/>
  <c r="E932" i="4"/>
  <c r="D932" i="4"/>
  <c r="C932" i="4"/>
  <c r="B932" i="4"/>
  <c r="R932" i="4" s="1"/>
  <c r="A932" i="4"/>
  <c r="O932" i="4" s="1"/>
  <c r="U931" i="4"/>
  <c r="F931" i="4"/>
  <c r="E931" i="4"/>
  <c r="D931" i="4"/>
  <c r="C931" i="4"/>
  <c r="B931" i="4"/>
  <c r="A931" i="4"/>
  <c r="T931" i="4" s="1"/>
  <c r="T930" i="4"/>
  <c r="G930" i="4"/>
  <c r="F930" i="4"/>
  <c r="E930" i="4"/>
  <c r="D930" i="4"/>
  <c r="C930" i="4"/>
  <c r="B930" i="4"/>
  <c r="A930" i="4"/>
  <c r="V930" i="4" s="1"/>
  <c r="F929" i="4"/>
  <c r="E929" i="4"/>
  <c r="D929" i="4"/>
  <c r="C929" i="4"/>
  <c r="B929" i="4"/>
  <c r="H929" i="4" s="1"/>
  <c r="L929" i="4" s="1"/>
  <c r="A929" i="4"/>
  <c r="O929" i="4" s="1"/>
  <c r="R928" i="4"/>
  <c r="F928" i="4"/>
  <c r="E928" i="4"/>
  <c r="D928" i="4"/>
  <c r="C928" i="4"/>
  <c r="B928" i="4"/>
  <c r="Q928" i="4" s="1"/>
  <c r="A928" i="4"/>
  <c r="U928" i="4" s="1"/>
  <c r="F927" i="4"/>
  <c r="E927" i="4"/>
  <c r="D927" i="4"/>
  <c r="C927" i="4"/>
  <c r="B927" i="4"/>
  <c r="A927" i="4"/>
  <c r="G927" i="4" s="1"/>
  <c r="F926" i="4"/>
  <c r="E926" i="4"/>
  <c r="D926" i="4"/>
  <c r="C926" i="4"/>
  <c r="B926" i="4"/>
  <c r="A926" i="4"/>
  <c r="F925" i="4"/>
  <c r="E925" i="4"/>
  <c r="D925" i="4"/>
  <c r="C925" i="4"/>
  <c r="B925" i="4"/>
  <c r="H925" i="4" s="1"/>
  <c r="A925" i="4"/>
  <c r="K925" i="4" s="1"/>
  <c r="F924" i="4"/>
  <c r="E924" i="4"/>
  <c r="D924" i="4"/>
  <c r="C924" i="4"/>
  <c r="B924" i="4"/>
  <c r="I924" i="4" s="1"/>
  <c r="A924" i="4"/>
  <c r="W924" i="4" s="1"/>
  <c r="F923" i="4"/>
  <c r="E923" i="4"/>
  <c r="D923" i="4"/>
  <c r="C923" i="4"/>
  <c r="B923" i="4"/>
  <c r="Q923" i="4" s="1"/>
  <c r="A923" i="4"/>
  <c r="P923" i="4" s="1"/>
  <c r="F922" i="4"/>
  <c r="E922" i="4"/>
  <c r="D922" i="4"/>
  <c r="C922" i="4"/>
  <c r="B922" i="4"/>
  <c r="A922" i="4"/>
  <c r="K922" i="4" s="1"/>
  <c r="F921" i="4"/>
  <c r="E921" i="4"/>
  <c r="D921" i="4"/>
  <c r="C921" i="4"/>
  <c r="B921" i="4"/>
  <c r="H921" i="4" s="1"/>
  <c r="N921" i="4" s="1"/>
  <c r="A921" i="4"/>
  <c r="W921" i="4" s="1"/>
  <c r="F920" i="4"/>
  <c r="E920" i="4"/>
  <c r="D920" i="4"/>
  <c r="C920" i="4"/>
  <c r="B920" i="4"/>
  <c r="H920" i="4" s="1"/>
  <c r="A920" i="4"/>
  <c r="P920" i="4" s="1"/>
  <c r="F919" i="4"/>
  <c r="E919" i="4"/>
  <c r="D919" i="4"/>
  <c r="C919" i="4"/>
  <c r="B919" i="4"/>
  <c r="I919" i="4" s="1"/>
  <c r="A919" i="4"/>
  <c r="U919" i="4" s="1"/>
  <c r="F918" i="4"/>
  <c r="E918" i="4"/>
  <c r="D918" i="4"/>
  <c r="C918" i="4"/>
  <c r="B918" i="4"/>
  <c r="R918" i="4" s="1"/>
  <c r="A918" i="4"/>
  <c r="G918" i="4" s="1"/>
  <c r="P917" i="4"/>
  <c r="F917" i="4"/>
  <c r="E917" i="4"/>
  <c r="D917" i="4"/>
  <c r="C917" i="4"/>
  <c r="B917" i="4"/>
  <c r="A917" i="4"/>
  <c r="T917" i="4" s="1"/>
  <c r="F916" i="4"/>
  <c r="E916" i="4"/>
  <c r="D916" i="4"/>
  <c r="C916" i="4"/>
  <c r="B916" i="4"/>
  <c r="A916" i="4"/>
  <c r="S915" i="4"/>
  <c r="F915" i="4"/>
  <c r="E915" i="4"/>
  <c r="D915" i="4"/>
  <c r="C915" i="4"/>
  <c r="B915" i="4"/>
  <c r="R915" i="4" s="1"/>
  <c r="A915" i="4"/>
  <c r="R914" i="4"/>
  <c r="F914" i="4"/>
  <c r="E914" i="4"/>
  <c r="D914" i="4"/>
  <c r="C914" i="4"/>
  <c r="B914" i="4"/>
  <c r="H914" i="4" s="1"/>
  <c r="A914" i="4"/>
  <c r="J914" i="4" s="1"/>
  <c r="F913" i="4"/>
  <c r="E913" i="4"/>
  <c r="D913" i="4"/>
  <c r="C913" i="4"/>
  <c r="B913" i="4"/>
  <c r="A913" i="4"/>
  <c r="W913" i="4" s="1"/>
  <c r="V912" i="4"/>
  <c r="F912" i="4"/>
  <c r="E912" i="4"/>
  <c r="D912" i="4"/>
  <c r="C912" i="4"/>
  <c r="B912" i="4"/>
  <c r="S912" i="4" s="1"/>
  <c r="A912" i="4"/>
  <c r="P912" i="4" s="1"/>
  <c r="F911" i="4"/>
  <c r="E911" i="4"/>
  <c r="D911" i="4"/>
  <c r="C911" i="4"/>
  <c r="B911" i="4"/>
  <c r="S911" i="4" s="1"/>
  <c r="A911" i="4"/>
  <c r="F910" i="4"/>
  <c r="E910" i="4"/>
  <c r="D910" i="4"/>
  <c r="C910" i="4"/>
  <c r="B910" i="4"/>
  <c r="R910" i="4" s="1"/>
  <c r="A910" i="4"/>
  <c r="W910" i="4" s="1"/>
  <c r="F909" i="4"/>
  <c r="E909" i="4"/>
  <c r="D909" i="4"/>
  <c r="C909" i="4"/>
  <c r="B909" i="4"/>
  <c r="H909" i="4" s="1"/>
  <c r="L909" i="4" s="1"/>
  <c r="A909" i="4"/>
  <c r="T909" i="4" s="1"/>
  <c r="F908" i="4"/>
  <c r="E908" i="4"/>
  <c r="D908" i="4"/>
  <c r="C908" i="4"/>
  <c r="B908" i="4"/>
  <c r="I908" i="4" s="1"/>
  <c r="A908" i="4"/>
  <c r="V908" i="4" s="1"/>
  <c r="H907" i="4"/>
  <c r="N907" i="4" s="1"/>
  <c r="F907" i="4"/>
  <c r="E907" i="4"/>
  <c r="D907" i="4"/>
  <c r="C907" i="4"/>
  <c r="B907" i="4"/>
  <c r="R907" i="4" s="1"/>
  <c r="A907" i="4"/>
  <c r="M907" i="4" s="1"/>
  <c r="F906" i="4"/>
  <c r="E906" i="4"/>
  <c r="D906" i="4"/>
  <c r="C906" i="4"/>
  <c r="B906" i="4"/>
  <c r="H906" i="4" s="1"/>
  <c r="A906" i="4"/>
  <c r="V906" i="4" s="1"/>
  <c r="F905" i="4"/>
  <c r="E905" i="4"/>
  <c r="D905" i="4"/>
  <c r="C905" i="4"/>
  <c r="B905" i="4"/>
  <c r="A905" i="4"/>
  <c r="K905" i="4" s="1"/>
  <c r="F904" i="4"/>
  <c r="E904" i="4"/>
  <c r="D904" i="4"/>
  <c r="C904" i="4"/>
  <c r="B904" i="4"/>
  <c r="A904" i="4"/>
  <c r="T904" i="4" s="1"/>
  <c r="K903" i="4"/>
  <c r="F903" i="4"/>
  <c r="E903" i="4"/>
  <c r="D903" i="4"/>
  <c r="C903" i="4"/>
  <c r="B903" i="4"/>
  <c r="R903" i="4" s="1"/>
  <c r="A903" i="4"/>
  <c r="J903" i="4" s="1"/>
  <c r="F902" i="4"/>
  <c r="E902" i="4"/>
  <c r="D902" i="4"/>
  <c r="C902" i="4"/>
  <c r="B902" i="4"/>
  <c r="A902" i="4"/>
  <c r="F901" i="4"/>
  <c r="E901" i="4"/>
  <c r="D901" i="4"/>
  <c r="C901" i="4"/>
  <c r="B901" i="4"/>
  <c r="A901" i="4"/>
  <c r="F900" i="4"/>
  <c r="E900" i="4"/>
  <c r="D900" i="4"/>
  <c r="C900" i="4"/>
  <c r="B900" i="4"/>
  <c r="A900" i="4"/>
  <c r="K900" i="4" s="1"/>
  <c r="H899" i="4"/>
  <c r="F899" i="4"/>
  <c r="E899" i="4"/>
  <c r="D899" i="4"/>
  <c r="C899" i="4"/>
  <c r="B899" i="4"/>
  <c r="R899" i="4" s="1"/>
  <c r="A899" i="4"/>
  <c r="O899" i="4" s="1"/>
  <c r="F898" i="4"/>
  <c r="E898" i="4"/>
  <c r="D898" i="4"/>
  <c r="C898" i="4"/>
  <c r="B898" i="4"/>
  <c r="S898" i="4" s="1"/>
  <c r="A898" i="4"/>
  <c r="P898" i="4" s="1"/>
  <c r="F897" i="4"/>
  <c r="E897" i="4"/>
  <c r="D897" i="4"/>
  <c r="C897" i="4"/>
  <c r="B897" i="4"/>
  <c r="A897" i="4"/>
  <c r="U897" i="4" s="1"/>
  <c r="G896" i="4"/>
  <c r="F896" i="4"/>
  <c r="E896" i="4"/>
  <c r="D896" i="4"/>
  <c r="C896" i="4"/>
  <c r="B896" i="4"/>
  <c r="A896" i="4"/>
  <c r="K896" i="4" s="1"/>
  <c r="F895" i="4"/>
  <c r="E895" i="4"/>
  <c r="D895" i="4"/>
  <c r="C895" i="4"/>
  <c r="B895" i="4"/>
  <c r="Q895" i="4" s="1"/>
  <c r="A895" i="4"/>
  <c r="J895" i="4" s="1"/>
  <c r="F894" i="4"/>
  <c r="E894" i="4"/>
  <c r="D894" i="4"/>
  <c r="C894" i="4"/>
  <c r="B894" i="4"/>
  <c r="S894" i="4" s="1"/>
  <c r="A894" i="4"/>
  <c r="F893" i="4"/>
  <c r="E893" i="4"/>
  <c r="D893" i="4"/>
  <c r="C893" i="4"/>
  <c r="B893" i="4"/>
  <c r="H893" i="4" s="1"/>
  <c r="N893" i="4" s="1"/>
  <c r="A893" i="4"/>
  <c r="J893" i="4" s="1"/>
  <c r="I892" i="4"/>
  <c r="F892" i="4"/>
  <c r="E892" i="4"/>
  <c r="D892" i="4"/>
  <c r="C892" i="4"/>
  <c r="B892" i="4"/>
  <c r="S892" i="4" s="1"/>
  <c r="A892" i="4"/>
  <c r="J892" i="4" s="1"/>
  <c r="F891" i="4"/>
  <c r="E891" i="4"/>
  <c r="D891" i="4"/>
  <c r="C891" i="4"/>
  <c r="B891" i="4"/>
  <c r="I891" i="4" s="1"/>
  <c r="A891" i="4"/>
  <c r="J891" i="4" s="1"/>
  <c r="F890" i="4"/>
  <c r="E890" i="4"/>
  <c r="D890" i="4"/>
  <c r="C890" i="4"/>
  <c r="B890" i="4"/>
  <c r="A890" i="4"/>
  <c r="V890" i="4" s="1"/>
  <c r="F889" i="4"/>
  <c r="E889" i="4"/>
  <c r="D889" i="4"/>
  <c r="C889" i="4"/>
  <c r="B889" i="4"/>
  <c r="R889" i="4" s="1"/>
  <c r="A889" i="4"/>
  <c r="F888" i="4"/>
  <c r="E888" i="4"/>
  <c r="D888" i="4"/>
  <c r="C888" i="4"/>
  <c r="B888" i="4"/>
  <c r="S888" i="4" s="1"/>
  <c r="A888" i="4"/>
  <c r="T887" i="4"/>
  <c r="G887" i="4"/>
  <c r="F887" i="4"/>
  <c r="E887" i="4"/>
  <c r="D887" i="4"/>
  <c r="C887" i="4"/>
  <c r="B887" i="4"/>
  <c r="R887" i="4" s="1"/>
  <c r="A887" i="4"/>
  <c r="J887" i="4" s="1"/>
  <c r="R886" i="4"/>
  <c r="F886" i="4"/>
  <c r="E886" i="4"/>
  <c r="D886" i="4"/>
  <c r="C886" i="4"/>
  <c r="B886" i="4"/>
  <c r="S886" i="4" s="1"/>
  <c r="A886" i="4"/>
  <c r="U886" i="4" s="1"/>
  <c r="T885" i="4"/>
  <c r="F885" i="4"/>
  <c r="E885" i="4"/>
  <c r="D885" i="4"/>
  <c r="C885" i="4"/>
  <c r="B885" i="4"/>
  <c r="H885" i="4" s="1"/>
  <c r="N885" i="4" s="1"/>
  <c r="A885" i="4"/>
  <c r="U885" i="4" s="1"/>
  <c r="F884" i="4"/>
  <c r="E884" i="4"/>
  <c r="D884" i="4"/>
  <c r="C884" i="4"/>
  <c r="B884" i="4"/>
  <c r="Q884" i="4" s="1"/>
  <c r="A884" i="4"/>
  <c r="F883" i="4"/>
  <c r="E883" i="4"/>
  <c r="D883" i="4"/>
  <c r="C883" i="4"/>
  <c r="B883" i="4"/>
  <c r="Q883" i="4" s="1"/>
  <c r="A883" i="4"/>
  <c r="H882" i="4"/>
  <c r="F882" i="4"/>
  <c r="E882" i="4"/>
  <c r="D882" i="4"/>
  <c r="C882" i="4"/>
  <c r="B882" i="4"/>
  <c r="S882" i="4" s="1"/>
  <c r="A882" i="4"/>
  <c r="U881" i="4"/>
  <c r="G881" i="4"/>
  <c r="F881" i="4"/>
  <c r="E881" i="4"/>
  <c r="D881" i="4"/>
  <c r="C881" i="4"/>
  <c r="B881" i="4"/>
  <c r="R881" i="4" s="1"/>
  <c r="A881" i="4"/>
  <c r="O881" i="4" s="1"/>
  <c r="V880" i="4"/>
  <c r="G880" i="4"/>
  <c r="F880" i="4"/>
  <c r="E880" i="4"/>
  <c r="D880" i="4"/>
  <c r="C880" i="4"/>
  <c r="B880" i="4"/>
  <c r="S880" i="4" s="1"/>
  <c r="A880" i="4"/>
  <c r="K880" i="4" s="1"/>
  <c r="V879" i="4"/>
  <c r="F879" i="4"/>
  <c r="E879" i="4"/>
  <c r="D879" i="4"/>
  <c r="C879" i="4"/>
  <c r="B879" i="4"/>
  <c r="A879" i="4"/>
  <c r="J879" i="4" s="1"/>
  <c r="P878" i="4"/>
  <c r="F878" i="4"/>
  <c r="E878" i="4"/>
  <c r="D878" i="4"/>
  <c r="C878" i="4"/>
  <c r="B878" i="4"/>
  <c r="S878" i="4" s="1"/>
  <c r="A878" i="4"/>
  <c r="O878" i="4" s="1"/>
  <c r="F877" i="4"/>
  <c r="E877" i="4"/>
  <c r="D877" i="4"/>
  <c r="C877" i="4"/>
  <c r="B877" i="4"/>
  <c r="H877" i="4" s="1"/>
  <c r="N877" i="4" s="1"/>
  <c r="A877" i="4"/>
  <c r="F876" i="4"/>
  <c r="E876" i="4"/>
  <c r="D876" i="4"/>
  <c r="C876" i="4"/>
  <c r="B876" i="4"/>
  <c r="S876" i="4" s="1"/>
  <c r="A876" i="4"/>
  <c r="T876" i="4" s="1"/>
  <c r="F875" i="4"/>
  <c r="E875" i="4"/>
  <c r="D875" i="4"/>
  <c r="C875" i="4"/>
  <c r="B875" i="4"/>
  <c r="Q875" i="4" s="1"/>
  <c r="A875" i="4"/>
  <c r="G875" i="4" s="1"/>
  <c r="Q874" i="4"/>
  <c r="F874" i="4"/>
  <c r="E874" i="4"/>
  <c r="D874" i="4"/>
  <c r="C874" i="4"/>
  <c r="B874" i="4"/>
  <c r="S874" i="4" s="1"/>
  <c r="A874" i="4"/>
  <c r="V874" i="4" s="1"/>
  <c r="H873" i="4"/>
  <c r="F873" i="4"/>
  <c r="E873" i="4"/>
  <c r="D873" i="4"/>
  <c r="C873" i="4"/>
  <c r="B873" i="4"/>
  <c r="R873" i="4" s="1"/>
  <c r="A873" i="4"/>
  <c r="V873" i="4" s="1"/>
  <c r="F872" i="4"/>
  <c r="E872" i="4"/>
  <c r="D872" i="4"/>
  <c r="C872" i="4"/>
  <c r="B872" i="4"/>
  <c r="S872" i="4" s="1"/>
  <c r="A872" i="4"/>
  <c r="H871" i="4"/>
  <c r="F871" i="4"/>
  <c r="E871" i="4"/>
  <c r="D871" i="4"/>
  <c r="C871" i="4"/>
  <c r="B871" i="4"/>
  <c r="R871" i="4" s="1"/>
  <c r="A871" i="4"/>
  <c r="F870" i="4"/>
  <c r="E870" i="4"/>
  <c r="D870" i="4"/>
  <c r="C870" i="4"/>
  <c r="B870" i="4"/>
  <c r="S870" i="4" s="1"/>
  <c r="A870" i="4"/>
  <c r="Q869" i="4"/>
  <c r="F869" i="4"/>
  <c r="E869" i="4"/>
  <c r="D869" i="4"/>
  <c r="C869" i="4"/>
  <c r="B869" i="4"/>
  <c r="H869" i="4" s="1"/>
  <c r="N869" i="4" s="1"/>
  <c r="A869" i="4"/>
  <c r="I868" i="4"/>
  <c r="F868" i="4"/>
  <c r="E868" i="4"/>
  <c r="D868" i="4"/>
  <c r="C868" i="4"/>
  <c r="B868" i="4"/>
  <c r="R868" i="4" s="1"/>
  <c r="A868" i="4"/>
  <c r="J868" i="4" s="1"/>
  <c r="S867" i="4"/>
  <c r="Q867" i="4"/>
  <c r="H867" i="4"/>
  <c r="F867" i="4"/>
  <c r="E867" i="4"/>
  <c r="D867" i="4"/>
  <c r="C867" i="4"/>
  <c r="B867" i="4"/>
  <c r="I867" i="4" s="1"/>
  <c r="A867" i="4"/>
  <c r="O867" i="4" s="1"/>
  <c r="V866" i="4"/>
  <c r="F866" i="4"/>
  <c r="E866" i="4"/>
  <c r="D866" i="4"/>
  <c r="C866" i="4"/>
  <c r="B866" i="4"/>
  <c r="S866" i="4" s="1"/>
  <c r="A866" i="4"/>
  <c r="G866" i="4" s="1"/>
  <c r="F865" i="4"/>
  <c r="E865" i="4"/>
  <c r="D865" i="4"/>
  <c r="C865" i="4"/>
  <c r="B865" i="4"/>
  <c r="S865" i="4" s="1"/>
  <c r="A865" i="4"/>
  <c r="O864" i="4"/>
  <c r="F864" i="4"/>
  <c r="E864" i="4"/>
  <c r="D864" i="4"/>
  <c r="C864" i="4"/>
  <c r="B864" i="4"/>
  <c r="R864" i="4" s="1"/>
  <c r="A864" i="4"/>
  <c r="K864" i="4" s="1"/>
  <c r="Q863" i="4"/>
  <c r="F863" i="4"/>
  <c r="E863" i="4"/>
  <c r="D863" i="4"/>
  <c r="C863" i="4"/>
  <c r="B863" i="4"/>
  <c r="R863" i="4" s="1"/>
  <c r="A863" i="4"/>
  <c r="T863" i="4" s="1"/>
  <c r="F862" i="4"/>
  <c r="E862" i="4"/>
  <c r="D862" i="4"/>
  <c r="C862" i="4"/>
  <c r="B862" i="4"/>
  <c r="H862" i="4" s="1"/>
  <c r="L862" i="4" s="1"/>
  <c r="A862" i="4"/>
  <c r="U862" i="4" s="1"/>
  <c r="F861" i="4"/>
  <c r="E861" i="4"/>
  <c r="D861" i="4"/>
  <c r="C861" i="4"/>
  <c r="B861" i="4"/>
  <c r="H861" i="4" s="1"/>
  <c r="N861" i="4" s="1"/>
  <c r="A861" i="4"/>
  <c r="J861" i="4" s="1"/>
  <c r="F860" i="4"/>
  <c r="E860" i="4"/>
  <c r="D860" i="4"/>
  <c r="C860" i="4"/>
  <c r="B860" i="4"/>
  <c r="A860" i="4"/>
  <c r="F859" i="4"/>
  <c r="E859" i="4"/>
  <c r="D859" i="4"/>
  <c r="C859" i="4"/>
  <c r="B859" i="4"/>
  <c r="S859" i="4" s="1"/>
  <c r="A859" i="4"/>
  <c r="F858" i="4"/>
  <c r="E858" i="4"/>
  <c r="D858" i="4"/>
  <c r="C858" i="4"/>
  <c r="B858" i="4"/>
  <c r="R858" i="4" s="1"/>
  <c r="A858" i="4"/>
  <c r="J858" i="4" s="1"/>
  <c r="F857" i="4"/>
  <c r="E857" i="4"/>
  <c r="D857" i="4"/>
  <c r="C857" i="4"/>
  <c r="B857" i="4"/>
  <c r="S857" i="4" s="1"/>
  <c r="A857" i="4"/>
  <c r="O857" i="4" s="1"/>
  <c r="M856" i="4"/>
  <c r="F856" i="4"/>
  <c r="E856" i="4"/>
  <c r="D856" i="4"/>
  <c r="C856" i="4"/>
  <c r="B856" i="4"/>
  <c r="A856" i="4"/>
  <c r="K856" i="4" s="1"/>
  <c r="F855" i="4"/>
  <c r="E855" i="4"/>
  <c r="D855" i="4"/>
  <c r="C855" i="4"/>
  <c r="B855" i="4"/>
  <c r="R855" i="4" s="1"/>
  <c r="A855" i="4"/>
  <c r="S854" i="4"/>
  <c r="F854" i="4"/>
  <c r="E854" i="4"/>
  <c r="D854" i="4"/>
  <c r="C854" i="4"/>
  <c r="B854" i="4"/>
  <c r="R854" i="4" s="1"/>
  <c r="A854" i="4"/>
  <c r="K854" i="4" s="1"/>
  <c r="F853" i="4"/>
  <c r="E853" i="4"/>
  <c r="D853" i="4"/>
  <c r="C853" i="4"/>
  <c r="B853" i="4"/>
  <c r="A853" i="4"/>
  <c r="V853" i="4" s="1"/>
  <c r="F852" i="4"/>
  <c r="E852" i="4"/>
  <c r="D852" i="4"/>
  <c r="C852" i="4"/>
  <c r="B852" i="4"/>
  <c r="S852" i="4" s="1"/>
  <c r="A852" i="4"/>
  <c r="T852" i="4" s="1"/>
  <c r="W851" i="4"/>
  <c r="F851" i="4"/>
  <c r="E851" i="4"/>
  <c r="D851" i="4"/>
  <c r="C851" i="4"/>
  <c r="B851" i="4"/>
  <c r="A851" i="4"/>
  <c r="V851" i="4" s="1"/>
  <c r="F850" i="4"/>
  <c r="E850" i="4"/>
  <c r="D850" i="4"/>
  <c r="C850" i="4"/>
  <c r="B850" i="4"/>
  <c r="A850" i="4"/>
  <c r="R849" i="4"/>
  <c r="I849" i="4"/>
  <c r="F849" i="4"/>
  <c r="E849" i="4"/>
  <c r="D849" i="4"/>
  <c r="C849" i="4"/>
  <c r="B849" i="4"/>
  <c r="S849" i="4" s="1"/>
  <c r="A849" i="4"/>
  <c r="T849" i="4" s="1"/>
  <c r="G848" i="4"/>
  <c r="F848" i="4"/>
  <c r="E848" i="4"/>
  <c r="D848" i="4"/>
  <c r="C848" i="4"/>
  <c r="B848" i="4"/>
  <c r="A848" i="4"/>
  <c r="K848" i="4" s="1"/>
  <c r="F847" i="4"/>
  <c r="E847" i="4"/>
  <c r="D847" i="4"/>
  <c r="C847" i="4"/>
  <c r="B847" i="4"/>
  <c r="I847" i="4" s="1"/>
  <c r="A847" i="4"/>
  <c r="T847" i="4" s="1"/>
  <c r="F846" i="4"/>
  <c r="E846" i="4"/>
  <c r="D846" i="4"/>
  <c r="C846" i="4"/>
  <c r="B846" i="4"/>
  <c r="H846" i="4" s="1"/>
  <c r="L846" i="4" s="1"/>
  <c r="A846" i="4"/>
  <c r="O846" i="4" s="1"/>
  <c r="F845" i="4"/>
  <c r="E845" i="4"/>
  <c r="D845" i="4"/>
  <c r="C845" i="4"/>
  <c r="B845" i="4"/>
  <c r="S845" i="4" s="1"/>
  <c r="A845" i="4"/>
  <c r="F844" i="4"/>
  <c r="E844" i="4"/>
  <c r="D844" i="4"/>
  <c r="C844" i="4"/>
  <c r="B844" i="4"/>
  <c r="A844" i="4"/>
  <c r="P844" i="4" s="1"/>
  <c r="F843" i="4"/>
  <c r="E843" i="4"/>
  <c r="D843" i="4"/>
  <c r="C843" i="4"/>
  <c r="B843" i="4"/>
  <c r="A843" i="4"/>
  <c r="V843" i="4" s="1"/>
  <c r="J842" i="4"/>
  <c r="F842" i="4"/>
  <c r="E842" i="4"/>
  <c r="D842" i="4"/>
  <c r="C842" i="4"/>
  <c r="B842" i="4"/>
  <c r="S842" i="4" s="1"/>
  <c r="A842" i="4"/>
  <c r="F841" i="4"/>
  <c r="E841" i="4"/>
  <c r="D841" i="4"/>
  <c r="C841" i="4"/>
  <c r="B841" i="4"/>
  <c r="A841" i="4"/>
  <c r="P841" i="4" s="1"/>
  <c r="F840" i="4"/>
  <c r="E840" i="4"/>
  <c r="D840" i="4"/>
  <c r="C840" i="4"/>
  <c r="B840" i="4"/>
  <c r="R840" i="4" s="1"/>
  <c r="A840" i="4"/>
  <c r="F839" i="4"/>
  <c r="E839" i="4"/>
  <c r="D839" i="4"/>
  <c r="C839" i="4"/>
  <c r="B839" i="4"/>
  <c r="I839" i="4" s="1"/>
  <c r="A839" i="4"/>
  <c r="J839" i="4" s="1"/>
  <c r="F838" i="4"/>
  <c r="E838" i="4"/>
  <c r="D838" i="4"/>
  <c r="C838" i="4"/>
  <c r="B838" i="4"/>
  <c r="A838" i="4"/>
  <c r="T838" i="4" s="1"/>
  <c r="F837" i="4"/>
  <c r="E837" i="4"/>
  <c r="D837" i="4"/>
  <c r="C837" i="4"/>
  <c r="B837" i="4"/>
  <c r="A837" i="4"/>
  <c r="K837" i="4" s="1"/>
  <c r="O836" i="4"/>
  <c r="F836" i="4"/>
  <c r="E836" i="4"/>
  <c r="D836" i="4"/>
  <c r="C836" i="4"/>
  <c r="B836" i="4"/>
  <c r="R836" i="4" s="1"/>
  <c r="A836" i="4"/>
  <c r="J836" i="4" s="1"/>
  <c r="F835" i="4"/>
  <c r="E835" i="4"/>
  <c r="D835" i="4"/>
  <c r="C835" i="4"/>
  <c r="B835" i="4"/>
  <c r="S835" i="4" s="1"/>
  <c r="A835" i="4"/>
  <c r="F834" i="4"/>
  <c r="E834" i="4"/>
  <c r="D834" i="4"/>
  <c r="C834" i="4"/>
  <c r="B834" i="4"/>
  <c r="Q834" i="4" s="1"/>
  <c r="A834" i="4"/>
  <c r="J834" i="4" s="1"/>
  <c r="S833" i="4"/>
  <c r="F833" i="4"/>
  <c r="E833" i="4"/>
  <c r="D833" i="4"/>
  <c r="C833" i="4"/>
  <c r="B833" i="4"/>
  <c r="A833" i="4"/>
  <c r="S832" i="4"/>
  <c r="H832" i="4"/>
  <c r="F832" i="4"/>
  <c r="E832" i="4"/>
  <c r="D832" i="4"/>
  <c r="C832" i="4"/>
  <c r="B832" i="4"/>
  <c r="R832" i="4" s="1"/>
  <c r="A832" i="4"/>
  <c r="V832" i="4" s="1"/>
  <c r="F831" i="4"/>
  <c r="E831" i="4"/>
  <c r="D831" i="4"/>
  <c r="C831" i="4"/>
  <c r="B831" i="4"/>
  <c r="S831" i="4" s="1"/>
  <c r="A831" i="4"/>
  <c r="W831" i="4" s="1"/>
  <c r="F830" i="4"/>
  <c r="E830" i="4"/>
  <c r="D830" i="4"/>
  <c r="C830" i="4"/>
  <c r="B830" i="4"/>
  <c r="S830" i="4" s="1"/>
  <c r="A830" i="4"/>
  <c r="T830" i="4" s="1"/>
  <c r="F829" i="4"/>
  <c r="E829" i="4"/>
  <c r="D829" i="4"/>
  <c r="C829" i="4"/>
  <c r="B829" i="4"/>
  <c r="S829" i="4" s="1"/>
  <c r="A829" i="4"/>
  <c r="K829" i="4" s="1"/>
  <c r="O828" i="4"/>
  <c r="F828" i="4"/>
  <c r="E828" i="4"/>
  <c r="D828" i="4"/>
  <c r="C828" i="4"/>
  <c r="B828" i="4"/>
  <c r="R828" i="4" s="1"/>
  <c r="A828" i="4"/>
  <c r="K828" i="4" s="1"/>
  <c r="F827" i="4"/>
  <c r="E827" i="4"/>
  <c r="D827" i="4"/>
  <c r="C827" i="4"/>
  <c r="B827" i="4"/>
  <c r="S827" i="4" s="1"/>
  <c r="A827" i="4"/>
  <c r="T827" i="4" s="1"/>
  <c r="F826" i="4"/>
  <c r="E826" i="4"/>
  <c r="D826" i="4"/>
  <c r="C826" i="4"/>
  <c r="B826" i="4"/>
  <c r="Q826" i="4" s="1"/>
  <c r="A826" i="4"/>
  <c r="J826" i="4" s="1"/>
  <c r="Q825" i="4"/>
  <c r="F825" i="4"/>
  <c r="E825" i="4"/>
  <c r="D825" i="4"/>
  <c r="C825" i="4"/>
  <c r="B825" i="4"/>
  <c r="R825" i="4" s="1"/>
  <c r="A825" i="4"/>
  <c r="F824" i="4"/>
  <c r="E824" i="4"/>
  <c r="D824" i="4"/>
  <c r="C824" i="4"/>
  <c r="B824" i="4"/>
  <c r="R824" i="4" s="1"/>
  <c r="A824" i="4"/>
  <c r="V824" i="4" s="1"/>
  <c r="V823" i="4"/>
  <c r="F823" i="4"/>
  <c r="E823" i="4"/>
  <c r="D823" i="4"/>
  <c r="C823" i="4"/>
  <c r="B823" i="4"/>
  <c r="A823" i="4"/>
  <c r="W823" i="4" s="1"/>
  <c r="F822" i="4"/>
  <c r="E822" i="4"/>
  <c r="D822" i="4"/>
  <c r="C822" i="4"/>
  <c r="B822" i="4"/>
  <c r="A822" i="4"/>
  <c r="F821" i="4"/>
  <c r="E821" i="4"/>
  <c r="D821" i="4"/>
  <c r="C821" i="4"/>
  <c r="B821" i="4"/>
  <c r="A821" i="4"/>
  <c r="F820" i="4"/>
  <c r="E820" i="4"/>
  <c r="D820" i="4"/>
  <c r="C820" i="4"/>
  <c r="B820" i="4"/>
  <c r="A820" i="4"/>
  <c r="J820" i="4" s="1"/>
  <c r="F819" i="4"/>
  <c r="E819" i="4"/>
  <c r="D819" i="4"/>
  <c r="C819" i="4"/>
  <c r="B819" i="4"/>
  <c r="A819" i="4"/>
  <c r="V819" i="4" s="1"/>
  <c r="F818" i="4"/>
  <c r="E818" i="4"/>
  <c r="D818" i="4"/>
  <c r="C818" i="4"/>
  <c r="B818" i="4"/>
  <c r="I818" i="4" s="1"/>
  <c r="A818" i="4"/>
  <c r="J818" i="4" s="1"/>
  <c r="F817" i="4"/>
  <c r="E817" i="4"/>
  <c r="D817" i="4"/>
  <c r="C817" i="4"/>
  <c r="B817" i="4"/>
  <c r="A817" i="4"/>
  <c r="P817" i="4" s="1"/>
  <c r="F816" i="4"/>
  <c r="E816" i="4"/>
  <c r="D816" i="4"/>
  <c r="C816" i="4"/>
  <c r="B816" i="4"/>
  <c r="A816" i="4"/>
  <c r="F815" i="4"/>
  <c r="E815" i="4"/>
  <c r="D815" i="4"/>
  <c r="C815" i="4"/>
  <c r="B815" i="4"/>
  <c r="A815" i="4"/>
  <c r="F814" i="4"/>
  <c r="E814" i="4"/>
  <c r="D814" i="4"/>
  <c r="C814" i="4"/>
  <c r="B814" i="4"/>
  <c r="S814" i="4" s="1"/>
  <c r="A814" i="4"/>
  <c r="V814" i="4" s="1"/>
  <c r="F813" i="4"/>
  <c r="E813" i="4"/>
  <c r="D813" i="4"/>
  <c r="C813" i="4"/>
  <c r="B813" i="4"/>
  <c r="S813" i="4" s="1"/>
  <c r="A813" i="4"/>
  <c r="W813" i="4" s="1"/>
  <c r="F812" i="4"/>
  <c r="E812" i="4"/>
  <c r="D812" i="4"/>
  <c r="C812" i="4"/>
  <c r="B812" i="4"/>
  <c r="R812" i="4" s="1"/>
  <c r="A812" i="4"/>
  <c r="F811" i="4"/>
  <c r="E811" i="4"/>
  <c r="D811" i="4"/>
  <c r="C811" i="4"/>
  <c r="B811" i="4"/>
  <c r="R811" i="4" s="1"/>
  <c r="A811" i="4"/>
  <c r="F810" i="4"/>
  <c r="E810" i="4"/>
  <c r="D810" i="4"/>
  <c r="C810" i="4"/>
  <c r="B810" i="4"/>
  <c r="A810" i="4"/>
  <c r="J810" i="4" s="1"/>
  <c r="F809" i="4"/>
  <c r="E809" i="4"/>
  <c r="D809" i="4"/>
  <c r="C809" i="4"/>
  <c r="B809" i="4"/>
  <c r="R809" i="4" s="1"/>
  <c r="A809" i="4"/>
  <c r="T809" i="4" s="1"/>
  <c r="F808" i="4"/>
  <c r="E808" i="4"/>
  <c r="D808" i="4"/>
  <c r="C808" i="4"/>
  <c r="B808" i="4"/>
  <c r="R808" i="4" s="1"/>
  <c r="A808" i="4"/>
  <c r="V808" i="4" s="1"/>
  <c r="J807" i="4"/>
  <c r="F807" i="4"/>
  <c r="E807" i="4"/>
  <c r="D807" i="4"/>
  <c r="C807" i="4"/>
  <c r="B807" i="4"/>
  <c r="A807" i="4"/>
  <c r="U807" i="4" s="1"/>
  <c r="Q806" i="4"/>
  <c r="F806" i="4"/>
  <c r="E806" i="4"/>
  <c r="D806" i="4"/>
  <c r="C806" i="4"/>
  <c r="B806" i="4"/>
  <c r="S806" i="4" s="1"/>
  <c r="A806" i="4"/>
  <c r="V806" i="4" s="1"/>
  <c r="F805" i="4"/>
  <c r="E805" i="4"/>
  <c r="D805" i="4"/>
  <c r="C805" i="4"/>
  <c r="B805" i="4"/>
  <c r="S805" i="4" s="1"/>
  <c r="A805" i="4"/>
  <c r="O805" i="4" s="1"/>
  <c r="H804" i="4"/>
  <c r="N804" i="4" s="1"/>
  <c r="F804" i="4"/>
  <c r="E804" i="4"/>
  <c r="D804" i="4"/>
  <c r="C804" i="4"/>
  <c r="B804" i="4"/>
  <c r="R804" i="4" s="1"/>
  <c r="A804" i="4"/>
  <c r="J804" i="4" s="1"/>
  <c r="F803" i="4"/>
  <c r="E803" i="4"/>
  <c r="D803" i="4"/>
  <c r="C803" i="4"/>
  <c r="B803" i="4"/>
  <c r="S803" i="4" s="1"/>
  <c r="A803" i="4"/>
  <c r="F802" i="4"/>
  <c r="E802" i="4"/>
  <c r="D802" i="4"/>
  <c r="C802" i="4"/>
  <c r="B802" i="4"/>
  <c r="A802" i="4"/>
  <c r="F801" i="4"/>
  <c r="E801" i="4"/>
  <c r="D801" i="4"/>
  <c r="C801" i="4"/>
  <c r="B801" i="4"/>
  <c r="A801" i="4"/>
  <c r="P801" i="4" s="1"/>
  <c r="F800" i="4"/>
  <c r="E800" i="4"/>
  <c r="D800" i="4"/>
  <c r="C800" i="4"/>
  <c r="B800" i="4"/>
  <c r="A800" i="4"/>
  <c r="V800" i="4" s="1"/>
  <c r="F799" i="4"/>
  <c r="E799" i="4"/>
  <c r="D799" i="4"/>
  <c r="C799" i="4"/>
  <c r="B799" i="4"/>
  <c r="R799" i="4" s="1"/>
  <c r="A799" i="4"/>
  <c r="F798" i="4"/>
  <c r="E798" i="4"/>
  <c r="D798" i="4"/>
  <c r="C798" i="4"/>
  <c r="B798" i="4"/>
  <c r="S798" i="4" s="1"/>
  <c r="A798" i="4"/>
  <c r="F797" i="4"/>
  <c r="E797" i="4"/>
  <c r="D797" i="4"/>
  <c r="C797" i="4"/>
  <c r="B797" i="4"/>
  <c r="A797" i="4"/>
  <c r="K797" i="4" s="1"/>
  <c r="F796" i="4"/>
  <c r="E796" i="4"/>
  <c r="D796" i="4"/>
  <c r="C796" i="4"/>
  <c r="B796" i="4"/>
  <c r="A796" i="4"/>
  <c r="M796" i="4" s="1"/>
  <c r="F795" i="4"/>
  <c r="E795" i="4"/>
  <c r="D795" i="4"/>
  <c r="C795" i="4"/>
  <c r="B795" i="4"/>
  <c r="A795" i="4"/>
  <c r="G795" i="4" s="1"/>
  <c r="R794" i="4"/>
  <c r="F794" i="4"/>
  <c r="E794" i="4"/>
  <c r="D794" i="4"/>
  <c r="C794" i="4"/>
  <c r="B794" i="4"/>
  <c r="I794" i="4" s="1"/>
  <c r="A794" i="4"/>
  <c r="J794" i="4" s="1"/>
  <c r="I793" i="4"/>
  <c r="F793" i="4"/>
  <c r="E793" i="4"/>
  <c r="D793" i="4"/>
  <c r="C793" i="4"/>
  <c r="B793" i="4"/>
  <c r="R793" i="4" s="1"/>
  <c r="A793" i="4"/>
  <c r="T793" i="4" s="1"/>
  <c r="F792" i="4"/>
  <c r="E792" i="4"/>
  <c r="D792" i="4"/>
  <c r="C792" i="4"/>
  <c r="B792" i="4"/>
  <c r="R792" i="4" s="1"/>
  <c r="A792" i="4"/>
  <c r="J792" i="4" s="1"/>
  <c r="F791" i="4"/>
  <c r="E791" i="4"/>
  <c r="D791" i="4"/>
  <c r="C791" i="4"/>
  <c r="B791" i="4"/>
  <c r="R791" i="4" s="1"/>
  <c r="A791" i="4"/>
  <c r="U791" i="4" s="1"/>
  <c r="F790" i="4"/>
  <c r="E790" i="4"/>
  <c r="D790" i="4"/>
  <c r="C790" i="4"/>
  <c r="B790" i="4"/>
  <c r="S790" i="4" s="1"/>
  <c r="A790" i="4"/>
  <c r="U790" i="4" s="1"/>
  <c r="Q789" i="4"/>
  <c r="F789" i="4"/>
  <c r="E789" i="4"/>
  <c r="D789" i="4"/>
  <c r="C789" i="4"/>
  <c r="B789" i="4"/>
  <c r="S789" i="4" s="1"/>
  <c r="A789" i="4"/>
  <c r="K789" i="4" s="1"/>
  <c r="Q788" i="4"/>
  <c r="F788" i="4"/>
  <c r="E788" i="4"/>
  <c r="D788" i="4"/>
  <c r="C788" i="4"/>
  <c r="B788" i="4"/>
  <c r="R788" i="4" s="1"/>
  <c r="A788" i="4"/>
  <c r="J788" i="4" s="1"/>
  <c r="W787" i="4"/>
  <c r="F787" i="4"/>
  <c r="E787" i="4"/>
  <c r="D787" i="4"/>
  <c r="C787" i="4"/>
  <c r="B787" i="4"/>
  <c r="S787" i="4" s="1"/>
  <c r="A787" i="4"/>
  <c r="P787" i="4" s="1"/>
  <c r="R786" i="4"/>
  <c r="F786" i="4"/>
  <c r="E786" i="4"/>
  <c r="D786" i="4"/>
  <c r="C786" i="4"/>
  <c r="B786" i="4"/>
  <c r="I786" i="4" s="1"/>
  <c r="A786" i="4"/>
  <c r="J786" i="4" s="1"/>
  <c r="H785" i="4"/>
  <c r="N785" i="4" s="1"/>
  <c r="F785" i="4"/>
  <c r="E785" i="4"/>
  <c r="D785" i="4"/>
  <c r="C785" i="4"/>
  <c r="B785" i="4"/>
  <c r="R785" i="4" s="1"/>
  <c r="A785" i="4"/>
  <c r="P785" i="4" s="1"/>
  <c r="J784" i="4"/>
  <c r="F784" i="4"/>
  <c r="E784" i="4"/>
  <c r="D784" i="4"/>
  <c r="C784" i="4"/>
  <c r="B784" i="4"/>
  <c r="A784" i="4"/>
  <c r="V784" i="4" s="1"/>
  <c r="O783" i="4"/>
  <c r="F783" i="4"/>
  <c r="E783" i="4"/>
  <c r="D783" i="4"/>
  <c r="C783" i="4"/>
  <c r="B783" i="4"/>
  <c r="I783" i="4" s="1"/>
  <c r="A783" i="4"/>
  <c r="F782" i="4"/>
  <c r="E782" i="4"/>
  <c r="D782" i="4"/>
  <c r="C782" i="4"/>
  <c r="B782" i="4"/>
  <c r="A782" i="4"/>
  <c r="V782" i="4" s="1"/>
  <c r="F781" i="4"/>
  <c r="E781" i="4"/>
  <c r="D781" i="4"/>
  <c r="C781" i="4"/>
  <c r="B781" i="4"/>
  <c r="A781" i="4"/>
  <c r="K781" i="4" s="1"/>
  <c r="W780" i="4"/>
  <c r="F780" i="4"/>
  <c r="E780" i="4"/>
  <c r="D780" i="4"/>
  <c r="C780" i="4"/>
  <c r="B780" i="4"/>
  <c r="A780" i="4"/>
  <c r="J780" i="4" s="1"/>
  <c r="F779" i="4"/>
  <c r="E779" i="4"/>
  <c r="D779" i="4"/>
  <c r="C779" i="4"/>
  <c r="B779" i="4"/>
  <c r="A779" i="4"/>
  <c r="F778" i="4"/>
  <c r="E778" i="4"/>
  <c r="D778" i="4"/>
  <c r="C778" i="4"/>
  <c r="B778" i="4"/>
  <c r="I778" i="4" s="1"/>
  <c r="A778" i="4"/>
  <c r="Q777" i="4"/>
  <c r="F777" i="4"/>
  <c r="E777" i="4"/>
  <c r="D777" i="4"/>
  <c r="C777" i="4"/>
  <c r="B777" i="4"/>
  <c r="R777" i="4" s="1"/>
  <c r="A777" i="4"/>
  <c r="T777" i="4" s="1"/>
  <c r="S776" i="4"/>
  <c r="F776" i="4"/>
  <c r="E776" i="4"/>
  <c r="D776" i="4"/>
  <c r="C776" i="4"/>
  <c r="B776" i="4"/>
  <c r="R776" i="4" s="1"/>
  <c r="A776" i="4"/>
  <c r="V776" i="4" s="1"/>
  <c r="O775" i="4"/>
  <c r="F775" i="4"/>
  <c r="E775" i="4"/>
  <c r="D775" i="4"/>
  <c r="C775" i="4"/>
  <c r="B775" i="4"/>
  <c r="A775" i="4"/>
  <c r="V775" i="4" s="1"/>
  <c r="H774" i="4"/>
  <c r="L774" i="4" s="1"/>
  <c r="F774" i="4"/>
  <c r="E774" i="4"/>
  <c r="D774" i="4"/>
  <c r="C774" i="4"/>
  <c r="B774" i="4"/>
  <c r="S774" i="4" s="1"/>
  <c r="A774" i="4"/>
  <c r="U774" i="4" s="1"/>
  <c r="Q773" i="4"/>
  <c r="F773" i="4"/>
  <c r="E773" i="4"/>
  <c r="D773" i="4"/>
  <c r="C773" i="4"/>
  <c r="B773" i="4"/>
  <c r="S773" i="4" s="1"/>
  <c r="A773" i="4"/>
  <c r="K773" i="4" s="1"/>
  <c r="Q772" i="4"/>
  <c r="F772" i="4"/>
  <c r="E772" i="4"/>
  <c r="D772" i="4"/>
  <c r="C772" i="4"/>
  <c r="B772" i="4"/>
  <c r="R772" i="4" s="1"/>
  <c r="A772" i="4"/>
  <c r="J772" i="4" s="1"/>
  <c r="P771" i="4"/>
  <c r="F771" i="4"/>
  <c r="E771" i="4"/>
  <c r="D771" i="4"/>
  <c r="C771" i="4"/>
  <c r="B771" i="4"/>
  <c r="A771" i="4"/>
  <c r="O771" i="4" s="1"/>
  <c r="J770" i="4"/>
  <c r="F770" i="4"/>
  <c r="E770" i="4"/>
  <c r="D770" i="4"/>
  <c r="C770" i="4"/>
  <c r="B770" i="4"/>
  <c r="A770" i="4"/>
  <c r="T770" i="4" s="1"/>
  <c r="F769" i="4"/>
  <c r="E769" i="4"/>
  <c r="D769" i="4"/>
  <c r="C769" i="4"/>
  <c r="B769" i="4"/>
  <c r="R769" i="4" s="1"/>
  <c r="A769" i="4"/>
  <c r="T769" i="4" s="1"/>
  <c r="F768" i="4"/>
  <c r="E768" i="4"/>
  <c r="D768" i="4"/>
  <c r="C768" i="4"/>
  <c r="B768" i="4"/>
  <c r="Q768" i="4" s="1"/>
  <c r="A768" i="4"/>
  <c r="G768" i="4" s="1"/>
  <c r="J767" i="4"/>
  <c r="F767" i="4"/>
  <c r="E767" i="4"/>
  <c r="D767" i="4"/>
  <c r="C767" i="4"/>
  <c r="B767" i="4"/>
  <c r="S767" i="4" s="1"/>
  <c r="A767" i="4"/>
  <c r="V767" i="4" s="1"/>
  <c r="F766" i="4"/>
  <c r="E766" i="4"/>
  <c r="D766" i="4"/>
  <c r="C766" i="4"/>
  <c r="B766" i="4"/>
  <c r="S766" i="4" s="1"/>
  <c r="A766" i="4"/>
  <c r="W766" i="4" s="1"/>
  <c r="I765" i="4"/>
  <c r="F765" i="4"/>
  <c r="E765" i="4"/>
  <c r="D765" i="4"/>
  <c r="C765" i="4"/>
  <c r="B765" i="4"/>
  <c r="S765" i="4" s="1"/>
  <c r="A765" i="4"/>
  <c r="K765" i="4" s="1"/>
  <c r="I764" i="4"/>
  <c r="F764" i="4"/>
  <c r="E764" i="4"/>
  <c r="D764" i="4"/>
  <c r="C764" i="4"/>
  <c r="B764" i="4"/>
  <c r="R764" i="4" s="1"/>
  <c r="A764" i="4"/>
  <c r="J764" i="4" s="1"/>
  <c r="R763" i="4"/>
  <c r="F763" i="4"/>
  <c r="E763" i="4"/>
  <c r="D763" i="4"/>
  <c r="C763" i="4"/>
  <c r="B763" i="4"/>
  <c r="S763" i="4" s="1"/>
  <c r="A763" i="4"/>
  <c r="O763" i="4" s="1"/>
  <c r="F762" i="4"/>
  <c r="E762" i="4"/>
  <c r="D762" i="4"/>
  <c r="C762" i="4"/>
  <c r="B762" i="4"/>
  <c r="H762" i="4" s="1"/>
  <c r="L762" i="4" s="1"/>
  <c r="A762" i="4"/>
  <c r="T762" i="4" s="1"/>
  <c r="F761" i="4"/>
  <c r="E761" i="4"/>
  <c r="D761" i="4"/>
  <c r="C761" i="4"/>
  <c r="B761" i="4"/>
  <c r="S761" i="4" s="1"/>
  <c r="A761" i="4"/>
  <c r="J761" i="4" s="1"/>
  <c r="P760" i="4"/>
  <c r="F760" i="4"/>
  <c r="E760" i="4"/>
  <c r="D760" i="4"/>
  <c r="C760" i="4"/>
  <c r="B760" i="4"/>
  <c r="R760" i="4" s="1"/>
  <c r="A760" i="4"/>
  <c r="G760" i="4" s="1"/>
  <c r="H759" i="4"/>
  <c r="L759" i="4" s="1"/>
  <c r="F759" i="4"/>
  <c r="E759" i="4"/>
  <c r="D759" i="4"/>
  <c r="C759" i="4"/>
  <c r="B759" i="4"/>
  <c r="Q759" i="4" s="1"/>
  <c r="A759" i="4"/>
  <c r="G759" i="4" s="1"/>
  <c r="F758" i="4"/>
  <c r="E758" i="4"/>
  <c r="D758" i="4"/>
  <c r="C758" i="4"/>
  <c r="B758" i="4"/>
  <c r="A758" i="4"/>
  <c r="G758" i="4" s="1"/>
  <c r="Q757" i="4"/>
  <c r="F757" i="4"/>
  <c r="E757" i="4"/>
  <c r="D757" i="4"/>
  <c r="C757" i="4"/>
  <c r="B757" i="4"/>
  <c r="S757" i="4" s="1"/>
  <c r="A757" i="4"/>
  <c r="V757" i="4" s="1"/>
  <c r="O756" i="4"/>
  <c r="H756" i="4"/>
  <c r="F756" i="4"/>
  <c r="E756" i="4"/>
  <c r="D756" i="4"/>
  <c r="C756" i="4"/>
  <c r="B756" i="4"/>
  <c r="R756" i="4" s="1"/>
  <c r="A756" i="4"/>
  <c r="J756" i="4" s="1"/>
  <c r="W755" i="4"/>
  <c r="U755" i="4"/>
  <c r="T755" i="4"/>
  <c r="R755" i="4"/>
  <c r="J755" i="4"/>
  <c r="G755" i="4"/>
  <c r="F755" i="4"/>
  <c r="E755" i="4"/>
  <c r="D755" i="4"/>
  <c r="C755" i="4"/>
  <c r="B755" i="4"/>
  <c r="S755" i="4" s="1"/>
  <c r="A755" i="4"/>
  <c r="P755" i="4" s="1"/>
  <c r="F754" i="4"/>
  <c r="E754" i="4"/>
  <c r="D754" i="4"/>
  <c r="C754" i="4"/>
  <c r="B754" i="4"/>
  <c r="H754" i="4" s="1"/>
  <c r="N754" i="4" s="1"/>
  <c r="A754" i="4"/>
  <c r="V754" i="4" s="1"/>
  <c r="M753" i="4"/>
  <c r="F753" i="4"/>
  <c r="E753" i="4"/>
  <c r="D753" i="4"/>
  <c r="C753" i="4"/>
  <c r="B753" i="4"/>
  <c r="A753" i="4"/>
  <c r="K753" i="4" s="1"/>
  <c r="Q752" i="4"/>
  <c r="F752" i="4"/>
  <c r="E752" i="4"/>
  <c r="D752" i="4"/>
  <c r="C752" i="4"/>
  <c r="B752" i="4"/>
  <c r="S752" i="4" s="1"/>
  <c r="A752" i="4"/>
  <c r="T752" i="4" s="1"/>
  <c r="O751" i="4"/>
  <c r="F751" i="4"/>
  <c r="E751" i="4"/>
  <c r="D751" i="4"/>
  <c r="C751" i="4"/>
  <c r="B751" i="4"/>
  <c r="Q751" i="4" s="1"/>
  <c r="A751" i="4"/>
  <c r="Q750" i="4"/>
  <c r="F750" i="4"/>
  <c r="E750" i="4"/>
  <c r="D750" i="4"/>
  <c r="C750" i="4"/>
  <c r="B750" i="4"/>
  <c r="S750" i="4" s="1"/>
  <c r="A750" i="4"/>
  <c r="G750" i="4" s="1"/>
  <c r="F749" i="4"/>
  <c r="E749" i="4"/>
  <c r="D749" i="4"/>
  <c r="C749" i="4"/>
  <c r="B749" i="4"/>
  <c r="S749" i="4" s="1"/>
  <c r="A749" i="4"/>
  <c r="P749" i="4" s="1"/>
  <c r="I748" i="4"/>
  <c r="F748" i="4"/>
  <c r="E748" i="4"/>
  <c r="D748" i="4"/>
  <c r="C748" i="4"/>
  <c r="B748" i="4"/>
  <c r="R748" i="4" s="1"/>
  <c r="A748" i="4"/>
  <c r="J748" i="4" s="1"/>
  <c r="F747" i="4"/>
  <c r="E747" i="4"/>
  <c r="D747" i="4"/>
  <c r="C747" i="4"/>
  <c r="B747" i="4"/>
  <c r="A747" i="4"/>
  <c r="V747" i="4" s="1"/>
  <c r="K746" i="4"/>
  <c r="F746" i="4"/>
  <c r="E746" i="4"/>
  <c r="D746" i="4"/>
  <c r="C746" i="4"/>
  <c r="B746" i="4"/>
  <c r="A746" i="4"/>
  <c r="R745" i="4"/>
  <c r="F745" i="4"/>
  <c r="E745" i="4"/>
  <c r="D745" i="4"/>
  <c r="C745" i="4"/>
  <c r="B745" i="4"/>
  <c r="S745" i="4" s="1"/>
  <c r="A745" i="4"/>
  <c r="M745" i="4" s="1"/>
  <c r="I744" i="4"/>
  <c r="F744" i="4"/>
  <c r="E744" i="4"/>
  <c r="D744" i="4"/>
  <c r="C744" i="4"/>
  <c r="B744" i="4"/>
  <c r="R744" i="4" s="1"/>
  <c r="A744" i="4"/>
  <c r="K744" i="4" s="1"/>
  <c r="F743" i="4"/>
  <c r="E743" i="4"/>
  <c r="D743" i="4"/>
  <c r="C743" i="4"/>
  <c r="B743" i="4"/>
  <c r="R743" i="4" s="1"/>
  <c r="A743" i="4"/>
  <c r="F742" i="4"/>
  <c r="E742" i="4"/>
  <c r="D742" i="4"/>
  <c r="C742" i="4"/>
  <c r="B742" i="4"/>
  <c r="S742" i="4" s="1"/>
  <c r="A742" i="4"/>
  <c r="G742" i="4" s="1"/>
  <c r="F741" i="4"/>
  <c r="E741" i="4"/>
  <c r="D741" i="4"/>
  <c r="C741" i="4"/>
  <c r="B741" i="4"/>
  <c r="S741" i="4" s="1"/>
  <c r="A741" i="4"/>
  <c r="F740" i="4"/>
  <c r="E740" i="4"/>
  <c r="D740" i="4"/>
  <c r="C740" i="4"/>
  <c r="B740" i="4"/>
  <c r="R740" i="4" s="1"/>
  <c r="A740" i="4"/>
  <c r="J740" i="4" s="1"/>
  <c r="F739" i="4"/>
  <c r="E739" i="4"/>
  <c r="D739" i="4"/>
  <c r="C739" i="4"/>
  <c r="B739" i="4"/>
  <c r="S739" i="4" s="1"/>
  <c r="A739" i="4"/>
  <c r="T739" i="4" s="1"/>
  <c r="F738" i="4"/>
  <c r="E738" i="4"/>
  <c r="D738" i="4"/>
  <c r="C738" i="4"/>
  <c r="B738" i="4"/>
  <c r="H738" i="4" s="1"/>
  <c r="N738" i="4" s="1"/>
  <c r="A738" i="4"/>
  <c r="P738" i="4" s="1"/>
  <c r="F737" i="4"/>
  <c r="E737" i="4"/>
  <c r="D737" i="4"/>
  <c r="C737" i="4"/>
  <c r="B737" i="4"/>
  <c r="R737" i="4" s="1"/>
  <c r="A737" i="4"/>
  <c r="V737" i="4" s="1"/>
  <c r="F736" i="4"/>
  <c r="E736" i="4"/>
  <c r="D736" i="4"/>
  <c r="C736" i="4"/>
  <c r="B736" i="4"/>
  <c r="A736" i="4"/>
  <c r="F735" i="4"/>
  <c r="E735" i="4"/>
  <c r="D735" i="4"/>
  <c r="C735" i="4"/>
  <c r="B735" i="4"/>
  <c r="S735" i="4" s="1"/>
  <c r="A735" i="4"/>
  <c r="O735" i="4" s="1"/>
  <c r="H734" i="4"/>
  <c r="L734" i="4" s="1"/>
  <c r="F734" i="4"/>
  <c r="E734" i="4"/>
  <c r="D734" i="4"/>
  <c r="C734" i="4"/>
  <c r="B734" i="4"/>
  <c r="S734" i="4" s="1"/>
  <c r="A734" i="4"/>
  <c r="V734" i="4" s="1"/>
  <c r="F733" i="4"/>
  <c r="E733" i="4"/>
  <c r="D733" i="4"/>
  <c r="C733" i="4"/>
  <c r="B733" i="4"/>
  <c r="A733" i="4"/>
  <c r="K733" i="4" s="1"/>
  <c r="S732" i="4"/>
  <c r="F732" i="4"/>
  <c r="E732" i="4"/>
  <c r="D732" i="4"/>
  <c r="C732" i="4"/>
  <c r="B732" i="4"/>
  <c r="R732" i="4" s="1"/>
  <c r="A732" i="4"/>
  <c r="J732" i="4" s="1"/>
  <c r="W731" i="4"/>
  <c r="F731" i="4"/>
  <c r="E731" i="4"/>
  <c r="D731" i="4"/>
  <c r="C731" i="4"/>
  <c r="B731" i="4"/>
  <c r="A731" i="4"/>
  <c r="M731" i="4" s="1"/>
  <c r="S730" i="4"/>
  <c r="F730" i="4"/>
  <c r="E730" i="4"/>
  <c r="D730" i="4"/>
  <c r="C730" i="4"/>
  <c r="B730" i="4"/>
  <c r="H730" i="4" s="1"/>
  <c r="N730" i="4" s="1"/>
  <c r="A730" i="4"/>
  <c r="P730" i="4" s="1"/>
  <c r="F729" i="4"/>
  <c r="E729" i="4"/>
  <c r="D729" i="4"/>
  <c r="C729" i="4"/>
  <c r="B729" i="4"/>
  <c r="R729" i="4" s="1"/>
  <c r="A729" i="4"/>
  <c r="V729" i="4" s="1"/>
  <c r="Q728" i="4"/>
  <c r="F728" i="4"/>
  <c r="E728" i="4"/>
  <c r="D728" i="4"/>
  <c r="C728" i="4"/>
  <c r="B728" i="4"/>
  <c r="A728" i="4"/>
  <c r="V728" i="4" s="1"/>
  <c r="O727" i="4"/>
  <c r="G727" i="4"/>
  <c r="F727" i="4"/>
  <c r="E727" i="4"/>
  <c r="D727" i="4"/>
  <c r="C727" i="4"/>
  <c r="B727" i="4"/>
  <c r="S727" i="4" s="1"/>
  <c r="A727" i="4"/>
  <c r="W727" i="4" s="1"/>
  <c r="V726" i="4"/>
  <c r="G726" i="4"/>
  <c r="F726" i="4"/>
  <c r="E726" i="4"/>
  <c r="D726" i="4"/>
  <c r="C726" i="4"/>
  <c r="B726" i="4"/>
  <c r="S726" i="4" s="1"/>
  <c r="A726" i="4"/>
  <c r="T726" i="4" s="1"/>
  <c r="F725" i="4"/>
  <c r="E725" i="4"/>
  <c r="D725" i="4"/>
  <c r="C725" i="4"/>
  <c r="B725" i="4"/>
  <c r="S725" i="4" s="1"/>
  <c r="A725" i="4"/>
  <c r="K725" i="4" s="1"/>
  <c r="F724" i="4"/>
  <c r="E724" i="4"/>
  <c r="D724" i="4"/>
  <c r="C724" i="4"/>
  <c r="B724" i="4"/>
  <c r="R724" i="4" s="1"/>
  <c r="A724" i="4"/>
  <c r="U724" i="4" s="1"/>
  <c r="F723" i="4"/>
  <c r="E723" i="4"/>
  <c r="D723" i="4"/>
  <c r="C723" i="4"/>
  <c r="B723" i="4"/>
  <c r="S723" i="4" s="1"/>
  <c r="A723" i="4"/>
  <c r="K723" i="4" s="1"/>
  <c r="Q722" i="4"/>
  <c r="F722" i="4"/>
  <c r="E722" i="4"/>
  <c r="D722" i="4"/>
  <c r="C722" i="4"/>
  <c r="B722" i="4"/>
  <c r="R722" i="4" s="1"/>
  <c r="A722" i="4"/>
  <c r="J722" i="4" s="1"/>
  <c r="V721" i="4"/>
  <c r="F721" i="4"/>
  <c r="E721" i="4"/>
  <c r="D721" i="4"/>
  <c r="C721" i="4"/>
  <c r="B721" i="4"/>
  <c r="R721" i="4" s="1"/>
  <c r="A721" i="4"/>
  <c r="F720" i="4"/>
  <c r="E720" i="4"/>
  <c r="D720" i="4"/>
  <c r="C720" i="4"/>
  <c r="B720" i="4"/>
  <c r="H720" i="4" s="1"/>
  <c r="A720" i="4"/>
  <c r="M719" i="4"/>
  <c r="F719" i="4"/>
  <c r="E719" i="4"/>
  <c r="D719" i="4"/>
  <c r="C719" i="4"/>
  <c r="B719" i="4"/>
  <c r="S719" i="4" s="1"/>
  <c r="A719" i="4"/>
  <c r="F718" i="4"/>
  <c r="E718" i="4"/>
  <c r="D718" i="4"/>
  <c r="C718" i="4"/>
  <c r="B718" i="4"/>
  <c r="S718" i="4" s="1"/>
  <c r="A718" i="4"/>
  <c r="V718" i="4" s="1"/>
  <c r="K717" i="4"/>
  <c r="F717" i="4"/>
  <c r="E717" i="4"/>
  <c r="D717" i="4"/>
  <c r="C717" i="4"/>
  <c r="B717" i="4"/>
  <c r="R717" i="4" s="1"/>
  <c r="A717" i="4"/>
  <c r="U717" i="4" s="1"/>
  <c r="F716" i="4"/>
  <c r="E716" i="4"/>
  <c r="D716" i="4"/>
  <c r="C716" i="4"/>
  <c r="B716" i="4"/>
  <c r="S716" i="4" s="1"/>
  <c r="A716" i="4"/>
  <c r="T716" i="4" s="1"/>
  <c r="F715" i="4"/>
  <c r="E715" i="4"/>
  <c r="D715" i="4"/>
  <c r="C715" i="4"/>
  <c r="B715" i="4"/>
  <c r="S715" i="4" s="1"/>
  <c r="A715" i="4"/>
  <c r="K715" i="4" s="1"/>
  <c r="F714" i="4"/>
  <c r="E714" i="4"/>
  <c r="D714" i="4"/>
  <c r="C714" i="4"/>
  <c r="B714" i="4"/>
  <c r="R714" i="4" s="1"/>
  <c r="A714" i="4"/>
  <c r="J714" i="4" s="1"/>
  <c r="O713" i="4"/>
  <c r="F713" i="4"/>
  <c r="E713" i="4"/>
  <c r="D713" i="4"/>
  <c r="C713" i="4"/>
  <c r="B713" i="4"/>
  <c r="A713" i="4"/>
  <c r="T713" i="4" s="1"/>
  <c r="F712" i="4"/>
  <c r="E712" i="4"/>
  <c r="D712" i="4"/>
  <c r="C712" i="4"/>
  <c r="B712" i="4"/>
  <c r="H712" i="4" s="1"/>
  <c r="A712" i="4"/>
  <c r="P711" i="4"/>
  <c r="F711" i="4"/>
  <c r="E711" i="4"/>
  <c r="D711" i="4"/>
  <c r="C711" i="4"/>
  <c r="B711" i="4"/>
  <c r="A711" i="4"/>
  <c r="W711" i="4" s="1"/>
  <c r="F710" i="4"/>
  <c r="E710" i="4"/>
  <c r="D710" i="4"/>
  <c r="C710" i="4"/>
  <c r="B710" i="4"/>
  <c r="S710" i="4" s="1"/>
  <c r="A710" i="4"/>
  <c r="V710" i="4" s="1"/>
  <c r="F709" i="4"/>
  <c r="E709" i="4"/>
  <c r="D709" i="4"/>
  <c r="C709" i="4"/>
  <c r="B709" i="4"/>
  <c r="A709" i="4"/>
  <c r="U709" i="4" s="1"/>
  <c r="F708" i="4"/>
  <c r="E708" i="4"/>
  <c r="D708" i="4"/>
  <c r="C708" i="4"/>
  <c r="B708" i="4"/>
  <c r="S708" i="4" s="1"/>
  <c r="A708" i="4"/>
  <c r="T708" i="4" s="1"/>
  <c r="I707" i="4"/>
  <c r="F707" i="4"/>
  <c r="E707" i="4"/>
  <c r="D707" i="4"/>
  <c r="C707" i="4"/>
  <c r="B707" i="4"/>
  <c r="S707" i="4" s="1"/>
  <c r="A707" i="4"/>
  <c r="K707" i="4" s="1"/>
  <c r="H706" i="4"/>
  <c r="N706" i="4" s="1"/>
  <c r="F706" i="4"/>
  <c r="E706" i="4"/>
  <c r="D706" i="4"/>
  <c r="C706" i="4"/>
  <c r="B706" i="4"/>
  <c r="R706" i="4" s="1"/>
  <c r="A706" i="4"/>
  <c r="J706" i="4" s="1"/>
  <c r="F705" i="4"/>
  <c r="E705" i="4"/>
  <c r="D705" i="4"/>
  <c r="C705" i="4"/>
  <c r="B705" i="4"/>
  <c r="A705" i="4"/>
  <c r="U705" i="4" s="1"/>
  <c r="F704" i="4"/>
  <c r="E704" i="4"/>
  <c r="D704" i="4"/>
  <c r="C704" i="4"/>
  <c r="B704" i="4"/>
  <c r="H704" i="4" s="1"/>
  <c r="A704" i="4"/>
  <c r="J703" i="4"/>
  <c r="F703" i="4"/>
  <c r="E703" i="4"/>
  <c r="D703" i="4"/>
  <c r="C703" i="4"/>
  <c r="B703" i="4"/>
  <c r="S703" i="4" s="1"/>
  <c r="A703" i="4"/>
  <c r="W703" i="4" s="1"/>
  <c r="F702" i="4"/>
  <c r="E702" i="4"/>
  <c r="D702" i="4"/>
  <c r="C702" i="4"/>
  <c r="B702" i="4"/>
  <c r="S702" i="4" s="1"/>
  <c r="A702" i="4"/>
  <c r="V702" i="4" s="1"/>
  <c r="F701" i="4"/>
  <c r="E701" i="4"/>
  <c r="D701" i="4"/>
  <c r="C701" i="4"/>
  <c r="B701" i="4"/>
  <c r="R701" i="4" s="1"/>
  <c r="A701" i="4"/>
  <c r="F700" i="4"/>
  <c r="E700" i="4"/>
  <c r="D700" i="4"/>
  <c r="C700" i="4"/>
  <c r="B700" i="4"/>
  <c r="S700" i="4" s="1"/>
  <c r="A700" i="4"/>
  <c r="T700" i="4" s="1"/>
  <c r="I699" i="4"/>
  <c r="F699" i="4"/>
  <c r="E699" i="4"/>
  <c r="D699" i="4"/>
  <c r="C699" i="4"/>
  <c r="B699" i="4"/>
  <c r="S699" i="4" s="1"/>
  <c r="A699" i="4"/>
  <c r="K699" i="4" s="1"/>
  <c r="F698" i="4"/>
  <c r="E698" i="4"/>
  <c r="D698" i="4"/>
  <c r="C698" i="4"/>
  <c r="B698" i="4"/>
  <c r="R698" i="4" s="1"/>
  <c r="A698" i="4"/>
  <c r="J698" i="4" s="1"/>
  <c r="K697" i="4"/>
  <c r="F697" i="4"/>
  <c r="E697" i="4"/>
  <c r="D697" i="4"/>
  <c r="C697" i="4"/>
  <c r="B697" i="4"/>
  <c r="R697" i="4" s="1"/>
  <c r="A697" i="4"/>
  <c r="F696" i="4"/>
  <c r="E696" i="4"/>
  <c r="D696" i="4"/>
  <c r="C696" i="4"/>
  <c r="B696" i="4"/>
  <c r="A696" i="4"/>
  <c r="F695" i="4"/>
  <c r="E695" i="4"/>
  <c r="D695" i="4"/>
  <c r="C695" i="4"/>
  <c r="B695" i="4"/>
  <c r="S695" i="4" s="1"/>
  <c r="A695" i="4"/>
  <c r="F694" i="4"/>
  <c r="E694" i="4"/>
  <c r="D694" i="4"/>
  <c r="C694" i="4"/>
  <c r="B694" i="4"/>
  <c r="S694" i="4" s="1"/>
  <c r="A694" i="4"/>
  <c r="I693" i="4"/>
  <c r="F693" i="4"/>
  <c r="E693" i="4"/>
  <c r="D693" i="4"/>
  <c r="C693" i="4"/>
  <c r="B693" i="4"/>
  <c r="R693" i="4" s="1"/>
  <c r="A693" i="4"/>
  <c r="F692" i="4"/>
  <c r="E692" i="4"/>
  <c r="D692" i="4"/>
  <c r="C692" i="4"/>
  <c r="B692" i="4"/>
  <c r="S692" i="4" s="1"/>
  <c r="A692" i="4"/>
  <c r="T692" i="4" s="1"/>
  <c r="F691" i="4"/>
  <c r="E691" i="4"/>
  <c r="D691" i="4"/>
  <c r="C691" i="4"/>
  <c r="B691" i="4"/>
  <c r="A691" i="4"/>
  <c r="K691" i="4" s="1"/>
  <c r="P690" i="4"/>
  <c r="M690" i="4"/>
  <c r="F690" i="4"/>
  <c r="E690" i="4"/>
  <c r="D690" i="4"/>
  <c r="C690" i="4"/>
  <c r="B690" i="4"/>
  <c r="A690" i="4"/>
  <c r="J690" i="4" s="1"/>
  <c r="F689" i="4"/>
  <c r="E689" i="4"/>
  <c r="D689" i="4"/>
  <c r="C689" i="4"/>
  <c r="B689" i="4"/>
  <c r="A689" i="4"/>
  <c r="K689" i="4" s="1"/>
  <c r="Q688" i="4"/>
  <c r="F688" i="4"/>
  <c r="E688" i="4"/>
  <c r="D688" i="4"/>
  <c r="C688" i="4"/>
  <c r="B688" i="4"/>
  <c r="H688" i="4" s="1"/>
  <c r="A688" i="4"/>
  <c r="U687" i="4"/>
  <c r="F687" i="4"/>
  <c r="E687" i="4"/>
  <c r="D687" i="4"/>
  <c r="C687" i="4"/>
  <c r="B687" i="4"/>
  <c r="S687" i="4" s="1"/>
  <c r="A687" i="4"/>
  <c r="W687" i="4" s="1"/>
  <c r="O686" i="4"/>
  <c r="G686" i="4"/>
  <c r="F686" i="4"/>
  <c r="E686" i="4"/>
  <c r="D686" i="4"/>
  <c r="C686" i="4"/>
  <c r="B686" i="4"/>
  <c r="A686" i="4"/>
  <c r="V686" i="4" s="1"/>
  <c r="F685" i="4"/>
  <c r="E685" i="4"/>
  <c r="D685" i="4"/>
  <c r="C685" i="4"/>
  <c r="B685" i="4"/>
  <c r="A685" i="4"/>
  <c r="U685" i="4" s="1"/>
  <c r="F684" i="4"/>
  <c r="E684" i="4"/>
  <c r="D684" i="4"/>
  <c r="C684" i="4"/>
  <c r="B684" i="4"/>
  <c r="S684" i="4" s="1"/>
  <c r="A684" i="4"/>
  <c r="K684" i="4" s="1"/>
  <c r="F683" i="4"/>
  <c r="E683" i="4"/>
  <c r="D683" i="4"/>
  <c r="C683" i="4"/>
  <c r="B683" i="4"/>
  <c r="S683" i="4" s="1"/>
  <c r="A683" i="4"/>
  <c r="K683" i="4" s="1"/>
  <c r="V682" i="4"/>
  <c r="P682" i="4"/>
  <c r="F682" i="4"/>
  <c r="E682" i="4"/>
  <c r="D682" i="4"/>
  <c r="C682" i="4"/>
  <c r="B682" i="4"/>
  <c r="R682" i="4" s="1"/>
  <c r="A682" i="4"/>
  <c r="J682" i="4" s="1"/>
  <c r="U681" i="4"/>
  <c r="F681" i="4"/>
  <c r="E681" i="4"/>
  <c r="D681" i="4"/>
  <c r="C681" i="4"/>
  <c r="B681" i="4"/>
  <c r="A681" i="4"/>
  <c r="K681" i="4" s="1"/>
  <c r="F680" i="4"/>
  <c r="E680" i="4"/>
  <c r="D680" i="4"/>
  <c r="C680" i="4"/>
  <c r="B680" i="4"/>
  <c r="H680" i="4" s="1"/>
  <c r="A680" i="4"/>
  <c r="H679" i="4"/>
  <c r="F679" i="4"/>
  <c r="E679" i="4"/>
  <c r="D679" i="4"/>
  <c r="C679" i="4"/>
  <c r="B679" i="4"/>
  <c r="A679" i="4"/>
  <c r="W679" i="4" s="1"/>
  <c r="F678" i="4"/>
  <c r="E678" i="4"/>
  <c r="D678" i="4"/>
  <c r="C678" i="4"/>
  <c r="B678" i="4"/>
  <c r="S678" i="4" s="1"/>
  <c r="A678" i="4"/>
  <c r="W678" i="4" s="1"/>
  <c r="P677" i="4"/>
  <c r="F677" i="4"/>
  <c r="E677" i="4"/>
  <c r="D677" i="4"/>
  <c r="C677" i="4"/>
  <c r="B677" i="4"/>
  <c r="R677" i="4" s="1"/>
  <c r="A677" i="4"/>
  <c r="U677" i="4" s="1"/>
  <c r="F676" i="4"/>
  <c r="E676" i="4"/>
  <c r="D676" i="4"/>
  <c r="C676" i="4"/>
  <c r="B676" i="4"/>
  <c r="S676" i="4" s="1"/>
  <c r="A676" i="4"/>
  <c r="T676" i="4" s="1"/>
  <c r="Q675" i="4"/>
  <c r="F675" i="4"/>
  <c r="E675" i="4"/>
  <c r="D675" i="4"/>
  <c r="C675" i="4"/>
  <c r="B675" i="4"/>
  <c r="S675" i="4" s="1"/>
  <c r="A675" i="4"/>
  <c r="K675" i="4" s="1"/>
  <c r="F674" i="4"/>
  <c r="E674" i="4"/>
  <c r="D674" i="4"/>
  <c r="C674" i="4"/>
  <c r="B674" i="4"/>
  <c r="R674" i="4" s="1"/>
  <c r="A674" i="4"/>
  <c r="J674" i="4" s="1"/>
  <c r="F673" i="4"/>
  <c r="E673" i="4"/>
  <c r="D673" i="4"/>
  <c r="C673" i="4"/>
  <c r="B673" i="4"/>
  <c r="A673" i="4"/>
  <c r="M673" i="4" s="1"/>
  <c r="F672" i="4"/>
  <c r="E672" i="4"/>
  <c r="D672" i="4"/>
  <c r="C672" i="4"/>
  <c r="B672" i="4"/>
  <c r="H672" i="4" s="1"/>
  <c r="L672" i="4" s="1"/>
  <c r="A672" i="4"/>
  <c r="K672" i="4" s="1"/>
  <c r="F671" i="4"/>
  <c r="E671" i="4"/>
  <c r="D671" i="4"/>
  <c r="C671" i="4"/>
  <c r="B671" i="4"/>
  <c r="R671" i="4" s="1"/>
  <c r="A671" i="4"/>
  <c r="P671" i="4" s="1"/>
  <c r="F670" i="4"/>
  <c r="E670" i="4"/>
  <c r="D670" i="4"/>
  <c r="C670" i="4"/>
  <c r="B670" i="4"/>
  <c r="S670" i="4" s="1"/>
  <c r="A670" i="4"/>
  <c r="G670" i="4" s="1"/>
  <c r="F669" i="4"/>
  <c r="E669" i="4"/>
  <c r="D669" i="4"/>
  <c r="C669" i="4"/>
  <c r="B669" i="4"/>
  <c r="R669" i="4" s="1"/>
  <c r="A669" i="4"/>
  <c r="U669" i="4" s="1"/>
  <c r="F668" i="4"/>
  <c r="E668" i="4"/>
  <c r="D668" i="4"/>
  <c r="C668" i="4"/>
  <c r="B668" i="4"/>
  <c r="A668" i="4"/>
  <c r="T668" i="4" s="1"/>
  <c r="Q667" i="4"/>
  <c r="F667" i="4"/>
  <c r="E667" i="4"/>
  <c r="D667" i="4"/>
  <c r="C667" i="4"/>
  <c r="B667" i="4"/>
  <c r="S667" i="4" s="1"/>
  <c r="A667" i="4"/>
  <c r="V667" i="4" s="1"/>
  <c r="P666" i="4"/>
  <c r="M666" i="4"/>
  <c r="F666" i="4"/>
  <c r="E666" i="4"/>
  <c r="D666" i="4"/>
  <c r="C666" i="4"/>
  <c r="B666" i="4"/>
  <c r="R666" i="4" s="1"/>
  <c r="A666" i="4"/>
  <c r="J666" i="4" s="1"/>
  <c r="O665" i="4"/>
  <c r="F665" i="4"/>
  <c r="E665" i="4"/>
  <c r="D665" i="4"/>
  <c r="C665" i="4"/>
  <c r="B665" i="4"/>
  <c r="R665" i="4" s="1"/>
  <c r="A665" i="4"/>
  <c r="V665" i="4" s="1"/>
  <c r="F664" i="4"/>
  <c r="E664" i="4"/>
  <c r="D664" i="4"/>
  <c r="C664" i="4"/>
  <c r="B664" i="4"/>
  <c r="H664" i="4" s="1"/>
  <c r="L664" i="4" s="1"/>
  <c r="A664" i="4"/>
  <c r="K664" i="4" s="1"/>
  <c r="F663" i="4"/>
  <c r="E663" i="4"/>
  <c r="D663" i="4"/>
  <c r="C663" i="4"/>
  <c r="B663" i="4"/>
  <c r="H663" i="4" s="1"/>
  <c r="A663" i="4"/>
  <c r="W663" i="4" s="1"/>
  <c r="F662" i="4"/>
  <c r="E662" i="4"/>
  <c r="D662" i="4"/>
  <c r="C662" i="4"/>
  <c r="B662" i="4"/>
  <c r="S662" i="4" s="1"/>
  <c r="A662" i="4"/>
  <c r="F661" i="4"/>
  <c r="E661" i="4"/>
  <c r="D661" i="4"/>
  <c r="C661" i="4"/>
  <c r="B661" i="4"/>
  <c r="A661" i="4"/>
  <c r="U661" i="4" s="1"/>
  <c r="M660" i="4"/>
  <c r="F660" i="4"/>
  <c r="E660" i="4"/>
  <c r="D660" i="4"/>
  <c r="C660" i="4"/>
  <c r="B660" i="4"/>
  <c r="R660" i="4" s="1"/>
  <c r="A660" i="4"/>
  <c r="T660" i="4" s="1"/>
  <c r="I659" i="4"/>
  <c r="F659" i="4"/>
  <c r="E659" i="4"/>
  <c r="D659" i="4"/>
  <c r="C659" i="4"/>
  <c r="B659" i="4"/>
  <c r="S659" i="4" s="1"/>
  <c r="A659" i="4"/>
  <c r="V659" i="4" s="1"/>
  <c r="P658" i="4"/>
  <c r="F658" i="4"/>
  <c r="E658" i="4"/>
  <c r="D658" i="4"/>
  <c r="C658" i="4"/>
  <c r="B658" i="4"/>
  <c r="R658" i="4" s="1"/>
  <c r="A658" i="4"/>
  <c r="J658" i="4" s="1"/>
  <c r="F657" i="4"/>
  <c r="E657" i="4"/>
  <c r="D657" i="4"/>
  <c r="C657" i="4"/>
  <c r="B657" i="4"/>
  <c r="S657" i="4" s="1"/>
  <c r="A657" i="4"/>
  <c r="V657" i="4" s="1"/>
  <c r="F656" i="4"/>
  <c r="E656" i="4"/>
  <c r="D656" i="4"/>
  <c r="C656" i="4"/>
  <c r="B656" i="4"/>
  <c r="A656" i="4"/>
  <c r="V656" i="4" s="1"/>
  <c r="F655" i="4"/>
  <c r="E655" i="4"/>
  <c r="D655" i="4"/>
  <c r="C655" i="4"/>
  <c r="B655" i="4"/>
  <c r="A655" i="4"/>
  <c r="P655" i="4" s="1"/>
  <c r="H654" i="4"/>
  <c r="N654" i="4" s="1"/>
  <c r="F654" i="4"/>
  <c r="E654" i="4"/>
  <c r="D654" i="4"/>
  <c r="C654" i="4"/>
  <c r="B654" i="4"/>
  <c r="S654" i="4" s="1"/>
  <c r="A654" i="4"/>
  <c r="F653" i="4"/>
  <c r="E653" i="4"/>
  <c r="D653" i="4"/>
  <c r="C653" i="4"/>
  <c r="B653" i="4"/>
  <c r="A653" i="4"/>
  <c r="U653" i="4" s="1"/>
  <c r="F652" i="4"/>
  <c r="E652" i="4"/>
  <c r="D652" i="4"/>
  <c r="C652" i="4"/>
  <c r="B652" i="4"/>
  <c r="A652" i="4"/>
  <c r="K652" i="4" s="1"/>
  <c r="F651" i="4"/>
  <c r="E651" i="4"/>
  <c r="D651" i="4"/>
  <c r="C651" i="4"/>
  <c r="B651" i="4"/>
  <c r="A651" i="4"/>
  <c r="U651" i="4" s="1"/>
  <c r="F650" i="4"/>
  <c r="E650" i="4"/>
  <c r="D650" i="4"/>
  <c r="C650" i="4"/>
  <c r="B650" i="4"/>
  <c r="R650" i="4" s="1"/>
  <c r="A650" i="4"/>
  <c r="F649" i="4"/>
  <c r="E649" i="4"/>
  <c r="D649" i="4"/>
  <c r="C649" i="4"/>
  <c r="B649" i="4"/>
  <c r="A649" i="4"/>
  <c r="F648" i="4"/>
  <c r="E648" i="4"/>
  <c r="D648" i="4"/>
  <c r="C648" i="4"/>
  <c r="B648" i="4"/>
  <c r="H648" i="4" s="1"/>
  <c r="L648" i="4" s="1"/>
  <c r="A648" i="4"/>
  <c r="J648" i="4" s="1"/>
  <c r="F647" i="4"/>
  <c r="E647" i="4"/>
  <c r="D647" i="4"/>
  <c r="C647" i="4"/>
  <c r="B647" i="4"/>
  <c r="S647" i="4" s="1"/>
  <c r="A647" i="4"/>
  <c r="U647" i="4" s="1"/>
  <c r="F646" i="4"/>
  <c r="E646" i="4"/>
  <c r="D646" i="4"/>
  <c r="C646" i="4"/>
  <c r="B646" i="4"/>
  <c r="A646" i="4"/>
  <c r="G646" i="4" s="1"/>
  <c r="F645" i="4"/>
  <c r="E645" i="4"/>
  <c r="D645" i="4"/>
  <c r="C645" i="4"/>
  <c r="B645" i="4"/>
  <c r="A645" i="4"/>
  <c r="U645" i="4" s="1"/>
  <c r="F644" i="4"/>
  <c r="E644" i="4"/>
  <c r="D644" i="4"/>
  <c r="C644" i="4"/>
  <c r="B644" i="4"/>
  <c r="A644" i="4"/>
  <c r="K644" i="4" s="1"/>
  <c r="Q643" i="4"/>
  <c r="F643" i="4"/>
  <c r="E643" i="4"/>
  <c r="D643" i="4"/>
  <c r="C643" i="4"/>
  <c r="B643" i="4"/>
  <c r="S643" i="4" s="1"/>
  <c r="A643" i="4"/>
  <c r="V643" i="4" s="1"/>
  <c r="U642" i="4"/>
  <c r="F642" i="4"/>
  <c r="E642" i="4"/>
  <c r="D642" i="4"/>
  <c r="C642" i="4"/>
  <c r="B642" i="4"/>
  <c r="R642" i="4" s="1"/>
  <c r="A642" i="4"/>
  <c r="J642" i="4" s="1"/>
  <c r="O641" i="4"/>
  <c r="F641" i="4"/>
  <c r="E641" i="4"/>
  <c r="D641" i="4"/>
  <c r="C641" i="4"/>
  <c r="B641" i="4"/>
  <c r="S641" i="4" s="1"/>
  <c r="A641" i="4"/>
  <c r="V641" i="4" s="1"/>
  <c r="F640" i="4"/>
  <c r="E640" i="4"/>
  <c r="D640" i="4"/>
  <c r="C640" i="4"/>
  <c r="B640" i="4"/>
  <c r="H640" i="4" s="1"/>
  <c r="N640" i="4" s="1"/>
  <c r="A640" i="4"/>
  <c r="V640" i="4" s="1"/>
  <c r="F639" i="4"/>
  <c r="E639" i="4"/>
  <c r="D639" i="4"/>
  <c r="C639" i="4"/>
  <c r="B639" i="4"/>
  <c r="R639" i="4" s="1"/>
  <c r="A639" i="4"/>
  <c r="P639" i="4" s="1"/>
  <c r="F638" i="4"/>
  <c r="E638" i="4"/>
  <c r="D638" i="4"/>
  <c r="C638" i="4"/>
  <c r="B638" i="4"/>
  <c r="S638" i="4" s="1"/>
  <c r="A638" i="4"/>
  <c r="G638" i="4" s="1"/>
  <c r="F637" i="4"/>
  <c r="E637" i="4"/>
  <c r="D637" i="4"/>
  <c r="C637" i="4"/>
  <c r="B637" i="4"/>
  <c r="R637" i="4" s="1"/>
  <c r="A637" i="4"/>
  <c r="G637" i="4" s="1"/>
  <c r="F636" i="4"/>
  <c r="E636" i="4"/>
  <c r="D636" i="4"/>
  <c r="C636" i="4"/>
  <c r="B636" i="4"/>
  <c r="A636" i="4"/>
  <c r="T636" i="4" s="1"/>
  <c r="F635" i="4"/>
  <c r="E635" i="4"/>
  <c r="D635" i="4"/>
  <c r="C635" i="4"/>
  <c r="B635" i="4"/>
  <c r="I635" i="4" s="1"/>
  <c r="A635" i="4"/>
  <c r="T635" i="4" s="1"/>
  <c r="I634" i="4"/>
  <c r="F634" i="4"/>
  <c r="E634" i="4"/>
  <c r="D634" i="4"/>
  <c r="C634" i="4"/>
  <c r="B634" i="4"/>
  <c r="R634" i="4" s="1"/>
  <c r="A634" i="4"/>
  <c r="T634" i="4" s="1"/>
  <c r="F633" i="4"/>
  <c r="E633" i="4"/>
  <c r="D633" i="4"/>
  <c r="C633" i="4"/>
  <c r="B633" i="4"/>
  <c r="A633" i="4"/>
  <c r="F632" i="4"/>
  <c r="E632" i="4"/>
  <c r="D632" i="4"/>
  <c r="C632" i="4"/>
  <c r="B632" i="4"/>
  <c r="H632" i="4" s="1"/>
  <c r="A632" i="4"/>
  <c r="F631" i="4"/>
  <c r="E631" i="4"/>
  <c r="D631" i="4"/>
  <c r="C631" i="4"/>
  <c r="B631" i="4"/>
  <c r="R631" i="4" s="1"/>
  <c r="A631" i="4"/>
  <c r="F630" i="4"/>
  <c r="E630" i="4"/>
  <c r="D630" i="4"/>
  <c r="C630" i="4"/>
  <c r="B630" i="4"/>
  <c r="S630" i="4" s="1"/>
  <c r="A630" i="4"/>
  <c r="T630" i="4" s="1"/>
  <c r="S629" i="4"/>
  <c r="F629" i="4"/>
  <c r="E629" i="4"/>
  <c r="D629" i="4"/>
  <c r="C629" i="4"/>
  <c r="B629" i="4"/>
  <c r="R629" i="4" s="1"/>
  <c r="A629" i="4"/>
  <c r="F628" i="4"/>
  <c r="E628" i="4"/>
  <c r="D628" i="4"/>
  <c r="C628" i="4"/>
  <c r="B628" i="4"/>
  <c r="S628" i="4" s="1"/>
  <c r="A628" i="4"/>
  <c r="T628" i="4" s="1"/>
  <c r="F627" i="4"/>
  <c r="E627" i="4"/>
  <c r="D627" i="4"/>
  <c r="C627" i="4"/>
  <c r="B627" i="4"/>
  <c r="A627" i="4"/>
  <c r="O627" i="4" s="1"/>
  <c r="F626" i="4"/>
  <c r="E626" i="4"/>
  <c r="D626" i="4"/>
  <c r="C626" i="4"/>
  <c r="B626" i="4"/>
  <c r="R626" i="4" s="1"/>
  <c r="A626" i="4"/>
  <c r="T626" i="4" s="1"/>
  <c r="F625" i="4"/>
  <c r="E625" i="4"/>
  <c r="D625" i="4"/>
  <c r="C625" i="4"/>
  <c r="B625" i="4"/>
  <c r="S625" i="4" s="1"/>
  <c r="A625" i="4"/>
  <c r="V625" i="4" s="1"/>
  <c r="F624" i="4"/>
  <c r="E624" i="4"/>
  <c r="D624" i="4"/>
  <c r="C624" i="4"/>
  <c r="B624" i="4"/>
  <c r="A624" i="4"/>
  <c r="W624" i="4" s="1"/>
  <c r="F623" i="4"/>
  <c r="E623" i="4"/>
  <c r="D623" i="4"/>
  <c r="C623" i="4"/>
  <c r="B623" i="4"/>
  <c r="S623" i="4" s="1"/>
  <c r="A623" i="4"/>
  <c r="P623" i="4" s="1"/>
  <c r="G622" i="4"/>
  <c r="F622" i="4"/>
  <c r="E622" i="4"/>
  <c r="D622" i="4"/>
  <c r="C622" i="4"/>
  <c r="B622" i="4"/>
  <c r="S622" i="4" s="1"/>
  <c r="A622" i="4"/>
  <c r="U622" i="4" s="1"/>
  <c r="G621" i="4"/>
  <c r="F621" i="4"/>
  <c r="E621" i="4"/>
  <c r="D621" i="4"/>
  <c r="C621" i="4"/>
  <c r="B621" i="4"/>
  <c r="R621" i="4" s="1"/>
  <c r="A621" i="4"/>
  <c r="P621" i="4" s="1"/>
  <c r="O620" i="4"/>
  <c r="F620" i="4"/>
  <c r="E620" i="4"/>
  <c r="D620" i="4"/>
  <c r="C620" i="4"/>
  <c r="B620" i="4"/>
  <c r="H620" i="4" s="1"/>
  <c r="L620" i="4" s="1"/>
  <c r="A620" i="4"/>
  <c r="T620" i="4" s="1"/>
  <c r="F619" i="4"/>
  <c r="E619" i="4"/>
  <c r="D619" i="4"/>
  <c r="C619" i="4"/>
  <c r="B619" i="4"/>
  <c r="I619" i="4" s="1"/>
  <c r="A619" i="4"/>
  <c r="O619" i="4" s="1"/>
  <c r="Q618" i="4"/>
  <c r="F618" i="4"/>
  <c r="E618" i="4"/>
  <c r="D618" i="4"/>
  <c r="C618" i="4"/>
  <c r="B618" i="4"/>
  <c r="R618" i="4" s="1"/>
  <c r="A618" i="4"/>
  <c r="T618" i="4" s="1"/>
  <c r="F617" i="4"/>
  <c r="E617" i="4"/>
  <c r="D617" i="4"/>
  <c r="C617" i="4"/>
  <c r="B617" i="4"/>
  <c r="A617" i="4"/>
  <c r="U617" i="4" s="1"/>
  <c r="F616" i="4"/>
  <c r="E616" i="4"/>
  <c r="D616" i="4"/>
  <c r="C616" i="4"/>
  <c r="B616" i="4"/>
  <c r="A616" i="4"/>
  <c r="W616" i="4" s="1"/>
  <c r="F615" i="4"/>
  <c r="E615" i="4"/>
  <c r="D615" i="4"/>
  <c r="C615" i="4"/>
  <c r="B615" i="4"/>
  <c r="A615" i="4"/>
  <c r="M615" i="4" s="1"/>
  <c r="F614" i="4"/>
  <c r="E614" i="4"/>
  <c r="D614" i="4"/>
  <c r="C614" i="4"/>
  <c r="B614" i="4"/>
  <c r="A614" i="4"/>
  <c r="F613" i="4"/>
  <c r="E613" i="4"/>
  <c r="D613" i="4"/>
  <c r="C613" i="4"/>
  <c r="B613" i="4"/>
  <c r="R613" i="4" s="1"/>
  <c r="A613" i="4"/>
  <c r="W613" i="4" s="1"/>
  <c r="F612" i="4"/>
  <c r="E612" i="4"/>
  <c r="D612" i="4"/>
  <c r="C612" i="4"/>
  <c r="B612" i="4"/>
  <c r="R612" i="4" s="1"/>
  <c r="A612" i="4"/>
  <c r="J612" i="4" s="1"/>
  <c r="F611" i="4"/>
  <c r="E611" i="4"/>
  <c r="D611" i="4"/>
  <c r="C611" i="4"/>
  <c r="B611" i="4"/>
  <c r="A611" i="4"/>
  <c r="T611" i="4" s="1"/>
  <c r="F610" i="4"/>
  <c r="E610" i="4"/>
  <c r="D610" i="4"/>
  <c r="C610" i="4"/>
  <c r="B610" i="4"/>
  <c r="R610" i="4" s="1"/>
  <c r="A610" i="4"/>
  <c r="V610" i="4" s="1"/>
  <c r="F609" i="4"/>
  <c r="E609" i="4"/>
  <c r="D609" i="4"/>
  <c r="C609" i="4"/>
  <c r="B609" i="4"/>
  <c r="R609" i="4" s="1"/>
  <c r="A609" i="4"/>
  <c r="J609" i="4" s="1"/>
  <c r="F608" i="4"/>
  <c r="E608" i="4"/>
  <c r="D608" i="4"/>
  <c r="C608" i="4"/>
  <c r="B608" i="4"/>
  <c r="H608" i="4" s="1"/>
  <c r="N608" i="4" s="1"/>
  <c r="A608" i="4"/>
  <c r="G608" i="4" s="1"/>
  <c r="F607" i="4"/>
  <c r="E607" i="4"/>
  <c r="D607" i="4"/>
  <c r="C607" i="4"/>
  <c r="B607" i="4"/>
  <c r="R607" i="4" s="1"/>
  <c r="A607" i="4"/>
  <c r="F606" i="4"/>
  <c r="E606" i="4"/>
  <c r="D606" i="4"/>
  <c r="C606" i="4"/>
  <c r="B606" i="4"/>
  <c r="S606" i="4" s="1"/>
  <c r="A606" i="4"/>
  <c r="G606" i="4" s="1"/>
  <c r="H605" i="4"/>
  <c r="N605" i="4" s="1"/>
  <c r="F605" i="4"/>
  <c r="E605" i="4"/>
  <c r="D605" i="4"/>
  <c r="C605" i="4"/>
  <c r="B605" i="4"/>
  <c r="R605" i="4" s="1"/>
  <c r="A605" i="4"/>
  <c r="G605" i="4" s="1"/>
  <c r="F604" i="4"/>
  <c r="E604" i="4"/>
  <c r="D604" i="4"/>
  <c r="C604" i="4"/>
  <c r="B604" i="4"/>
  <c r="A604" i="4"/>
  <c r="T604" i="4" s="1"/>
  <c r="F603" i="4"/>
  <c r="E603" i="4"/>
  <c r="D603" i="4"/>
  <c r="C603" i="4"/>
  <c r="B603" i="4"/>
  <c r="I603" i="4" s="1"/>
  <c r="A603" i="4"/>
  <c r="T603" i="4" s="1"/>
  <c r="Q602" i="4"/>
  <c r="F602" i="4"/>
  <c r="E602" i="4"/>
  <c r="D602" i="4"/>
  <c r="C602" i="4"/>
  <c r="B602" i="4"/>
  <c r="R602" i="4" s="1"/>
  <c r="A602" i="4"/>
  <c r="T602" i="4" s="1"/>
  <c r="V601" i="4"/>
  <c r="P601" i="4"/>
  <c r="G601" i="4"/>
  <c r="F601" i="4"/>
  <c r="E601" i="4"/>
  <c r="D601" i="4"/>
  <c r="C601" i="4"/>
  <c r="B601" i="4"/>
  <c r="A601" i="4"/>
  <c r="W601" i="4" s="1"/>
  <c r="G600" i="4"/>
  <c r="F600" i="4"/>
  <c r="E600" i="4"/>
  <c r="D600" i="4"/>
  <c r="C600" i="4"/>
  <c r="B600" i="4"/>
  <c r="S600" i="4" s="1"/>
  <c r="A600" i="4"/>
  <c r="K600" i="4" s="1"/>
  <c r="H599" i="4"/>
  <c r="L599" i="4" s="1"/>
  <c r="F599" i="4"/>
  <c r="E599" i="4"/>
  <c r="D599" i="4"/>
  <c r="C599" i="4"/>
  <c r="B599" i="4"/>
  <c r="R599" i="4" s="1"/>
  <c r="A599" i="4"/>
  <c r="J599" i="4" s="1"/>
  <c r="F598" i="4"/>
  <c r="E598" i="4"/>
  <c r="D598" i="4"/>
  <c r="C598" i="4"/>
  <c r="B598" i="4"/>
  <c r="A598" i="4"/>
  <c r="V598" i="4" s="1"/>
  <c r="F597" i="4"/>
  <c r="E597" i="4"/>
  <c r="D597" i="4"/>
  <c r="C597" i="4"/>
  <c r="B597" i="4"/>
  <c r="H597" i="4" s="1"/>
  <c r="A597" i="4"/>
  <c r="F596" i="4"/>
  <c r="E596" i="4"/>
  <c r="D596" i="4"/>
  <c r="C596" i="4"/>
  <c r="B596" i="4"/>
  <c r="S596" i="4" s="1"/>
  <c r="A596" i="4"/>
  <c r="W596" i="4" s="1"/>
  <c r="F595" i="4"/>
  <c r="E595" i="4"/>
  <c r="D595" i="4"/>
  <c r="C595" i="4"/>
  <c r="B595" i="4"/>
  <c r="S595" i="4" s="1"/>
  <c r="A595" i="4"/>
  <c r="I594" i="4"/>
  <c r="F594" i="4"/>
  <c r="E594" i="4"/>
  <c r="D594" i="4"/>
  <c r="C594" i="4"/>
  <c r="B594" i="4"/>
  <c r="R594" i="4" s="1"/>
  <c r="A594" i="4"/>
  <c r="U594" i="4" s="1"/>
  <c r="F593" i="4"/>
  <c r="E593" i="4"/>
  <c r="D593" i="4"/>
  <c r="C593" i="4"/>
  <c r="B593" i="4"/>
  <c r="S593" i="4" s="1"/>
  <c r="A593" i="4"/>
  <c r="W593" i="4" s="1"/>
  <c r="F592" i="4"/>
  <c r="E592" i="4"/>
  <c r="D592" i="4"/>
  <c r="C592" i="4"/>
  <c r="B592" i="4"/>
  <c r="S592" i="4" s="1"/>
  <c r="A592" i="4"/>
  <c r="K592" i="4" s="1"/>
  <c r="F591" i="4"/>
  <c r="E591" i="4"/>
  <c r="D591" i="4"/>
  <c r="C591" i="4"/>
  <c r="B591" i="4"/>
  <c r="R591" i="4" s="1"/>
  <c r="A591" i="4"/>
  <c r="J591" i="4" s="1"/>
  <c r="F590" i="4"/>
  <c r="E590" i="4"/>
  <c r="D590" i="4"/>
  <c r="C590" i="4"/>
  <c r="B590" i="4"/>
  <c r="A590" i="4"/>
  <c r="V590" i="4" s="1"/>
  <c r="I589" i="4"/>
  <c r="F589" i="4"/>
  <c r="E589" i="4"/>
  <c r="D589" i="4"/>
  <c r="C589" i="4"/>
  <c r="B589" i="4"/>
  <c r="H589" i="4" s="1"/>
  <c r="A589" i="4"/>
  <c r="F588" i="4"/>
  <c r="E588" i="4"/>
  <c r="D588" i="4"/>
  <c r="C588" i="4"/>
  <c r="B588" i="4"/>
  <c r="A588" i="4"/>
  <c r="W588" i="4" s="1"/>
  <c r="F587" i="4"/>
  <c r="E587" i="4"/>
  <c r="D587" i="4"/>
  <c r="C587" i="4"/>
  <c r="B587" i="4"/>
  <c r="S587" i="4" s="1"/>
  <c r="A587" i="4"/>
  <c r="V587" i="4" s="1"/>
  <c r="F586" i="4"/>
  <c r="E586" i="4"/>
  <c r="D586" i="4"/>
  <c r="C586" i="4"/>
  <c r="B586" i="4"/>
  <c r="R586" i="4" s="1"/>
  <c r="A586" i="4"/>
  <c r="U586" i="4" s="1"/>
  <c r="F585" i="4"/>
  <c r="E585" i="4"/>
  <c r="D585" i="4"/>
  <c r="C585" i="4"/>
  <c r="B585" i="4"/>
  <c r="S585" i="4" s="1"/>
  <c r="A585" i="4"/>
  <c r="F584" i="4"/>
  <c r="E584" i="4"/>
  <c r="D584" i="4"/>
  <c r="C584" i="4"/>
  <c r="B584" i="4"/>
  <c r="S584" i="4" s="1"/>
  <c r="A584" i="4"/>
  <c r="K584" i="4" s="1"/>
  <c r="F583" i="4"/>
  <c r="E583" i="4"/>
  <c r="D583" i="4"/>
  <c r="C583" i="4"/>
  <c r="B583" i="4"/>
  <c r="R583" i="4" s="1"/>
  <c r="A583" i="4"/>
  <c r="J583" i="4" s="1"/>
  <c r="P582" i="4"/>
  <c r="F582" i="4"/>
  <c r="E582" i="4"/>
  <c r="D582" i="4"/>
  <c r="C582" i="4"/>
  <c r="B582" i="4"/>
  <c r="R582" i="4" s="1"/>
  <c r="A582" i="4"/>
  <c r="V582" i="4" s="1"/>
  <c r="F581" i="4"/>
  <c r="E581" i="4"/>
  <c r="D581" i="4"/>
  <c r="C581" i="4"/>
  <c r="B581" i="4"/>
  <c r="H581" i="4" s="1"/>
  <c r="A581" i="4"/>
  <c r="M580" i="4"/>
  <c r="F580" i="4"/>
  <c r="E580" i="4"/>
  <c r="D580" i="4"/>
  <c r="C580" i="4"/>
  <c r="B580" i="4"/>
  <c r="A580" i="4"/>
  <c r="W580" i="4" s="1"/>
  <c r="F579" i="4"/>
  <c r="E579" i="4"/>
  <c r="D579" i="4"/>
  <c r="C579" i="4"/>
  <c r="B579" i="4"/>
  <c r="S579" i="4" s="1"/>
  <c r="A579" i="4"/>
  <c r="V579" i="4" s="1"/>
  <c r="F578" i="4"/>
  <c r="E578" i="4"/>
  <c r="D578" i="4"/>
  <c r="C578" i="4"/>
  <c r="B578" i="4"/>
  <c r="R578" i="4" s="1"/>
  <c r="A578" i="4"/>
  <c r="U578" i="4" s="1"/>
  <c r="F577" i="4"/>
  <c r="E577" i="4"/>
  <c r="D577" i="4"/>
  <c r="C577" i="4"/>
  <c r="B577" i="4"/>
  <c r="S577" i="4" s="1"/>
  <c r="A577" i="4"/>
  <c r="T577" i="4" s="1"/>
  <c r="F576" i="4"/>
  <c r="E576" i="4"/>
  <c r="D576" i="4"/>
  <c r="C576" i="4"/>
  <c r="B576" i="4"/>
  <c r="S576" i="4" s="1"/>
  <c r="A576" i="4"/>
  <c r="K576" i="4" s="1"/>
  <c r="F575" i="4"/>
  <c r="E575" i="4"/>
  <c r="D575" i="4"/>
  <c r="C575" i="4"/>
  <c r="B575" i="4"/>
  <c r="R575" i="4" s="1"/>
  <c r="A575" i="4"/>
  <c r="J575" i="4" s="1"/>
  <c r="F574" i="4"/>
  <c r="E574" i="4"/>
  <c r="D574" i="4"/>
  <c r="C574" i="4"/>
  <c r="B574" i="4"/>
  <c r="R574" i="4" s="1"/>
  <c r="A574" i="4"/>
  <c r="V574" i="4" s="1"/>
  <c r="F573" i="4"/>
  <c r="E573" i="4"/>
  <c r="D573" i="4"/>
  <c r="C573" i="4"/>
  <c r="B573" i="4"/>
  <c r="H573" i="4" s="1"/>
  <c r="A573" i="4"/>
  <c r="F572" i="4"/>
  <c r="E572" i="4"/>
  <c r="D572" i="4"/>
  <c r="C572" i="4"/>
  <c r="B572" i="4"/>
  <c r="R572" i="4" s="1"/>
  <c r="A572" i="4"/>
  <c r="W572" i="4" s="1"/>
  <c r="F571" i="4"/>
  <c r="E571" i="4"/>
  <c r="D571" i="4"/>
  <c r="C571" i="4"/>
  <c r="B571" i="4"/>
  <c r="S571" i="4" s="1"/>
  <c r="A571" i="4"/>
  <c r="O571" i="4" s="1"/>
  <c r="F570" i="4"/>
  <c r="E570" i="4"/>
  <c r="D570" i="4"/>
  <c r="C570" i="4"/>
  <c r="B570" i="4"/>
  <c r="R570" i="4" s="1"/>
  <c r="A570" i="4"/>
  <c r="U570" i="4" s="1"/>
  <c r="F569" i="4"/>
  <c r="E569" i="4"/>
  <c r="D569" i="4"/>
  <c r="C569" i="4"/>
  <c r="B569" i="4"/>
  <c r="S569" i="4" s="1"/>
  <c r="A569" i="4"/>
  <c r="F568" i="4"/>
  <c r="E568" i="4"/>
  <c r="D568" i="4"/>
  <c r="C568" i="4"/>
  <c r="B568" i="4"/>
  <c r="S568" i="4" s="1"/>
  <c r="A568" i="4"/>
  <c r="K568" i="4" s="1"/>
  <c r="S567" i="4"/>
  <c r="F567" i="4"/>
  <c r="E567" i="4"/>
  <c r="D567" i="4"/>
  <c r="C567" i="4"/>
  <c r="B567" i="4"/>
  <c r="R567" i="4" s="1"/>
  <c r="A567" i="4"/>
  <c r="F566" i="4"/>
  <c r="E566" i="4"/>
  <c r="D566" i="4"/>
  <c r="C566" i="4"/>
  <c r="B566" i="4"/>
  <c r="A566" i="4"/>
  <c r="V566" i="4" s="1"/>
  <c r="F565" i="4"/>
  <c r="E565" i="4"/>
  <c r="D565" i="4"/>
  <c r="C565" i="4"/>
  <c r="B565" i="4"/>
  <c r="H565" i="4" s="1"/>
  <c r="A565" i="4"/>
  <c r="M564" i="4"/>
  <c r="F564" i="4"/>
  <c r="E564" i="4"/>
  <c r="D564" i="4"/>
  <c r="C564" i="4"/>
  <c r="B564" i="4"/>
  <c r="A564" i="4"/>
  <c r="W564" i="4" s="1"/>
  <c r="F563" i="4"/>
  <c r="E563" i="4"/>
  <c r="D563" i="4"/>
  <c r="C563" i="4"/>
  <c r="B563" i="4"/>
  <c r="S563" i="4" s="1"/>
  <c r="A563" i="4"/>
  <c r="V563" i="4" s="1"/>
  <c r="F562" i="4"/>
  <c r="E562" i="4"/>
  <c r="D562" i="4"/>
  <c r="C562" i="4"/>
  <c r="B562" i="4"/>
  <c r="R562" i="4" s="1"/>
  <c r="A562" i="4"/>
  <c r="K562" i="4" s="1"/>
  <c r="J561" i="4"/>
  <c r="F561" i="4"/>
  <c r="E561" i="4"/>
  <c r="D561" i="4"/>
  <c r="C561" i="4"/>
  <c r="B561" i="4"/>
  <c r="S561" i="4" s="1"/>
  <c r="A561" i="4"/>
  <c r="T561" i="4" s="1"/>
  <c r="F560" i="4"/>
  <c r="E560" i="4"/>
  <c r="D560" i="4"/>
  <c r="C560" i="4"/>
  <c r="B560" i="4"/>
  <c r="S560" i="4" s="1"/>
  <c r="A560" i="4"/>
  <c r="K560" i="4" s="1"/>
  <c r="F559" i="4"/>
  <c r="E559" i="4"/>
  <c r="D559" i="4"/>
  <c r="C559" i="4"/>
  <c r="B559" i="4"/>
  <c r="R559" i="4" s="1"/>
  <c r="A559" i="4"/>
  <c r="K559" i="4" s="1"/>
  <c r="F558" i="4"/>
  <c r="E558" i="4"/>
  <c r="D558" i="4"/>
  <c r="C558" i="4"/>
  <c r="B558" i="4"/>
  <c r="A558" i="4"/>
  <c r="K558" i="4" s="1"/>
  <c r="F557" i="4"/>
  <c r="E557" i="4"/>
  <c r="D557" i="4"/>
  <c r="C557" i="4"/>
  <c r="B557" i="4"/>
  <c r="A557" i="4"/>
  <c r="F556" i="4"/>
  <c r="E556" i="4"/>
  <c r="D556" i="4"/>
  <c r="C556" i="4"/>
  <c r="B556" i="4"/>
  <c r="R556" i="4" s="1"/>
  <c r="A556" i="4"/>
  <c r="W556" i="4" s="1"/>
  <c r="F555" i="4"/>
  <c r="E555" i="4"/>
  <c r="D555" i="4"/>
  <c r="C555" i="4"/>
  <c r="B555" i="4"/>
  <c r="S555" i="4" s="1"/>
  <c r="A555" i="4"/>
  <c r="V555" i="4" s="1"/>
  <c r="F554" i="4"/>
  <c r="E554" i="4"/>
  <c r="D554" i="4"/>
  <c r="C554" i="4"/>
  <c r="B554" i="4"/>
  <c r="R554" i="4" s="1"/>
  <c r="A554" i="4"/>
  <c r="U554" i="4" s="1"/>
  <c r="F553" i="4"/>
  <c r="E553" i="4"/>
  <c r="D553" i="4"/>
  <c r="C553" i="4"/>
  <c r="B553" i="4"/>
  <c r="S553" i="4" s="1"/>
  <c r="A553" i="4"/>
  <c r="G553" i="4" s="1"/>
  <c r="F552" i="4"/>
  <c r="E552" i="4"/>
  <c r="D552" i="4"/>
  <c r="C552" i="4"/>
  <c r="B552" i="4"/>
  <c r="S552" i="4" s="1"/>
  <c r="A552" i="4"/>
  <c r="K552" i="4" s="1"/>
  <c r="F551" i="4"/>
  <c r="E551" i="4"/>
  <c r="D551" i="4"/>
  <c r="C551" i="4"/>
  <c r="B551" i="4"/>
  <c r="R551" i="4" s="1"/>
  <c r="A551" i="4"/>
  <c r="J551" i="4" s="1"/>
  <c r="O550" i="4"/>
  <c r="F550" i="4"/>
  <c r="E550" i="4"/>
  <c r="D550" i="4"/>
  <c r="C550" i="4"/>
  <c r="B550" i="4"/>
  <c r="A550" i="4"/>
  <c r="T550" i="4" s="1"/>
  <c r="F549" i="4"/>
  <c r="E549" i="4"/>
  <c r="D549" i="4"/>
  <c r="C549" i="4"/>
  <c r="B549" i="4"/>
  <c r="H549" i="4" s="1"/>
  <c r="A549" i="4"/>
  <c r="F548" i="4"/>
  <c r="E548" i="4"/>
  <c r="D548" i="4"/>
  <c r="C548" i="4"/>
  <c r="B548" i="4"/>
  <c r="R548" i="4" s="1"/>
  <c r="A548" i="4"/>
  <c r="W548" i="4" s="1"/>
  <c r="F547" i="4"/>
  <c r="E547" i="4"/>
  <c r="D547" i="4"/>
  <c r="C547" i="4"/>
  <c r="B547" i="4"/>
  <c r="S547" i="4" s="1"/>
  <c r="A547" i="4"/>
  <c r="V547" i="4" s="1"/>
  <c r="F546" i="4"/>
  <c r="E546" i="4"/>
  <c r="D546" i="4"/>
  <c r="C546" i="4"/>
  <c r="B546" i="4"/>
  <c r="R546" i="4" s="1"/>
  <c r="A546" i="4"/>
  <c r="U546" i="4" s="1"/>
  <c r="J545" i="4"/>
  <c r="F545" i="4"/>
  <c r="E545" i="4"/>
  <c r="D545" i="4"/>
  <c r="C545" i="4"/>
  <c r="B545" i="4"/>
  <c r="S545" i="4" s="1"/>
  <c r="A545" i="4"/>
  <c r="M545" i="4" s="1"/>
  <c r="F544" i="4"/>
  <c r="E544" i="4"/>
  <c r="D544" i="4"/>
  <c r="C544" i="4"/>
  <c r="B544" i="4"/>
  <c r="S544" i="4" s="1"/>
  <c r="A544" i="4"/>
  <c r="K544" i="4" s="1"/>
  <c r="F543" i="4"/>
  <c r="E543" i="4"/>
  <c r="D543" i="4"/>
  <c r="C543" i="4"/>
  <c r="B543" i="4"/>
  <c r="R543" i="4" s="1"/>
  <c r="A543" i="4"/>
  <c r="J543" i="4" s="1"/>
  <c r="F542" i="4"/>
  <c r="E542" i="4"/>
  <c r="D542" i="4"/>
  <c r="C542" i="4"/>
  <c r="B542" i="4"/>
  <c r="A542" i="4"/>
  <c r="V542" i="4" s="1"/>
  <c r="F541" i="4"/>
  <c r="E541" i="4"/>
  <c r="D541" i="4"/>
  <c r="C541" i="4"/>
  <c r="B541" i="4"/>
  <c r="H541" i="4" s="1"/>
  <c r="A541" i="4"/>
  <c r="F540" i="4"/>
  <c r="E540" i="4"/>
  <c r="D540" i="4"/>
  <c r="C540" i="4"/>
  <c r="B540" i="4"/>
  <c r="R540" i="4" s="1"/>
  <c r="A540" i="4"/>
  <c r="K540" i="4" s="1"/>
  <c r="F539" i="4"/>
  <c r="E539" i="4"/>
  <c r="D539" i="4"/>
  <c r="C539" i="4"/>
  <c r="B539" i="4"/>
  <c r="S539" i="4" s="1"/>
  <c r="A539" i="4"/>
  <c r="V539" i="4" s="1"/>
  <c r="F538" i="4"/>
  <c r="E538" i="4"/>
  <c r="D538" i="4"/>
  <c r="C538" i="4"/>
  <c r="B538" i="4"/>
  <c r="R538" i="4" s="1"/>
  <c r="A538" i="4"/>
  <c r="U538" i="4" s="1"/>
  <c r="F537" i="4"/>
  <c r="E537" i="4"/>
  <c r="D537" i="4"/>
  <c r="C537" i="4"/>
  <c r="B537" i="4"/>
  <c r="S537" i="4" s="1"/>
  <c r="A537" i="4"/>
  <c r="V537" i="4" s="1"/>
  <c r="F536" i="4"/>
  <c r="E536" i="4"/>
  <c r="D536" i="4"/>
  <c r="C536" i="4"/>
  <c r="B536" i="4"/>
  <c r="S536" i="4" s="1"/>
  <c r="A536" i="4"/>
  <c r="K536" i="4" s="1"/>
  <c r="K535" i="4"/>
  <c r="F535" i="4"/>
  <c r="E535" i="4"/>
  <c r="D535" i="4"/>
  <c r="C535" i="4"/>
  <c r="B535" i="4"/>
  <c r="R535" i="4" s="1"/>
  <c r="A535" i="4"/>
  <c r="F534" i="4"/>
  <c r="E534" i="4"/>
  <c r="D534" i="4"/>
  <c r="C534" i="4"/>
  <c r="B534" i="4"/>
  <c r="A534" i="4"/>
  <c r="V534" i="4" s="1"/>
  <c r="F533" i="4"/>
  <c r="E533" i="4"/>
  <c r="D533" i="4"/>
  <c r="C533" i="4"/>
  <c r="B533" i="4"/>
  <c r="H533" i="4" s="1"/>
  <c r="A533" i="4"/>
  <c r="F532" i="4"/>
  <c r="E532" i="4"/>
  <c r="D532" i="4"/>
  <c r="C532" i="4"/>
  <c r="B532" i="4"/>
  <c r="R532" i="4" s="1"/>
  <c r="A532" i="4"/>
  <c r="W532" i="4" s="1"/>
  <c r="F531" i="4"/>
  <c r="E531" i="4"/>
  <c r="D531" i="4"/>
  <c r="C531" i="4"/>
  <c r="B531" i="4"/>
  <c r="S531" i="4" s="1"/>
  <c r="A531" i="4"/>
  <c r="O531" i="4" s="1"/>
  <c r="F530" i="4"/>
  <c r="E530" i="4"/>
  <c r="D530" i="4"/>
  <c r="C530" i="4"/>
  <c r="B530" i="4"/>
  <c r="R530" i="4" s="1"/>
  <c r="A530" i="4"/>
  <c r="U530" i="4" s="1"/>
  <c r="F529" i="4"/>
  <c r="E529" i="4"/>
  <c r="D529" i="4"/>
  <c r="C529" i="4"/>
  <c r="B529" i="4"/>
  <c r="S529" i="4" s="1"/>
  <c r="A529" i="4"/>
  <c r="P529" i="4" s="1"/>
  <c r="F528" i="4"/>
  <c r="E528" i="4"/>
  <c r="D528" i="4"/>
  <c r="C528" i="4"/>
  <c r="B528" i="4"/>
  <c r="S528" i="4" s="1"/>
  <c r="A528" i="4"/>
  <c r="K528" i="4" s="1"/>
  <c r="F527" i="4"/>
  <c r="E527" i="4"/>
  <c r="D527" i="4"/>
  <c r="C527" i="4"/>
  <c r="B527" i="4"/>
  <c r="R527" i="4" s="1"/>
  <c r="A527" i="4"/>
  <c r="G526" i="4"/>
  <c r="F526" i="4"/>
  <c r="E526" i="4"/>
  <c r="D526" i="4"/>
  <c r="C526" i="4"/>
  <c r="B526" i="4"/>
  <c r="A526" i="4"/>
  <c r="V526" i="4" s="1"/>
  <c r="F525" i="4"/>
  <c r="E525" i="4"/>
  <c r="D525" i="4"/>
  <c r="C525" i="4"/>
  <c r="B525" i="4"/>
  <c r="H525" i="4" s="1"/>
  <c r="A525" i="4"/>
  <c r="F524" i="4"/>
  <c r="E524" i="4"/>
  <c r="D524" i="4"/>
  <c r="C524" i="4"/>
  <c r="B524" i="4"/>
  <c r="R524" i="4" s="1"/>
  <c r="A524" i="4"/>
  <c r="W524" i="4" s="1"/>
  <c r="F523" i="4"/>
  <c r="E523" i="4"/>
  <c r="D523" i="4"/>
  <c r="C523" i="4"/>
  <c r="B523" i="4"/>
  <c r="S523" i="4" s="1"/>
  <c r="A523" i="4"/>
  <c r="V523" i="4" s="1"/>
  <c r="F522" i="4"/>
  <c r="E522" i="4"/>
  <c r="D522" i="4"/>
  <c r="C522" i="4"/>
  <c r="B522" i="4"/>
  <c r="Q522" i="4" s="1"/>
  <c r="A522" i="4"/>
  <c r="U522" i="4" s="1"/>
  <c r="F521" i="4"/>
  <c r="E521" i="4"/>
  <c r="D521" i="4"/>
  <c r="C521" i="4"/>
  <c r="B521" i="4"/>
  <c r="S521" i="4" s="1"/>
  <c r="A521" i="4"/>
  <c r="K521" i="4" s="1"/>
  <c r="F520" i="4"/>
  <c r="E520" i="4"/>
  <c r="D520" i="4"/>
  <c r="C520" i="4"/>
  <c r="B520" i="4"/>
  <c r="A520" i="4"/>
  <c r="K520" i="4" s="1"/>
  <c r="F519" i="4"/>
  <c r="E519" i="4"/>
  <c r="D519" i="4"/>
  <c r="C519" i="4"/>
  <c r="B519" i="4"/>
  <c r="A519" i="4"/>
  <c r="J519" i="4" s="1"/>
  <c r="F518" i="4"/>
  <c r="E518" i="4"/>
  <c r="D518" i="4"/>
  <c r="C518" i="4"/>
  <c r="B518" i="4"/>
  <c r="A518" i="4"/>
  <c r="F517" i="4"/>
  <c r="E517" i="4"/>
  <c r="D517" i="4"/>
  <c r="C517" i="4"/>
  <c r="B517" i="4"/>
  <c r="A517" i="4"/>
  <c r="F516" i="4"/>
  <c r="E516" i="4"/>
  <c r="D516" i="4"/>
  <c r="C516" i="4"/>
  <c r="B516" i="4"/>
  <c r="S516" i="4" s="1"/>
  <c r="A516" i="4"/>
  <c r="W516" i="4" s="1"/>
  <c r="F515" i="4"/>
  <c r="E515" i="4"/>
  <c r="D515" i="4"/>
  <c r="C515" i="4"/>
  <c r="B515" i="4"/>
  <c r="Q515" i="4" s="1"/>
  <c r="A515" i="4"/>
  <c r="V515" i="4" s="1"/>
  <c r="F514" i="4"/>
  <c r="E514" i="4"/>
  <c r="D514" i="4"/>
  <c r="C514" i="4"/>
  <c r="B514" i="4"/>
  <c r="R514" i="4" s="1"/>
  <c r="A514" i="4"/>
  <c r="U514" i="4" s="1"/>
  <c r="J513" i="4"/>
  <c r="F513" i="4"/>
  <c r="E513" i="4"/>
  <c r="D513" i="4"/>
  <c r="C513" i="4"/>
  <c r="B513" i="4"/>
  <c r="S513" i="4" s="1"/>
  <c r="A513" i="4"/>
  <c r="T513" i="4" s="1"/>
  <c r="Q512" i="4"/>
  <c r="F512" i="4"/>
  <c r="E512" i="4"/>
  <c r="D512" i="4"/>
  <c r="C512" i="4"/>
  <c r="B512" i="4"/>
  <c r="S512" i="4" s="1"/>
  <c r="A512" i="4"/>
  <c r="K512" i="4" s="1"/>
  <c r="I511" i="4"/>
  <c r="F511" i="4"/>
  <c r="E511" i="4"/>
  <c r="D511" i="4"/>
  <c r="C511" i="4"/>
  <c r="B511" i="4"/>
  <c r="R511" i="4" s="1"/>
  <c r="A511" i="4"/>
  <c r="J511" i="4" s="1"/>
  <c r="F510" i="4"/>
  <c r="E510" i="4"/>
  <c r="D510" i="4"/>
  <c r="C510" i="4"/>
  <c r="B510" i="4"/>
  <c r="A510" i="4"/>
  <c r="V510" i="4" s="1"/>
  <c r="F509" i="4"/>
  <c r="E509" i="4"/>
  <c r="D509" i="4"/>
  <c r="C509" i="4"/>
  <c r="B509" i="4"/>
  <c r="H509" i="4" s="1"/>
  <c r="A509" i="4"/>
  <c r="F508" i="4"/>
  <c r="E508" i="4"/>
  <c r="D508" i="4"/>
  <c r="C508" i="4"/>
  <c r="B508" i="4"/>
  <c r="S508" i="4" s="1"/>
  <c r="A508" i="4"/>
  <c r="W508" i="4" s="1"/>
  <c r="F507" i="4"/>
  <c r="E507" i="4"/>
  <c r="D507" i="4"/>
  <c r="C507" i="4"/>
  <c r="B507" i="4"/>
  <c r="S507" i="4" s="1"/>
  <c r="A507" i="4"/>
  <c r="V507" i="4" s="1"/>
  <c r="F506" i="4"/>
  <c r="E506" i="4"/>
  <c r="D506" i="4"/>
  <c r="C506" i="4"/>
  <c r="B506" i="4"/>
  <c r="R506" i="4" s="1"/>
  <c r="A506" i="4"/>
  <c r="U506" i="4" s="1"/>
  <c r="F505" i="4"/>
  <c r="E505" i="4"/>
  <c r="D505" i="4"/>
  <c r="C505" i="4"/>
  <c r="B505" i="4"/>
  <c r="S505" i="4" s="1"/>
  <c r="A505" i="4"/>
  <c r="F504" i="4"/>
  <c r="E504" i="4"/>
  <c r="D504" i="4"/>
  <c r="C504" i="4"/>
  <c r="B504" i="4"/>
  <c r="S504" i="4" s="1"/>
  <c r="A504" i="4"/>
  <c r="K504" i="4" s="1"/>
  <c r="F503" i="4"/>
  <c r="E503" i="4"/>
  <c r="D503" i="4"/>
  <c r="C503" i="4"/>
  <c r="B503" i="4"/>
  <c r="R503" i="4" s="1"/>
  <c r="A503" i="4"/>
  <c r="F502" i="4"/>
  <c r="E502" i="4"/>
  <c r="D502" i="4"/>
  <c r="C502" i="4"/>
  <c r="B502" i="4"/>
  <c r="A502" i="4"/>
  <c r="V502" i="4" s="1"/>
  <c r="F501" i="4"/>
  <c r="E501" i="4"/>
  <c r="D501" i="4"/>
  <c r="C501" i="4"/>
  <c r="B501" i="4"/>
  <c r="H501" i="4" s="1"/>
  <c r="A501" i="4"/>
  <c r="F500" i="4"/>
  <c r="E500" i="4"/>
  <c r="D500" i="4"/>
  <c r="C500" i="4"/>
  <c r="B500" i="4"/>
  <c r="S500" i="4" s="1"/>
  <c r="A500" i="4"/>
  <c r="W500" i="4" s="1"/>
  <c r="F499" i="4"/>
  <c r="E499" i="4"/>
  <c r="D499" i="4"/>
  <c r="C499" i="4"/>
  <c r="B499" i="4"/>
  <c r="S499" i="4" s="1"/>
  <c r="A499" i="4"/>
  <c r="V499" i="4" s="1"/>
  <c r="F498" i="4"/>
  <c r="E498" i="4"/>
  <c r="D498" i="4"/>
  <c r="C498" i="4"/>
  <c r="B498" i="4"/>
  <c r="R498" i="4" s="1"/>
  <c r="A498" i="4"/>
  <c r="K498" i="4" s="1"/>
  <c r="F497" i="4"/>
  <c r="E497" i="4"/>
  <c r="D497" i="4"/>
  <c r="C497" i="4"/>
  <c r="B497" i="4"/>
  <c r="S497" i="4" s="1"/>
  <c r="A497" i="4"/>
  <c r="F496" i="4"/>
  <c r="E496" i="4"/>
  <c r="D496" i="4"/>
  <c r="C496" i="4"/>
  <c r="B496" i="4"/>
  <c r="S496" i="4" s="1"/>
  <c r="A496" i="4"/>
  <c r="K496" i="4" s="1"/>
  <c r="F495" i="4"/>
  <c r="E495" i="4"/>
  <c r="D495" i="4"/>
  <c r="C495" i="4"/>
  <c r="B495" i="4"/>
  <c r="R495" i="4" s="1"/>
  <c r="A495" i="4"/>
  <c r="K495" i="4" s="1"/>
  <c r="F494" i="4"/>
  <c r="E494" i="4"/>
  <c r="D494" i="4"/>
  <c r="C494" i="4"/>
  <c r="B494" i="4"/>
  <c r="A494" i="4"/>
  <c r="V494" i="4" s="1"/>
  <c r="F493" i="4"/>
  <c r="E493" i="4"/>
  <c r="D493" i="4"/>
  <c r="C493" i="4"/>
  <c r="B493" i="4"/>
  <c r="H493" i="4" s="1"/>
  <c r="A493" i="4"/>
  <c r="F492" i="4"/>
  <c r="E492" i="4"/>
  <c r="D492" i="4"/>
  <c r="C492" i="4"/>
  <c r="B492" i="4"/>
  <c r="S492" i="4" s="1"/>
  <c r="A492" i="4"/>
  <c r="W492" i="4" s="1"/>
  <c r="F491" i="4"/>
  <c r="E491" i="4"/>
  <c r="D491" i="4"/>
  <c r="C491" i="4"/>
  <c r="B491" i="4"/>
  <c r="S491" i="4" s="1"/>
  <c r="A491" i="4"/>
  <c r="O491" i="4" s="1"/>
  <c r="F490" i="4"/>
  <c r="E490" i="4"/>
  <c r="D490" i="4"/>
  <c r="C490" i="4"/>
  <c r="B490" i="4"/>
  <c r="R490" i="4" s="1"/>
  <c r="A490" i="4"/>
  <c r="U490" i="4" s="1"/>
  <c r="F489" i="4"/>
  <c r="E489" i="4"/>
  <c r="D489" i="4"/>
  <c r="C489" i="4"/>
  <c r="B489" i="4"/>
  <c r="S489" i="4" s="1"/>
  <c r="A489" i="4"/>
  <c r="T489" i="4" s="1"/>
  <c r="F488" i="4"/>
  <c r="E488" i="4"/>
  <c r="D488" i="4"/>
  <c r="C488" i="4"/>
  <c r="B488" i="4"/>
  <c r="S488" i="4" s="1"/>
  <c r="A488" i="4"/>
  <c r="K488" i="4" s="1"/>
  <c r="F487" i="4"/>
  <c r="E487" i="4"/>
  <c r="D487" i="4"/>
  <c r="C487" i="4"/>
  <c r="B487" i="4"/>
  <c r="R487" i="4" s="1"/>
  <c r="A487" i="4"/>
  <c r="J487" i="4" s="1"/>
  <c r="F486" i="4"/>
  <c r="E486" i="4"/>
  <c r="D486" i="4"/>
  <c r="C486" i="4"/>
  <c r="B486" i="4"/>
  <c r="A486" i="4"/>
  <c r="V486" i="4" s="1"/>
  <c r="F485" i="4"/>
  <c r="E485" i="4"/>
  <c r="D485" i="4"/>
  <c r="C485" i="4"/>
  <c r="B485" i="4"/>
  <c r="H485" i="4" s="1"/>
  <c r="A485" i="4"/>
  <c r="F484" i="4"/>
  <c r="E484" i="4"/>
  <c r="D484" i="4"/>
  <c r="C484" i="4"/>
  <c r="B484" i="4"/>
  <c r="A484" i="4"/>
  <c r="W484" i="4" s="1"/>
  <c r="F483" i="4"/>
  <c r="E483" i="4"/>
  <c r="D483" i="4"/>
  <c r="C483" i="4"/>
  <c r="B483" i="4"/>
  <c r="S483" i="4" s="1"/>
  <c r="A483" i="4"/>
  <c r="V483" i="4" s="1"/>
  <c r="F482" i="4"/>
  <c r="E482" i="4"/>
  <c r="D482" i="4"/>
  <c r="C482" i="4"/>
  <c r="B482" i="4"/>
  <c r="R482" i="4" s="1"/>
  <c r="A482" i="4"/>
  <c r="U482" i="4" s="1"/>
  <c r="F481" i="4"/>
  <c r="E481" i="4"/>
  <c r="D481" i="4"/>
  <c r="C481" i="4"/>
  <c r="B481" i="4"/>
  <c r="A481" i="4"/>
  <c r="T481" i="4" s="1"/>
  <c r="F480" i="4"/>
  <c r="E480" i="4"/>
  <c r="D480" i="4"/>
  <c r="C480" i="4"/>
  <c r="B480" i="4"/>
  <c r="S480" i="4" s="1"/>
  <c r="A480" i="4"/>
  <c r="T480" i="4" s="1"/>
  <c r="F479" i="4"/>
  <c r="E479" i="4"/>
  <c r="D479" i="4"/>
  <c r="C479" i="4"/>
  <c r="B479" i="4"/>
  <c r="R479" i="4" s="1"/>
  <c r="A479" i="4"/>
  <c r="J479" i="4" s="1"/>
  <c r="F478" i="4"/>
  <c r="E478" i="4"/>
  <c r="D478" i="4"/>
  <c r="C478" i="4"/>
  <c r="B478" i="4"/>
  <c r="A478" i="4"/>
  <c r="M478" i="4" s="1"/>
  <c r="F477" i="4"/>
  <c r="E477" i="4"/>
  <c r="D477" i="4"/>
  <c r="C477" i="4"/>
  <c r="B477" i="4"/>
  <c r="H477" i="4" s="1"/>
  <c r="L477" i="4" s="1"/>
  <c r="A477" i="4"/>
  <c r="V477" i="4" s="1"/>
  <c r="F476" i="4"/>
  <c r="E476" i="4"/>
  <c r="D476" i="4"/>
  <c r="C476" i="4"/>
  <c r="B476" i="4"/>
  <c r="S476" i="4" s="1"/>
  <c r="A476" i="4"/>
  <c r="K476" i="4" s="1"/>
  <c r="F475" i="4"/>
  <c r="E475" i="4"/>
  <c r="D475" i="4"/>
  <c r="C475" i="4"/>
  <c r="B475" i="4"/>
  <c r="S475" i="4" s="1"/>
  <c r="A475" i="4"/>
  <c r="V475" i="4" s="1"/>
  <c r="F474" i="4"/>
  <c r="E474" i="4"/>
  <c r="D474" i="4"/>
  <c r="C474" i="4"/>
  <c r="B474" i="4"/>
  <c r="A474" i="4"/>
  <c r="U474" i="4" s="1"/>
  <c r="F473" i="4"/>
  <c r="E473" i="4"/>
  <c r="D473" i="4"/>
  <c r="C473" i="4"/>
  <c r="B473" i="4"/>
  <c r="A473" i="4"/>
  <c r="K473" i="4" s="1"/>
  <c r="F472" i="4"/>
  <c r="E472" i="4"/>
  <c r="D472" i="4"/>
  <c r="C472" i="4"/>
  <c r="B472" i="4"/>
  <c r="A472" i="4"/>
  <c r="T472" i="4" s="1"/>
  <c r="F471" i="4"/>
  <c r="E471" i="4"/>
  <c r="D471" i="4"/>
  <c r="C471" i="4"/>
  <c r="B471" i="4"/>
  <c r="A471" i="4"/>
  <c r="J471" i="4" s="1"/>
  <c r="F470" i="4"/>
  <c r="E470" i="4"/>
  <c r="D470" i="4"/>
  <c r="C470" i="4"/>
  <c r="B470" i="4"/>
  <c r="R470" i="4" s="1"/>
  <c r="A470" i="4"/>
  <c r="M470" i="4" s="1"/>
  <c r="F469" i="4"/>
  <c r="E469" i="4"/>
  <c r="D469" i="4"/>
  <c r="C469" i="4"/>
  <c r="B469" i="4"/>
  <c r="H469" i="4" s="1"/>
  <c r="L469" i="4" s="1"/>
  <c r="A469" i="4"/>
  <c r="V469" i="4" s="1"/>
  <c r="F468" i="4"/>
  <c r="E468" i="4"/>
  <c r="D468" i="4"/>
  <c r="C468" i="4"/>
  <c r="B468" i="4"/>
  <c r="H468" i="4" s="1"/>
  <c r="A468" i="4"/>
  <c r="K468" i="4" s="1"/>
  <c r="F467" i="4"/>
  <c r="E467" i="4"/>
  <c r="D467" i="4"/>
  <c r="C467" i="4"/>
  <c r="B467" i="4"/>
  <c r="S467" i="4" s="1"/>
  <c r="A467" i="4"/>
  <c r="F466" i="4"/>
  <c r="E466" i="4"/>
  <c r="D466" i="4"/>
  <c r="C466" i="4"/>
  <c r="B466" i="4"/>
  <c r="R466" i="4" s="1"/>
  <c r="A466" i="4"/>
  <c r="U466" i="4" s="1"/>
  <c r="F465" i="4"/>
  <c r="E465" i="4"/>
  <c r="D465" i="4"/>
  <c r="C465" i="4"/>
  <c r="B465" i="4"/>
  <c r="H465" i="4" s="1"/>
  <c r="A465" i="4"/>
  <c r="T465" i="4" s="1"/>
  <c r="I464" i="4"/>
  <c r="F464" i="4"/>
  <c r="E464" i="4"/>
  <c r="D464" i="4"/>
  <c r="C464" i="4"/>
  <c r="B464" i="4"/>
  <c r="S464" i="4" s="1"/>
  <c r="A464" i="4"/>
  <c r="G464" i="4" s="1"/>
  <c r="F463" i="4"/>
  <c r="E463" i="4"/>
  <c r="D463" i="4"/>
  <c r="C463" i="4"/>
  <c r="B463" i="4"/>
  <c r="R463" i="4" s="1"/>
  <c r="A463" i="4"/>
  <c r="J463" i="4" s="1"/>
  <c r="F462" i="4"/>
  <c r="E462" i="4"/>
  <c r="D462" i="4"/>
  <c r="C462" i="4"/>
  <c r="B462" i="4"/>
  <c r="A462" i="4"/>
  <c r="V462" i="4" s="1"/>
  <c r="F461" i="4"/>
  <c r="E461" i="4"/>
  <c r="D461" i="4"/>
  <c r="C461" i="4"/>
  <c r="B461" i="4"/>
  <c r="H461" i="4" s="1"/>
  <c r="N461" i="4" s="1"/>
  <c r="A461" i="4"/>
  <c r="K461" i="4" s="1"/>
  <c r="F460" i="4"/>
  <c r="E460" i="4"/>
  <c r="D460" i="4"/>
  <c r="C460" i="4"/>
  <c r="B460" i="4"/>
  <c r="S460" i="4" s="1"/>
  <c r="A460" i="4"/>
  <c r="W460" i="4" s="1"/>
  <c r="F459" i="4"/>
  <c r="E459" i="4"/>
  <c r="D459" i="4"/>
  <c r="C459" i="4"/>
  <c r="B459" i="4"/>
  <c r="I459" i="4" s="1"/>
  <c r="A459" i="4"/>
  <c r="F458" i="4"/>
  <c r="E458" i="4"/>
  <c r="D458" i="4"/>
  <c r="C458" i="4"/>
  <c r="B458" i="4"/>
  <c r="R458" i="4" s="1"/>
  <c r="A458" i="4"/>
  <c r="V458" i="4" s="1"/>
  <c r="F457" i="4"/>
  <c r="E457" i="4"/>
  <c r="D457" i="4"/>
  <c r="C457" i="4"/>
  <c r="B457" i="4"/>
  <c r="R457" i="4" s="1"/>
  <c r="A457" i="4"/>
  <c r="T457" i="4" s="1"/>
  <c r="F456" i="4"/>
  <c r="E456" i="4"/>
  <c r="D456" i="4"/>
  <c r="C456" i="4"/>
  <c r="B456" i="4"/>
  <c r="S456" i="4" s="1"/>
  <c r="A456" i="4"/>
  <c r="O456" i="4" s="1"/>
  <c r="Q455" i="4"/>
  <c r="F455" i="4"/>
  <c r="E455" i="4"/>
  <c r="D455" i="4"/>
  <c r="C455" i="4"/>
  <c r="B455" i="4"/>
  <c r="R455" i="4" s="1"/>
  <c r="A455" i="4"/>
  <c r="J455" i="4" s="1"/>
  <c r="F454" i="4"/>
  <c r="E454" i="4"/>
  <c r="D454" i="4"/>
  <c r="C454" i="4"/>
  <c r="B454" i="4"/>
  <c r="R454" i="4" s="1"/>
  <c r="A454" i="4"/>
  <c r="V454" i="4" s="1"/>
  <c r="F453" i="4"/>
  <c r="E453" i="4"/>
  <c r="D453" i="4"/>
  <c r="C453" i="4"/>
  <c r="B453" i="4"/>
  <c r="H453" i="4" s="1"/>
  <c r="L453" i="4" s="1"/>
  <c r="A453" i="4"/>
  <c r="V453" i="4" s="1"/>
  <c r="F452" i="4"/>
  <c r="E452" i="4"/>
  <c r="D452" i="4"/>
  <c r="C452" i="4"/>
  <c r="B452" i="4"/>
  <c r="A452" i="4"/>
  <c r="W452" i="4" s="1"/>
  <c r="F451" i="4"/>
  <c r="E451" i="4"/>
  <c r="D451" i="4"/>
  <c r="C451" i="4"/>
  <c r="B451" i="4"/>
  <c r="I451" i="4" s="1"/>
  <c r="A451" i="4"/>
  <c r="W451" i="4" s="1"/>
  <c r="F450" i="4"/>
  <c r="E450" i="4"/>
  <c r="D450" i="4"/>
  <c r="C450" i="4"/>
  <c r="B450" i="4"/>
  <c r="R450" i="4" s="1"/>
  <c r="A450" i="4"/>
  <c r="V450" i="4" s="1"/>
  <c r="H449" i="4"/>
  <c r="F449" i="4"/>
  <c r="E449" i="4"/>
  <c r="D449" i="4"/>
  <c r="C449" i="4"/>
  <c r="B449" i="4"/>
  <c r="R449" i="4" s="1"/>
  <c r="A449" i="4"/>
  <c r="T449" i="4" s="1"/>
  <c r="F448" i="4"/>
  <c r="E448" i="4"/>
  <c r="D448" i="4"/>
  <c r="C448" i="4"/>
  <c r="B448" i="4"/>
  <c r="S448" i="4" s="1"/>
  <c r="A448" i="4"/>
  <c r="F447" i="4"/>
  <c r="E447" i="4"/>
  <c r="D447" i="4"/>
  <c r="C447" i="4"/>
  <c r="B447" i="4"/>
  <c r="I447" i="4" s="1"/>
  <c r="A447" i="4"/>
  <c r="K447" i="4" s="1"/>
  <c r="F446" i="4"/>
  <c r="E446" i="4"/>
  <c r="D446" i="4"/>
  <c r="C446" i="4"/>
  <c r="B446" i="4"/>
  <c r="A446" i="4"/>
  <c r="J446" i="4" s="1"/>
  <c r="F445" i="4"/>
  <c r="E445" i="4"/>
  <c r="D445" i="4"/>
  <c r="C445" i="4"/>
  <c r="B445" i="4"/>
  <c r="S445" i="4" s="1"/>
  <c r="A445" i="4"/>
  <c r="V445" i="4" s="1"/>
  <c r="K444" i="4"/>
  <c r="F444" i="4"/>
  <c r="E444" i="4"/>
  <c r="D444" i="4"/>
  <c r="C444" i="4"/>
  <c r="B444" i="4"/>
  <c r="A444" i="4"/>
  <c r="P444" i="4" s="1"/>
  <c r="F443" i="4"/>
  <c r="E443" i="4"/>
  <c r="D443" i="4"/>
  <c r="C443" i="4"/>
  <c r="B443" i="4"/>
  <c r="A443" i="4"/>
  <c r="F442" i="4"/>
  <c r="E442" i="4"/>
  <c r="D442" i="4"/>
  <c r="C442" i="4"/>
  <c r="B442" i="4"/>
  <c r="R442" i="4" s="1"/>
  <c r="A442" i="4"/>
  <c r="P442" i="4" s="1"/>
  <c r="F441" i="4"/>
  <c r="E441" i="4"/>
  <c r="D441" i="4"/>
  <c r="C441" i="4"/>
  <c r="B441" i="4"/>
  <c r="A441" i="4"/>
  <c r="T441" i="4" s="1"/>
  <c r="F440" i="4"/>
  <c r="E440" i="4"/>
  <c r="D440" i="4"/>
  <c r="C440" i="4"/>
  <c r="B440" i="4"/>
  <c r="S440" i="4" s="1"/>
  <c r="A440" i="4"/>
  <c r="O440" i="4" s="1"/>
  <c r="T439" i="4"/>
  <c r="F439" i="4"/>
  <c r="E439" i="4"/>
  <c r="D439" i="4"/>
  <c r="C439" i="4"/>
  <c r="B439" i="4"/>
  <c r="R439" i="4" s="1"/>
  <c r="A439" i="4"/>
  <c r="V439" i="4" s="1"/>
  <c r="F438" i="4"/>
  <c r="E438" i="4"/>
  <c r="D438" i="4"/>
  <c r="C438" i="4"/>
  <c r="B438" i="4"/>
  <c r="A438" i="4"/>
  <c r="V438" i="4" s="1"/>
  <c r="F437" i="4"/>
  <c r="E437" i="4"/>
  <c r="D437" i="4"/>
  <c r="C437" i="4"/>
  <c r="B437" i="4"/>
  <c r="H437" i="4" s="1"/>
  <c r="N437" i="4" s="1"/>
  <c r="A437" i="4"/>
  <c r="K437" i="4" s="1"/>
  <c r="F436" i="4"/>
  <c r="E436" i="4"/>
  <c r="D436" i="4"/>
  <c r="C436" i="4"/>
  <c r="B436" i="4"/>
  <c r="H436" i="4" s="1"/>
  <c r="A436" i="4"/>
  <c r="F435" i="4"/>
  <c r="E435" i="4"/>
  <c r="D435" i="4"/>
  <c r="C435" i="4"/>
  <c r="B435" i="4"/>
  <c r="I435" i="4" s="1"/>
  <c r="A435" i="4"/>
  <c r="T435" i="4" s="1"/>
  <c r="F434" i="4"/>
  <c r="E434" i="4"/>
  <c r="D434" i="4"/>
  <c r="C434" i="4"/>
  <c r="B434" i="4"/>
  <c r="R434" i="4" s="1"/>
  <c r="A434" i="4"/>
  <c r="F433" i="4"/>
  <c r="E433" i="4"/>
  <c r="D433" i="4"/>
  <c r="C433" i="4"/>
  <c r="B433" i="4"/>
  <c r="R433" i="4" s="1"/>
  <c r="A433" i="4"/>
  <c r="O433" i="4" s="1"/>
  <c r="F432" i="4"/>
  <c r="E432" i="4"/>
  <c r="D432" i="4"/>
  <c r="C432" i="4"/>
  <c r="B432" i="4"/>
  <c r="S432" i="4" s="1"/>
  <c r="A432" i="4"/>
  <c r="V432" i="4" s="1"/>
  <c r="U431" i="4"/>
  <c r="H431" i="4"/>
  <c r="N431" i="4" s="1"/>
  <c r="F431" i="4"/>
  <c r="E431" i="4"/>
  <c r="D431" i="4"/>
  <c r="C431" i="4"/>
  <c r="B431" i="4"/>
  <c r="R431" i="4" s="1"/>
  <c r="A431" i="4"/>
  <c r="J431" i="4" s="1"/>
  <c r="F430" i="4"/>
  <c r="E430" i="4"/>
  <c r="D430" i="4"/>
  <c r="C430" i="4"/>
  <c r="B430" i="4"/>
  <c r="S430" i="4" s="1"/>
  <c r="A430" i="4"/>
  <c r="K430" i="4" s="1"/>
  <c r="F429" i="4"/>
  <c r="E429" i="4"/>
  <c r="D429" i="4"/>
  <c r="C429" i="4"/>
  <c r="B429" i="4"/>
  <c r="H429" i="4" s="1"/>
  <c r="A429" i="4"/>
  <c r="V429" i="4" s="1"/>
  <c r="F428" i="4"/>
  <c r="E428" i="4"/>
  <c r="D428" i="4"/>
  <c r="C428" i="4"/>
  <c r="B428" i="4"/>
  <c r="I428" i="4" s="1"/>
  <c r="A428" i="4"/>
  <c r="U428" i="4" s="1"/>
  <c r="H427" i="4"/>
  <c r="N427" i="4" s="1"/>
  <c r="F427" i="4"/>
  <c r="E427" i="4"/>
  <c r="D427" i="4"/>
  <c r="C427" i="4"/>
  <c r="B427" i="4"/>
  <c r="A427" i="4"/>
  <c r="G427" i="4" s="1"/>
  <c r="P426" i="4"/>
  <c r="F426" i="4"/>
  <c r="E426" i="4"/>
  <c r="D426" i="4"/>
  <c r="C426" i="4"/>
  <c r="B426" i="4"/>
  <c r="Q426" i="4" s="1"/>
  <c r="A426" i="4"/>
  <c r="V426" i="4" s="1"/>
  <c r="J425" i="4"/>
  <c r="F425" i="4"/>
  <c r="E425" i="4"/>
  <c r="D425" i="4"/>
  <c r="C425" i="4"/>
  <c r="B425" i="4"/>
  <c r="H425" i="4" s="1"/>
  <c r="A425" i="4"/>
  <c r="T425" i="4" s="1"/>
  <c r="F424" i="4"/>
  <c r="E424" i="4"/>
  <c r="D424" i="4"/>
  <c r="C424" i="4"/>
  <c r="B424" i="4"/>
  <c r="Q424" i="4" s="1"/>
  <c r="A424" i="4"/>
  <c r="O424" i="4" s="1"/>
  <c r="I423" i="4"/>
  <c r="F423" i="4"/>
  <c r="E423" i="4"/>
  <c r="D423" i="4"/>
  <c r="C423" i="4"/>
  <c r="B423" i="4"/>
  <c r="A423" i="4"/>
  <c r="T423" i="4" s="1"/>
  <c r="F422" i="4"/>
  <c r="E422" i="4"/>
  <c r="D422" i="4"/>
  <c r="C422" i="4"/>
  <c r="B422" i="4"/>
  <c r="R422" i="4" s="1"/>
  <c r="A422" i="4"/>
  <c r="G422" i="4" s="1"/>
  <c r="I421" i="4"/>
  <c r="F421" i="4"/>
  <c r="E421" i="4"/>
  <c r="D421" i="4"/>
  <c r="C421" i="4"/>
  <c r="B421" i="4"/>
  <c r="H421" i="4" s="1"/>
  <c r="N421" i="4" s="1"/>
  <c r="A421" i="4"/>
  <c r="V421" i="4" s="1"/>
  <c r="F420" i="4"/>
  <c r="E420" i="4"/>
  <c r="D420" i="4"/>
  <c r="C420" i="4"/>
  <c r="B420" i="4"/>
  <c r="H420" i="4" s="1"/>
  <c r="A420" i="4"/>
  <c r="P420" i="4" s="1"/>
  <c r="F419" i="4"/>
  <c r="E419" i="4"/>
  <c r="D419" i="4"/>
  <c r="C419" i="4"/>
  <c r="B419" i="4"/>
  <c r="I419" i="4" s="1"/>
  <c r="A419" i="4"/>
  <c r="T419" i="4" s="1"/>
  <c r="I418" i="4"/>
  <c r="F418" i="4"/>
  <c r="E418" i="4"/>
  <c r="D418" i="4"/>
  <c r="C418" i="4"/>
  <c r="B418" i="4"/>
  <c r="R418" i="4" s="1"/>
  <c r="A418" i="4"/>
  <c r="V418" i="4" s="1"/>
  <c r="F417" i="4"/>
  <c r="E417" i="4"/>
  <c r="D417" i="4"/>
  <c r="C417" i="4"/>
  <c r="B417" i="4"/>
  <c r="H417" i="4" s="1"/>
  <c r="A417" i="4"/>
  <c r="W417" i="4" s="1"/>
  <c r="F416" i="4"/>
  <c r="E416" i="4"/>
  <c r="D416" i="4"/>
  <c r="C416" i="4"/>
  <c r="B416" i="4"/>
  <c r="S416" i="4" s="1"/>
  <c r="A416" i="4"/>
  <c r="K415" i="4"/>
  <c r="F415" i="4"/>
  <c r="E415" i="4"/>
  <c r="D415" i="4"/>
  <c r="C415" i="4"/>
  <c r="B415" i="4"/>
  <c r="R415" i="4" s="1"/>
  <c r="A415" i="4"/>
  <c r="T415" i="4" s="1"/>
  <c r="F414" i="4"/>
  <c r="E414" i="4"/>
  <c r="D414" i="4"/>
  <c r="C414" i="4"/>
  <c r="B414" i="4"/>
  <c r="S414" i="4" s="1"/>
  <c r="A414" i="4"/>
  <c r="M414" i="4" s="1"/>
  <c r="I413" i="4"/>
  <c r="F413" i="4"/>
  <c r="E413" i="4"/>
  <c r="D413" i="4"/>
  <c r="C413" i="4"/>
  <c r="B413" i="4"/>
  <c r="H413" i="4" s="1"/>
  <c r="L413" i="4" s="1"/>
  <c r="A413" i="4"/>
  <c r="V413" i="4" s="1"/>
  <c r="F412" i="4"/>
  <c r="E412" i="4"/>
  <c r="D412" i="4"/>
  <c r="C412" i="4"/>
  <c r="B412" i="4"/>
  <c r="R412" i="4" s="1"/>
  <c r="A412" i="4"/>
  <c r="U412" i="4" s="1"/>
  <c r="F411" i="4"/>
  <c r="E411" i="4"/>
  <c r="D411" i="4"/>
  <c r="C411" i="4"/>
  <c r="B411" i="4"/>
  <c r="S411" i="4" s="1"/>
  <c r="A411" i="4"/>
  <c r="T411" i="4" s="1"/>
  <c r="I410" i="4"/>
  <c r="F410" i="4"/>
  <c r="E410" i="4"/>
  <c r="D410" i="4"/>
  <c r="C410" i="4"/>
  <c r="B410" i="4"/>
  <c r="R410" i="4" s="1"/>
  <c r="A410" i="4"/>
  <c r="V410" i="4" s="1"/>
  <c r="P409" i="4"/>
  <c r="F409" i="4"/>
  <c r="E409" i="4"/>
  <c r="D409" i="4"/>
  <c r="C409" i="4"/>
  <c r="B409" i="4"/>
  <c r="A409" i="4"/>
  <c r="T409" i="4" s="1"/>
  <c r="F408" i="4"/>
  <c r="E408" i="4"/>
  <c r="D408" i="4"/>
  <c r="C408" i="4"/>
  <c r="B408" i="4"/>
  <c r="S408" i="4" s="1"/>
  <c r="A408" i="4"/>
  <c r="G408" i="4" s="1"/>
  <c r="F407" i="4"/>
  <c r="E407" i="4"/>
  <c r="D407" i="4"/>
  <c r="C407" i="4"/>
  <c r="B407" i="4"/>
  <c r="R407" i="4" s="1"/>
  <c r="A407" i="4"/>
  <c r="J407" i="4" s="1"/>
  <c r="F406" i="4"/>
  <c r="E406" i="4"/>
  <c r="D406" i="4"/>
  <c r="C406" i="4"/>
  <c r="B406" i="4"/>
  <c r="S406" i="4" s="1"/>
  <c r="A406" i="4"/>
  <c r="V406" i="4" s="1"/>
  <c r="F405" i="4"/>
  <c r="E405" i="4"/>
  <c r="D405" i="4"/>
  <c r="C405" i="4"/>
  <c r="B405" i="4"/>
  <c r="A405" i="4"/>
  <c r="W405" i="4" s="1"/>
  <c r="F404" i="4"/>
  <c r="E404" i="4"/>
  <c r="D404" i="4"/>
  <c r="C404" i="4"/>
  <c r="B404" i="4"/>
  <c r="I404" i="4" s="1"/>
  <c r="A404" i="4"/>
  <c r="K404" i="4" s="1"/>
  <c r="Q403" i="4"/>
  <c r="F403" i="4"/>
  <c r="E403" i="4"/>
  <c r="D403" i="4"/>
  <c r="C403" i="4"/>
  <c r="B403" i="4"/>
  <c r="S403" i="4" s="1"/>
  <c r="A403" i="4"/>
  <c r="U403" i="4" s="1"/>
  <c r="K402" i="4"/>
  <c r="F402" i="4"/>
  <c r="E402" i="4"/>
  <c r="D402" i="4"/>
  <c r="C402" i="4"/>
  <c r="B402" i="4"/>
  <c r="R402" i="4" s="1"/>
  <c r="A402" i="4"/>
  <c r="O402" i="4" s="1"/>
  <c r="F401" i="4"/>
  <c r="E401" i="4"/>
  <c r="D401" i="4"/>
  <c r="C401" i="4"/>
  <c r="B401" i="4"/>
  <c r="S401" i="4" s="1"/>
  <c r="A401" i="4"/>
  <c r="T401" i="4" s="1"/>
  <c r="I400" i="4"/>
  <c r="F400" i="4"/>
  <c r="E400" i="4"/>
  <c r="D400" i="4"/>
  <c r="C400" i="4"/>
  <c r="B400" i="4"/>
  <c r="A400" i="4"/>
  <c r="V400" i="4" s="1"/>
  <c r="F399" i="4"/>
  <c r="E399" i="4"/>
  <c r="D399" i="4"/>
  <c r="C399" i="4"/>
  <c r="B399" i="4"/>
  <c r="R399" i="4" s="1"/>
  <c r="A399" i="4"/>
  <c r="V399" i="4" s="1"/>
  <c r="F398" i="4"/>
  <c r="E398" i="4"/>
  <c r="D398" i="4"/>
  <c r="C398" i="4"/>
  <c r="B398" i="4"/>
  <c r="R398" i="4" s="1"/>
  <c r="A398" i="4"/>
  <c r="V398" i="4" s="1"/>
  <c r="F397" i="4"/>
  <c r="E397" i="4"/>
  <c r="D397" i="4"/>
  <c r="C397" i="4"/>
  <c r="B397" i="4"/>
  <c r="H397" i="4" s="1"/>
  <c r="N397" i="4" s="1"/>
  <c r="A397" i="4"/>
  <c r="W397" i="4" s="1"/>
  <c r="F396" i="4"/>
  <c r="E396" i="4"/>
  <c r="D396" i="4"/>
  <c r="C396" i="4"/>
  <c r="B396" i="4"/>
  <c r="A396" i="4"/>
  <c r="M396" i="4" s="1"/>
  <c r="I395" i="4"/>
  <c r="F395" i="4"/>
  <c r="E395" i="4"/>
  <c r="D395" i="4"/>
  <c r="C395" i="4"/>
  <c r="B395" i="4"/>
  <c r="S395" i="4" s="1"/>
  <c r="A395" i="4"/>
  <c r="P395" i="4" s="1"/>
  <c r="F394" i="4"/>
  <c r="E394" i="4"/>
  <c r="D394" i="4"/>
  <c r="C394" i="4"/>
  <c r="B394" i="4"/>
  <c r="R394" i="4" s="1"/>
  <c r="A394" i="4"/>
  <c r="K394" i="4" s="1"/>
  <c r="F393" i="4"/>
  <c r="E393" i="4"/>
  <c r="D393" i="4"/>
  <c r="C393" i="4"/>
  <c r="B393" i="4"/>
  <c r="S393" i="4" s="1"/>
  <c r="A393" i="4"/>
  <c r="T393" i="4" s="1"/>
  <c r="F392" i="4"/>
  <c r="E392" i="4"/>
  <c r="D392" i="4"/>
  <c r="C392" i="4"/>
  <c r="B392" i="4"/>
  <c r="R392" i="4" s="1"/>
  <c r="A392" i="4"/>
  <c r="T392" i="4" s="1"/>
  <c r="F391" i="4"/>
  <c r="E391" i="4"/>
  <c r="D391" i="4"/>
  <c r="C391" i="4"/>
  <c r="B391" i="4"/>
  <c r="R391" i="4" s="1"/>
  <c r="A391" i="4"/>
  <c r="T391" i="4" s="1"/>
  <c r="H390" i="4"/>
  <c r="F390" i="4"/>
  <c r="E390" i="4"/>
  <c r="D390" i="4"/>
  <c r="C390" i="4"/>
  <c r="B390" i="4"/>
  <c r="S390" i="4" s="1"/>
  <c r="A390" i="4"/>
  <c r="V390" i="4" s="1"/>
  <c r="F389" i="4"/>
  <c r="E389" i="4"/>
  <c r="D389" i="4"/>
  <c r="C389" i="4"/>
  <c r="B389" i="4"/>
  <c r="H389" i="4" s="1"/>
  <c r="N389" i="4" s="1"/>
  <c r="A389" i="4"/>
  <c r="G389" i="4" s="1"/>
  <c r="F388" i="4"/>
  <c r="E388" i="4"/>
  <c r="D388" i="4"/>
  <c r="C388" i="4"/>
  <c r="B388" i="4"/>
  <c r="R388" i="4" s="1"/>
  <c r="A388" i="4"/>
  <c r="V388" i="4" s="1"/>
  <c r="F387" i="4"/>
  <c r="E387" i="4"/>
  <c r="D387" i="4"/>
  <c r="C387" i="4"/>
  <c r="B387" i="4"/>
  <c r="S387" i="4" s="1"/>
  <c r="A387" i="4"/>
  <c r="M387" i="4" s="1"/>
  <c r="F386" i="4"/>
  <c r="E386" i="4"/>
  <c r="D386" i="4"/>
  <c r="C386" i="4"/>
  <c r="B386" i="4"/>
  <c r="R386" i="4" s="1"/>
  <c r="A386" i="4"/>
  <c r="G386" i="4" s="1"/>
  <c r="F385" i="4"/>
  <c r="E385" i="4"/>
  <c r="D385" i="4"/>
  <c r="C385" i="4"/>
  <c r="B385" i="4"/>
  <c r="R385" i="4" s="1"/>
  <c r="A385" i="4"/>
  <c r="T385" i="4" s="1"/>
  <c r="O384" i="4"/>
  <c r="F384" i="4"/>
  <c r="E384" i="4"/>
  <c r="D384" i="4"/>
  <c r="C384" i="4"/>
  <c r="B384" i="4"/>
  <c r="I384" i="4" s="1"/>
  <c r="A384" i="4"/>
  <c r="V384" i="4" s="1"/>
  <c r="F383" i="4"/>
  <c r="E383" i="4"/>
  <c r="D383" i="4"/>
  <c r="C383" i="4"/>
  <c r="B383" i="4"/>
  <c r="R383" i="4" s="1"/>
  <c r="A383" i="4"/>
  <c r="T383" i="4" s="1"/>
  <c r="G382" i="4"/>
  <c r="F382" i="4"/>
  <c r="E382" i="4"/>
  <c r="D382" i="4"/>
  <c r="C382" i="4"/>
  <c r="B382" i="4"/>
  <c r="R382" i="4" s="1"/>
  <c r="A382" i="4"/>
  <c r="V382" i="4" s="1"/>
  <c r="F381" i="4"/>
  <c r="E381" i="4"/>
  <c r="D381" i="4"/>
  <c r="C381" i="4"/>
  <c r="B381" i="4"/>
  <c r="H381" i="4" s="1"/>
  <c r="L381" i="4" s="1"/>
  <c r="A381" i="4"/>
  <c r="K381" i="4" s="1"/>
  <c r="F380" i="4"/>
  <c r="E380" i="4"/>
  <c r="D380" i="4"/>
  <c r="C380" i="4"/>
  <c r="B380" i="4"/>
  <c r="R380" i="4" s="1"/>
  <c r="A380" i="4"/>
  <c r="F379" i="4"/>
  <c r="E379" i="4"/>
  <c r="D379" i="4"/>
  <c r="C379" i="4"/>
  <c r="B379" i="4"/>
  <c r="S379" i="4" s="1"/>
  <c r="A379" i="4"/>
  <c r="F378" i="4"/>
  <c r="E378" i="4"/>
  <c r="D378" i="4"/>
  <c r="C378" i="4"/>
  <c r="B378" i="4"/>
  <c r="R378" i="4" s="1"/>
  <c r="A378" i="4"/>
  <c r="V378" i="4" s="1"/>
  <c r="F377" i="4"/>
  <c r="E377" i="4"/>
  <c r="D377" i="4"/>
  <c r="C377" i="4"/>
  <c r="B377" i="4"/>
  <c r="S377" i="4" s="1"/>
  <c r="A377" i="4"/>
  <c r="T377" i="4" s="1"/>
  <c r="F376" i="4"/>
  <c r="E376" i="4"/>
  <c r="D376" i="4"/>
  <c r="C376" i="4"/>
  <c r="B376" i="4"/>
  <c r="A376" i="4"/>
  <c r="W376" i="4" s="1"/>
  <c r="F375" i="4"/>
  <c r="E375" i="4"/>
  <c r="D375" i="4"/>
  <c r="C375" i="4"/>
  <c r="B375" i="4"/>
  <c r="R375" i="4" s="1"/>
  <c r="A375" i="4"/>
  <c r="P375" i="4" s="1"/>
  <c r="F374" i="4"/>
  <c r="E374" i="4"/>
  <c r="D374" i="4"/>
  <c r="C374" i="4"/>
  <c r="B374" i="4"/>
  <c r="S374" i="4" s="1"/>
  <c r="A374" i="4"/>
  <c r="V374" i="4" s="1"/>
  <c r="F373" i="4"/>
  <c r="E373" i="4"/>
  <c r="D373" i="4"/>
  <c r="C373" i="4"/>
  <c r="B373" i="4"/>
  <c r="A373" i="4"/>
  <c r="W373" i="4" s="1"/>
  <c r="F372" i="4"/>
  <c r="E372" i="4"/>
  <c r="D372" i="4"/>
  <c r="C372" i="4"/>
  <c r="B372" i="4"/>
  <c r="S372" i="4" s="1"/>
  <c r="A372" i="4"/>
  <c r="V372" i="4" s="1"/>
  <c r="F371" i="4"/>
  <c r="E371" i="4"/>
  <c r="D371" i="4"/>
  <c r="C371" i="4"/>
  <c r="B371" i="4"/>
  <c r="S371" i="4" s="1"/>
  <c r="A371" i="4"/>
  <c r="O371" i="4" s="1"/>
  <c r="H370" i="4"/>
  <c r="N370" i="4" s="1"/>
  <c r="F370" i="4"/>
  <c r="E370" i="4"/>
  <c r="D370" i="4"/>
  <c r="C370" i="4"/>
  <c r="B370" i="4"/>
  <c r="R370" i="4" s="1"/>
  <c r="A370" i="4"/>
  <c r="K370" i="4" s="1"/>
  <c r="F369" i="4"/>
  <c r="E369" i="4"/>
  <c r="D369" i="4"/>
  <c r="C369" i="4"/>
  <c r="B369" i="4"/>
  <c r="H369" i="4" s="1"/>
  <c r="L369" i="4" s="1"/>
  <c r="A369" i="4"/>
  <c r="T369" i="4" s="1"/>
  <c r="F368" i="4"/>
  <c r="E368" i="4"/>
  <c r="D368" i="4"/>
  <c r="C368" i="4"/>
  <c r="B368" i="4"/>
  <c r="I368" i="4" s="1"/>
  <c r="A368" i="4"/>
  <c r="M368" i="4" s="1"/>
  <c r="F367" i="4"/>
  <c r="E367" i="4"/>
  <c r="D367" i="4"/>
  <c r="C367" i="4"/>
  <c r="B367" i="4"/>
  <c r="R367" i="4" s="1"/>
  <c r="A367" i="4"/>
  <c r="V367" i="4" s="1"/>
  <c r="F366" i="4"/>
  <c r="E366" i="4"/>
  <c r="D366" i="4"/>
  <c r="C366" i="4"/>
  <c r="B366" i="4"/>
  <c r="H366" i="4" s="1"/>
  <c r="N366" i="4" s="1"/>
  <c r="A366" i="4"/>
  <c r="V366" i="4" s="1"/>
  <c r="Q365" i="4"/>
  <c r="F365" i="4"/>
  <c r="E365" i="4"/>
  <c r="D365" i="4"/>
  <c r="C365" i="4"/>
  <c r="B365" i="4"/>
  <c r="H365" i="4" s="1"/>
  <c r="A365" i="4"/>
  <c r="W365" i="4" s="1"/>
  <c r="F364" i="4"/>
  <c r="E364" i="4"/>
  <c r="D364" i="4"/>
  <c r="C364" i="4"/>
  <c r="B364" i="4"/>
  <c r="A364" i="4"/>
  <c r="V364" i="4" s="1"/>
  <c r="F363" i="4"/>
  <c r="E363" i="4"/>
  <c r="D363" i="4"/>
  <c r="C363" i="4"/>
  <c r="B363" i="4"/>
  <c r="S363" i="4" s="1"/>
  <c r="A363" i="4"/>
  <c r="P363" i="4" s="1"/>
  <c r="F362" i="4"/>
  <c r="E362" i="4"/>
  <c r="D362" i="4"/>
  <c r="C362" i="4"/>
  <c r="B362" i="4"/>
  <c r="R362" i="4" s="1"/>
  <c r="A362" i="4"/>
  <c r="K362" i="4" s="1"/>
  <c r="F361" i="4"/>
  <c r="E361" i="4"/>
  <c r="D361" i="4"/>
  <c r="C361" i="4"/>
  <c r="B361" i="4"/>
  <c r="S361" i="4" s="1"/>
  <c r="A361" i="4"/>
  <c r="T361" i="4" s="1"/>
  <c r="F360" i="4"/>
  <c r="E360" i="4"/>
  <c r="D360" i="4"/>
  <c r="C360" i="4"/>
  <c r="B360" i="4"/>
  <c r="R360" i="4" s="1"/>
  <c r="A360" i="4"/>
  <c r="T360" i="4" s="1"/>
  <c r="F359" i="4"/>
  <c r="E359" i="4"/>
  <c r="D359" i="4"/>
  <c r="C359" i="4"/>
  <c r="B359" i="4"/>
  <c r="R359" i="4" s="1"/>
  <c r="A359" i="4"/>
  <c r="M359" i="4" s="1"/>
  <c r="F358" i="4"/>
  <c r="E358" i="4"/>
  <c r="D358" i="4"/>
  <c r="C358" i="4"/>
  <c r="B358" i="4"/>
  <c r="R358" i="4" s="1"/>
  <c r="A358" i="4"/>
  <c r="V358" i="4" s="1"/>
  <c r="F357" i="4"/>
  <c r="E357" i="4"/>
  <c r="D357" i="4"/>
  <c r="C357" i="4"/>
  <c r="B357" i="4"/>
  <c r="H357" i="4" s="1"/>
  <c r="L357" i="4" s="1"/>
  <c r="A357" i="4"/>
  <c r="G357" i="4" s="1"/>
  <c r="F356" i="4"/>
  <c r="E356" i="4"/>
  <c r="D356" i="4"/>
  <c r="C356" i="4"/>
  <c r="B356" i="4"/>
  <c r="R356" i="4" s="1"/>
  <c r="A356" i="4"/>
  <c r="V356" i="4" s="1"/>
  <c r="F355" i="4"/>
  <c r="E355" i="4"/>
  <c r="D355" i="4"/>
  <c r="C355" i="4"/>
  <c r="B355" i="4"/>
  <c r="S355" i="4" s="1"/>
  <c r="A355" i="4"/>
  <c r="G355" i="4" s="1"/>
  <c r="F354" i="4"/>
  <c r="E354" i="4"/>
  <c r="D354" i="4"/>
  <c r="C354" i="4"/>
  <c r="B354" i="4"/>
  <c r="R354" i="4" s="1"/>
  <c r="A354" i="4"/>
  <c r="G354" i="4" s="1"/>
  <c r="G353" i="4"/>
  <c r="F353" i="4"/>
  <c r="E353" i="4"/>
  <c r="D353" i="4"/>
  <c r="C353" i="4"/>
  <c r="B353" i="4"/>
  <c r="R353" i="4" s="1"/>
  <c r="A353" i="4"/>
  <c r="T353" i="4" s="1"/>
  <c r="F352" i="4"/>
  <c r="E352" i="4"/>
  <c r="D352" i="4"/>
  <c r="C352" i="4"/>
  <c r="B352" i="4"/>
  <c r="I352" i="4" s="1"/>
  <c r="A352" i="4"/>
  <c r="O352" i="4" s="1"/>
  <c r="Q351" i="4"/>
  <c r="I351" i="4"/>
  <c r="F351" i="4"/>
  <c r="E351" i="4"/>
  <c r="D351" i="4"/>
  <c r="C351" i="4"/>
  <c r="B351" i="4"/>
  <c r="R351" i="4" s="1"/>
  <c r="A351" i="4"/>
  <c r="T351" i="4" s="1"/>
  <c r="F350" i="4"/>
  <c r="E350" i="4"/>
  <c r="D350" i="4"/>
  <c r="C350" i="4"/>
  <c r="B350" i="4"/>
  <c r="R350" i="4" s="1"/>
  <c r="A350" i="4"/>
  <c r="V350" i="4" s="1"/>
  <c r="F349" i="4"/>
  <c r="E349" i="4"/>
  <c r="D349" i="4"/>
  <c r="C349" i="4"/>
  <c r="B349" i="4"/>
  <c r="H349" i="4" s="1"/>
  <c r="L349" i="4" s="1"/>
  <c r="A349" i="4"/>
  <c r="O349" i="4" s="1"/>
  <c r="F348" i="4"/>
  <c r="E348" i="4"/>
  <c r="D348" i="4"/>
  <c r="C348" i="4"/>
  <c r="B348" i="4"/>
  <c r="R348" i="4" s="1"/>
  <c r="A348" i="4"/>
  <c r="F347" i="4"/>
  <c r="E347" i="4"/>
  <c r="D347" i="4"/>
  <c r="C347" i="4"/>
  <c r="B347" i="4"/>
  <c r="S347" i="4" s="1"/>
  <c r="A347" i="4"/>
  <c r="T347" i="4" s="1"/>
  <c r="F346" i="4"/>
  <c r="E346" i="4"/>
  <c r="D346" i="4"/>
  <c r="C346" i="4"/>
  <c r="B346" i="4"/>
  <c r="R346" i="4" s="1"/>
  <c r="A346" i="4"/>
  <c r="K346" i="4" s="1"/>
  <c r="R345" i="4"/>
  <c r="F345" i="4"/>
  <c r="E345" i="4"/>
  <c r="D345" i="4"/>
  <c r="C345" i="4"/>
  <c r="B345" i="4"/>
  <c r="S345" i="4" s="1"/>
  <c r="A345" i="4"/>
  <c r="T345" i="4" s="1"/>
  <c r="F344" i="4"/>
  <c r="E344" i="4"/>
  <c r="D344" i="4"/>
  <c r="C344" i="4"/>
  <c r="B344" i="4"/>
  <c r="A344" i="4"/>
  <c r="T344" i="4" s="1"/>
  <c r="F343" i="4"/>
  <c r="E343" i="4"/>
  <c r="D343" i="4"/>
  <c r="C343" i="4"/>
  <c r="B343" i="4"/>
  <c r="R343" i="4" s="1"/>
  <c r="A343" i="4"/>
  <c r="V343" i="4" s="1"/>
  <c r="F342" i="4"/>
  <c r="E342" i="4"/>
  <c r="D342" i="4"/>
  <c r="C342" i="4"/>
  <c r="B342" i="4"/>
  <c r="S342" i="4" s="1"/>
  <c r="A342" i="4"/>
  <c r="V342" i="4" s="1"/>
  <c r="G341" i="4"/>
  <c r="F341" i="4"/>
  <c r="E341" i="4"/>
  <c r="D341" i="4"/>
  <c r="C341" i="4"/>
  <c r="B341" i="4"/>
  <c r="A341" i="4"/>
  <c r="V341" i="4" s="1"/>
  <c r="F340" i="4"/>
  <c r="E340" i="4"/>
  <c r="D340" i="4"/>
  <c r="C340" i="4"/>
  <c r="B340" i="4"/>
  <c r="S340" i="4" s="1"/>
  <c r="A340" i="4"/>
  <c r="P340" i="4" s="1"/>
  <c r="F339" i="4"/>
  <c r="E339" i="4"/>
  <c r="D339" i="4"/>
  <c r="C339" i="4"/>
  <c r="B339" i="4"/>
  <c r="S339" i="4" s="1"/>
  <c r="A339" i="4"/>
  <c r="J339" i="4" s="1"/>
  <c r="F338" i="4"/>
  <c r="E338" i="4"/>
  <c r="D338" i="4"/>
  <c r="C338" i="4"/>
  <c r="B338" i="4"/>
  <c r="S338" i="4" s="1"/>
  <c r="A338" i="4"/>
  <c r="U338" i="4" s="1"/>
  <c r="F337" i="4"/>
  <c r="E337" i="4"/>
  <c r="D337" i="4"/>
  <c r="C337" i="4"/>
  <c r="B337" i="4"/>
  <c r="R337" i="4" s="1"/>
  <c r="A337" i="4"/>
  <c r="T337" i="4" s="1"/>
  <c r="T336" i="4"/>
  <c r="F336" i="4"/>
  <c r="E336" i="4"/>
  <c r="D336" i="4"/>
  <c r="C336" i="4"/>
  <c r="B336" i="4"/>
  <c r="S336" i="4" s="1"/>
  <c r="A336" i="4"/>
  <c r="K336" i="4" s="1"/>
  <c r="F335" i="4"/>
  <c r="E335" i="4"/>
  <c r="D335" i="4"/>
  <c r="C335" i="4"/>
  <c r="B335" i="4"/>
  <c r="R335" i="4" s="1"/>
  <c r="A335" i="4"/>
  <c r="J335" i="4" s="1"/>
  <c r="F334" i="4"/>
  <c r="E334" i="4"/>
  <c r="D334" i="4"/>
  <c r="C334" i="4"/>
  <c r="B334" i="4"/>
  <c r="R334" i="4" s="1"/>
  <c r="A334" i="4"/>
  <c r="W334" i="4" s="1"/>
  <c r="F333" i="4"/>
  <c r="E333" i="4"/>
  <c r="D333" i="4"/>
  <c r="C333" i="4"/>
  <c r="B333" i="4"/>
  <c r="H333" i="4" s="1"/>
  <c r="A333" i="4"/>
  <c r="F332" i="4"/>
  <c r="E332" i="4"/>
  <c r="D332" i="4"/>
  <c r="C332" i="4"/>
  <c r="B332" i="4"/>
  <c r="S332" i="4" s="1"/>
  <c r="A332" i="4"/>
  <c r="W332" i="4" s="1"/>
  <c r="F331" i="4"/>
  <c r="E331" i="4"/>
  <c r="D331" i="4"/>
  <c r="C331" i="4"/>
  <c r="B331" i="4"/>
  <c r="S331" i="4" s="1"/>
  <c r="A331" i="4"/>
  <c r="V331" i="4" s="1"/>
  <c r="F330" i="4"/>
  <c r="E330" i="4"/>
  <c r="D330" i="4"/>
  <c r="C330" i="4"/>
  <c r="B330" i="4"/>
  <c r="S330" i="4" s="1"/>
  <c r="A330" i="4"/>
  <c r="U330" i="4" s="1"/>
  <c r="F329" i="4"/>
  <c r="E329" i="4"/>
  <c r="D329" i="4"/>
  <c r="C329" i="4"/>
  <c r="B329" i="4"/>
  <c r="R329" i="4" s="1"/>
  <c r="A329" i="4"/>
  <c r="T329" i="4" s="1"/>
  <c r="F328" i="4"/>
  <c r="E328" i="4"/>
  <c r="D328" i="4"/>
  <c r="C328" i="4"/>
  <c r="B328" i="4"/>
  <c r="S328" i="4" s="1"/>
  <c r="A328" i="4"/>
  <c r="K328" i="4" s="1"/>
  <c r="F327" i="4"/>
  <c r="E327" i="4"/>
  <c r="D327" i="4"/>
  <c r="C327" i="4"/>
  <c r="B327" i="4"/>
  <c r="R327" i="4" s="1"/>
  <c r="A327" i="4"/>
  <c r="J327" i="4" s="1"/>
  <c r="T326" i="4"/>
  <c r="F326" i="4"/>
  <c r="E326" i="4"/>
  <c r="D326" i="4"/>
  <c r="C326" i="4"/>
  <c r="B326" i="4"/>
  <c r="R326" i="4" s="1"/>
  <c r="A326" i="4"/>
  <c r="M326" i="4" s="1"/>
  <c r="F325" i="4"/>
  <c r="E325" i="4"/>
  <c r="D325" i="4"/>
  <c r="C325" i="4"/>
  <c r="B325" i="4"/>
  <c r="H325" i="4" s="1"/>
  <c r="A325" i="4"/>
  <c r="F324" i="4"/>
  <c r="E324" i="4"/>
  <c r="D324" i="4"/>
  <c r="C324" i="4"/>
  <c r="B324" i="4"/>
  <c r="S324" i="4" s="1"/>
  <c r="A324" i="4"/>
  <c r="W324" i="4" s="1"/>
  <c r="F323" i="4"/>
  <c r="E323" i="4"/>
  <c r="D323" i="4"/>
  <c r="C323" i="4"/>
  <c r="B323" i="4"/>
  <c r="S323" i="4" s="1"/>
  <c r="A323" i="4"/>
  <c r="V323" i="4" s="1"/>
  <c r="F322" i="4"/>
  <c r="E322" i="4"/>
  <c r="D322" i="4"/>
  <c r="C322" i="4"/>
  <c r="B322" i="4"/>
  <c r="R322" i="4" s="1"/>
  <c r="A322" i="4"/>
  <c r="U322" i="4" s="1"/>
  <c r="F321" i="4"/>
  <c r="E321" i="4"/>
  <c r="D321" i="4"/>
  <c r="C321" i="4"/>
  <c r="B321" i="4"/>
  <c r="A321" i="4"/>
  <c r="T321" i="4" s="1"/>
  <c r="F320" i="4"/>
  <c r="E320" i="4"/>
  <c r="D320" i="4"/>
  <c r="C320" i="4"/>
  <c r="B320" i="4"/>
  <c r="S320" i="4" s="1"/>
  <c r="A320" i="4"/>
  <c r="F319" i="4"/>
  <c r="E319" i="4"/>
  <c r="D319" i="4"/>
  <c r="C319" i="4"/>
  <c r="B319" i="4"/>
  <c r="R319" i="4" s="1"/>
  <c r="A319" i="4"/>
  <c r="J319" i="4" s="1"/>
  <c r="G318" i="4"/>
  <c r="F318" i="4"/>
  <c r="E318" i="4"/>
  <c r="D318" i="4"/>
  <c r="C318" i="4"/>
  <c r="B318" i="4"/>
  <c r="R318" i="4" s="1"/>
  <c r="A318" i="4"/>
  <c r="T318" i="4" s="1"/>
  <c r="F317" i="4"/>
  <c r="E317" i="4"/>
  <c r="D317" i="4"/>
  <c r="C317" i="4"/>
  <c r="B317" i="4"/>
  <c r="H317" i="4" s="1"/>
  <c r="L317" i="4" s="1"/>
  <c r="A317" i="4"/>
  <c r="F316" i="4"/>
  <c r="E316" i="4"/>
  <c r="D316" i="4"/>
  <c r="C316" i="4"/>
  <c r="B316" i="4"/>
  <c r="S316" i="4" s="1"/>
  <c r="A316" i="4"/>
  <c r="W316" i="4" s="1"/>
  <c r="F315" i="4"/>
  <c r="E315" i="4"/>
  <c r="D315" i="4"/>
  <c r="C315" i="4"/>
  <c r="B315" i="4"/>
  <c r="S315" i="4" s="1"/>
  <c r="A315" i="4"/>
  <c r="V315" i="4" s="1"/>
  <c r="F314" i="4"/>
  <c r="E314" i="4"/>
  <c r="D314" i="4"/>
  <c r="C314" i="4"/>
  <c r="B314" i="4"/>
  <c r="R314" i="4" s="1"/>
  <c r="A314" i="4"/>
  <c r="U314" i="4" s="1"/>
  <c r="F313" i="4"/>
  <c r="E313" i="4"/>
  <c r="D313" i="4"/>
  <c r="C313" i="4"/>
  <c r="B313" i="4"/>
  <c r="A313" i="4"/>
  <c r="T313" i="4" s="1"/>
  <c r="F312" i="4"/>
  <c r="E312" i="4"/>
  <c r="D312" i="4"/>
  <c r="C312" i="4"/>
  <c r="B312" i="4"/>
  <c r="S312" i="4" s="1"/>
  <c r="A312" i="4"/>
  <c r="F311" i="4"/>
  <c r="E311" i="4"/>
  <c r="D311" i="4"/>
  <c r="C311" i="4"/>
  <c r="B311" i="4"/>
  <c r="R311" i="4" s="1"/>
  <c r="A311" i="4"/>
  <c r="J311" i="4" s="1"/>
  <c r="F310" i="4"/>
  <c r="E310" i="4"/>
  <c r="D310" i="4"/>
  <c r="C310" i="4"/>
  <c r="B310" i="4"/>
  <c r="A310" i="4"/>
  <c r="O310" i="4" s="1"/>
  <c r="F309" i="4"/>
  <c r="E309" i="4"/>
  <c r="D309" i="4"/>
  <c r="C309" i="4"/>
  <c r="B309" i="4"/>
  <c r="H309" i="4" s="1"/>
  <c r="L309" i="4" s="1"/>
  <c r="A309" i="4"/>
  <c r="V309" i="4" s="1"/>
  <c r="F308" i="4"/>
  <c r="E308" i="4"/>
  <c r="D308" i="4"/>
  <c r="C308" i="4"/>
  <c r="B308" i="4"/>
  <c r="S308" i="4" s="1"/>
  <c r="A308" i="4"/>
  <c r="W308" i="4" s="1"/>
  <c r="I307" i="4"/>
  <c r="F307" i="4"/>
  <c r="E307" i="4"/>
  <c r="D307" i="4"/>
  <c r="C307" i="4"/>
  <c r="B307" i="4"/>
  <c r="S307" i="4" s="1"/>
  <c r="A307" i="4"/>
  <c r="V307" i="4" s="1"/>
  <c r="F306" i="4"/>
  <c r="E306" i="4"/>
  <c r="D306" i="4"/>
  <c r="C306" i="4"/>
  <c r="B306" i="4"/>
  <c r="R306" i="4" s="1"/>
  <c r="A306" i="4"/>
  <c r="U306" i="4" s="1"/>
  <c r="F305" i="4"/>
  <c r="E305" i="4"/>
  <c r="D305" i="4"/>
  <c r="C305" i="4"/>
  <c r="B305" i="4"/>
  <c r="R305" i="4" s="1"/>
  <c r="A305" i="4"/>
  <c r="T305" i="4" s="1"/>
  <c r="F304" i="4"/>
  <c r="E304" i="4"/>
  <c r="D304" i="4"/>
  <c r="C304" i="4"/>
  <c r="B304" i="4"/>
  <c r="S304" i="4" s="1"/>
  <c r="A304" i="4"/>
  <c r="T304" i="4" s="1"/>
  <c r="F303" i="4"/>
  <c r="E303" i="4"/>
  <c r="D303" i="4"/>
  <c r="C303" i="4"/>
  <c r="B303" i="4"/>
  <c r="R303" i="4" s="1"/>
  <c r="A303" i="4"/>
  <c r="J303" i="4" s="1"/>
  <c r="F302" i="4"/>
  <c r="E302" i="4"/>
  <c r="D302" i="4"/>
  <c r="C302" i="4"/>
  <c r="B302" i="4"/>
  <c r="R302" i="4" s="1"/>
  <c r="A302" i="4"/>
  <c r="M302" i="4" s="1"/>
  <c r="F301" i="4"/>
  <c r="E301" i="4"/>
  <c r="D301" i="4"/>
  <c r="C301" i="4"/>
  <c r="B301" i="4"/>
  <c r="H301" i="4" s="1"/>
  <c r="L301" i="4" s="1"/>
  <c r="A301" i="4"/>
  <c r="V301" i="4" s="1"/>
  <c r="F300" i="4"/>
  <c r="E300" i="4"/>
  <c r="D300" i="4"/>
  <c r="C300" i="4"/>
  <c r="B300" i="4"/>
  <c r="S300" i="4" s="1"/>
  <c r="A300" i="4"/>
  <c r="W300" i="4" s="1"/>
  <c r="F299" i="4"/>
  <c r="E299" i="4"/>
  <c r="D299" i="4"/>
  <c r="C299" i="4"/>
  <c r="B299" i="4"/>
  <c r="S299" i="4" s="1"/>
  <c r="A299" i="4"/>
  <c r="V299" i="4" s="1"/>
  <c r="F298" i="4"/>
  <c r="E298" i="4"/>
  <c r="D298" i="4"/>
  <c r="C298" i="4"/>
  <c r="B298" i="4"/>
  <c r="R298" i="4" s="1"/>
  <c r="A298" i="4"/>
  <c r="U298" i="4" s="1"/>
  <c r="F297" i="4"/>
  <c r="E297" i="4"/>
  <c r="D297" i="4"/>
  <c r="C297" i="4"/>
  <c r="B297" i="4"/>
  <c r="A297" i="4"/>
  <c r="T297" i="4" s="1"/>
  <c r="F296" i="4"/>
  <c r="E296" i="4"/>
  <c r="D296" i="4"/>
  <c r="C296" i="4"/>
  <c r="B296" i="4"/>
  <c r="S296" i="4" s="1"/>
  <c r="A296" i="4"/>
  <c r="F295" i="4"/>
  <c r="E295" i="4"/>
  <c r="D295" i="4"/>
  <c r="C295" i="4"/>
  <c r="B295" i="4"/>
  <c r="R295" i="4" s="1"/>
  <c r="A295" i="4"/>
  <c r="J295" i="4" s="1"/>
  <c r="F294" i="4"/>
  <c r="E294" i="4"/>
  <c r="D294" i="4"/>
  <c r="C294" i="4"/>
  <c r="B294" i="4"/>
  <c r="A294" i="4"/>
  <c r="V294" i="4" s="1"/>
  <c r="F293" i="4"/>
  <c r="E293" i="4"/>
  <c r="D293" i="4"/>
  <c r="C293" i="4"/>
  <c r="B293" i="4"/>
  <c r="H293" i="4" s="1"/>
  <c r="L293" i="4" s="1"/>
  <c r="A293" i="4"/>
  <c r="V293" i="4" s="1"/>
  <c r="H292" i="4"/>
  <c r="F292" i="4"/>
  <c r="E292" i="4"/>
  <c r="D292" i="4"/>
  <c r="C292" i="4"/>
  <c r="B292" i="4"/>
  <c r="S292" i="4" s="1"/>
  <c r="A292" i="4"/>
  <c r="W292" i="4" s="1"/>
  <c r="F291" i="4"/>
  <c r="E291" i="4"/>
  <c r="D291" i="4"/>
  <c r="C291" i="4"/>
  <c r="B291" i="4"/>
  <c r="S291" i="4" s="1"/>
  <c r="A291" i="4"/>
  <c r="V291" i="4" s="1"/>
  <c r="F290" i="4"/>
  <c r="E290" i="4"/>
  <c r="D290" i="4"/>
  <c r="C290" i="4"/>
  <c r="B290" i="4"/>
  <c r="R290" i="4" s="1"/>
  <c r="A290" i="4"/>
  <c r="U290" i="4" s="1"/>
  <c r="F289" i="4"/>
  <c r="E289" i="4"/>
  <c r="D289" i="4"/>
  <c r="C289" i="4"/>
  <c r="B289" i="4"/>
  <c r="R289" i="4" s="1"/>
  <c r="A289" i="4"/>
  <c r="T289" i="4" s="1"/>
  <c r="F288" i="4"/>
  <c r="E288" i="4"/>
  <c r="D288" i="4"/>
  <c r="C288" i="4"/>
  <c r="B288" i="4"/>
  <c r="S288" i="4" s="1"/>
  <c r="A288" i="4"/>
  <c r="F287" i="4"/>
  <c r="E287" i="4"/>
  <c r="D287" i="4"/>
  <c r="C287" i="4"/>
  <c r="B287" i="4"/>
  <c r="R287" i="4" s="1"/>
  <c r="A287" i="4"/>
  <c r="J287" i="4" s="1"/>
  <c r="F286" i="4"/>
  <c r="E286" i="4"/>
  <c r="D286" i="4"/>
  <c r="C286" i="4"/>
  <c r="B286" i="4"/>
  <c r="R286" i="4" s="1"/>
  <c r="A286" i="4"/>
  <c r="U286" i="4" s="1"/>
  <c r="F285" i="4"/>
  <c r="E285" i="4"/>
  <c r="D285" i="4"/>
  <c r="C285" i="4"/>
  <c r="B285" i="4"/>
  <c r="H285" i="4" s="1"/>
  <c r="A285" i="4"/>
  <c r="V285" i="4" s="1"/>
  <c r="F284" i="4"/>
  <c r="E284" i="4"/>
  <c r="D284" i="4"/>
  <c r="C284" i="4"/>
  <c r="B284" i="4"/>
  <c r="S284" i="4" s="1"/>
  <c r="A284" i="4"/>
  <c r="W284" i="4" s="1"/>
  <c r="F283" i="4"/>
  <c r="E283" i="4"/>
  <c r="D283" i="4"/>
  <c r="C283" i="4"/>
  <c r="B283" i="4"/>
  <c r="S283" i="4" s="1"/>
  <c r="A283" i="4"/>
  <c r="V283" i="4" s="1"/>
  <c r="F282" i="4"/>
  <c r="E282" i="4"/>
  <c r="D282" i="4"/>
  <c r="C282" i="4"/>
  <c r="B282" i="4"/>
  <c r="R282" i="4" s="1"/>
  <c r="A282" i="4"/>
  <c r="U282" i="4" s="1"/>
  <c r="F281" i="4"/>
  <c r="E281" i="4"/>
  <c r="D281" i="4"/>
  <c r="C281" i="4"/>
  <c r="B281" i="4"/>
  <c r="A281" i="4"/>
  <c r="T281" i="4" s="1"/>
  <c r="F280" i="4"/>
  <c r="E280" i="4"/>
  <c r="D280" i="4"/>
  <c r="C280" i="4"/>
  <c r="B280" i="4"/>
  <c r="S280" i="4" s="1"/>
  <c r="A280" i="4"/>
  <c r="T280" i="4" s="1"/>
  <c r="F279" i="4"/>
  <c r="E279" i="4"/>
  <c r="D279" i="4"/>
  <c r="C279" i="4"/>
  <c r="B279" i="4"/>
  <c r="R279" i="4" s="1"/>
  <c r="A279" i="4"/>
  <c r="J279" i="4" s="1"/>
  <c r="F278" i="4"/>
  <c r="E278" i="4"/>
  <c r="D278" i="4"/>
  <c r="C278" i="4"/>
  <c r="B278" i="4"/>
  <c r="R278" i="4" s="1"/>
  <c r="A278" i="4"/>
  <c r="U278" i="4" s="1"/>
  <c r="F277" i="4"/>
  <c r="E277" i="4"/>
  <c r="D277" i="4"/>
  <c r="C277" i="4"/>
  <c r="B277" i="4"/>
  <c r="H277" i="4" s="1"/>
  <c r="A277" i="4"/>
  <c r="F276" i="4"/>
  <c r="E276" i="4"/>
  <c r="D276" i="4"/>
  <c r="C276" i="4"/>
  <c r="B276" i="4"/>
  <c r="S276" i="4" s="1"/>
  <c r="A276" i="4"/>
  <c r="W276" i="4" s="1"/>
  <c r="F275" i="4"/>
  <c r="E275" i="4"/>
  <c r="D275" i="4"/>
  <c r="C275" i="4"/>
  <c r="B275" i="4"/>
  <c r="S275" i="4" s="1"/>
  <c r="A275" i="4"/>
  <c r="V275" i="4" s="1"/>
  <c r="F274" i="4"/>
  <c r="E274" i="4"/>
  <c r="D274" i="4"/>
  <c r="C274" i="4"/>
  <c r="B274" i="4"/>
  <c r="R274" i="4" s="1"/>
  <c r="A274" i="4"/>
  <c r="U274" i="4" s="1"/>
  <c r="F273" i="4"/>
  <c r="E273" i="4"/>
  <c r="D273" i="4"/>
  <c r="C273" i="4"/>
  <c r="B273" i="4"/>
  <c r="R273" i="4" s="1"/>
  <c r="A273" i="4"/>
  <c r="T273" i="4" s="1"/>
  <c r="F272" i="4"/>
  <c r="E272" i="4"/>
  <c r="D272" i="4"/>
  <c r="C272" i="4"/>
  <c r="B272" i="4"/>
  <c r="S272" i="4" s="1"/>
  <c r="A272" i="4"/>
  <c r="T272" i="4" s="1"/>
  <c r="F271" i="4"/>
  <c r="E271" i="4"/>
  <c r="D271" i="4"/>
  <c r="C271" i="4"/>
  <c r="B271" i="4"/>
  <c r="R271" i="4" s="1"/>
  <c r="A271" i="4"/>
  <c r="J271" i="4" s="1"/>
  <c r="F270" i="4"/>
  <c r="E270" i="4"/>
  <c r="D270" i="4"/>
  <c r="C270" i="4"/>
  <c r="B270" i="4"/>
  <c r="A270" i="4"/>
  <c r="T270" i="4" s="1"/>
  <c r="F269" i="4"/>
  <c r="E269" i="4"/>
  <c r="D269" i="4"/>
  <c r="C269" i="4"/>
  <c r="B269" i="4"/>
  <c r="H269" i="4" s="1"/>
  <c r="L269" i="4" s="1"/>
  <c r="A269" i="4"/>
  <c r="V269" i="4" s="1"/>
  <c r="F268" i="4"/>
  <c r="E268" i="4"/>
  <c r="D268" i="4"/>
  <c r="C268" i="4"/>
  <c r="B268" i="4"/>
  <c r="R268" i="4" s="1"/>
  <c r="A268" i="4"/>
  <c r="W268" i="4" s="1"/>
  <c r="F267" i="4"/>
  <c r="E267" i="4"/>
  <c r="D267" i="4"/>
  <c r="C267" i="4"/>
  <c r="B267" i="4"/>
  <c r="S267" i="4" s="1"/>
  <c r="A267" i="4"/>
  <c r="V267" i="4" s="1"/>
  <c r="F266" i="4"/>
  <c r="E266" i="4"/>
  <c r="D266" i="4"/>
  <c r="C266" i="4"/>
  <c r="B266" i="4"/>
  <c r="R266" i="4" s="1"/>
  <c r="A266" i="4"/>
  <c r="U266" i="4" s="1"/>
  <c r="F265" i="4"/>
  <c r="E265" i="4"/>
  <c r="D265" i="4"/>
  <c r="C265" i="4"/>
  <c r="B265" i="4"/>
  <c r="A265" i="4"/>
  <c r="T265" i="4" s="1"/>
  <c r="F264" i="4"/>
  <c r="E264" i="4"/>
  <c r="D264" i="4"/>
  <c r="C264" i="4"/>
  <c r="B264" i="4"/>
  <c r="S264" i="4" s="1"/>
  <c r="A264" i="4"/>
  <c r="F263" i="4"/>
  <c r="E263" i="4"/>
  <c r="D263" i="4"/>
  <c r="C263" i="4"/>
  <c r="B263" i="4"/>
  <c r="R263" i="4" s="1"/>
  <c r="A263" i="4"/>
  <c r="J263" i="4" s="1"/>
  <c r="F262" i="4"/>
  <c r="E262" i="4"/>
  <c r="D262" i="4"/>
  <c r="C262" i="4"/>
  <c r="B262" i="4"/>
  <c r="R262" i="4" s="1"/>
  <c r="A262" i="4"/>
  <c r="O262" i="4" s="1"/>
  <c r="F261" i="4"/>
  <c r="E261" i="4"/>
  <c r="D261" i="4"/>
  <c r="C261" i="4"/>
  <c r="B261" i="4"/>
  <c r="H261" i="4" s="1"/>
  <c r="L261" i="4" s="1"/>
  <c r="A261" i="4"/>
  <c r="F260" i="4"/>
  <c r="E260" i="4"/>
  <c r="D260" i="4"/>
  <c r="C260" i="4"/>
  <c r="B260" i="4"/>
  <c r="R260" i="4" s="1"/>
  <c r="A260" i="4"/>
  <c r="F259" i="4"/>
  <c r="E259" i="4"/>
  <c r="D259" i="4"/>
  <c r="C259" i="4"/>
  <c r="B259" i="4"/>
  <c r="A259" i="4"/>
  <c r="F258" i="4"/>
  <c r="E258" i="4"/>
  <c r="D258" i="4"/>
  <c r="C258" i="4"/>
  <c r="B258" i="4"/>
  <c r="A258" i="4"/>
  <c r="F257" i="4"/>
  <c r="E257" i="4"/>
  <c r="D257" i="4"/>
  <c r="C257" i="4"/>
  <c r="B257" i="4"/>
  <c r="R257" i="4" s="1"/>
  <c r="A257" i="4"/>
  <c r="F256" i="4"/>
  <c r="E256" i="4"/>
  <c r="D256" i="4"/>
  <c r="C256" i="4"/>
  <c r="B256" i="4"/>
  <c r="A256" i="4"/>
  <c r="F255" i="4"/>
  <c r="E255" i="4"/>
  <c r="D255" i="4"/>
  <c r="C255" i="4"/>
  <c r="B255" i="4"/>
  <c r="A255" i="4"/>
  <c r="F254" i="4"/>
  <c r="E254" i="4"/>
  <c r="D254" i="4"/>
  <c r="C254" i="4"/>
  <c r="B254" i="4"/>
  <c r="A254" i="4"/>
  <c r="G254" i="4" s="1"/>
  <c r="F253" i="4"/>
  <c r="E253" i="4"/>
  <c r="D253" i="4"/>
  <c r="C253" i="4"/>
  <c r="B253" i="4"/>
  <c r="A253" i="4"/>
  <c r="F252" i="4"/>
  <c r="E252" i="4"/>
  <c r="D252" i="4"/>
  <c r="C252" i="4"/>
  <c r="B252" i="4"/>
  <c r="R252" i="4" s="1"/>
  <c r="A252" i="4"/>
  <c r="F251" i="4"/>
  <c r="E251" i="4"/>
  <c r="D251" i="4"/>
  <c r="C251" i="4"/>
  <c r="B251" i="4"/>
  <c r="A251" i="4"/>
  <c r="G251" i="4" s="1"/>
  <c r="F250" i="4"/>
  <c r="E250" i="4"/>
  <c r="D250" i="4"/>
  <c r="C250" i="4"/>
  <c r="B250" i="4"/>
  <c r="R250" i="4" s="1"/>
  <c r="A250" i="4"/>
  <c r="F249" i="4"/>
  <c r="E249" i="4"/>
  <c r="D249" i="4"/>
  <c r="C249" i="4"/>
  <c r="B249" i="4"/>
  <c r="A249" i="4"/>
  <c r="F248" i="4"/>
  <c r="E248" i="4"/>
  <c r="D248" i="4"/>
  <c r="C248" i="4"/>
  <c r="B248" i="4"/>
  <c r="Q248" i="4" s="1"/>
  <c r="A248" i="4"/>
  <c r="F247" i="4"/>
  <c r="E247" i="4"/>
  <c r="D247" i="4"/>
  <c r="C247" i="4"/>
  <c r="B247" i="4"/>
  <c r="R247" i="4" s="1"/>
  <c r="A247" i="4"/>
  <c r="F246" i="4"/>
  <c r="E246" i="4"/>
  <c r="D246" i="4"/>
  <c r="C246" i="4"/>
  <c r="B246" i="4"/>
  <c r="R246" i="4" s="1"/>
  <c r="A246" i="4"/>
  <c r="G246" i="4" s="1"/>
  <c r="F245" i="4"/>
  <c r="E245" i="4"/>
  <c r="D245" i="4"/>
  <c r="C245" i="4"/>
  <c r="B245" i="4"/>
  <c r="Q245" i="4" s="1"/>
  <c r="A245" i="4"/>
  <c r="F244" i="4"/>
  <c r="E244" i="4"/>
  <c r="D244" i="4"/>
  <c r="C244" i="4"/>
  <c r="B244" i="4"/>
  <c r="A244" i="4"/>
  <c r="F243" i="4"/>
  <c r="E243" i="4"/>
  <c r="D243" i="4"/>
  <c r="C243" i="4"/>
  <c r="B243" i="4"/>
  <c r="A243" i="4"/>
  <c r="G243" i="4" s="1"/>
  <c r="F242" i="4"/>
  <c r="E242" i="4"/>
  <c r="D242" i="4"/>
  <c r="C242" i="4"/>
  <c r="B242" i="4"/>
  <c r="R242" i="4" s="1"/>
  <c r="A242" i="4"/>
  <c r="F241" i="4"/>
  <c r="E241" i="4"/>
  <c r="D241" i="4"/>
  <c r="C241" i="4"/>
  <c r="B241" i="4"/>
  <c r="R241" i="4" s="1"/>
  <c r="A241" i="4"/>
  <c r="G241" i="4" s="1"/>
  <c r="F240" i="4"/>
  <c r="E240" i="4"/>
  <c r="D240" i="4"/>
  <c r="C240" i="4"/>
  <c r="B240" i="4"/>
  <c r="Q240" i="4" s="1"/>
  <c r="A240" i="4"/>
  <c r="F239" i="4"/>
  <c r="E239" i="4"/>
  <c r="D239" i="4"/>
  <c r="C239" i="4"/>
  <c r="B239" i="4"/>
  <c r="R239" i="4" s="1"/>
  <c r="A239" i="4"/>
  <c r="F238" i="4"/>
  <c r="E238" i="4"/>
  <c r="D238" i="4"/>
  <c r="C238" i="4"/>
  <c r="B238" i="4"/>
  <c r="A238" i="4"/>
  <c r="F237" i="4"/>
  <c r="E237" i="4"/>
  <c r="D237" i="4"/>
  <c r="C237" i="4"/>
  <c r="B237" i="4"/>
  <c r="A237" i="4"/>
  <c r="F236" i="4"/>
  <c r="E236" i="4"/>
  <c r="D236" i="4"/>
  <c r="C236" i="4"/>
  <c r="B236" i="4"/>
  <c r="A236" i="4"/>
  <c r="F235" i="4"/>
  <c r="E235" i="4"/>
  <c r="D235" i="4"/>
  <c r="C235" i="4"/>
  <c r="B235" i="4"/>
  <c r="A235" i="4"/>
  <c r="G235" i="4" s="1"/>
  <c r="F234" i="4"/>
  <c r="E234" i="4"/>
  <c r="D234" i="4"/>
  <c r="C234" i="4"/>
  <c r="B234" i="4"/>
  <c r="Q234" i="4" s="1"/>
  <c r="A234" i="4"/>
  <c r="F233" i="4"/>
  <c r="E233" i="4"/>
  <c r="D233" i="4"/>
  <c r="C233" i="4"/>
  <c r="B233" i="4"/>
  <c r="A233" i="4"/>
  <c r="F232" i="4"/>
  <c r="E232" i="4"/>
  <c r="D232" i="4"/>
  <c r="C232" i="4"/>
  <c r="B232" i="4"/>
  <c r="A232" i="4"/>
  <c r="G232" i="4" s="1"/>
  <c r="F231" i="4"/>
  <c r="E231" i="4"/>
  <c r="D231" i="4"/>
  <c r="C231" i="4"/>
  <c r="B231" i="4"/>
  <c r="A231" i="4"/>
  <c r="F230" i="4"/>
  <c r="E230" i="4"/>
  <c r="D230" i="4"/>
  <c r="C230" i="4"/>
  <c r="B230" i="4"/>
  <c r="A230" i="4"/>
  <c r="F229" i="4"/>
  <c r="E229" i="4"/>
  <c r="D229" i="4"/>
  <c r="C229" i="4"/>
  <c r="B229" i="4"/>
  <c r="Q229" i="4" s="1"/>
  <c r="A229" i="4"/>
  <c r="F228" i="4"/>
  <c r="E228" i="4"/>
  <c r="D228" i="4"/>
  <c r="C228" i="4"/>
  <c r="B228" i="4"/>
  <c r="R228" i="4" s="1"/>
  <c r="A228" i="4"/>
  <c r="F227" i="4"/>
  <c r="E227" i="4"/>
  <c r="D227" i="4"/>
  <c r="C227" i="4"/>
  <c r="B227" i="4"/>
  <c r="R227" i="4" s="1"/>
  <c r="A227" i="4"/>
  <c r="G227" i="4" s="1"/>
  <c r="F226" i="4"/>
  <c r="E226" i="4"/>
  <c r="D226" i="4"/>
  <c r="C226" i="4"/>
  <c r="B226" i="4"/>
  <c r="R226" i="4" s="1"/>
  <c r="A226" i="4"/>
  <c r="F225" i="4"/>
  <c r="E225" i="4"/>
  <c r="D225" i="4"/>
  <c r="C225" i="4"/>
  <c r="B225" i="4"/>
  <c r="A225" i="4"/>
  <c r="F224" i="4"/>
  <c r="E224" i="4"/>
  <c r="D224" i="4"/>
  <c r="C224" i="4"/>
  <c r="B224" i="4"/>
  <c r="A224" i="4"/>
  <c r="F223" i="4"/>
  <c r="E223" i="4"/>
  <c r="D223" i="4"/>
  <c r="C223" i="4"/>
  <c r="B223" i="4"/>
  <c r="A223" i="4"/>
  <c r="F222" i="4"/>
  <c r="E222" i="4"/>
  <c r="D222" i="4"/>
  <c r="C222" i="4"/>
  <c r="B222" i="4"/>
  <c r="A222" i="4"/>
  <c r="F221" i="4"/>
  <c r="E221" i="4"/>
  <c r="D221" i="4"/>
  <c r="C221" i="4"/>
  <c r="B221" i="4"/>
  <c r="A221" i="4"/>
  <c r="F220" i="4"/>
  <c r="E220" i="4"/>
  <c r="D220" i="4"/>
  <c r="C220" i="4"/>
  <c r="B220" i="4"/>
  <c r="A220" i="4"/>
  <c r="F219" i="4"/>
  <c r="E219" i="4"/>
  <c r="D219" i="4"/>
  <c r="C219" i="4"/>
  <c r="B219" i="4"/>
  <c r="A219" i="4"/>
  <c r="F218" i="4"/>
  <c r="E218" i="4"/>
  <c r="D218" i="4"/>
  <c r="C218" i="4"/>
  <c r="B218" i="4"/>
  <c r="R218" i="4" s="1"/>
  <c r="A218" i="4"/>
  <c r="F217" i="4"/>
  <c r="E217" i="4"/>
  <c r="D217" i="4"/>
  <c r="C217" i="4"/>
  <c r="B217" i="4"/>
  <c r="R217" i="4" s="1"/>
  <c r="A217" i="4"/>
  <c r="F216" i="4"/>
  <c r="E216" i="4"/>
  <c r="D216" i="4"/>
  <c r="C216" i="4"/>
  <c r="B216" i="4"/>
  <c r="Q216" i="4" s="1"/>
  <c r="A216" i="4"/>
  <c r="F215" i="4"/>
  <c r="E215" i="4"/>
  <c r="D215" i="4"/>
  <c r="C215" i="4"/>
  <c r="B215" i="4"/>
  <c r="Q215" i="4" s="1"/>
  <c r="A215" i="4"/>
  <c r="F214" i="4"/>
  <c r="E214" i="4"/>
  <c r="D214" i="4"/>
  <c r="C214" i="4"/>
  <c r="B214" i="4"/>
  <c r="R214" i="4" s="1"/>
  <c r="A214" i="4"/>
  <c r="F213" i="4"/>
  <c r="E213" i="4"/>
  <c r="D213" i="4"/>
  <c r="C213" i="4"/>
  <c r="B213" i="4"/>
  <c r="Q213" i="4" s="1"/>
  <c r="A213" i="4"/>
  <c r="F212" i="4"/>
  <c r="E212" i="4"/>
  <c r="D212" i="4"/>
  <c r="C212" i="4"/>
  <c r="B212" i="4"/>
  <c r="R212" i="4" s="1"/>
  <c r="A212" i="4"/>
  <c r="F211" i="4"/>
  <c r="E211" i="4"/>
  <c r="D211" i="4"/>
  <c r="C211" i="4"/>
  <c r="B211" i="4"/>
  <c r="A211" i="4"/>
  <c r="G211" i="4" s="1"/>
  <c r="F210" i="4"/>
  <c r="E210" i="4"/>
  <c r="D210" i="4"/>
  <c r="C210" i="4"/>
  <c r="B210" i="4"/>
  <c r="A210" i="4"/>
  <c r="F209" i="4"/>
  <c r="E209" i="4"/>
  <c r="D209" i="4"/>
  <c r="C209" i="4"/>
  <c r="B209" i="4"/>
  <c r="A209" i="4"/>
  <c r="F208" i="4"/>
  <c r="E208" i="4"/>
  <c r="D208" i="4"/>
  <c r="C208" i="4"/>
  <c r="B208" i="4"/>
  <c r="A208" i="4"/>
  <c r="F207" i="4"/>
  <c r="E207" i="4"/>
  <c r="D207" i="4"/>
  <c r="C207" i="4"/>
  <c r="B207" i="4"/>
  <c r="R207" i="4" s="1"/>
  <c r="A207" i="4"/>
  <c r="F206" i="4"/>
  <c r="E206" i="4"/>
  <c r="D206" i="4"/>
  <c r="C206" i="4"/>
  <c r="B206" i="4"/>
  <c r="A206" i="4"/>
  <c r="G206" i="4" s="1"/>
  <c r="F205" i="4"/>
  <c r="E205" i="4"/>
  <c r="D205" i="4"/>
  <c r="C205" i="4"/>
  <c r="B205" i="4"/>
  <c r="Q205" i="4" s="1"/>
  <c r="A205" i="4"/>
  <c r="F204" i="4"/>
  <c r="E204" i="4"/>
  <c r="D204" i="4"/>
  <c r="C204" i="4"/>
  <c r="B204" i="4"/>
  <c r="A204" i="4"/>
  <c r="F203" i="4"/>
  <c r="E203" i="4"/>
  <c r="D203" i="4"/>
  <c r="C203" i="4"/>
  <c r="B203" i="4"/>
  <c r="A203" i="4"/>
  <c r="F202" i="4"/>
  <c r="E202" i="4"/>
  <c r="D202" i="4"/>
  <c r="C202" i="4"/>
  <c r="B202" i="4"/>
  <c r="R202" i="4" s="1"/>
  <c r="A202" i="4"/>
  <c r="F201" i="4"/>
  <c r="E201" i="4"/>
  <c r="D201" i="4"/>
  <c r="C201" i="4"/>
  <c r="B201" i="4"/>
  <c r="A201" i="4"/>
  <c r="F200" i="4"/>
  <c r="E200" i="4"/>
  <c r="D200" i="4"/>
  <c r="C200" i="4"/>
  <c r="B200" i="4"/>
  <c r="Q200" i="4" s="1"/>
  <c r="A200" i="4"/>
  <c r="G200" i="4" s="1"/>
  <c r="F199" i="4"/>
  <c r="E199" i="4"/>
  <c r="D199" i="4"/>
  <c r="C199" i="4"/>
  <c r="B199" i="4"/>
  <c r="A199" i="4"/>
  <c r="F198" i="4"/>
  <c r="E198" i="4"/>
  <c r="D198" i="4"/>
  <c r="C198" i="4"/>
  <c r="B198" i="4"/>
  <c r="R198" i="4" s="1"/>
  <c r="A198" i="4"/>
  <c r="F197" i="4"/>
  <c r="E197" i="4"/>
  <c r="D197" i="4"/>
  <c r="C197" i="4"/>
  <c r="B197" i="4"/>
  <c r="Q197" i="4" s="1"/>
  <c r="A197" i="4"/>
  <c r="F196" i="4"/>
  <c r="E196" i="4"/>
  <c r="D196" i="4"/>
  <c r="C196" i="4"/>
  <c r="B196" i="4"/>
  <c r="A196" i="4"/>
  <c r="F195" i="4"/>
  <c r="E195" i="4"/>
  <c r="D195" i="4"/>
  <c r="C195" i="4"/>
  <c r="B195" i="4"/>
  <c r="A195" i="4"/>
  <c r="F194" i="4"/>
  <c r="E194" i="4"/>
  <c r="D194" i="4"/>
  <c r="C194" i="4"/>
  <c r="B194" i="4"/>
  <c r="Q194" i="4" s="1"/>
  <c r="A194" i="4"/>
  <c r="F193" i="4"/>
  <c r="E193" i="4"/>
  <c r="D193" i="4"/>
  <c r="C193" i="4"/>
  <c r="B193" i="4"/>
  <c r="A193" i="4"/>
  <c r="F192" i="4"/>
  <c r="E192" i="4"/>
  <c r="D192" i="4"/>
  <c r="C192" i="4"/>
  <c r="B192" i="4"/>
  <c r="A192" i="4"/>
  <c r="G192" i="4" s="1"/>
  <c r="F191" i="4"/>
  <c r="E191" i="4"/>
  <c r="D191" i="4"/>
  <c r="C191" i="4"/>
  <c r="B191" i="4"/>
  <c r="A191" i="4"/>
  <c r="F190" i="4"/>
  <c r="E190" i="4"/>
  <c r="D190" i="4"/>
  <c r="C190" i="4"/>
  <c r="B190" i="4"/>
  <c r="R190" i="4" s="1"/>
  <c r="A190" i="4"/>
  <c r="F189" i="4"/>
  <c r="E189" i="4"/>
  <c r="D189" i="4"/>
  <c r="C189" i="4"/>
  <c r="B189" i="4"/>
  <c r="Q189" i="4" s="1"/>
  <c r="A189" i="4"/>
  <c r="F188" i="4"/>
  <c r="E188" i="4"/>
  <c r="D188" i="4"/>
  <c r="C188" i="4"/>
  <c r="B188" i="4"/>
  <c r="A188" i="4"/>
  <c r="F187" i="4"/>
  <c r="E187" i="4"/>
  <c r="D187" i="4"/>
  <c r="C187" i="4"/>
  <c r="B187" i="4"/>
  <c r="A187" i="4"/>
  <c r="F186" i="4"/>
  <c r="E186" i="4"/>
  <c r="D186" i="4"/>
  <c r="C186" i="4"/>
  <c r="B186" i="4"/>
  <c r="Q186" i="4" s="1"/>
  <c r="A186" i="4"/>
  <c r="F185" i="4"/>
  <c r="E185" i="4"/>
  <c r="D185" i="4"/>
  <c r="C185" i="4"/>
  <c r="B185" i="4"/>
  <c r="A185" i="4"/>
  <c r="F184" i="4"/>
  <c r="E184" i="4"/>
  <c r="D184" i="4"/>
  <c r="C184" i="4"/>
  <c r="B184" i="4"/>
  <c r="A184" i="4"/>
  <c r="F183" i="4"/>
  <c r="E183" i="4"/>
  <c r="D183" i="4"/>
  <c r="C183" i="4"/>
  <c r="B183" i="4"/>
  <c r="Q183" i="4" s="1"/>
  <c r="A183" i="4"/>
  <c r="F182" i="4"/>
  <c r="E182" i="4"/>
  <c r="D182" i="4"/>
  <c r="C182" i="4"/>
  <c r="B182" i="4"/>
  <c r="R182" i="4" s="1"/>
  <c r="A182" i="4"/>
  <c r="F181" i="4"/>
  <c r="E181" i="4"/>
  <c r="D181" i="4"/>
  <c r="C181" i="4"/>
  <c r="B181" i="4"/>
  <c r="Q181" i="4" s="1"/>
  <c r="A181" i="4"/>
  <c r="F180" i="4"/>
  <c r="E180" i="4"/>
  <c r="D180" i="4"/>
  <c r="C180" i="4"/>
  <c r="B180" i="4"/>
  <c r="A180" i="4"/>
  <c r="F179" i="4"/>
  <c r="E179" i="4"/>
  <c r="D179" i="4"/>
  <c r="C179" i="4"/>
  <c r="B179" i="4"/>
  <c r="A179" i="4"/>
  <c r="F178" i="4"/>
  <c r="E178" i="4"/>
  <c r="D178" i="4"/>
  <c r="C178" i="4"/>
  <c r="B178" i="4"/>
  <c r="R178" i="4" s="1"/>
  <c r="A178" i="4"/>
  <c r="F177" i="4"/>
  <c r="E177" i="4"/>
  <c r="D177" i="4"/>
  <c r="C177" i="4"/>
  <c r="B177" i="4"/>
  <c r="R177" i="4" s="1"/>
  <c r="A177" i="4"/>
  <c r="F176" i="4"/>
  <c r="E176" i="4"/>
  <c r="D176" i="4"/>
  <c r="C176" i="4"/>
  <c r="B176" i="4"/>
  <c r="A176" i="4"/>
  <c r="F175" i="4"/>
  <c r="E175" i="4"/>
  <c r="D175" i="4"/>
  <c r="C175" i="4"/>
  <c r="B175" i="4"/>
  <c r="A175" i="4"/>
  <c r="G175" i="4" s="1"/>
  <c r="F174" i="4"/>
  <c r="E174" i="4"/>
  <c r="D174" i="4"/>
  <c r="C174" i="4"/>
  <c r="B174" i="4"/>
  <c r="A174" i="4"/>
  <c r="G174" i="4" s="1"/>
  <c r="F173" i="4"/>
  <c r="E173" i="4"/>
  <c r="D173" i="4"/>
  <c r="C173" i="4"/>
  <c r="B173" i="4"/>
  <c r="A173" i="4"/>
  <c r="F172" i="4"/>
  <c r="E172" i="4"/>
  <c r="D172" i="4"/>
  <c r="C172" i="4"/>
  <c r="B172" i="4"/>
  <c r="A172" i="4"/>
  <c r="F171" i="4"/>
  <c r="E171" i="4"/>
  <c r="D171" i="4"/>
  <c r="C171" i="4"/>
  <c r="B171" i="4"/>
  <c r="A171" i="4"/>
  <c r="F170" i="4"/>
  <c r="E170" i="4"/>
  <c r="D170" i="4"/>
  <c r="C170" i="4"/>
  <c r="B170" i="4"/>
  <c r="Q170" i="4" s="1"/>
  <c r="A170" i="4"/>
  <c r="G170" i="4" s="1"/>
  <c r="F169" i="4"/>
  <c r="E169" i="4"/>
  <c r="D169" i="4"/>
  <c r="C169" i="4"/>
  <c r="B169" i="4"/>
  <c r="Q169" i="4" s="1"/>
  <c r="A169" i="4"/>
  <c r="F168" i="4"/>
  <c r="E168" i="4"/>
  <c r="D168" i="4"/>
  <c r="C168" i="4"/>
  <c r="B168" i="4"/>
  <c r="R168" i="4" s="1"/>
  <c r="A168" i="4"/>
  <c r="F167" i="4"/>
  <c r="E167" i="4"/>
  <c r="D167" i="4"/>
  <c r="C167" i="4"/>
  <c r="B167" i="4"/>
  <c r="R167" i="4" s="1"/>
  <c r="A167" i="4"/>
  <c r="F166" i="4"/>
  <c r="E166" i="4"/>
  <c r="D166" i="4"/>
  <c r="C166" i="4"/>
  <c r="B166" i="4"/>
  <c r="R166" i="4" s="1"/>
  <c r="A166" i="4"/>
  <c r="G166" i="4" s="1"/>
  <c r="F165" i="4"/>
  <c r="E165" i="4"/>
  <c r="D165" i="4"/>
  <c r="C165" i="4"/>
  <c r="B165" i="4"/>
  <c r="A165" i="4"/>
  <c r="F164" i="4"/>
  <c r="E164" i="4"/>
  <c r="D164" i="4"/>
  <c r="C164" i="4"/>
  <c r="B164" i="4"/>
  <c r="A164" i="4"/>
  <c r="F163" i="4"/>
  <c r="E163" i="4"/>
  <c r="D163" i="4"/>
  <c r="C163" i="4"/>
  <c r="B163" i="4"/>
  <c r="A163" i="4"/>
  <c r="F162" i="4"/>
  <c r="E162" i="4"/>
  <c r="D162" i="4"/>
  <c r="C162" i="4"/>
  <c r="B162" i="4"/>
  <c r="Q162" i="4" s="1"/>
  <c r="A162" i="4"/>
  <c r="G162" i="4" s="1"/>
  <c r="F161" i="4"/>
  <c r="E161" i="4"/>
  <c r="D161" i="4"/>
  <c r="C161" i="4"/>
  <c r="B161" i="4"/>
  <c r="R161" i="4" s="1"/>
  <c r="A161" i="4"/>
  <c r="F160" i="4"/>
  <c r="E160" i="4"/>
  <c r="D160" i="4"/>
  <c r="C160" i="4"/>
  <c r="B160" i="4"/>
  <c r="Q160" i="4" s="1"/>
  <c r="A160" i="4"/>
  <c r="F159" i="4"/>
  <c r="E159" i="4"/>
  <c r="D159" i="4"/>
  <c r="C159" i="4"/>
  <c r="B159" i="4"/>
  <c r="A159" i="4"/>
  <c r="F158" i="4"/>
  <c r="E158" i="4"/>
  <c r="D158" i="4"/>
  <c r="C158" i="4"/>
  <c r="B158" i="4"/>
  <c r="A158" i="4"/>
  <c r="F157" i="4"/>
  <c r="E157" i="4"/>
  <c r="D157" i="4"/>
  <c r="C157" i="4"/>
  <c r="B157" i="4"/>
  <c r="R157" i="4" s="1"/>
  <c r="A157" i="4"/>
  <c r="F156" i="4"/>
  <c r="E156" i="4"/>
  <c r="D156" i="4"/>
  <c r="C156" i="4"/>
  <c r="B156" i="4"/>
  <c r="Q156" i="4" s="1"/>
  <c r="A156" i="4"/>
  <c r="F155" i="4"/>
  <c r="E155" i="4"/>
  <c r="D155" i="4"/>
  <c r="C155" i="4"/>
  <c r="B155" i="4"/>
  <c r="R155" i="4" s="1"/>
  <c r="A155" i="4"/>
  <c r="F154" i="4"/>
  <c r="E154" i="4"/>
  <c r="D154" i="4"/>
  <c r="C154" i="4"/>
  <c r="B154" i="4"/>
  <c r="R154" i="4" s="1"/>
  <c r="A154" i="4"/>
  <c r="G154" i="4" s="1"/>
  <c r="F153" i="4"/>
  <c r="E153" i="4"/>
  <c r="D153" i="4"/>
  <c r="C153" i="4"/>
  <c r="B153" i="4"/>
  <c r="A153" i="4"/>
  <c r="F152" i="4"/>
  <c r="E152" i="4"/>
  <c r="D152" i="4"/>
  <c r="C152" i="4"/>
  <c r="B152" i="4"/>
  <c r="Q152" i="4" s="1"/>
  <c r="A152" i="4"/>
  <c r="F151" i="4"/>
  <c r="E151" i="4"/>
  <c r="D151" i="4"/>
  <c r="C151" i="4"/>
  <c r="B151" i="4"/>
  <c r="A151" i="4"/>
  <c r="F150" i="4"/>
  <c r="E150" i="4"/>
  <c r="D150" i="4"/>
  <c r="C150" i="4"/>
  <c r="B150" i="4"/>
  <c r="A150" i="4"/>
  <c r="F149" i="4"/>
  <c r="E149" i="4"/>
  <c r="D149" i="4"/>
  <c r="C149" i="4"/>
  <c r="B149" i="4"/>
  <c r="Q149" i="4" s="1"/>
  <c r="A149" i="4"/>
  <c r="F148" i="4"/>
  <c r="E148" i="4"/>
  <c r="D148" i="4"/>
  <c r="C148" i="4"/>
  <c r="B148" i="4"/>
  <c r="A148" i="4"/>
  <c r="F147" i="4"/>
  <c r="E147" i="4"/>
  <c r="D147" i="4"/>
  <c r="C147" i="4"/>
  <c r="B147" i="4"/>
  <c r="Q147" i="4" s="1"/>
  <c r="A147" i="4"/>
  <c r="F146" i="4"/>
  <c r="E146" i="4"/>
  <c r="D146" i="4"/>
  <c r="C146" i="4"/>
  <c r="B146" i="4"/>
  <c r="A146" i="4"/>
  <c r="F145" i="4"/>
  <c r="E145" i="4"/>
  <c r="D145" i="4"/>
  <c r="C145" i="4"/>
  <c r="B145" i="4"/>
  <c r="A145" i="4"/>
  <c r="F144" i="4"/>
  <c r="E144" i="4"/>
  <c r="D144" i="4"/>
  <c r="C144" i="4"/>
  <c r="B144" i="4"/>
  <c r="Q144" i="4" s="1"/>
  <c r="A144" i="4"/>
  <c r="F143" i="4"/>
  <c r="E143" i="4"/>
  <c r="D143" i="4"/>
  <c r="C143" i="4"/>
  <c r="B143" i="4"/>
  <c r="R143" i="4" s="1"/>
  <c r="A143" i="4"/>
  <c r="F142" i="4"/>
  <c r="E142" i="4"/>
  <c r="D142" i="4"/>
  <c r="C142" i="4"/>
  <c r="B142" i="4"/>
  <c r="A142" i="4"/>
  <c r="G142" i="4" s="1"/>
  <c r="F141" i="4"/>
  <c r="E141" i="4"/>
  <c r="D141" i="4"/>
  <c r="C141" i="4"/>
  <c r="B141" i="4"/>
  <c r="A141" i="4"/>
  <c r="F140" i="4"/>
  <c r="E140" i="4"/>
  <c r="D140" i="4"/>
  <c r="C140" i="4"/>
  <c r="B140" i="4"/>
  <c r="A140" i="4"/>
  <c r="F139" i="4"/>
  <c r="E139" i="4"/>
  <c r="D139" i="4"/>
  <c r="C139" i="4"/>
  <c r="B139" i="4"/>
  <c r="R139" i="4" s="1"/>
  <c r="A139" i="4"/>
  <c r="F138" i="4"/>
  <c r="E138" i="4"/>
  <c r="D138" i="4"/>
  <c r="C138" i="4"/>
  <c r="B138" i="4"/>
  <c r="A138" i="4"/>
  <c r="F137" i="4"/>
  <c r="E137" i="4"/>
  <c r="D137" i="4"/>
  <c r="C137" i="4"/>
  <c r="B137" i="4"/>
  <c r="Q137" i="4" s="1"/>
  <c r="A137" i="4"/>
  <c r="F136" i="4"/>
  <c r="E136" i="4"/>
  <c r="D136" i="4"/>
  <c r="C136" i="4"/>
  <c r="B136" i="4"/>
  <c r="A136" i="4"/>
  <c r="F135" i="4"/>
  <c r="E135" i="4"/>
  <c r="D135" i="4"/>
  <c r="C135" i="4"/>
  <c r="B135" i="4"/>
  <c r="A135" i="4"/>
  <c r="G135" i="4" s="1"/>
  <c r="F134" i="4"/>
  <c r="E134" i="4"/>
  <c r="D134" i="4"/>
  <c r="C134" i="4"/>
  <c r="B134" i="4"/>
  <c r="R134" i="4" s="1"/>
  <c r="A134" i="4"/>
  <c r="F133" i="4"/>
  <c r="E133" i="4"/>
  <c r="D133" i="4"/>
  <c r="C133" i="4"/>
  <c r="B133" i="4"/>
  <c r="A133" i="4"/>
  <c r="F132" i="4"/>
  <c r="E132" i="4"/>
  <c r="D132" i="4"/>
  <c r="C132" i="4"/>
  <c r="B132" i="4"/>
  <c r="A132" i="4"/>
  <c r="F131" i="4"/>
  <c r="E131" i="4"/>
  <c r="D131" i="4"/>
  <c r="C131" i="4"/>
  <c r="B131" i="4"/>
  <c r="R131" i="4" s="1"/>
  <c r="A131" i="4"/>
  <c r="F130" i="4"/>
  <c r="E130" i="4"/>
  <c r="D130" i="4"/>
  <c r="C130" i="4"/>
  <c r="B130" i="4"/>
  <c r="A130" i="4"/>
  <c r="F129" i="4"/>
  <c r="E129" i="4"/>
  <c r="D129" i="4"/>
  <c r="C129" i="4"/>
  <c r="B129" i="4"/>
  <c r="A129" i="4"/>
  <c r="G129" i="4" s="1"/>
  <c r="F128" i="4"/>
  <c r="E128" i="4"/>
  <c r="D128" i="4"/>
  <c r="C128" i="4"/>
  <c r="B128" i="4"/>
  <c r="A128" i="4"/>
  <c r="F127" i="4"/>
  <c r="E127" i="4"/>
  <c r="D127" i="4"/>
  <c r="C127" i="4"/>
  <c r="B127" i="4"/>
  <c r="R127" i="4" s="1"/>
  <c r="A127" i="4"/>
  <c r="F126" i="4"/>
  <c r="E126" i="4"/>
  <c r="D126" i="4"/>
  <c r="C126" i="4"/>
  <c r="B126" i="4"/>
  <c r="A126" i="4"/>
  <c r="J126" i="4" s="1"/>
  <c r="F125" i="4"/>
  <c r="E125" i="4"/>
  <c r="D125" i="4"/>
  <c r="C125" i="4"/>
  <c r="B125" i="4"/>
  <c r="A125" i="4"/>
  <c r="F124" i="4"/>
  <c r="E124" i="4"/>
  <c r="D124" i="4"/>
  <c r="C124" i="4"/>
  <c r="B124" i="4"/>
  <c r="R124" i="4" s="1"/>
  <c r="A124" i="4"/>
  <c r="F123" i="4"/>
  <c r="E123" i="4"/>
  <c r="D123" i="4"/>
  <c r="C123" i="4"/>
  <c r="B123" i="4"/>
  <c r="Q123" i="4" s="1"/>
  <c r="A123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F120" i="4"/>
  <c r="E120" i="4"/>
  <c r="D120" i="4"/>
  <c r="C120" i="4"/>
  <c r="B120" i="4"/>
  <c r="A120" i="4"/>
  <c r="F119" i="4"/>
  <c r="E119" i="4"/>
  <c r="D119" i="4"/>
  <c r="C119" i="4"/>
  <c r="B119" i="4"/>
  <c r="R119" i="4" s="1"/>
  <c r="A119" i="4"/>
  <c r="F118" i="4"/>
  <c r="E118" i="4"/>
  <c r="D118" i="4"/>
  <c r="C118" i="4"/>
  <c r="B118" i="4"/>
  <c r="R118" i="4" s="1"/>
  <c r="A118" i="4"/>
  <c r="F117" i="4"/>
  <c r="E117" i="4"/>
  <c r="D117" i="4"/>
  <c r="C117" i="4"/>
  <c r="B117" i="4"/>
  <c r="Q117" i="4" s="1"/>
  <c r="A117" i="4"/>
  <c r="Q116" i="4"/>
  <c r="F116" i="4"/>
  <c r="E116" i="4"/>
  <c r="D116" i="4"/>
  <c r="C116" i="4"/>
  <c r="B116" i="4"/>
  <c r="R116" i="4" s="1"/>
  <c r="A116" i="4"/>
  <c r="F115" i="4"/>
  <c r="E115" i="4"/>
  <c r="D115" i="4"/>
  <c r="C115" i="4"/>
  <c r="B115" i="4"/>
  <c r="A115" i="4"/>
  <c r="F114" i="4"/>
  <c r="E114" i="4"/>
  <c r="D114" i="4"/>
  <c r="C114" i="4"/>
  <c r="B114" i="4"/>
  <c r="R114" i="4" s="1"/>
  <c r="A114" i="4"/>
  <c r="F113" i="4"/>
  <c r="E113" i="4"/>
  <c r="D113" i="4"/>
  <c r="C113" i="4"/>
  <c r="B113" i="4"/>
  <c r="R113" i="4" s="1"/>
  <c r="A113" i="4"/>
  <c r="F112" i="4"/>
  <c r="E112" i="4"/>
  <c r="D112" i="4"/>
  <c r="C112" i="4"/>
  <c r="B112" i="4"/>
  <c r="A112" i="4"/>
  <c r="J112" i="4" s="1"/>
  <c r="Q111" i="4"/>
  <c r="F111" i="4"/>
  <c r="E111" i="4"/>
  <c r="D111" i="4"/>
  <c r="C111" i="4"/>
  <c r="B111" i="4"/>
  <c r="A111" i="4"/>
  <c r="G111" i="4" s="1"/>
  <c r="F110" i="4"/>
  <c r="E110" i="4"/>
  <c r="D110" i="4"/>
  <c r="C110" i="4"/>
  <c r="B110" i="4"/>
  <c r="A110" i="4"/>
  <c r="F109" i="4"/>
  <c r="E109" i="4"/>
  <c r="D109" i="4"/>
  <c r="C109" i="4"/>
  <c r="B109" i="4"/>
  <c r="A109" i="4"/>
  <c r="F108" i="4"/>
  <c r="E108" i="4"/>
  <c r="D108" i="4"/>
  <c r="C108" i="4"/>
  <c r="B108" i="4"/>
  <c r="A108" i="4"/>
  <c r="F107" i="4"/>
  <c r="E107" i="4"/>
  <c r="D107" i="4"/>
  <c r="C107" i="4"/>
  <c r="B107" i="4"/>
  <c r="A107" i="4"/>
  <c r="F106" i="4"/>
  <c r="E106" i="4"/>
  <c r="D106" i="4"/>
  <c r="C106" i="4"/>
  <c r="B106" i="4"/>
  <c r="Q106" i="4" s="1"/>
  <c r="A106" i="4"/>
  <c r="F105" i="4"/>
  <c r="E105" i="4"/>
  <c r="D105" i="4"/>
  <c r="C105" i="4"/>
  <c r="B105" i="4"/>
  <c r="Q105" i="4" s="1"/>
  <c r="A105" i="4"/>
  <c r="F104" i="4"/>
  <c r="E104" i="4"/>
  <c r="D104" i="4"/>
  <c r="C104" i="4"/>
  <c r="B104" i="4"/>
  <c r="A104" i="4"/>
  <c r="F103" i="4"/>
  <c r="E103" i="4"/>
  <c r="D103" i="4"/>
  <c r="C103" i="4"/>
  <c r="B103" i="4"/>
  <c r="A103" i="4"/>
  <c r="F102" i="4"/>
  <c r="E102" i="4"/>
  <c r="D102" i="4"/>
  <c r="C102" i="4"/>
  <c r="B102" i="4"/>
  <c r="R102" i="4" s="1"/>
  <c r="A102" i="4"/>
  <c r="G102" i="4" s="1"/>
  <c r="F101" i="4"/>
  <c r="E101" i="4"/>
  <c r="D101" i="4"/>
  <c r="C101" i="4"/>
  <c r="B101" i="4"/>
  <c r="A101" i="4"/>
  <c r="F100" i="4"/>
  <c r="E100" i="4"/>
  <c r="D100" i="4"/>
  <c r="C100" i="4"/>
  <c r="B100" i="4"/>
  <c r="R100" i="4" s="1"/>
  <c r="A100" i="4"/>
  <c r="F99" i="4"/>
  <c r="E99" i="4"/>
  <c r="D99" i="4"/>
  <c r="C99" i="4"/>
  <c r="B99" i="4"/>
  <c r="A99" i="4"/>
  <c r="F98" i="4"/>
  <c r="E98" i="4"/>
  <c r="D98" i="4"/>
  <c r="C98" i="4"/>
  <c r="B98" i="4"/>
  <c r="Q98" i="4" s="1"/>
  <c r="A98" i="4"/>
  <c r="G98" i="4" s="1"/>
  <c r="F97" i="4"/>
  <c r="E97" i="4"/>
  <c r="D97" i="4"/>
  <c r="C97" i="4"/>
  <c r="B97" i="4"/>
  <c r="R97" i="4" s="1"/>
  <c r="A97" i="4"/>
  <c r="F96" i="4"/>
  <c r="E96" i="4"/>
  <c r="D96" i="4"/>
  <c r="C96" i="4"/>
  <c r="B96" i="4"/>
  <c r="Q96" i="4" s="1"/>
  <c r="A96" i="4"/>
  <c r="F95" i="4"/>
  <c r="E95" i="4"/>
  <c r="D95" i="4"/>
  <c r="C95" i="4"/>
  <c r="B95" i="4"/>
  <c r="A95" i="4"/>
  <c r="G95" i="4" s="1"/>
  <c r="F94" i="4"/>
  <c r="E94" i="4"/>
  <c r="D94" i="4"/>
  <c r="C94" i="4"/>
  <c r="B94" i="4"/>
  <c r="A94" i="4"/>
  <c r="F93" i="4"/>
  <c r="E93" i="4"/>
  <c r="D93" i="4"/>
  <c r="C93" i="4"/>
  <c r="B93" i="4"/>
  <c r="R93" i="4" s="1"/>
  <c r="A93" i="4"/>
  <c r="F92" i="4"/>
  <c r="E92" i="4"/>
  <c r="D92" i="4"/>
  <c r="C92" i="4"/>
  <c r="B92" i="4"/>
  <c r="Q92" i="4" s="1"/>
  <c r="A92" i="4"/>
  <c r="F91" i="4"/>
  <c r="E91" i="4"/>
  <c r="D91" i="4"/>
  <c r="C91" i="4"/>
  <c r="B91" i="4"/>
  <c r="R91" i="4" s="1"/>
  <c r="A91" i="4"/>
  <c r="F90" i="4"/>
  <c r="E90" i="4"/>
  <c r="D90" i="4"/>
  <c r="C90" i="4"/>
  <c r="B90" i="4"/>
  <c r="R90" i="4" s="1"/>
  <c r="A90" i="4"/>
  <c r="F89" i="4"/>
  <c r="E89" i="4"/>
  <c r="D89" i="4"/>
  <c r="C89" i="4"/>
  <c r="B89" i="4"/>
  <c r="A89" i="4"/>
  <c r="G89" i="4" s="1"/>
  <c r="F88" i="4"/>
  <c r="E88" i="4"/>
  <c r="D88" i="4"/>
  <c r="C88" i="4"/>
  <c r="B88" i="4"/>
  <c r="Q88" i="4" s="1"/>
  <c r="A88" i="4"/>
  <c r="G88" i="4" s="1"/>
  <c r="F87" i="4"/>
  <c r="E87" i="4"/>
  <c r="D87" i="4"/>
  <c r="C87" i="4"/>
  <c r="B87" i="4"/>
  <c r="R87" i="4" s="1"/>
  <c r="A87" i="4"/>
  <c r="F86" i="4"/>
  <c r="E86" i="4"/>
  <c r="D86" i="4"/>
  <c r="C86" i="4"/>
  <c r="B86" i="4"/>
  <c r="A86" i="4"/>
  <c r="F85" i="4"/>
  <c r="E85" i="4"/>
  <c r="D85" i="4"/>
  <c r="C85" i="4"/>
  <c r="B85" i="4"/>
  <c r="R85" i="4" s="1"/>
  <c r="A85" i="4"/>
  <c r="F84" i="4"/>
  <c r="E84" i="4"/>
  <c r="D84" i="4"/>
  <c r="C84" i="4"/>
  <c r="B84" i="4"/>
  <c r="Q84" i="4" s="1"/>
  <c r="A84" i="4"/>
  <c r="F83" i="4"/>
  <c r="E83" i="4"/>
  <c r="D83" i="4"/>
  <c r="C83" i="4"/>
  <c r="B83" i="4"/>
  <c r="Q83" i="4" s="1"/>
  <c r="A83" i="4"/>
  <c r="G83" i="4" s="1"/>
  <c r="F82" i="4"/>
  <c r="E82" i="4"/>
  <c r="D82" i="4"/>
  <c r="C82" i="4"/>
  <c r="B82" i="4"/>
  <c r="Q82" i="4" s="1"/>
  <c r="A82" i="4"/>
  <c r="F81" i="4"/>
  <c r="E81" i="4"/>
  <c r="D81" i="4"/>
  <c r="C81" i="4"/>
  <c r="B81" i="4"/>
  <c r="A81" i="4"/>
  <c r="F80" i="4"/>
  <c r="E80" i="4"/>
  <c r="D80" i="4"/>
  <c r="C80" i="4"/>
  <c r="B80" i="4"/>
  <c r="A80" i="4"/>
  <c r="F79" i="4"/>
  <c r="E79" i="4"/>
  <c r="D79" i="4"/>
  <c r="C79" i="4"/>
  <c r="B79" i="4"/>
  <c r="A79" i="4"/>
  <c r="F78" i="4"/>
  <c r="E78" i="4"/>
  <c r="D78" i="4"/>
  <c r="C78" i="4"/>
  <c r="B78" i="4"/>
  <c r="A78" i="4"/>
  <c r="F77" i="4"/>
  <c r="E77" i="4"/>
  <c r="D77" i="4"/>
  <c r="C77" i="4"/>
  <c r="B77" i="4"/>
  <c r="A77" i="4"/>
  <c r="F76" i="4"/>
  <c r="E76" i="4"/>
  <c r="D76" i="4"/>
  <c r="C76" i="4"/>
  <c r="B76" i="4"/>
  <c r="Q76" i="4" s="1"/>
  <c r="A76" i="4"/>
  <c r="F75" i="4"/>
  <c r="E75" i="4"/>
  <c r="D75" i="4"/>
  <c r="C75" i="4"/>
  <c r="B75" i="4"/>
  <c r="A75" i="4"/>
  <c r="F74" i="4"/>
  <c r="E74" i="4"/>
  <c r="D74" i="4"/>
  <c r="C74" i="4"/>
  <c r="B74" i="4"/>
  <c r="A74" i="4"/>
  <c r="F73" i="4"/>
  <c r="E73" i="4"/>
  <c r="D73" i="4"/>
  <c r="C73" i="4"/>
  <c r="B73" i="4"/>
  <c r="A73" i="4"/>
  <c r="F72" i="4"/>
  <c r="E72" i="4"/>
  <c r="D72" i="4"/>
  <c r="C72" i="4"/>
  <c r="B72" i="4"/>
  <c r="Q72" i="4" s="1"/>
  <c r="A72" i="4"/>
  <c r="F71" i="4"/>
  <c r="E71" i="4"/>
  <c r="D71" i="4"/>
  <c r="C71" i="4"/>
  <c r="B71" i="4"/>
  <c r="R71" i="4" s="1"/>
  <c r="A71" i="4"/>
  <c r="F70" i="4"/>
  <c r="E70" i="4"/>
  <c r="D70" i="4"/>
  <c r="C70" i="4"/>
  <c r="B70" i="4"/>
  <c r="A70" i="4"/>
  <c r="G70" i="4" s="1"/>
  <c r="F69" i="4"/>
  <c r="E69" i="4"/>
  <c r="D69" i="4"/>
  <c r="C69" i="4"/>
  <c r="B69" i="4"/>
  <c r="R69" i="4" s="1"/>
  <c r="A69" i="4"/>
  <c r="G69" i="4" s="1"/>
  <c r="F68" i="4"/>
  <c r="E68" i="4"/>
  <c r="D68" i="4"/>
  <c r="C68" i="4"/>
  <c r="B68" i="4"/>
  <c r="Q68" i="4" s="1"/>
  <c r="A68" i="4"/>
  <c r="F67" i="4"/>
  <c r="E67" i="4"/>
  <c r="D67" i="4"/>
  <c r="C67" i="4"/>
  <c r="B67" i="4"/>
  <c r="Q67" i="4" s="1"/>
  <c r="A67" i="4"/>
  <c r="Q66" i="4"/>
  <c r="F66" i="4"/>
  <c r="E66" i="4"/>
  <c r="D66" i="4"/>
  <c r="C66" i="4"/>
  <c r="B66" i="4"/>
  <c r="A66" i="4"/>
  <c r="F65" i="4"/>
  <c r="E65" i="4"/>
  <c r="D65" i="4"/>
  <c r="C65" i="4"/>
  <c r="B65" i="4"/>
  <c r="A65" i="4"/>
  <c r="F64" i="4"/>
  <c r="E64" i="4"/>
  <c r="D64" i="4"/>
  <c r="C64" i="4"/>
  <c r="B64" i="4"/>
  <c r="A64" i="4"/>
  <c r="F63" i="4"/>
  <c r="E63" i="4"/>
  <c r="D63" i="4"/>
  <c r="C63" i="4"/>
  <c r="B63" i="4"/>
  <c r="Q63" i="4" s="1"/>
  <c r="A63" i="4"/>
  <c r="F62" i="4"/>
  <c r="E62" i="4"/>
  <c r="D62" i="4"/>
  <c r="C62" i="4"/>
  <c r="B62" i="4"/>
  <c r="A62" i="4"/>
  <c r="G62" i="4" s="1"/>
  <c r="F61" i="4"/>
  <c r="E61" i="4"/>
  <c r="D61" i="4"/>
  <c r="C61" i="4"/>
  <c r="B61" i="4"/>
  <c r="R61" i="4" s="1"/>
  <c r="A61" i="4"/>
  <c r="F60" i="4"/>
  <c r="E60" i="4"/>
  <c r="D60" i="4"/>
  <c r="C60" i="4"/>
  <c r="B60" i="4"/>
  <c r="Q60" i="4" s="1"/>
  <c r="A60" i="4"/>
  <c r="F59" i="4"/>
  <c r="E59" i="4"/>
  <c r="D59" i="4"/>
  <c r="C59" i="4"/>
  <c r="B59" i="4"/>
  <c r="Q59" i="4" s="1"/>
  <c r="A59" i="4"/>
  <c r="F58" i="4"/>
  <c r="E58" i="4"/>
  <c r="D58" i="4"/>
  <c r="C58" i="4"/>
  <c r="B58" i="4"/>
  <c r="R58" i="4" s="1"/>
  <c r="A58" i="4"/>
  <c r="F57" i="4"/>
  <c r="E57" i="4"/>
  <c r="D57" i="4"/>
  <c r="C57" i="4"/>
  <c r="B57" i="4"/>
  <c r="A57" i="4"/>
  <c r="G57" i="4" s="1"/>
  <c r="F56" i="4"/>
  <c r="E56" i="4"/>
  <c r="D56" i="4"/>
  <c r="C56" i="4"/>
  <c r="B56" i="4"/>
  <c r="Q56" i="4" s="1"/>
  <c r="A56" i="4"/>
  <c r="F55" i="4"/>
  <c r="E55" i="4"/>
  <c r="D55" i="4"/>
  <c r="C55" i="4"/>
  <c r="B55" i="4"/>
  <c r="R55" i="4" s="1"/>
  <c r="A55" i="4"/>
  <c r="F54" i="4"/>
  <c r="E54" i="4"/>
  <c r="D54" i="4"/>
  <c r="C54" i="4"/>
  <c r="B54" i="4"/>
  <c r="A54" i="4"/>
  <c r="F53" i="4"/>
  <c r="E53" i="4"/>
  <c r="D53" i="4"/>
  <c r="C53" i="4"/>
  <c r="B53" i="4"/>
  <c r="A53" i="4"/>
  <c r="G53" i="4" s="1"/>
  <c r="F52" i="4"/>
  <c r="E52" i="4"/>
  <c r="D52" i="4"/>
  <c r="C52" i="4"/>
  <c r="B52" i="4"/>
  <c r="Q52" i="4" s="1"/>
  <c r="A52" i="4"/>
  <c r="F51" i="4"/>
  <c r="E51" i="4"/>
  <c r="D51" i="4"/>
  <c r="C51" i="4"/>
  <c r="B51" i="4"/>
  <c r="Q51" i="4" s="1"/>
  <c r="A51" i="4"/>
  <c r="F50" i="4"/>
  <c r="E50" i="4"/>
  <c r="D50" i="4"/>
  <c r="C50" i="4"/>
  <c r="B50" i="4"/>
  <c r="R50" i="4" s="1"/>
  <c r="A50" i="4"/>
  <c r="F49" i="4"/>
  <c r="E49" i="4"/>
  <c r="D49" i="4"/>
  <c r="C49" i="4"/>
  <c r="B49" i="4"/>
  <c r="A49" i="4"/>
  <c r="G49" i="4" s="1"/>
  <c r="F48" i="4"/>
  <c r="E48" i="4"/>
  <c r="D48" i="4"/>
  <c r="C48" i="4"/>
  <c r="B48" i="4"/>
  <c r="Q48" i="4" s="1"/>
  <c r="A48" i="4"/>
  <c r="F47" i="4"/>
  <c r="E47" i="4"/>
  <c r="D47" i="4"/>
  <c r="C47" i="4"/>
  <c r="B47" i="4"/>
  <c r="A47" i="4"/>
  <c r="F46" i="4"/>
  <c r="E46" i="4"/>
  <c r="D46" i="4"/>
  <c r="C46" i="4"/>
  <c r="B46" i="4"/>
  <c r="A46" i="4"/>
  <c r="G46" i="4" s="1"/>
  <c r="F45" i="4"/>
  <c r="E45" i="4"/>
  <c r="D45" i="4"/>
  <c r="C45" i="4"/>
  <c r="B45" i="4"/>
  <c r="R45" i="4" s="1"/>
  <c r="A45" i="4"/>
  <c r="F44" i="4"/>
  <c r="E44" i="4"/>
  <c r="D44" i="4"/>
  <c r="C44" i="4"/>
  <c r="B44" i="4"/>
  <c r="Q44" i="4" s="1"/>
  <c r="A44" i="4"/>
  <c r="F43" i="4"/>
  <c r="E43" i="4"/>
  <c r="D43" i="4"/>
  <c r="C43" i="4"/>
  <c r="B43" i="4"/>
  <c r="Q43" i="4" s="1"/>
  <c r="A43" i="4"/>
  <c r="F42" i="4"/>
  <c r="E42" i="4"/>
  <c r="D42" i="4"/>
  <c r="C42" i="4"/>
  <c r="B42" i="4"/>
  <c r="R42" i="4" s="1"/>
  <c r="A42" i="4"/>
  <c r="F41" i="4"/>
  <c r="E41" i="4"/>
  <c r="D41" i="4"/>
  <c r="C41" i="4"/>
  <c r="B41" i="4"/>
  <c r="R41" i="4" s="1"/>
  <c r="A41" i="4"/>
  <c r="F40" i="4"/>
  <c r="E40" i="4"/>
  <c r="D40" i="4"/>
  <c r="C40" i="4"/>
  <c r="B40" i="4"/>
  <c r="Q40" i="4" s="1"/>
  <c r="A40" i="4"/>
  <c r="F39" i="4"/>
  <c r="E39" i="4"/>
  <c r="D39" i="4"/>
  <c r="C39" i="4"/>
  <c r="B39" i="4"/>
  <c r="R39" i="4" s="1"/>
  <c r="A39" i="4"/>
  <c r="F38" i="4"/>
  <c r="E38" i="4"/>
  <c r="D38" i="4"/>
  <c r="C38" i="4"/>
  <c r="B38" i="4"/>
  <c r="A38" i="4"/>
  <c r="F37" i="4"/>
  <c r="E37" i="4"/>
  <c r="D37" i="4"/>
  <c r="C37" i="4"/>
  <c r="B37" i="4"/>
  <c r="A37" i="4"/>
  <c r="G37" i="4" s="1"/>
  <c r="F36" i="4"/>
  <c r="E36" i="4"/>
  <c r="D36" i="4"/>
  <c r="C36" i="4"/>
  <c r="B36" i="4"/>
  <c r="Q36" i="4" s="1"/>
  <c r="A36" i="4"/>
  <c r="F35" i="4"/>
  <c r="E35" i="4"/>
  <c r="D35" i="4"/>
  <c r="C35" i="4"/>
  <c r="B35" i="4"/>
  <c r="Q35" i="4" s="1"/>
  <c r="A35" i="4"/>
  <c r="F34" i="4"/>
  <c r="E34" i="4"/>
  <c r="D34" i="4"/>
  <c r="C34" i="4"/>
  <c r="B34" i="4"/>
  <c r="A34" i="4"/>
  <c r="F33" i="4"/>
  <c r="E33" i="4"/>
  <c r="D33" i="4"/>
  <c r="C33" i="4"/>
  <c r="B33" i="4"/>
  <c r="R33" i="4" s="1"/>
  <c r="A33" i="4"/>
  <c r="F32" i="4"/>
  <c r="E32" i="4"/>
  <c r="D32" i="4"/>
  <c r="C32" i="4"/>
  <c r="B32" i="4"/>
  <c r="A32" i="4"/>
  <c r="F31" i="4"/>
  <c r="E31" i="4"/>
  <c r="D31" i="4"/>
  <c r="C31" i="4"/>
  <c r="B31" i="4"/>
  <c r="A31" i="4"/>
  <c r="F30" i="4"/>
  <c r="E30" i="4"/>
  <c r="D30" i="4"/>
  <c r="C30" i="4"/>
  <c r="B30" i="4"/>
  <c r="A30" i="4"/>
  <c r="F29" i="4"/>
  <c r="E29" i="4"/>
  <c r="D29" i="4"/>
  <c r="C29" i="4"/>
  <c r="B29" i="4"/>
  <c r="R29" i="4" s="1"/>
  <c r="A29" i="4"/>
  <c r="F28" i="4"/>
  <c r="E28" i="4"/>
  <c r="D28" i="4"/>
  <c r="C28" i="4"/>
  <c r="B28" i="4"/>
  <c r="Q28" i="4" s="1"/>
  <c r="A28" i="4"/>
  <c r="F27" i="4"/>
  <c r="E27" i="4"/>
  <c r="D27" i="4"/>
  <c r="C27" i="4"/>
  <c r="B27" i="4"/>
  <c r="Q27" i="4" s="1"/>
  <c r="A27" i="4"/>
  <c r="F26" i="4"/>
  <c r="E26" i="4"/>
  <c r="D26" i="4"/>
  <c r="C26" i="4"/>
  <c r="B26" i="4"/>
  <c r="R26" i="4" s="1"/>
  <c r="A26" i="4"/>
  <c r="F25" i="4"/>
  <c r="E25" i="4"/>
  <c r="D25" i="4"/>
  <c r="C25" i="4"/>
  <c r="B25" i="4"/>
  <c r="R25" i="4" s="1"/>
  <c r="A25" i="4"/>
  <c r="F24" i="4"/>
  <c r="E24" i="4"/>
  <c r="D24" i="4"/>
  <c r="C24" i="4"/>
  <c r="B24" i="4"/>
  <c r="A24" i="4"/>
  <c r="F23" i="4"/>
  <c r="E23" i="4"/>
  <c r="D23" i="4"/>
  <c r="C23" i="4"/>
  <c r="B23" i="4"/>
  <c r="R23" i="4" s="1"/>
  <c r="A23" i="4"/>
  <c r="F22" i="4"/>
  <c r="E22" i="4"/>
  <c r="D22" i="4"/>
  <c r="C22" i="4"/>
  <c r="B22" i="4"/>
  <c r="A22" i="4"/>
  <c r="F21" i="4"/>
  <c r="E21" i="4"/>
  <c r="D21" i="4"/>
  <c r="C21" i="4"/>
  <c r="B21" i="4"/>
  <c r="A21" i="4"/>
  <c r="G21" i="4" s="1"/>
  <c r="F20" i="4"/>
  <c r="E20" i="4"/>
  <c r="D20" i="4"/>
  <c r="C20" i="4"/>
  <c r="B20" i="4"/>
  <c r="Q20" i="4" s="1"/>
  <c r="A20" i="4"/>
  <c r="F19" i="4"/>
  <c r="E19" i="4"/>
  <c r="D19" i="4"/>
  <c r="C19" i="4"/>
  <c r="B19" i="4"/>
  <c r="A19" i="4"/>
  <c r="F18" i="4"/>
  <c r="E18" i="4"/>
  <c r="D18" i="4"/>
  <c r="C18" i="4"/>
  <c r="B18" i="4"/>
  <c r="A18" i="4"/>
  <c r="F17" i="4"/>
  <c r="E17" i="4"/>
  <c r="D17" i="4"/>
  <c r="C17" i="4"/>
  <c r="B17" i="4"/>
  <c r="A17" i="4"/>
  <c r="G17" i="4" s="1"/>
  <c r="F16" i="4"/>
  <c r="E16" i="4"/>
  <c r="D16" i="4"/>
  <c r="C16" i="4"/>
  <c r="B16" i="4"/>
  <c r="Q16" i="4" s="1"/>
  <c r="A16" i="4"/>
  <c r="F15" i="4"/>
  <c r="E15" i="4"/>
  <c r="D15" i="4"/>
  <c r="C15" i="4"/>
  <c r="B15" i="4"/>
  <c r="R15" i="4" s="1"/>
  <c r="A15" i="4"/>
  <c r="F14" i="4"/>
  <c r="E14" i="4"/>
  <c r="D14" i="4"/>
  <c r="C14" i="4"/>
  <c r="B14" i="4"/>
  <c r="A14" i="4"/>
  <c r="G14" i="4" s="1"/>
  <c r="H14" i="4" s="1"/>
  <c r="F13" i="4"/>
  <c r="E13" i="4"/>
  <c r="D13" i="4"/>
  <c r="C13" i="4"/>
  <c r="B13" i="4"/>
  <c r="R13" i="4" s="1"/>
  <c r="A13" i="4"/>
  <c r="G13" i="4" s="1"/>
  <c r="F12" i="4"/>
  <c r="E12" i="4"/>
  <c r="D12" i="4"/>
  <c r="C12" i="4"/>
  <c r="B12" i="4"/>
  <c r="Q12" i="4" s="1"/>
  <c r="A12" i="4"/>
  <c r="F11" i="4"/>
  <c r="E11" i="4"/>
  <c r="D11" i="4"/>
  <c r="C11" i="4"/>
  <c r="B11" i="4"/>
  <c r="A11" i="4"/>
  <c r="F10" i="4"/>
  <c r="E10" i="4"/>
  <c r="D10" i="4"/>
  <c r="C10" i="4"/>
  <c r="B10" i="4"/>
  <c r="R10" i="4" s="1"/>
  <c r="A10" i="4"/>
  <c r="F9" i="4"/>
  <c r="E9" i="4"/>
  <c r="D9" i="4"/>
  <c r="C9" i="4"/>
  <c r="B9" i="4"/>
  <c r="A9" i="4"/>
  <c r="F8" i="4"/>
  <c r="E8" i="4"/>
  <c r="D8" i="4"/>
  <c r="C8" i="4"/>
  <c r="B8" i="4"/>
  <c r="Q8" i="4" s="1"/>
  <c r="A8" i="4"/>
  <c r="F7" i="4"/>
  <c r="E7" i="4"/>
  <c r="D7" i="4"/>
  <c r="C7" i="4"/>
  <c r="B7" i="4"/>
  <c r="A7" i="4"/>
  <c r="F6" i="4"/>
  <c r="E6" i="4"/>
  <c r="D6" i="4"/>
  <c r="C6" i="4"/>
  <c r="B6" i="4"/>
  <c r="A6" i="4"/>
  <c r="G6" i="4" s="1"/>
  <c r="F5" i="4"/>
  <c r="E5" i="4"/>
  <c r="D5" i="4"/>
  <c r="C5" i="4"/>
  <c r="B5" i="4"/>
  <c r="R5" i="4" s="1"/>
  <c r="A5" i="4"/>
  <c r="G5" i="4" s="1"/>
  <c r="F4" i="4"/>
  <c r="E4" i="4"/>
  <c r="D4" i="4"/>
  <c r="C4" i="4"/>
  <c r="B4" i="4"/>
  <c r="Q4" i="4" s="1"/>
  <c r="A4" i="4"/>
  <c r="F3" i="4"/>
  <c r="E3" i="4"/>
  <c r="D3" i="4"/>
  <c r="C3" i="4"/>
  <c r="B3" i="4"/>
  <c r="Q3" i="4" s="1"/>
  <c r="A3" i="4"/>
  <c r="F2" i="4"/>
  <c r="E2" i="4"/>
  <c r="D2" i="4"/>
  <c r="C2" i="4"/>
  <c r="B2" i="4"/>
  <c r="A2" i="4"/>
  <c r="P318" i="4" l="1"/>
  <c r="P337" i="4"/>
  <c r="U401" i="4"/>
  <c r="W402" i="4"/>
  <c r="N413" i="4"/>
  <c r="J414" i="4"/>
  <c r="O425" i="4"/>
  <c r="G426" i="4"/>
  <c r="K445" i="4"/>
  <c r="U585" i="4"/>
  <c r="P585" i="4"/>
  <c r="R780" i="4"/>
  <c r="H780" i="4"/>
  <c r="N780" i="4" s="1"/>
  <c r="K888" i="4"/>
  <c r="T888" i="4"/>
  <c r="M888" i="4"/>
  <c r="M947" i="4"/>
  <c r="P947" i="4"/>
  <c r="W1151" i="4"/>
  <c r="T1151" i="4"/>
  <c r="K1151" i="4"/>
  <c r="T1302" i="4"/>
  <c r="G1302" i="4"/>
  <c r="R1328" i="4"/>
  <c r="H1328" i="4"/>
  <c r="N1328" i="4" s="1"/>
  <c r="W1337" i="4"/>
  <c r="J1337" i="4"/>
  <c r="U1421" i="4"/>
  <c r="M1421" i="4"/>
  <c r="T413" i="4"/>
  <c r="W425" i="4"/>
  <c r="T497" i="4"/>
  <c r="J497" i="4"/>
  <c r="T505" i="4"/>
  <c r="O505" i="4"/>
  <c r="J567" i="4"/>
  <c r="V567" i="4"/>
  <c r="O632" i="4"/>
  <c r="G632" i="4"/>
  <c r="Q736" i="4"/>
  <c r="R736" i="4"/>
  <c r="T779" i="4"/>
  <c r="O779" i="4"/>
  <c r="T901" i="4"/>
  <c r="M901" i="4"/>
  <c r="J901" i="4"/>
  <c r="W1191" i="4"/>
  <c r="V1191" i="4"/>
  <c r="K1191" i="4"/>
  <c r="J614" i="4"/>
  <c r="M614" i="4"/>
  <c r="G614" i="4"/>
  <c r="W614" i="4"/>
  <c r="U614" i="4"/>
  <c r="I431" i="4"/>
  <c r="G438" i="4"/>
  <c r="G441" i="4"/>
  <c r="J527" i="4"/>
  <c r="T527" i="4"/>
  <c r="T553" i="4"/>
  <c r="O553" i="4"/>
  <c r="S655" i="4"/>
  <c r="R655" i="4"/>
  <c r="P721" i="4"/>
  <c r="M721" i="4"/>
  <c r="J721" i="4"/>
  <c r="T734" i="4"/>
  <c r="M734" i="4"/>
  <c r="H992" i="4"/>
  <c r="S992" i="4"/>
  <c r="G1140" i="4"/>
  <c r="U1140" i="4"/>
  <c r="H1520" i="4"/>
  <c r="I1520" i="4"/>
  <c r="G273" i="4"/>
  <c r="S311" i="4"/>
  <c r="P321" i="4"/>
  <c r="H340" i="4"/>
  <c r="L340" i="4" s="1"/>
  <c r="G345" i="4"/>
  <c r="J382" i="4"/>
  <c r="R384" i="4"/>
  <c r="H410" i="4"/>
  <c r="S420" i="4"/>
  <c r="J421" i="4"/>
  <c r="K422" i="4"/>
  <c r="P431" i="4"/>
  <c r="H433" i="4"/>
  <c r="L433" i="4" s="1"/>
  <c r="J438" i="4"/>
  <c r="K439" i="4"/>
  <c r="J441" i="4"/>
  <c r="Q448" i="4"/>
  <c r="S617" i="4"/>
  <c r="H617" i="4"/>
  <c r="N617" i="4" s="1"/>
  <c r="U701" i="4"/>
  <c r="G701" i="4"/>
  <c r="K872" i="4"/>
  <c r="W872" i="4"/>
  <c r="G872" i="4"/>
  <c r="S1088" i="4"/>
  <c r="H1088" i="4"/>
  <c r="H1109" i="4"/>
  <c r="L1109" i="4" s="1"/>
  <c r="I1109" i="4"/>
  <c r="S1109" i="4"/>
  <c r="Q1109" i="4"/>
  <c r="R1157" i="4"/>
  <c r="H1157" i="4"/>
  <c r="N1157" i="4" s="1"/>
  <c r="R709" i="4"/>
  <c r="S709" i="4"/>
  <c r="S781" i="4"/>
  <c r="Q781" i="4"/>
  <c r="I781" i="4"/>
  <c r="Q15" i="4"/>
  <c r="S15" i="4" s="1"/>
  <c r="W15" i="4" s="1"/>
  <c r="Q315" i="4"/>
  <c r="Q368" i="4"/>
  <c r="T382" i="4"/>
  <c r="T421" i="4"/>
  <c r="Q431" i="4"/>
  <c r="W438" i="4"/>
  <c r="P441" i="4"/>
  <c r="I442" i="4"/>
  <c r="H457" i="4"/>
  <c r="Q482" i="4"/>
  <c r="H516" i="4"/>
  <c r="V649" i="4"/>
  <c r="J649" i="4"/>
  <c r="V816" i="4"/>
  <c r="K816" i="4"/>
  <c r="W835" i="4"/>
  <c r="K835" i="4"/>
  <c r="T884" i="4"/>
  <c r="K884" i="4"/>
  <c r="S941" i="4"/>
  <c r="H941" i="4"/>
  <c r="L941" i="4" s="1"/>
  <c r="W990" i="4"/>
  <c r="G990" i="4"/>
  <c r="W1108" i="4"/>
  <c r="M1108" i="4"/>
  <c r="V1156" i="4"/>
  <c r="U1156" i="4"/>
  <c r="V633" i="4"/>
  <c r="J633" i="4"/>
  <c r="G633" i="4"/>
  <c r="W633" i="4"/>
  <c r="U633" i="4"/>
  <c r="P633" i="4"/>
  <c r="R931" i="4"/>
  <c r="I931" i="4"/>
  <c r="W1434" i="4"/>
  <c r="G1434" i="4"/>
  <c r="P1508" i="4"/>
  <c r="W1508" i="4"/>
  <c r="G1508" i="4"/>
  <c r="U1704" i="4"/>
  <c r="K1704" i="4"/>
  <c r="G329" i="4"/>
  <c r="U382" i="4"/>
  <c r="K397" i="4"/>
  <c r="J417" i="4"/>
  <c r="U441" i="4"/>
  <c r="J503" i="4"/>
  <c r="T503" i="4"/>
  <c r="P607" i="4"/>
  <c r="V607" i="4"/>
  <c r="P614" i="4"/>
  <c r="O633" i="4"/>
  <c r="W695" i="4"/>
  <c r="P695" i="4"/>
  <c r="P894" i="4"/>
  <c r="M894" i="4"/>
  <c r="Q1027" i="4"/>
  <c r="R1027" i="4"/>
  <c r="I1027" i="4"/>
  <c r="S1027" i="4"/>
  <c r="P902" i="4"/>
  <c r="M902" i="4"/>
  <c r="H284" i="4"/>
  <c r="N284" i="4" s="1"/>
  <c r="Q329" i="4"/>
  <c r="S358" i="4"/>
  <c r="G387" i="4"/>
  <c r="L397" i="4"/>
  <c r="U417" i="4"/>
  <c r="Q418" i="4"/>
  <c r="V431" i="4"/>
  <c r="S532" i="4"/>
  <c r="T569" i="4"/>
  <c r="P569" i="4"/>
  <c r="V595" i="4"/>
  <c r="G595" i="4"/>
  <c r="O629" i="4"/>
  <c r="G629" i="4"/>
  <c r="U815" i="4"/>
  <c r="W815" i="4"/>
  <c r="G815" i="4"/>
  <c r="K883" i="4"/>
  <c r="G883" i="4"/>
  <c r="P889" i="4"/>
  <c r="O889" i="4"/>
  <c r="M1047" i="4"/>
  <c r="U1047" i="4"/>
  <c r="U1151" i="4"/>
  <c r="T641" i="4"/>
  <c r="Q658" i="4"/>
  <c r="Q659" i="4"/>
  <c r="U665" i="4"/>
  <c r="J692" i="4"/>
  <c r="S693" i="4"/>
  <c r="G705" i="4"/>
  <c r="O718" i="4"/>
  <c r="M729" i="4"/>
  <c r="J739" i="4"/>
  <c r="O740" i="4"/>
  <c r="J758" i="4"/>
  <c r="J819" i="4"/>
  <c r="G824" i="4"/>
  <c r="G843" i="4"/>
  <c r="J848" i="4"/>
  <c r="W879" i="4"/>
  <c r="H880" i="4"/>
  <c r="L880" i="4" s="1"/>
  <c r="K906" i="4"/>
  <c r="K913" i="4"/>
  <c r="R952" i="4"/>
  <c r="M959" i="4"/>
  <c r="J969" i="4"/>
  <c r="P982" i="4"/>
  <c r="O996" i="4"/>
  <c r="U997" i="4"/>
  <c r="R1015" i="4"/>
  <c r="Q1015" i="4"/>
  <c r="O1022" i="4"/>
  <c r="G1023" i="4"/>
  <c r="W1082" i="4"/>
  <c r="U1098" i="4"/>
  <c r="K1098" i="4"/>
  <c r="S1104" i="4"/>
  <c r="I1104" i="4"/>
  <c r="R1136" i="4"/>
  <c r="I1136" i="4"/>
  <c r="P1153" i="4"/>
  <c r="U1153" i="4"/>
  <c r="T1153" i="4"/>
  <c r="R1162" i="4"/>
  <c r="Q1162" i="4"/>
  <c r="U1327" i="4"/>
  <c r="P1327" i="4"/>
  <c r="O1397" i="4"/>
  <c r="W1397" i="4"/>
  <c r="R1875" i="4"/>
  <c r="Q1875" i="4"/>
  <c r="I1875" i="4"/>
  <c r="R623" i="4"/>
  <c r="H634" i="4"/>
  <c r="N634" i="4" s="1"/>
  <c r="I675" i="4"/>
  <c r="Q683" i="4"/>
  <c r="I704" i="4"/>
  <c r="P705" i="4"/>
  <c r="P824" i="4"/>
  <c r="W848" i="4"/>
  <c r="P880" i="4"/>
  <c r="P906" i="4"/>
  <c r="T907" i="4"/>
  <c r="T969" i="4"/>
  <c r="V1022" i="4"/>
  <c r="M1023" i="4"/>
  <c r="P1046" i="4"/>
  <c r="M1046" i="4"/>
  <c r="G1046" i="4"/>
  <c r="R1098" i="4"/>
  <c r="H1098" i="4"/>
  <c r="L1098" i="4" s="1"/>
  <c r="W1135" i="4"/>
  <c r="U1135" i="4"/>
  <c r="K1161" i="4"/>
  <c r="P1161" i="4"/>
  <c r="K1185" i="4"/>
  <c r="P1185" i="4"/>
  <c r="G1185" i="4"/>
  <c r="O1336" i="4"/>
  <c r="G1336" i="4"/>
  <c r="H1768" i="4"/>
  <c r="Q1768" i="4"/>
  <c r="I1768" i="4"/>
  <c r="H919" i="4"/>
  <c r="N919" i="4" s="1"/>
  <c r="I920" i="4"/>
  <c r="H949" i="4"/>
  <c r="S950" i="4"/>
  <c r="I963" i="4"/>
  <c r="H965" i="4"/>
  <c r="L965" i="4" s="1"/>
  <c r="H966" i="4"/>
  <c r="N966" i="4" s="1"/>
  <c r="U1023" i="4"/>
  <c r="H1095" i="4"/>
  <c r="M1134" i="4"/>
  <c r="O1134" i="4"/>
  <c r="U1271" i="4"/>
  <c r="P1271" i="4"/>
  <c r="S1424" i="4"/>
  <c r="H1424" i="4"/>
  <c r="N1424" i="4" s="1"/>
  <c r="K1432" i="4"/>
  <c r="O1432" i="4"/>
  <c r="G1432" i="4"/>
  <c r="U1432" i="4"/>
  <c r="R1471" i="4"/>
  <c r="I1471" i="4"/>
  <c r="S1511" i="4"/>
  <c r="R1511" i="4"/>
  <c r="I1511" i="4"/>
  <c r="R1741" i="4"/>
  <c r="Q1741" i="4"/>
  <c r="W1767" i="4"/>
  <c r="J1767" i="4"/>
  <c r="Q549" i="4"/>
  <c r="Q583" i="4"/>
  <c r="O598" i="4"/>
  <c r="U599" i="4"/>
  <c r="V600" i="4"/>
  <c r="K601" i="4"/>
  <c r="I610" i="4"/>
  <c r="H618" i="4"/>
  <c r="N618" i="4" s="1"/>
  <c r="M619" i="4"/>
  <c r="P620" i="4"/>
  <c r="K621" i="4"/>
  <c r="G627" i="4"/>
  <c r="O638" i="4"/>
  <c r="I688" i="4"/>
  <c r="U690" i="4"/>
  <c r="Q710" i="4"/>
  <c r="M737" i="4"/>
  <c r="O764" i="4"/>
  <c r="M770" i="4"/>
  <c r="M797" i="4"/>
  <c r="Q798" i="4"/>
  <c r="H829" i="4"/>
  <c r="V830" i="4"/>
  <c r="W880" i="4"/>
  <c r="H881" i="4"/>
  <c r="L881" i="4" s="1"/>
  <c r="H887" i="4"/>
  <c r="N887" i="4" s="1"/>
  <c r="M896" i="4"/>
  <c r="O904" i="4"/>
  <c r="H918" i="4"/>
  <c r="W919" i="4"/>
  <c r="Q920" i="4"/>
  <c r="K921" i="4"/>
  <c r="H942" i="4"/>
  <c r="I943" i="4"/>
  <c r="O962" i="4"/>
  <c r="Q963" i="4"/>
  <c r="W964" i="4"/>
  <c r="P965" i="4"/>
  <c r="S970" i="4"/>
  <c r="V971" i="4"/>
  <c r="J972" i="4"/>
  <c r="W978" i="4"/>
  <c r="T979" i="4"/>
  <c r="K985" i="4"/>
  <c r="S986" i="4"/>
  <c r="P1002" i="4"/>
  <c r="J1002" i="4"/>
  <c r="G1002" i="4"/>
  <c r="R1013" i="4"/>
  <c r="H1013" i="4"/>
  <c r="V1023" i="4"/>
  <c r="M1039" i="4"/>
  <c r="V1041" i="4"/>
  <c r="G1042" i="4"/>
  <c r="V1054" i="4"/>
  <c r="O1087" i="4"/>
  <c r="P1094" i="4"/>
  <c r="M1094" i="4"/>
  <c r="J1094" i="4"/>
  <c r="W1094" i="4"/>
  <c r="V1095" i="4"/>
  <c r="U1111" i="4"/>
  <c r="V1118" i="4"/>
  <c r="M1119" i="4"/>
  <c r="I1120" i="4"/>
  <c r="K1122" i="4"/>
  <c r="J1126" i="4"/>
  <c r="I1128" i="4"/>
  <c r="W1159" i="4"/>
  <c r="K1159" i="4"/>
  <c r="J1159" i="4"/>
  <c r="R1160" i="4"/>
  <c r="Q1160" i="4"/>
  <c r="Q1182" i="4"/>
  <c r="U1335" i="4"/>
  <c r="V1335" i="4"/>
  <c r="U1510" i="4"/>
  <c r="W1510" i="4"/>
  <c r="T1740" i="4"/>
  <c r="P1740" i="4"/>
  <c r="O601" i="4"/>
  <c r="V797" i="4"/>
  <c r="V829" i="4"/>
  <c r="P881" i="4"/>
  <c r="O887" i="4"/>
  <c r="V896" i="4"/>
  <c r="R920" i="4"/>
  <c r="U972" i="4"/>
  <c r="V979" i="4"/>
  <c r="R1007" i="4"/>
  <c r="H1007" i="4"/>
  <c r="U1039" i="4"/>
  <c r="J1042" i="4"/>
  <c r="J1055" i="4"/>
  <c r="G1055" i="4"/>
  <c r="S1056" i="4"/>
  <c r="I1056" i="4"/>
  <c r="U1119" i="4"/>
  <c r="V1120" i="4"/>
  <c r="S1122" i="4"/>
  <c r="O1126" i="4"/>
  <c r="T1129" i="4"/>
  <c r="G1129" i="4"/>
  <c r="K1169" i="4"/>
  <c r="V1169" i="4"/>
  <c r="W1183" i="4"/>
  <c r="K1183" i="4"/>
  <c r="R1184" i="4"/>
  <c r="Q1184" i="4"/>
  <c r="U1193" i="4"/>
  <c r="M1193" i="4"/>
  <c r="R1194" i="4"/>
  <c r="H1194" i="4"/>
  <c r="L1194" i="4" s="1"/>
  <c r="S1408" i="4"/>
  <c r="H1408" i="4"/>
  <c r="L1408" i="4" s="1"/>
  <c r="R1423" i="4"/>
  <c r="S1423" i="4"/>
  <c r="M1715" i="4"/>
  <c r="K1715" i="4"/>
  <c r="P1001" i="4"/>
  <c r="K1001" i="4"/>
  <c r="W1042" i="4"/>
  <c r="J1087" i="4"/>
  <c r="G1087" i="4"/>
  <c r="V1087" i="4"/>
  <c r="S1112" i="4"/>
  <c r="H1112" i="4"/>
  <c r="N1112" i="4" s="1"/>
  <c r="U1126" i="4"/>
  <c r="T1158" i="4"/>
  <c r="M1158" i="4"/>
  <c r="J1192" i="4"/>
  <c r="O1192" i="4"/>
  <c r="G1192" i="4"/>
  <c r="P1299" i="4"/>
  <c r="T1299" i="4"/>
  <c r="J1407" i="4"/>
  <c r="M1407" i="4"/>
  <c r="R1431" i="4"/>
  <c r="S1431" i="4"/>
  <c r="Q1431" i="4"/>
  <c r="I1431" i="4"/>
  <c r="U1509" i="4"/>
  <c r="W1509" i="4"/>
  <c r="O1509" i="4"/>
  <c r="S1972" i="4"/>
  <c r="H1972" i="4"/>
  <c r="S511" i="4"/>
  <c r="J580" i="4"/>
  <c r="I591" i="4"/>
  <c r="U601" i="4"/>
  <c r="H602" i="4"/>
  <c r="N602" i="4" s="1"/>
  <c r="G603" i="4"/>
  <c r="Q613" i="4"/>
  <c r="R625" i="4"/>
  <c r="S631" i="4"/>
  <c r="Q632" i="4"/>
  <c r="G641" i="4"/>
  <c r="I643" i="4"/>
  <c r="J665" i="4"/>
  <c r="M668" i="4"/>
  <c r="Q678" i="4"/>
  <c r="O700" i="4"/>
  <c r="P714" i="4"/>
  <c r="S720" i="4"/>
  <c r="H722" i="4"/>
  <c r="N722" i="4" s="1"/>
  <c r="I723" i="4"/>
  <c r="O731" i="4"/>
  <c r="H732" i="4"/>
  <c r="T733" i="4"/>
  <c r="W747" i="4"/>
  <c r="O755" i="4"/>
  <c r="I760" i="4"/>
  <c r="G775" i="4"/>
  <c r="H776" i="4"/>
  <c r="H777" i="4"/>
  <c r="N777" i="4" s="1"/>
  <c r="Q778" i="4"/>
  <c r="R787" i="4"/>
  <c r="I788" i="4"/>
  <c r="I789" i="4"/>
  <c r="M795" i="4"/>
  <c r="K851" i="4"/>
  <c r="J862" i="4"/>
  <c r="S871" i="4"/>
  <c r="I873" i="4"/>
  <c r="G879" i="4"/>
  <c r="W881" i="4"/>
  <c r="I882" i="4"/>
  <c r="H883" i="4"/>
  <c r="N883" i="4" s="1"/>
  <c r="U887" i="4"/>
  <c r="P900" i="4"/>
  <c r="M909" i="4"/>
  <c r="H915" i="4"/>
  <c r="N915" i="4" s="1"/>
  <c r="T924" i="4"/>
  <c r="Q939" i="4"/>
  <c r="O946" i="4"/>
  <c r="V989" i="4"/>
  <c r="Q1006" i="4"/>
  <c r="I1006" i="4"/>
  <c r="S1048" i="4"/>
  <c r="I1048" i="4"/>
  <c r="G1067" i="4"/>
  <c r="R1068" i="4"/>
  <c r="S1076" i="4"/>
  <c r="Q1076" i="4"/>
  <c r="P1079" i="4"/>
  <c r="T1080" i="4"/>
  <c r="V1081" i="4"/>
  <c r="G1082" i="4"/>
  <c r="P1086" i="4"/>
  <c r="G1086" i="4"/>
  <c r="V1090" i="4"/>
  <c r="P1098" i="4"/>
  <c r="P1103" i="4"/>
  <c r="W1122" i="4"/>
  <c r="U1150" i="4"/>
  <c r="G1153" i="4"/>
  <c r="R1197" i="4"/>
  <c r="Q1197" i="4"/>
  <c r="T1228" i="4"/>
  <c r="J1228" i="4"/>
  <c r="G1228" i="4"/>
  <c r="H1274" i="4"/>
  <c r="S1274" i="4"/>
  <c r="P1315" i="4"/>
  <c r="T1315" i="4"/>
  <c r="H1338" i="4"/>
  <c r="Q1338" i="4"/>
  <c r="S1422" i="4"/>
  <c r="R1422" i="4"/>
  <c r="W1430" i="4"/>
  <c r="P1430" i="4"/>
  <c r="T1483" i="4"/>
  <c r="M1483" i="4"/>
  <c r="P1714" i="4"/>
  <c r="M1714" i="4"/>
  <c r="J1714" i="4"/>
  <c r="T1764" i="4"/>
  <c r="U1764" i="4"/>
  <c r="G1764" i="4"/>
  <c r="G1320" i="4"/>
  <c r="W1439" i="4"/>
  <c r="W1467" i="4"/>
  <c r="W1505" i="4"/>
  <c r="U1532" i="4"/>
  <c r="T1440" i="4"/>
  <c r="K1446" i="4"/>
  <c r="U1449" i="4"/>
  <c r="T1497" i="4"/>
  <c r="V1532" i="4"/>
  <c r="T1597" i="4"/>
  <c r="U1605" i="4"/>
  <c r="T1635" i="4"/>
  <c r="P1961" i="4"/>
  <c r="U1966" i="4"/>
  <c r="Q1969" i="4"/>
  <c r="U1446" i="4"/>
  <c r="V1449" i="4"/>
  <c r="T1533" i="4"/>
  <c r="U1547" i="4"/>
  <c r="S1548" i="4"/>
  <c r="G1549" i="4"/>
  <c r="T1561" i="4"/>
  <c r="I1562" i="4"/>
  <c r="I1568" i="4"/>
  <c r="H1573" i="4"/>
  <c r="U1597" i="4"/>
  <c r="U1603" i="4"/>
  <c r="T1606" i="4"/>
  <c r="P1619" i="4"/>
  <c r="J1621" i="4"/>
  <c r="U1640" i="4"/>
  <c r="M1645" i="4"/>
  <c r="M1646" i="4"/>
  <c r="K1675" i="4"/>
  <c r="J1682" i="4"/>
  <c r="W1771" i="4"/>
  <c r="P1823" i="4"/>
  <c r="I1824" i="4"/>
  <c r="K1825" i="4"/>
  <c r="G1826" i="4"/>
  <c r="H1840" i="4"/>
  <c r="L1840" i="4" s="1"/>
  <c r="V1852" i="4"/>
  <c r="G1853" i="4"/>
  <c r="O1938" i="4"/>
  <c r="U1945" i="4"/>
  <c r="Q1961" i="4"/>
  <c r="V1966" i="4"/>
  <c r="K1005" i="4"/>
  <c r="U1029" i="4"/>
  <c r="R1030" i="4"/>
  <c r="H1058" i="4"/>
  <c r="I1131" i="4"/>
  <c r="Q1165" i="4"/>
  <c r="Q1217" i="4"/>
  <c r="H1256" i="4"/>
  <c r="J1339" i="4"/>
  <c r="M1340" i="4"/>
  <c r="M1415" i="4"/>
  <c r="H1425" i="4"/>
  <c r="L1425" i="4" s="1"/>
  <c r="U1441" i="4"/>
  <c r="V1446" i="4"/>
  <c r="I1457" i="4"/>
  <c r="S1479" i="4"/>
  <c r="K1501" i="4"/>
  <c r="H1521" i="4"/>
  <c r="H1538" i="4"/>
  <c r="J1545" i="4"/>
  <c r="Q1546" i="4"/>
  <c r="V1548" i="4"/>
  <c r="V1549" i="4"/>
  <c r="G1550" i="4"/>
  <c r="U1561" i="4"/>
  <c r="O1573" i="4"/>
  <c r="T1619" i="4"/>
  <c r="O1639" i="4"/>
  <c r="V1645" i="4"/>
  <c r="P1646" i="4"/>
  <c r="H1681" i="4"/>
  <c r="N1681" i="4" s="1"/>
  <c r="M1682" i="4"/>
  <c r="J1707" i="4"/>
  <c r="S1708" i="4"/>
  <c r="T1709" i="4"/>
  <c r="G1717" i="4"/>
  <c r="O1724" i="4"/>
  <c r="H1726" i="4"/>
  <c r="H1733" i="4"/>
  <c r="W1734" i="4"/>
  <c r="I1735" i="4"/>
  <c r="G1793" i="4"/>
  <c r="P1821" i="4"/>
  <c r="T1823" i="4"/>
  <c r="K1826" i="4"/>
  <c r="U1831" i="4"/>
  <c r="W1852" i="4"/>
  <c r="H1853" i="4"/>
  <c r="V1867" i="4"/>
  <c r="G1877" i="4"/>
  <c r="T1899" i="4"/>
  <c r="I1900" i="4"/>
  <c r="Q1901" i="4"/>
  <c r="O1902" i="4"/>
  <c r="U1903" i="4"/>
  <c r="S1938" i="4"/>
  <c r="V1945" i="4"/>
  <c r="K1946" i="4"/>
  <c r="V1948" i="4"/>
  <c r="W1954" i="4"/>
  <c r="M1955" i="4"/>
  <c r="U1961" i="4"/>
  <c r="G1994" i="4"/>
  <c r="U1005" i="4"/>
  <c r="V1058" i="4"/>
  <c r="U1137" i="4"/>
  <c r="U1164" i="4"/>
  <c r="G1196" i="4"/>
  <c r="G1203" i="4"/>
  <c r="T1339" i="4"/>
  <c r="G1373" i="4"/>
  <c r="K1398" i="4"/>
  <c r="M1423" i="4"/>
  <c r="I1425" i="4"/>
  <c r="V1441" i="4"/>
  <c r="V1454" i="4"/>
  <c r="K1456" i="4"/>
  <c r="R1470" i="4"/>
  <c r="G1471" i="4"/>
  <c r="G1493" i="4"/>
  <c r="W1549" i="4"/>
  <c r="M1611" i="4"/>
  <c r="P1638" i="4"/>
  <c r="V1663" i="4"/>
  <c r="O1668" i="4"/>
  <c r="O1669" i="4"/>
  <c r="T1680" i="4"/>
  <c r="U1682" i="4"/>
  <c r="K1688" i="4"/>
  <c r="G1693" i="4"/>
  <c r="G1700" i="4"/>
  <c r="T1706" i="4"/>
  <c r="T1716" i="4"/>
  <c r="V1724" i="4"/>
  <c r="I1726" i="4"/>
  <c r="G1769" i="4"/>
  <c r="J1858" i="4"/>
  <c r="T1876" i="4"/>
  <c r="S1877" i="4"/>
  <c r="K1888" i="4"/>
  <c r="W1938" i="4"/>
  <c r="V1946" i="4"/>
  <c r="V1961" i="4"/>
  <c r="K1196" i="4"/>
  <c r="H1317" i="4"/>
  <c r="L1317" i="4" s="1"/>
  <c r="I1334" i="4"/>
  <c r="H1335" i="4"/>
  <c r="L1335" i="4" s="1"/>
  <c r="S1356" i="4"/>
  <c r="I1413" i="4"/>
  <c r="Q1425" i="4"/>
  <c r="U1455" i="4"/>
  <c r="O1493" i="4"/>
  <c r="S1536" i="4"/>
  <c r="S1587" i="4"/>
  <c r="H1662" i="4"/>
  <c r="V1668" i="4"/>
  <c r="S1692" i="4"/>
  <c r="O1693" i="4"/>
  <c r="Q1705" i="4"/>
  <c r="Q1713" i="4"/>
  <c r="Q1722" i="4"/>
  <c r="W1724" i="4"/>
  <c r="U1853" i="4"/>
  <c r="U1877" i="4"/>
  <c r="W1946" i="4"/>
  <c r="H1983" i="4"/>
  <c r="U1994" i="4"/>
  <c r="W1333" i="4"/>
  <c r="Q1334" i="4"/>
  <c r="Q1336" i="4"/>
  <c r="K1412" i="4"/>
  <c r="K1439" i="4"/>
  <c r="G1467" i="4"/>
  <c r="V1471" i="4"/>
  <c r="G1505" i="4"/>
  <c r="G1524" i="4"/>
  <c r="J1531" i="4"/>
  <c r="J1532" i="4"/>
  <c r="V1543" i="4"/>
  <c r="J1553" i="4"/>
  <c r="M1558" i="4"/>
  <c r="O1577" i="4"/>
  <c r="Q1578" i="4"/>
  <c r="S1586" i="4"/>
  <c r="I1600" i="4"/>
  <c r="H1661" i="4"/>
  <c r="T1693" i="4"/>
  <c r="Q1694" i="4"/>
  <c r="R1704" i="4"/>
  <c r="P1721" i="4"/>
  <c r="J1731" i="4"/>
  <c r="M1739" i="4"/>
  <c r="M1746" i="4"/>
  <c r="U1747" i="4"/>
  <c r="Q1758" i="4"/>
  <c r="H1765" i="4"/>
  <c r="L1765" i="4" s="1"/>
  <c r="T1769" i="4"/>
  <c r="P1805" i="4"/>
  <c r="G1829" i="4"/>
  <c r="G1909" i="4"/>
  <c r="H1959" i="4"/>
  <c r="G1969" i="4"/>
  <c r="K1978" i="4"/>
  <c r="G1979" i="4"/>
  <c r="V1980" i="4"/>
  <c r="I1981" i="4"/>
  <c r="I1982" i="4"/>
  <c r="V1994" i="4"/>
  <c r="H170" i="4"/>
  <c r="S261" i="4"/>
  <c r="P262" i="4"/>
  <c r="P270" i="4"/>
  <c r="O273" i="4"/>
  <c r="P279" i="4"/>
  <c r="W283" i="4"/>
  <c r="J284" i="4"/>
  <c r="V287" i="4"/>
  <c r="W289" i="4"/>
  <c r="S290" i="4"/>
  <c r="I291" i="4"/>
  <c r="H298" i="4"/>
  <c r="L298" i="4" s="1"/>
  <c r="W305" i="4"/>
  <c r="S306" i="4"/>
  <c r="G307" i="4"/>
  <c r="W310" i="4"/>
  <c r="Q311" i="4"/>
  <c r="Q314" i="4"/>
  <c r="G315" i="4"/>
  <c r="O318" i="4"/>
  <c r="O321" i="4"/>
  <c r="P326" i="4"/>
  <c r="O329" i="4"/>
  <c r="G331" i="4"/>
  <c r="H332" i="4"/>
  <c r="T334" i="4"/>
  <c r="J336" i="4"/>
  <c r="U337" i="4"/>
  <c r="I338" i="4"/>
  <c r="V340" i="4"/>
  <c r="K341" i="4"/>
  <c r="J342" i="4"/>
  <c r="G344" i="4"/>
  <c r="W345" i="4"/>
  <c r="H346" i="4"/>
  <c r="T352" i="4"/>
  <c r="O358" i="4"/>
  <c r="Q360" i="4"/>
  <c r="O361" i="4"/>
  <c r="V370" i="4"/>
  <c r="G371" i="4"/>
  <c r="M374" i="4"/>
  <c r="I378" i="4"/>
  <c r="W382" i="4"/>
  <c r="S398" i="4"/>
  <c r="W400" i="4"/>
  <c r="S410" i="4"/>
  <c r="Q411" i="4"/>
  <c r="I412" i="4"/>
  <c r="P414" i="4"/>
  <c r="Q421" i="4"/>
  <c r="U425" i="4"/>
  <c r="M431" i="4"/>
  <c r="P433" i="4"/>
  <c r="I69" i="4"/>
  <c r="H263" i="4"/>
  <c r="H268" i="4"/>
  <c r="U270" i="4"/>
  <c r="P273" i="4"/>
  <c r="Q277" i="4"/>
  <c r="G278" i="4"/>
  <c r="Q279" i="4"/>
  <c r="G281" i="4"/>
  <c r="P284" i="4"/>
  <c r="J286" i="4"/>
  <c r="T291" i="4"/>
  <c r="I298" i="4"/>
  <c r="U302" i="4"/>
  <c r="M303" i="4"/>
  <c r="V306" i="4"/>
  <c r="S314" i="4"/>
  <c r="W331" i="4"/>
  <c r="J332" i="4"/>
  <c r="U334" i="4"/>
  <c r="P336" i="4"/>
  <c r="Q338" i="4"/>
  <c r="W341" i="4"/>
  <c r="R342" i="4"/>
  <c r="I343" i="4"/>
  <c r="M344" i="4"/>
  <c r="I346" i="4"/>
  <c r="V352" i="4"/>
  <c r="J353" i="4"/>
  <c r="P358" i="4"/>
  <c r="P361" i="4"/>
  <c r="H367" i="4"/>
  <c r="L367" i="4" s="1"/>
  <c r="W370" i="4"/>
  <c r="J371" i="4"/>
  <c r="K372" i="4"/>
  <c r="O374" i="4"/>
  <c r="K377" i="4"/>
  <c r="I397" i="4"/>
  <c r="T398" i="4"/>
  <c r="P402" i="4"/>
  <c r="Q412" i="4"/>
  <c r="T414" i="4"/>
  <c r="I415" i="4"/>
  <c r="S421" i="4"/>
  <c r="V425" i="4"/>
  <c r="V262" i="4"/>
  <c r="I263" i="4"/>
  <c r="J268" i="4"/>
  <c r="V270" i="4"/>
  <c r="H271" i="4"/>
  <c r="U273" i="4"/>
  <c r="V276" i="4"/>
  <c r="S277" i="4"/>
  <c r="J278" i="4"/>
  <c r="S279" i="4"/>
  <c r="Q280" i="4"/>
  <c r="J281" i="4"/>
  <c r="U284" i="4"/>
  <c r="W291" i="4"/>
  <c r="J292" i="4"/>
  <c r="J294" i="4"/>
  <c r="Q298" i="4"/>
  <c r="G299" i="4"/>
  <c r="V302" i="4"/>
  <c r="P303" i="4"/>
  <c r="T307" i="4"/>
  <c r="H308" i="4"/>
  <c r="T315" i="4"/>
  <c r="H316" i="4"/>
  <c r="V326" i="4"/>
  <c r="H327" i="4"/>
  <c r="L327" i="4" s="1"/>
  <c r="S329" i="4"/>
  <c r="T332" i="4"/>
  <c r="I333" i="4"/>
  <c r="V334" i="4"/>
  <c r="W342" i="4"/>
  <c r="V344" i="4"/>
  <c r="O346" i="4"/>
  <c r="O353" i="4"/>
  <c r="R361" i="4"/>
  <c r="P362" i="4"/>
  <c r="H363" i="4"/>
  <c r="N363" i="4" s="1"/>
  <c r="I367" i="4"/>
  <c r="P369" i="4"/>
  <c r="G370" i="4"/>
  <c r="U371" i="4"/>
  <c r="P374" i="4"/>
  <c r="Q402" i="4"/>
  <c r="J403" i="4"/>
  <c r="P404" i="4"/>
  <c r="K405" i="4"/>
  <c r="S412" i="4"/>
  <c r="W414" i="4"/>
  <c r="S422" i="4"/>
  <c r="P263" i="4"/>
  <c r="M268" i="4"/>
  <c r="W270" i="4"/>
  <c r="M271" i="4"/>
  <c r="V273" i="4"/>
  <c r="H274" i="4"/>
  <c r="L274" i="4" s="1"/>
  <c r="Q275" i="4"/>
  <c r="O278" i="4"/>
  <c r="V279" i="4"/>
  <c r="O281" i="4"/>
  <c r="V284" i="4"/>
  <c r="V286" i="4"/>
  <c r="H287" i="4"/>
  <c r="P292" i="4"/>
  <c r="K294" i="4"/>
  <c r="I295" i="4"/>
  <c r="S298" i="4"/>
  <c r="T299" i="4"/>
  <c r="J300" i="4"/>
  <c r="U303" i="4"/>
  <c r="I304" i="4"/>
  <c r="G305" i="4"/>
  <c r="W307" i="4"/>
  <c r="J308" i="4"/>
  <c r="W315" i="4"/>
  <c r="J316" i="4"/>
  <c r="U318" i="4"/>
  <c r="H319" i="4"/>
  <c r="W326" i="4"/>
  <c r="I327" i="4"/>
  <c r="U329" i="4"/>
  <c r="V332" i="4"/>
  <c r="Q333" i="4"/>
  <c r="G334" i="4"/>
  <c r="U336" i="4"/>
  <c r="H337" i="4"/>
  <c r="L337" i="4" s="1"/>
  <c r="W344" i="4"/>
  <c r="J345" i="4"/>
  <c r="P346" i="4"/>
  <c r="Q348" i="4"/>
  <c r="G349" i="4"/>
  <c r="P353" i="4"/>
  <c r="T358" i="4"/>
  <c r="U361" i="4"/>
  <c r="W362" i="4"/>
  <c r="I363" i="4"/>
  <c r="Q367" i="4"/>
  <c r="R369" i="4"/>
  <c r="T374" i="4"/>
  <c r="M382" i="4"/>
  <c r="O387" i="4"/>
  <c r="S389" i="4"/>
  <c r="O390" i="4"/>
  <c r="H393" i="4"/>
  <c r="L393" i="4" s="1"/>
  <c r="V404" i="4"/>
  <c r="G409" i="4"/>
  <c r="J413" i="4"/>
  <c r="Q415" i="4"/>
  <c r="T422" i="4"/>
  <c r="K423" i="4"/>
  <c r="G425" i="4"/>
  <c r="J427" i="4"/>
  <c r="I429" i="4"/>
  <c r="S431" i="4"/>
  <c r="Q263" i="4"/>
  <c r="J265" i="4"/>
  <c r="P268" i="4"/>
  <c r="Q269" i="4"/>
  <c r="G270" i="4"/>
  <c r="P271" i="4"/>
  <c r="W273" i="4"/>
  <c r="P274" i="4"/>
  <c r="P278" i="4"/>
  <c r="P281" i="4"/>
  <c r="W286" i="4"/>
  <c r="I287" i="4"/>
  <c r="U292" i="4"/>
  <c r="W294" i="4"/>
  <c r="Q295" i="4"/>
  <c r="W299" i="4"/>
  <c r="M300" i="4"/>
  <c r="G302" i="4"/>
  <c r="V303" i="4"/>
  <c r="Q304" i="4"/>
  <c r="J305" i="4"/>
  <c r="P308" i="4"/>
  <c r="M316" i="4"/>
  <c r="V318" i="4"/>
  <c r="M319" i="4"/>
  <c r="Q327" i="4"/>
  <c r="S333" i="4"/>
  <c r="J334" i="4"/>
  <c r="W336" i="4"/>
  <c r="I337" i="4"/>
  <c r="O345" i="4"/>
  <c r="Q346" i="4"/>
  <c r="Q347" i="4"/>
  <c r="S348" i="4"/>
  <c r="K349" i="4"/>
  <c r="J350" i="4"/>
  <c r="R363" i="4"/>
  <c r="K364" i="4"/>
  <c r="S367" i="4"/>
  <c r="I370" i="4"/>
  <c r="U374" i="4"/>
  <c r="T375" i="4"/>
  <c r="O382" i="4"/>
  <c r="P387" i="4"/>
  <c r="K388" i="4"/>
  <c r="P390" i="4"/>
  <c r="M391" i="4"/>
  <c r="Q392" i="4"/>
  <c r="O393" i="4"/>
  <c r="V397" i="4"/>
  <c r="G398" i="4"/>
  <c r="J409" i="4"/>
  <c r="S415" i="4"/>
  <c r="Q416" i="4"/>
  <c r="P423" i="4"/>
  <c r="P427" i="4"/>
  <c r="M428" i="4"/>
  <c r="Q429" i="4"/>
  <c r="R430" i="4"/>
  <c r="G432" i="4"/>
  <c r="S263" i="4"/>
  <c r="Q264" i="4"/>
  <c r="P265" i="4"/>
  <c r="V268" i="4"/>
  <c r="S269" i="4"/>
  <c r="J270" i="4"/>
  <c r="U271" i="4"/>
  <c r="I272" i="4"/>
  <c r="T278" i="4"/>
  <c r="U281" i="4"/>
  <c r="I282" i="4"/>
  <c r="G283" i="4"/>
  <c r="P287" i="4"/>
  <c r="S295" i="4"/>
  <c r="P300" i="4"/>
  <c r="S301" i="4"/>
  <c r="J302" i="4"/>
  <c r="M305" i="4"/>
  <c r="U308" i="4"/>
  <c r="I309" i="4"/>
  <c r="J310" i="4"/>
  <c r="P316" i="4"/>
  <c r="P319" i="4"/>
  <c r="Q325" i="4"/>
  <c r="G326" i="4"/>
  <c r="S327" i="4"/>
  <c r="U328" i="4"/>
  <c r="M334" i="4"/>
  <c r="O337" i="4"/>
  <c r="P345" i="4"/>
  <c r="V346" i="4"/>
  <c r="V349" i="4"/>
  <c r="P350" i="4"/>
  <c r="V353" i="4"/>
  <c r="H354" i="4"/>
  <c r="L354" i="4" s="1"/>
  <c r="Q357" i="4"/>
  <c r="G358" i="4"/>
  <c r="W363" i="4"/>
  <c r="M364" i="4"/>
  <c r="O370" i="4"/>
  <c r="W374" i="4"/>
  <c r="P382" i="4"/>
  <c r="W387" i="4"/>
  <c r="T390" i="4"/>
  <c r="V391" i="4"/>
  <c r="P393" i="4"/>
  <c r="V394" i="4"/>
  <c r="H398" i="4"/>
  <c r="N398" i="4" s="1"/>
  <c r="O409" i="4"/>
  <c r="S413" i="4"/>
  <c r="G414" i="4"/>
  <c r="P417" i="4"/>
  <c r="G419" i="4"/>
  <c r="K420" i="4"/>
  <c r="M425" i="4"/>
  <c r="T427" i="4"/>
  <c r="R429" i="4"/>
  <c r="Q432" i="4"/>
  <c r="G433" i="4"/>
  <c r="I13" i="4"/>
  <c r="V263" i="4"/>
  <c r="U265" i="4"/>
  <c r="M270" i="4"/>
  <c r="V271" i="4"/>
  <c r="Q272" i="4"/>
  <c r="J273" i="4"/>
  <c r="V278" i="4"/>
  <c r="H279" i="4"/>
  <c r="N279" i="4" s="1"/>
  <c r="W281" i="4"/>
  <c r="S282" i="4"/>
  <c r="I283" i="4"/>
  <c r="Q287" i="4"/>
  <c r="J289" i="4"/>
  <c r="U300" i="4"/>
  <c r="O302" i="4"/>
  <c r="O305" i="4"/>
  <c r="V308" i="4"/>
  <c r="P310" i="4"/>
  <c r="U313" i="4"/>
  <c r="H314" i="4"/>
  <c r="L314" i="4" s="1"/>
  <c r="T316" i="4"/>
  <c r="Q317" i="4"/>
  <c r="U319" i="4"/>
  <c r="I320" i="4"/>
  <c r="G321" i="4"/>
  <c r="I323" i="4"/>
  <c r="J324" i="4"/>
  <c r="S325" i="4"/>
  <c r="J326" i="4"/>
  <c r="U327" i="4"/>
  <c r="V328" i="4"/>
  <c r="K329" i="4"/>
  <c r="O334" i="4"/>
  <c r="G352" i="4"/>
  <c r="W353" i="4"/>
  <c r="I354" i="4"/>
  <c r="I355" i="4"/>
  <c r="K356" i="4"/>
  <c r="S357" i="4"/>
  <c r="H358" i="4"/>
  <c r="N358" i="4" s="1"/>
  <c r="P370" i="4"/>
  <c r="G374" i="4"/>
  <c r="U393" i="4"/>
  <c r="M398" i="4"/>
  <c r="U430" i="4"/>
  <c r="U432" i="4"/>
  <c r="J436" i="4"/>
  <c r="K436" i="4"/>
  <c r="J262" i="4"/>
  <c r="O270" i="4"/>
  <c r="M273" i="4"/>
  <c r="W278" i="4"/>
  <c r="I279" i="4"/>
  <c r="T283" i="4"/>
  <c r="S287" i="4"/>
  <c r="Q288" i="4"/>
  <c r="I290" i="4"/>
  <c r="G291" i="4"/>
  <c r="P302" i="4"/>
  <c r="P305" i="4"/>
  <c r="I306" i="4"/>
  <c r="T310" i="4"/>
  <c r="I311" i="4"/>
  <c r="W313" i="4"/>
  <c r="I314" i="4"/>
  <c r="V316" i="4"/>
  <c r="S317" i="4"/>
  <c r="J318" i="4"/>
  <c r="V319" i="4"/>
  <c r="Q320" i="4"/>
  <c r="J321" i="4"/>
  <c r="W323" i="4"/>
  <c r="O326" i="4"/>
  <c r="M329" i="4"/>
  <c r="P334" i="4"/>
  <c r="G336" i="4"/>
  <c r="Q337" i="4"/>
  <c r="H338" i="4"/>
  <c r="K340" i="4"/>
  <c r="V345" i="4"/>
  <c r="G346" i="4"/>
  <c r="W350" i="4"/>
  <c r="S354" i="4"/>
  <c r="W355" i="4"/>
  <c r="M358" i="4"/>
  <c r="H361" i="4"/>
  <c r="L361" i="4" s="1"/>
  <c r="Q370" i="4"/>
  <c r="J374" i="4"/>
  <c r="H383" i="4"/>
  <c r="N383" i="4" s="1"/>
  <c r="O398" i="4"/>
  <c r="M400" i="4"/>
  <c r="H401" i="4"/>
  <c r="L401" i="4" s="1"/>
  <c r="G402" i="4"/>
  <c r="W409" i="4"/>
  <c r="I411" i="4"/>
  <c r="H412" i="4"/>
  <c r="N412" i="4" s="1"/>
  <c r="U420" i="4"/>
  <c r="R425" i="4"/>
  <c r="W430" i="4"/>
  <c r="I434" i="4"/>
  <c r="T438" i="4"/>
  <c r="I439" i="4"/>
  <c r="J444" i="4"/>
  <c r="I448" i="4"/>
  <c r="G449" i="4"/>
  <c r="U452" i="4"/>
  <c r="K453" i="4"/>
  <c r="P454" i="4"/>
  <c r="I455" i="4"/>
  <c r="V457" i="4"/>
  <c r="I458" i="4"/>
  <c r="Q459" i="4"/>
  <c r="J460" i="4"/>
  <c r="S466" i="4"/>
  <c r="U471" i="4"/>
  <c r="T478" i="4"/>
  <c r="P479" i="4"/>
  <c r="G481" i="4"/>
  <c r="V482" i="4"/>
  <c r="I483" i="4"/>
  <c r="M484" i="4"/>
  <c r="W486" i="4"/>
  <c r="I487" i="4"/>
  <c r="V489" i="4"/>
  <c r="H490" i="4"/>
  <c r="L490" i="4" s="1"/>
  <c r="O502" i="4"/>
  <c r="U510" i="4"/>
  <c r="H511" i="4"/>
  <c r="N511" i="4" s="1"/>
  <c r="W513" i="4"/>
  <c r="I514" i="4"/>
  <c r="G515" i="4"/>
  <c r="M519" i="4"/>
  <c r="V522" i="4"/>
  <c r="W523" i="4"/>
  <c r="P524" i="4"/>
  <c r="I525" i="4"/>
  <c r="P527" i="4"/>
  <c r="V529" i="4"/>
  <c r="T542" i="4"/>
  <c r="H543" i="4"/>
  <c r="N543" i="4" s="1"/>
  <c r="U550" i="4"/>
  <c r="H551" i="4"/>
  <c r="N551" i="4" s="1"/>
  <c r="U553" i="4"/>
  <c r="M561" i="4"/>
  <c r="H572" i="4"/>
  <c r="S575" i="4"/>
  <c r="G577" i="4"/>
  <c r="P580" i="4"/>
  <c r="T585" i="4"/>
  <c r="H586" i="4"/>
  <c r="U588" i="4"/>
  <c r="Q589" i="4"/>
  <c r="G590" i="4"/>
  <c r="Q591" i="4"/>
  <c r="I592" i="4"/>
  <c r="V594" i="4"/>
  <c r="J595" i="4"/>
  <c r="J596" i="4"/>
  <c r="I597" i="4"/>
  <c r="U598" i="4"/>
  <c r="M599" i="4"/>
  <c r="I613" i="4"/>
  <c r="V618" i="4"/>
  <c r="V621" i="4"/>
  <c r="J622" i="4"/>
  <c r="Q623" i="4"/>
  <c r="G624" i="4"/>
  <c r="P625" i="4"/>
  <c r="Q626" i="4"/>
  <c r="T627" i="4"/>
  <c r="G628" i="4"/>
  <c r="T640" i="4"/>
  <c r="J641" i="4"/>
  <c r="K653" i="4"/>
  <c r="I654" i="4"/>
  <c r="U666" i="4"/>
  <c r="V669" i="4"/>
  <c r="W670" i="4"/>
  <c r="V677" i="4"/>
  <c r="G678" i="4"/>
  <c r="O681" i="4"/>
  <c r="V683" i="4"/>
  <c r="T689" i="4"/>
  <c r="P698" i="4"/>
  <c r="U703" i="4"/>
  <c r="Q704" i="4"/>
  <c r="M705" i="4"/>
  <c r="P716" i="4"/>
  <c r="Q717" i="4"/>
  <c r="W724" i="4"/>
  <c r="Q725" i="4"/>
  <c r="M726" i="4"/>
  <c r="U732" i="4"/>
  <c r="Q734" i="4"/>
  <c r="G735" i="4"/>
  <c r="I742" i="4"/>
  <c r="I743" i="4"/>
  <c r="P744" i="4"/>
  <c r="H745" i="4"/>
  <c r="G747" i="4"/>
  <c r="T749" i="4"/>
  <c r="H750" i="4"/>
  <c r="L750" i="4" s="1"/>
  <c r="P752" i="4"/>
  <c r="M755" i="4"/>
  <c r="P756" i="4"/>
  <c r="Q764" i="4"/>
  <c r="I772" i="4"/>
  <c r="U779" i="4"/>
  <c r="I780" i="4"/>
  <c r="T781" i="4"/>
  <c r="O787" i="4"/>
  <c r="T788" i="4"/>
  <c r="H789" i="4"/>
  <c r="N789" i="4" s="1"/>
  <c r="R796" i="4"/>
  <c r="H796" i="4"/>
  <c r="N796" i="4" s="1"/>
  <c r="R820" i="4"/>
  <c r="S820" i="4"/>
  <c r="H820" i="4"/>
  <c r="S837" i="4"/>
  <c r="I837" i="4"/>
  <c r="V1010" i="4"/>
  <c r="J1010" i="4"/>
  <c r="M1010" i="4"/>
  <c r="G1010" i="4"/>
  <c r="W1010" i="4"/>
  <c r="U1010" i="4"/>
  <c r="T1010" i="4"/>
  <c r="V1017" i="4"/>
  <c r="U1017" i="4"/>
  <c r="G1033" i="4"/>
  <c r="O1033" i="4"/>
  <c r="W1033" i="4"/>
  <c r="P1033" i="4"/>
  <c r="T1053" i="4"/>
  <c r="M1053" i="4"/>
  <c r="H1074" i="4"/>
  <c r="R1074" i="4"/>
  <c r="S1074" i="4"/>
  <c r="J1200" i="4"/>
  <c r="V1200" i="4"/>
  <c r="V1201" i="4"/>
  <c r="O1201" i="4"/>
  <c r="P455" i="4"/>
  <c r="S458" i="4"/>
  <c r="M460" i="4"/>
  <c r="V471" i="4"/>
  <c r="Q479" i="4"/>
  <c r="Q480" i="4"/>
  <c r="J481" i="4"/>
  <c r="P484" i="4"/>
  <c r="I485" i="4"/>
  <c r="Q487" i="4"/>
  <c r="W489" i="4"/>
  <c r="I490" i="4"/>
  <c r="H492" i="4"/>
  <c r="P502" i="4"/>
  <c r="M503" i="4"/>
  <c r="W510" i="4"/>
  <c r="S514" i="4"/>
  <c r="P519" i="4"/>
  <c r="S524" i="4"/>
  <c r="Q525" i="4"/>
  <c r="Q527" i="4"/>
  <c r="W529" i="4"/>
  <c r="J537" i="4"/>
  <c r="I538" i="4"/>
  <c r="U542" i="4"/>
  <c r="Q543" i="4"/>
  <c r="I544" i="4"/>
  <c r="O545" i="4"/>
  <c r="V550" i="4"/>
  <c r="I551" i="4"/>
  <c r="V553" i="4"/>
  <c r="H554" i="4"/>
  <c r="L554" i="4" s="1"/>
  <c r="O561" i="4"/>
  <c r="G563" i="4"/>
  <c r="P572" i="4"/>
  <c r="I573" i="4"/>
  <c r="J574" i="4"/>
  <c r="T575" i="4"/>
  <c r="Q576" i="4"/>
  <c r="O577" i="4"/>
  <c r="H578" i="4"/>
  <c r="L578" i="4" s="1"/>
  <c r="U580" i="4"/>
  <c r="V585" i="4"/>
  <c r="S589" i="4"/>
  <c r="J590" i="4"/>
  <c r="T591" i="4"/>
  <c r="T592" i="4"/>
  <c r="W595" i="4"/>
  <c r="P596" i="4"/>
  <c r="Q599" i="4"/>
  <c r="S612" i="4"/>
  <c r="K624" i="4"/>
  <c r="V627" i="4"/>
  <c r="O628" i="4"/>
  <c r="M641" i="4"/>
  <c r="W669" i="4"/>
  <c r="W677" i="4"/>
  <c r="O678" i="4"/>
  <c r="P681" i="4"/>
  <c r="U689" i="4"/>
  <c r="Q698" i="4"/>
  <c r="O705" i="4"/>
  <c r="P726" i="4"/>
  <c r="H729" i="4"/>
  <c r="K735" i="4"/>
  <c r="I738" i="4"/>
  <c r="I741" i="4"/>
  <c r="P742" i="4"/>
  <c r="S744" i="4"/>
  <c r="P745" i="4"/>
  <c r="M747" i="4"/>
  <c r="W749" i="4"/>
  <c r="O750" i="4"/>
  <c r="Q756" i="4"/>
  <c r="S764" i="4"/>
  <c r="M772" i="4"/>
  <c r="M780" i="4"/>
  <c r="V781" i="4"/>
  <c r="W788" i="4"/>
  <c r="U802" i="4"/>
  <c r="J802" i="4"/>
  <c r="U823" i="4"/>
  <c r="J823" i="4"/>
  <c r="G823" i="4"/>
  <c r="P854" i="4"/>
  <c r="G854" i="4"/>
  <c r="V854" i="4"/>
  <c r="T854" i="4"/>
  <c r="V860" i="4"/>
  <c r="K860" i="4"/>
  <c r="T957" i="4"/>
  <c r="J957" i="4"/>
  <c r="S1040" i="4"/>
  <c r="Q1040" i="4"/>
  <c r="I1040" i="4"/>
  <c r="K1052" i="4"/>
  <c r="P1052" i="4"/>
  <c r="Q439" i="4"/>
  <c r="W441" i="4"/>
  <c r="G446" i="4"/>
  <c r="K449" i="4"/>
  <c r="I456" i="4"/>
  <c r="P460" i="4"/>
  <c r="Q461" i="4"/>
  <c r="G462" i="4"/>
  <c r="S479" i="4"/>
  <c r="M481" i="4"/>
  <c r="U484" i="4"/>
  <c r="Q485" i="4"/>
  <c r="G486" i="4"/>
  <c r="T487" i="4"/>
  <c r="Q490" i="4"/>
  <c r="J492" i="4"/>
  <c r="J494" i="4"/>
  <c r="T502" i="4"/>
  <c r="Q503" i="4"/>
  <c r="T515" i="4"/>
  <c r="U519" i="4"/>
  <c r="S525" i="4"/>
  <c r="J526" i="4"/>
  <c r="I528" i="4"/>
  <c r="G529" i="4"/>
  <c r="T536" i="4"/>
  <c r="W537" i="4"/>
  <c r="S543" i="4"/>
  <c r="P545" i="4"/>
  <c r="P551" i="4"/>
  <c r="W553" i="4"/>
  <c r="I554" i="4"/>
  <c r="G555" i="4"/>
  <c r="U561" i="4"/>
  <c r="S562" i="4"/>
  <c r="J563" i="4"/>
  <c r="M567" i="4"/>
  <c r="S572" i="4"/>
  <c r="S573" i="4"/>
  <c r="M574" i="4"/>
  <c r="V575" i="4"/>
  <c r="V577" i="4"/>
  <c r="M590" i="4"/>
  <c r="V613" i="4"/>
  <c r="U628" i="4"/>
  <c r="V689" i="4"/>
  <c r="S698" i="4"/>
  <c r="P735" i="4"/>
  <c r="S737" i="4"/>
  <c r="R738" i="4"/>
  <c r="S740" i="4"/>
  <c r="O747" i="4"/>
  <c r="W752" i="4"/>
  <c r="T756" i="4"/>
  <c r="H757" i="4"/>
  <c r="N757" i="4" s="1"/>
  <c r="U764" i="4"/>
  <c r="G765" i="4"/>
  <c r="I769" i="4"/>
  <c r="H773" i="4"/>
  <c r="N773" i="4" s="1"/>
  <c r="Q780" i="4"/>
  <c r="T787" i="4"/>
  <c r="H790" i="4"/>
  <c r="L790" i="4" s="1"/>
  <c r="G791" i="4"/>
  <c r="I802" i="4"/>
  <c r="R802" i="4"/>
  <c r="P853" i="4"/>
  <c r="K853" i="4"/>
  <c r="T858" i="4"/>
  <c r="T949" i="4"/>
  <c r="M949" i="4"/>
  <c r="U949" i="4"/>
  <c r="U1114" i="4"/>
  <c r="O1114" i="4"/>
  <c r="V1114" i="4"/>
  <c r="S439" i="4"/>
  <c r="S442" i="4"/>
  <c r="T445" i="4"/>
  <c r="M449" i="4"/>
  <c r="S455" i="4"/>
  <c r="T456" i="4"/>
  <c r="U460" i="4"/>
  <c r="S461" i="4"/>
  <c r="J462" i="4"/>
  <c r="I463" i="4"/>
  <c r="G465" i="4"/>
  <c r="O481" i="4"/>
  <c r="S485" i="4"/>
  <c r="J486" i="4"/>
  <c r="U487" i="4"/>
  <c r="I488" i="4"/>
  <c r="G489" i="4"/>
  <c r="S490" i="4"/>
  <c r="M492" i="4"/>
  <c r="S493" i="4"/>
  <c r="J500" i="4"/>
  <c r="S503" i="4"/>
  <c r="P505" i="4"/>
  <c r="P506" i="4"/>
  <c r="U511" i="4"/>
  <c r="I512" i="4"/>
  <c r="G513" i="4"/>
  <c r="W515" i="4"/>
  <c r="J516" i="4"/>
  <c r="V519" i="4"/>
  <c r="M526" i="4"/>
  <c r="U527" i="4"/>
  <c r="Q528" i="4"/>
  <c r="J529" i="4"/>
  <c r="T545" i="4"/>
  <c r="Q551" i="4"/>
  <c r="S554" i="4"/>
  <c r="J555" i="4"/>
  <c r="T563" i="4"/>
  <c r="J564" i="4"/>
  <c r="P566" i="4"/>
  <c r="P567" i="4"/>
  <c r="O574" i="4"/>
  <c r="O590" i="4"/>
  <c r="M601" i="4"/>
  <c r="I607" i="4"/>
  <c r="Q608" i="4"/>
  <c r="S609" i="4"/>
  <c r="P610" i="4"/>
  <c r="O614" i="4"/>
  <c r="V628" i="4"/>
  <c r="Q629" i="4"/>
  <c r="M633" i="4"/>
  <c r="P638" i="4"/>
  <c r="P641" i="4"/>
  <c r="H647" i="4"/>
  <c r="G649" i="4"/>
  <c r="I650" i="4"/>
  <c r="H658" i="4"/>
  <c r="N658" i="4" s="1"/>
  <c r="G665" i="4"/>
  <c r="J679" i="4"/>
  <c r="V681" i="4"/>
  <c r="M682" i="4"/>
  <c r="T690" i="4"/>
  <c r="V691" i="4"/>
  <c r="U692" i="4"/>
  <c r="Q693" i="4"/>
  <c r="I694" i="4"/>
  <c r="V698" i="4"/>
  <c r="Q699" i="4"/>
  <c r="V700" i="4"/>
  <c r="K701" i="4"/>
  <c r="V705" i="4"/>
  <c r="M706" i="4"/>
  <c r="I712" i="4"/>
  <c r="U713" i="4"/>
  <c r="T714" i="4"/>
  <c r="T727" i="4"/>
  <c r="P729" i="4"/>
  <c r="Q730" i="4"/>
  <c r="J731" i="4"/>
  <c r="T735" i="4"/>
  <c r="T747" i="4"/>
  <c r="H748" i="4"/>
  <c r="W756" i="4"/>
  <c r="I757" i="4"/>
  <c r="P763" i="4"/>
  <c r="H764" i="4"/>
  <c r="V764" i="4"/>
  <c r="H765" i="4"/>
  <c r="N765" i="4" s="1"/>
  <c r="R768" i="4"/>
  <c r="W772" i="4"/>
  <c r="I773" i="4"/>
  <c r="S780" i="4"/>
  <c r="H781" i="4"/>
  <c r="U787" i="4"/>
  <c r="H788" i="4"/>
  <c r="N788" i="4" s="1"/>
  <c r="V789" i="4"/>
  <c r="V790" i="4"/>
  <c r="J791" i="4"/>
  <c r="Q793" i="4"/>
  <c r="Q805" i="4"/>
  <c r="J812" i="4"/>
  <c r="O812" i="4"/>
  <c r="P852" i="4"/>
  <c r="K852" i="4"/>
  <c r="G859" i="4"/>
  <c r="P859" i="4"/>
  <c r="R974" i="4"/>
  <c r="Q974" i="4"/>
  <c r="I974" i="4"/>
  <c r="K1004" i="4"/>
  <c r="J1004" i="4"/>
  <c r="U1004" i="4"/>
  <c r="T1004" i="4"/>
  <c r="P449" i="4"/>
  <c r="V456" i="4"/>
  <c r="G457" i="4"/>
  <c r="W462" i="4"/>
  <c r="V463" i="4"/>
  <c r="Q464" i="4"/>
  <c r="I469" i="4"/>
  <c r="P481" i="4"/>
  <c r="M486" i="4"/>
  <c r="V487" i="4"/>
  <c r="Q488" i="4"/>
  <c r="J489" i="4"/>
  <c r="P492" i="4"/>
  <c r="W499" i="4"/>
  <c r="U505" i="4"/>
  <c r="S506" i="4"/>
  <c r="G507" i="4"/>
  <c r="P508" i="4"/>
  <c r="I509" i="4"/>
  <c r="V511" i="4"/>
  <c r="P516" i="4"/>
  <c r="O526" i="4"/>
  <c r="M529" i="4"/>
  <c r="H532" i="4"/>
  <c r="N532" i="4" s="1"/>
  <c r="J534" i="4"/>
  <c r="U545" i="4"/>
  <c r="I546" i="4"/>
  <c r="T551" i="4"/>
  <c r="I552" i="4"/>
  <c r="T555" i="4"/>
  <c r="H556" i="4"/>
  <c r="W563" i="4"/>
  <c r="H585" i="4"/>
  <c r="L585" i="4" s="1"/>
  <c r="T590" i="4"/>
  <c r="R606" i="4"/>
  <c r="R608" i="4"/>
  <c r="T610" i="4"/>
  <c r="P636" i="4"/>
  <c r="M642" i="4"/>
  <c r="O646" i="4"/>
  <c r="I647" i="4"/>
  <c r="S648" i="4"/>
  <c r="S650" i="4"/>
  <c r="R657" i="4"/>
  <c r="I658" i="4"/>
  <c r="I662" i="4"/>
  <c r="J663" i="4"/>
  <c r="S664" i="4"/>
  <c r="O673" i="4"/>
  <c r="I674" i="4"/>
  <c r="G677" i="4"/>
  <c r="P679" i="4"/>
  <c r="I680" i="4"/>
  <c r="W681" i="4"/>
  <c r="O701" i="4"/>
  <c r="P706" i="4"/>
  <c r="S729" i="4"/>
  <c r="V791" i="4"/>
  <c r="R801" i="4"/>
  <c r="S801" i="4"/>
  <c r="I801" i="4"/>
  <c r="H801" i="4"/>
  <c r="N801" i="4" s="1"/>
  <c r="K805" i="4"/>
  <c r="M805" i="4"/>
  <c r="G805" i="4"/>
  <c r="U805" i="4"/>
  <c r="T805" i="4"/>
  <c r="V805" i="4"/>
  <c r="S822" i="4"/>
  <c r="Q822" i="4"/>
  <c r="I822" i="4"/>
  <c r="S844" i="4"/>
  <c r="I844" i="4"/>
  <c r="O871" i="4"/>
  <c r="K871" i="4"/>
  <c r="U871" i="4"/>
  <c r="R895" i="4"/>
  <c r="I895" i="4"/>
  <c r="H895" i="4"/>
  <c r="N895" i="4" s="1"/>
  <c r="S904" i="4"/>
  <c r="H904" i="4"/>
  <c r="R926" i="4"/>
  <c r="I926" i="4"/>
  <c r="P993" i="4"/>
  <c r="J993" i="4"/>
  <c r="K993" i="4"/>
  <c r="T1113" i="4"/>
  <c r="W1113" i="4"/>
  <c r="V1113" i="4"/>
  <c r="O1113" i="4"/>
  <c r="U1113" i="4"/>
  <c r="J1113" i="4"/>
  <c r="M438" i="4"/>
  <c r="Q440" i="4"/>
  <c r="G451" i="4"/>
  <c r="J452" i="4"/>
  <c r="W456" i="4"/>
  <c r="U465" i="4"/>
  <c r="H466" i="4"/>
  <c r="L466" i="4" s="1"/>
  <c r="Q469" i="4"/>
  <c r="O470" i="4"/>
  <c r="P474" i="4"/>
  <c r="G475" i="4"/>
  <c r="I477" i="4"/>
  <c r="U481" i="4"/>
  <c r="I482" i="4"/>
  <c r="O486" i="4"/>
  <c r="M489" i="4"/>
  <c r="U503" i="4"/>
  <c r="V506" i="4"/>
  <c r="I507" i="4"/>
  <c r="U508" i="4"/>
  <c r="Q509" i="4"/>
  <c r="G510" i="4"/>
  <c r="O513" i="4"/>
  <c r="U516" i="4"/>
  <c r="T526" i="4"/>
  <c r="O529" i="4"/>
  <c r="P532" i="4"/>
  <c r="S533" i="4"/>
  <c r="I541" i="4"/>
  <c r="J542" i="4"/>
  <c r="W545" i="4"/>
  <c r="S546" i="4"/>
  <c r="G547" i="4"/>
  <c r="U551" i="4"/>
  <c r="Q552" i="4"/>
  <c r="J553" i="4"/>
  <c r="W555" i="4"/>
  <c r="J556" i="4"/>
  <c r="P564" i="4"/>
  <c r="T567" i="4"/>
  <c r="T574" i="4"/>
  <c r="I575" i="4"/>
  <c r="H583" i="4"/>
  <c r="L583" i="4" s="1"/>
  <c r="W584" i="4"/>
  <c r="K585" i="4"/>
  <c r="J588" i="4"/>
  <c r="U590" i="4"/>
  <c r="H591" i="4"/>
  <c r="L591" i="4" s="1"/>
  <c r="O604" i="4"/>
  <c r="K615" i="4"/>
  <c r="O616" i="4"/>
  <c r="U636" i="4"/>
  <c r="U641" i="4"/>
  <c r="P642" i="4"/>
  <c r="K645" i="4"/>
  <c r="Q647" i="4"/>
  <c r="M658" i="4"/>
  <c r="K661" i="4"/>
  <c r="Q662" i="4"/>
  <c r="M663" i="4"/>
  <c r="M665" i="4"/>
  <c r="G669" i="4"/>
  <c r="V672" i="4"/>
  <c r="P673" i="4"/>
  <c r="P674" i="4"/>
  <c r="M676" i="4"/>
  <c r="K677" i="4"/>
  <c r="U679" i="4"/>
  <c r="Q680" i="4"/>
  <c r="G681" i="4"/>
  <c r="T682" i="4"/>
  <c r="G685" i="4"/>
  <c r="G689" i="4"/>
  <c r="P701" i="4"/>
  <c r="G702" i="4"/>
  <c r="Q706" i="4"/>
  <c r="M708" i="4"/>
  <c r="O709" i="4"/>
  <c r="G724" i="4"/>
  <c r="U731" i="4"/>
  <c r="P748" i="4"/>
  <c r="G749" i="4"/>
  <c r="I756" i="4"/>
  <c r="W757" i="4"/>
  <c r="W758" i="4"/>
  <c r="I759" i="4"/>
  <c r="O765" i="4"/>
  <c r="V773" i="4"/>
  <c r="O781" i="4"/>
  <c r="M786" i="4"/>
  <c r="G787" i="4"/>
  <c r="M788" i="4"/>
  <c r="U795" i="4"/>
  <c r="V795" i="4"/>
  <c r="J795" i="4"/>
  <c r="P795" i="4"/>
  <c r="K796" i="4"/>
  <c r="P811" i="4"/>
  <c r="O811" i="4"/>
  <c r="R817" i="4"/>
  <c r="H817" i="4"/>
  <c r="N817" i="4" s="1"/>
  <c r="K821" i="4"/>
  <c r="P821" i="4"/>
  <c r="J828" i="4"/>
  <c r="G828" i="4"/>
  <c r="W828" i="4"/>
  <c r="T828" i="4"/>
  <c r="P828" i="4"/>
  <c r="U828" i="4"/>
  <c r="U831" i="4"/>
  <c r="J831" i="4"/>
  <c r="R973" i="4"/>
  <c r="S973" i="4"/>
  <c r="J1003" i="4"/>
  <c r="T1003" i="4"/>
  <c r="V1003" i="4"/>
  <c r="M1003" i="4"/>
  <c r="R1047" i="4"/>
  <c r="H1047" i="4"/>
  <c r="O438" i="4"/>
  <c r="M441" i="4"/>
  <c r="U449" i="4"/>
  <c r="H450" i="4"/>
  <c r="L450" i="4" s="1"/>
  <c r="K452" i="4"/>
  <c r="V465" i="4"/>
  <c r="I466" i="4"/>
  <c r="P470" i="4"/>
  <c r="M471" i="4"/>
  <c r="V474" i="4"/>
  <c r="I475" i="4"/>
  <c r="Q477" i="4"/>
  <c r="O478" i="4"/>
  <c r="W481" i="4"/>
  <c r="T486" i="4"/>
  <c r="O489" i="4"/>
  <c r="S509" i="4"/>
  <c r="J510" i="4"/>
  <c r="P513" i="4"/>
  <c r="U526" i="4"/>
  <c r="H527" i="4"/>
  <c r="N527" i="4" s="1"/>
  <c r="T529" i="4"/>
  <c r="S541" i="4"/>
  <c r="O542" i="4"/>
  <c r="V546" i="4"/>
  <c r="J547" i="4"/>
  <c r="H548" i="4"/>
  <c r="I549" i="4"/>
  <c r="G550" i="4"/>
  <c r="M553" i="4"/>
  <c r="S556" i="4"/>
  <c r="U564" i="4"/>
  <c r="U567" i="4"/>
  <c r="W574" i="4"/>
  <c r="M575" i="4"/>
  <c r="M585" i="4"/>
  <c r="M588" i="4"/>
  <c r="W590" i="4"/>
  <c r="V604" i="4"/>
  <c r="J617" i="4"/>
  <c r="T642" i="4"/>
  <c r="K669" i="4"/>
  <c r="Q674" i="4"/>
  <c r="O677" i="4"/>
  <c r="S680" i="4"/>
  <c r="J681" i="4"/>
  <c r="U682" i="4"/>
  <c r="I683" i="4"/>
  <c r="K685" i="4"/>
  <c r="M689" i="4"/>
  <c r="V701" i="4"/>
  <c r="O702" i="4"/>
  <c r="H703" i="4"/>
  <c r="N703" i="4" s="1"/>
  <c r="U706" i="4"/>
  <c r="V707" i="4"/>
  <c r="U708" i="4"/>
  <c r="M724" i="4"/>
  <c r="O732" i="4"/>
  <c r="T748" i="4"/>
  <c r="M749" i="4"/>
  <c r="M756" i="4"/>
  <c r="R759" i="4"/>
  <c r="M764" i="4"/>
  <c r="T765" i="4"/>
  <c r="W775" i="4"/>
  <c r="O776" i="4"/>
  <c r="P781" i="4"/>
  <c r="T785" i="4"/>
  <c r="J787" i="4"/>
  <c r="O788" i="4"/>
  <c r="W795" i="4"/>
  <c r="R800" i="4"/>
  <c r="S800" i="4"/>
  <c r="S821" i="4"/>
  <c r="I821" i="4"/>
  <c r="O827" i="4"/>
  <c r="P827" i="4"/>
  <c r="G827" i="4"/>
  <c r="S838" i="4"/>
  <c r="I838" i="4"/>
  <c r="S850" i="4"/>
  <c r="I850" i="4"/>
  <c r="H850" i="4"/>
  <c r="T870" i="4"/>
  <c r="J870" i="4"/>
  <c r="V915" i="4"/>
  <c r="P915" i="4"/>
  <c r="V954" i="4"/>
  <c r="T954" i="4"/>
  <c r="J954" i="4"/>
  <c r="P438" i="4"/>
  <c r="O441" i="4"/>
  <c r="V449" i="4"/>
  <c r="P452" i="4"/>
  <c r="I453" i="4"/>
  <c r="O454" i="4"/>
  <c r="U457" i="4"/>
  <c r="H458" i="4"/>
  <c r="L458" i="4" s="1"/>
  <c r="H460" i="4"/>
  <c r="Q466" i="4"/>
  <c r="P471" i="4"/>
  <c r="T475" i="4"/>
  <c r="P478" i="4"/>
  <c r="I479" i="4"/>
  <c r="S482" i="4"/>
  <c r="G483" i="4"/>
  <c r="J484" i="4"/>
  <c r="U486" i="4"/>
  <c r="H487" i="4"/>
  <c r="N487" i="4" s="1"/>
  <c r="U489" i="4"/>
  <c r="P510" i="4"/>
  <c r="V513" i="4"/>
  <c r="H514" i="4"/>
  <c r="L514" i="4" s="1"/>
  <c r="G523" i="4"/>
  <c r="J524" i="4"/>
  <c r="W526" i="4"/>
  <c r="I527" i="4"/>
  <c r="U529" i="4"/>
  <c r="P542" i="4"/>
  <c r="T547" i="4"/>
  <c r="S548" i="4"/>
  <c r="P575" i="4"/>
  <c r="P588" i="4"/>
  <c r="P591" i="4"/>
  <c r="O669" i="4"/>
  <c r="M681" i="4"/>
  <c r="V685" i="4"/>
  <c r="O689" i="4"/>
  <c r="I698" i="4"/>
  <c r="W702" i="4"/>
  <c r="T724" i="4"/>
  <c r="H725" i="4"/>
  <c r="N725" i="4" s="1"/>
  <c r="S759" i="4"/>
  <c r="P776" i="4"/>
  <c r="M787" i="4"/>
  <c r="J796" i="4"/>
  <c r="G796" i="4"/>
  <c r="T796" i="4"/>
  <c r="P796" i="4"/>
  <c r="V796" i="4"/>
  <c r="U799" i="4"/>
  <c r="J799" i="4"/>
  <c r="U869" i="4"/>
  <c r="G869" i="4"/>
  <c r="R938" i="4"/>
  <c r="H938" i="4"/>
  <c r="N938" i="4" s="1"/>
  <c r="U1066" i="4"/>
  <c r="K1066" i="4"/>
  <c r="P1066" i="4"/>
  <c r="G1066" i="4"/>
  <c r="W1066" i="4"/>
  <c r="V1066" i="4"/>
  <c r="R1099" i="4"/>
  <c r="H1099" i="4"/>
  <c r="N1099" i="4" s="1"/>
  <c r="S1099" i="4"/>
  <c r="I812" i="4"/>
  <c r="I813" i="4"/>
  <c r="I814" i="4"/>
  <c r="J815" i="4"/>
  <c r="O848" i="4"/>
  <c r="H855" i="4"/>
  <c r="O856" i="4"/>
  <c r="M872" i="4"/>
  <c r="H876" i="4"/>
  <c r="N876" i="4" s="1"/>
  <c r="Q877" i="4"/>
  <c r="R878" i="4"/>
  <c r="K879" i="4"/>
  <c r="M881" i="4"/>
  <c r="U888" i="4"/>
  <c r="S889" i="4"/>
  <c r="G890" i="4"/>
  <c r="O896" i="4"/>
  <c r="G897" i="4"/>
  <c r="O898" i="4"/>
  <c r="P904" i="4"/>
  <c r="W906" i="4"/>
  <c r="I907" i="4"/>
  <c r="R909" i="4"/>
  <c r="H910" i="4"/>
  <c r="N910" i="4" s="1"/>
  <c r="Q911" i="4"/>
  <c r="W917" i="4"/>
  <c r="I918" i="4"/>
  <c r="R929" i="4"/>
  <c r="M930" i="4"/>
  <c r="Q935" i="4"/>
  <c r="V939" i="4"/>
  <c r="M941" i="4"/>
  <c r="K944" i="4"/>
  <c r="S946" i="4"/>
  <c r="T947" i="4"/>
  <c r="R949" i="4"/>
  <c r="I950" i="4"/>
  <c r="S958" i="4"/>
  <c r="V965" i="4"/>
  <c r="W966" i="4"/>
  <c r="R967" i="4"/>
  <c r="O969" i="4"/>
  <c r="G978" i="4"/>
  <c r="U979" i="4"/>
  <c r="T980" i="4"/>
  <c r="H981" i="4"/>
  <c r="T1005" i="4"/>
  <c r="P1005" i="4"/>
  <c r="M1005" i="4"/>
  <c r="R1010" i="4"/>
  <c r="S1010" i="4"/>
  <c r="M1038" i="4"/>
  <c r="W1047" i="4"/>
  <c r="O1062" i="4"/>
  <c r="O1063" i="4"/>
  <c r="S1072" i="4"/>
  <c r="H1072" i="4"/>
  <c r="R1073" i="4"/>
  <c r="I1073" i="4"/>
  <c r="S1082" i="4"/>
  <c r="J1111" i="4"/>
  <c r="M1111" i="4"/>
  <c r="G1111" i="4"/>
  <c r="V1111" i="4"/>
  <c r="T1111" i="4"/>
  <c r="G797" i="4"/>
  <c r="H806" i="4"/>
  <c r="L806" i="4" s="1"/>
  <c r="G807" i="4"/>
  <c r="S811" i="4"/>
  <c r="V815" i="4"/>
  <c r="G816" i="4"/>
  <c r="H836" i="4"/>
  <c r="P848" i="4"/>
  <c r="H849" i="4"/>
  <c r="L849" i="4" s="1"/>
  <c r="H863" i="4"/>
  <c r="H864" i="4"/>
  <c r="L864" i="4" s="1"/>
  <c r="J866" i="4"/>
  <c r="G867" i="4"/>
  <c r="V872" i="4"/>
  <c r="G874" i="4"/>
  <c r="R876" i="4"/>
  <c r="O879" i="4"/>
  <c r="J886" i="4"/>
  <c r="U889" i="4"/>
  <c r="J890" i="4"/>
  <c r="M897" i="4"/>
  <c r="R898" i="4"/>
  <c r="G899" i="4"/>
  <c r="V904" i="4"/>
  <c r="S907" i="4"/>
  <c r="S909" i="4"/>
  <c r="Q910" i="4"/>
  <c r="O918" i="4"/>
  <c r="O930" i="4"/>
  <c r="R941" i="4"/>
  <c r="M944" i="4"/>
  <c r="J978" i="4"/>
  <c r="W980" i="4"/>
  <c r="M981" i="4"/>
  <c r="J985" i="4"/>
  <c r="R998" i="4"/>
  <c r="I998" i="4"/>
  <c r="W1014" i="4"/>
  <c r="J1029" i="4"/>
  <c r="S1080" i="4"/>
  <c r="I1080" i="4"/>
  <c r="R1087" i="4"/>
  <c r="H1087" i="4"/>
  <c r="R1103" i="4"/>
  <c r="S1103" i="4"/>
  <c r="W1199" i="4"/>
  <c r="V1199" i="4"/>
  <c r="K1199" i="4"/>
  <c r="V898" i="4"/>
  <c r="S918" i="4"/>
  <c r="V944" i="4"/>
  <c r="M978" i="4"/>
  <c r="P981" i="4"/>
  <c r="P1038" i="4"/>
  <c r="J1038" i="4"/>
  <c r="T1038" i="4"/>
  <c r="Q1050" i="4"/>
  <c r="R1050" i="4"/>
  <c r="P1062" i="4"/>
  <c r="M1062" i="4"/>
  <c r="G1062" i="4"/>
  <c r="H1085" i="4"/>
  <c r="L1085" i="4" s="1"/>
  <c r="R1085" i="4"/>
  <c r="U1130" i="4"/>
  <c r="K1130" i="4"/>
  <c r="G1130" i="4"/>
  <c r="W1130" i="4"/>
  <c r="O797" i="4"/>
  <c r="P800" i="4"/>
  <c r="I804" i="4"/>
  <c r="V807" i="4"/>
  <c r="G808" i="4"/>
  <c r="O816" i="4"/>
  <c r="T819" i="4"/>
  <c r="M829" i="4"/>
  <c r="S836" i="4"/>
  <c r="G839" i="4"/>
  <c r="Q842" i="4"/>
  <c r="J843" i="4"/>
  <c r="P864" i="4"/>
  <c r="K867" i="4"/>
  <c r="V886" i="4"/>
  <c r="P899" i="4"/>
  <c r="W930" i="4"/>
  <c r="Q931" i="4"/>
  <c r="G956" i="4"/>
  <c r="T963" i="4"/>
  <c r="G964" i="4"/>
  <c r="O978" i="4"/>
  <c r="V981" i="4"/>
  <c r="I983" i="4"/>
  <c r="T985" i="4"/>
  <c r="I987" i="4"/>
  <c r="H989" i="4"/>
  <c r="J1011" i="4"/>
  <c r="V1011" i="4"/>
  <c r="U1011" i="4"/>
  <c r="T1013" i="4"/>
  <c r="P1013" i="4"/>
  <c r="H1024" i="4"/>
  <c r="N1024" i="4" s="1"/>
  <c r="G1027" i="4"/>
  <c r="P1027" i="4"/>
  <c r="P1030" i="4"/>
  <c r="T1030" i="4"/>
  <c r="P1036" i="4"/>
  <c r="K1036" i="4"/>
  <c r="V1038" i="4"/>
  <c r="R1063" i="4"/>
  <c r="I1063" i="4"/>
  <c r="H1077" i="4"/>
  <c r="L1077" i="4" s="1"/>
  <c r="S1077" i="4"/>
  <c r="I1077" i="4"/>
  <c r="S1084" i="4"/>
  <c r="Q1084" i="4"/>
  <c r="I1092" i="4"/>
  <c r="P797" i="4"/>
  <c r="P804" i="4"/>
  <c r="W807" i="4"/>
  <c r="P808" i="4"/>
  <c r="P816" i="4"/>
  <c r="T817" i="4"/>
  <c r="W819" i="4"/>
  <c r="O820" i="4"/>
  <c r="O829" i="4"/>
  <c r="V836" i="4"/>
  <c r="P837" i="4"/>
  <c r="U838" i="4"/>
  <c r="K839" i="4"/>
  <c r="P843" i="4"/>
  <c r="W849" i="4"/>
  <c r="M851" i="4"/>
  <c r="T864" i="4"/>
  <c r="M867" i="4"/>
  <c r="M880" i="4"/>
  <c r="S883" i="4"/>
  <c r="M887" i="4"/>
  <c r="S899" i="4"/>
  <c r="U901" i="4"/>
  <c r="T902" i="4"/>
  <c r="Q903" i="4"/>
  <c r="G904" i="4"/>
  <c r="G917" i="4"/>
  <c r="V920" i="4"/>
  <c r="G932" i="4"/>
  <c r="J933" i="4"/>
  <c r="M956" i="4"/>
  <c r="J964" i="4"/>
  <c r="O972" i="4"/>
  <c r="S978" i="4"/>
  <c r="S982" i="4"/>
  <c r="Q983" i="4"/>
  <c r="W986" i="4"/>
  <c r="Q987" i="4"/>
  <c r="M989" i="4"/>
  <c r="K996" i="4"/>
  <c r="T996" i="4"/>
  <c r="G996" i="4"/>
  <c r="V996" i="4"/>
  <c r="G997" i="4"/>
  <c r="V1002" i="4"/>
  <c r="W1002" i="4"/>
  <c r="O1002" i="4"/>
  <c r="M1002" i="4"/>
  <c r="R1006" i="4"/>
  <c r="S1006" i="4"/>
  <c r="S1007" i="4"/>
  <c r="I1007" i="4"/>
  <c r="K1012" i="4"/>
  <c r="W1012" i="4"/>
  <c r="G1018" i="4"/>
  <c r="I1024" i="4"/>
  <c r="W1027" i="4"/>
  <c r="H1029" i="4"/>
  <c r="L1029" i="4" s="1"/>
  <c r="I1029" i="4"/>
  <c r="M1031" i="4"/>
  <c r="P1039" i="4"/>
  <c r="M1045" i="4"/>
  <c r="J1054" i="4"/>
  <c r="G1059" i="4"/>
  <c r="T1091" i="4"/>
  <c r="T1121" i="4"/>
  <c r="O1121" i="4"/>
  <c r="J1121" i="4"/>
  <c r="W1121" i="4"/>
  <c r="V1121" i="4"/>
  <c r="U1121" i="4"/>
  <c r="U1195" i="4"/>
  <c r="V1195" i="4"/>
  <c r="G1195" i="4"/>
  <c r="U797" i="4"/>
  <c r="T804" i="4"/>
  <c r="I826" i="4"/>
  <c r="Q829" i="4"/>
  <c r="H830" i="4"/>
  <c r="L830" i="4" s="1"/>
  <c r="P839" i="4"/>
  <c r="W843" i="4"/>
  <c r="P851" i="4"/>
  <c r="H859" i="4"/>
  <c r="P867" i="4"/>
  <c r="T894" i="4"/>
  <c r="W903" i="4"/>
  <c r="K917" i="4"/>
  <c r="T932" i="4"/>
  <c r="O933" i="4"/>
  <c r="M938" i="4"/>
  <c r="T956" i="4"/>
  <c r="O964" i="4"/>
  <c r="T978" i="4"/>
  <c r="T987" i="4"/>
  <c r="O989" i="4"/>
  <c r="Q1024" i="4"/>
  <c r="R1026" i="4"/>
  <c r="S1026" i="4"/>
  <c r="V1030" i="4"/>
  <c r="O1054" i="4"/>
  <c r="J1071" i="4"/>
  <c r="T1071" i="4"/>
  <c r="P1071" i="4"/>
  <c r="K1071" i="4"/>
  <c r="T1075" i="4"/>
  <c r="P1075" i="4"/>
  <c r="R1091" i="4"/>
  <c r="I1091" i="4"/>
  <c r="J1095" i="4"/>
  <c r="T1095" i="4"/>
  <c r="P1095" i="4"/>
  <c r="O1095" i="4"/>
  <c r="W1100" i="4"/>
  <c r="U1100" i="4"/>
  <c r="T1194" i="4"/>
  <c r="U1194" i="4"/>
  <c r="O895" i="4"/>
  <c r="M904" i="4"/>
  <c r="M917" i="4"/>
  <c r="P933" i="4"/>
  <c r="U978" i="4"/>
  <c r="S989" i="4"/>
  <c r="V994" i="4"/>
  <c r="P994" i="4"/>
  <c r="T997" i="4"/>
  <c r="V997" i="4"/>
  <c r="O997" i="4"/>
  <c r="O1018" i="4"/>
  <c r="J1018" i="4"/>
  <c r="V1018" i="4"/>
  <c r="S1020" i="4"/>
  <c r="Q1020" i="4"/>
  <c r="J1031" i="4"/>
  <c r="P1031" i="4"/>
  <c r="G1031" i="4"/>
  <c r="U1031" i="4"/>
  <c r="V1045" i="4"/>
  <c r="J1045" i="4"/>
  <c r="J1047" i="4"/>
  <c r="K1047" i="4"/>
  <c r="P1047" i="4"/>
  <c r="U1054" i="4"/>
  <c r="P1059" i="4"/>
  <c r="J1059" i="4"/>
  <c r="T1105" i="4"/>
  <c r="U1105" i="4"/>
  <c r="J1105" i="4"/>
  <c r="G1105" i="4"/>
  <c r="K1177" i="4"/>
  <c r="O1177" i="4"/>
  <c r="W1177" i="4"/>
  <c r="U1177" i="4"/>
  <c r="H991" i="4"/>
  <c r="R992" i="4"/>
  <c r="H995" i="4"/>
  <c r="N995" i="4" s="1"/>
  <c r="R999" i="4"/>
  <c r="I1015" i="4"/>
  <c r="I1016" i="4"/>
  <c r="P1023" i="4"/>
  <c r="P1041" i="4"/>
  <c r="U1055" i="4"/>
  <c r="P1056" i="4"/>
  <c r="K1058" i="4"/>
  <c r="P1067" i="4"/>
  <c r="H1068" i="4"/>
  <c r="N1068" i="4" s="1"/>
  <c r="Q1069" i="4"/>
  <c r="S1083" i="4"/>
  <c r="M1086" i="4"/>
  <c r="P1090" i="4"/>
  <c r="O1098" i="4"/>
  <c r="T1104" i="4"/>
  <c r="S1111" i="4"/>
  <c r="T1115" i="4"/>
  <c r="P1116" i="4"/>
  <c r="Q1117" i="4"/>
  <c r="M1118" i="4"/>
  <c r="S1131" i="4"/>
  <c r="K1133" i="4"/>
  <c r="V1135" i="4"/>
  <c r="S1136" i="4"/>
  <c r="G1137" i="4"/>
  <c r="J1148" i="4"/>
  <c r="O1153" i="4"/>
  <c r="W1156" i="4"/>
  <c r="T1157" i="4"/>
  <c r="P1159" i="4"/>
  <c r="I1160" i="4"/>
  <c r="H1162" i="4"/>
  <c r="P1164" i="4"/>
  <c r="H1165" i="4"/>
  <c r="L1165" i="4" s="1"/>
  <c r="J1166" i="4"/>
  <c r="K1167" i="4"/>
  <c r="G1169" i="4"/>
  <c r="I1178" i="4"/>
  <c r="J1179" i="4"/>
  <c r="K1180" i="4"/>
  <c r="U1183" i="4"/>
  <c r="V1184" i="4"/>
  <c r="M1185" i="4"/>
  <c r="P1191" i="4"/>
  <c r="P1196" i="4"/>
  <c r="R1200" i="4"/>
  <c r="S1200" i="4"/>
  <c r="S1201" i="4"/>
  <c r="H1201" i="4"/>
  <c r="L1201" i="4" s="1"/>
  <c r="W1056" i="4"/>
  <c r="Q1058" i="4"/>
  <c r="Q1067" i="4"/>
  <c r="T1086" i="4"/>
  <c r="S1090" i="4"/>
  <c r="U1116" i="4"/>
  <c r="T1131" i="4"/>
  <c r="U1132" i="4"/>
  <c r="P1133" i="4"/>
  <c r="I1134" i="4"/>
  <c r="V1136" i="4"/>
  <c r="M1137" i="4"/>
  <c r="M1148" i="4"/>
  <c r="U1166" i="4"/>
  <c r="S1168" i="4"/>
  <c r="M1169" i="4"/>
  <c r="W1179" i="4"/>
  <c r="P1180" i="4"/>
  <c r="O1185" i="4"/>
  <c r="H1189" i="4"/>
  <c r="U1191" i="4"/>
  <c r="O1137" i="4"/>
  <c r="H1149" i="4"/>
  <c r="N1149" i="4" s="1"/>
  <c r="T1167" i="4"/>
  <c r="O1169" i="4"/>
  <c r="J1171" i="4"/>
  <c r="G1172" i="4"/>
  <c r="K1175" i="4"/>
  <c r="W1180" i="4"/>
  <c r="S1188" i="4"/>
  <c r="Q1189" i="4"/>
  <c r="P1024" i="4"/>
  <c r="S1038" i="4"/>
  <c r="O1042" i="4"/>
  <c r="W1046" i="4"/>
  <c r="W1058" i="4"/>
  <c r="S1062" i="4"/>
  <c r="T1072" i="4"/>
  <c r="U1080" i="4"/>
  <c r="W1086" i="4"/>
  <c r="W1090" i="4"/>
  <c r="O1094" i="4"/>
  <c r="T1099" i="4"/>
  <c r="Q1112" i="4"/>
  <c r="P1119" i="4"/>
  <c r="H1120" i="4"/>
  <c r="P1122" i="4"/>
  <c r="G1126" i="4"/>
  <c r="Q1134" i="4"/>
  <c r="P1137" i="4"/>
  <c r="W1148" i="4"/>
  <c r="I1149" i="4"/>
  <c r="I1150" i="4"/>
  <c r="J1151" i="4"/>
  <c r="V1153" i="4"/>
  <c r="Q1154" i="4"/>
  <c r="G1155" i="4"/>
  <c r="T1169" i="4"/>
  <c r="V1170" i="4"/>
  <c r="V1171" i="4"/>
  <c r="K1172" i="4"/>
  <c r="G1176" i="4"/>
  <c r="V1185" i="4"/>
  <c r="H1186" i="4"/>
  <c r="L1186" i="4" s="1"/>
  <c r="S1192" i="4"/>
  <c r="H1193" i="4"/>
  <c r="N1193" i="4" s="1"/>
  <c r="S1134" i="4"/>
  <c r="J1135" i="4"/>
  <c r="Q1138" i="4"/>
  <c r="J1140" i="4"/>
  <c r="G1142" i="4"/>
  <c r="J1143" i="4"/>
  <c r="U1154" i="4"/>
  <c r="G1156" i="4"/>
  <c r="M1172" i="4"/>
  <c r="U1175" i="4"/>
  <c r="S1186" i="4"/>
  <c r="Q1120" i="4"/>
  <c r="M1126" i="4"/>
  <c r="O1129" i="4"/>
  <c r="K1135" i="4"/>
  <c r="S1138" i="4"/>
  <c r="V1139" i="4"/>
  <c r="M1140" i="4"/>
  <c r="U1142" i="4"/>
  <c r="K1143" i="4"/>
  <c r="P1151" i="4"/>
  <c r="W1155" i="4"/>
  <c r="K1156" i="4"/>
  <c r="P1172" i="4"/>
  <c r="T1176" i="4"/>
  <c r="P1193" i="4"/>
  <c r="K1202" i="4"/>
  <c r="T1202" i="4"/>
  <c r="V1129" i="4"/>
  <c r="P1135" i="4"/>
  <c r="O1140" i="4"/>
  <c r="P1143" i="4"/>
  <c r="O1156" i="4"/>
  <c r="U1172" i="4"/>
  <c r="R1202" i="4"/>
  <c r="H1213" i="4"/>
  <c r="Q1214" i="4"/>
  <c r="I1221" i="4"/>
  <c r="J1224" i="4"/>
  <c r="M1228" i="4"/>
  <c r="T1236" i="4"/>
  <c r="G1237" i="4"/>
  <c r="T1245" i="4"/>
  <c r="P1255" i="4"/>
  <c r="S1268" i="4"/>
  <c r="G1278" i="4"/>
  <c r="J1281" i="4"/>
  <c r="W1285" i="4"/>
  <c r="I1286" i="4"/>
  <c r="H1287" i="4"/>
  <c r="S1288" i="4"/>
  <c r="J1289" i="4"/>
  <c r="Q1290" i="4"/>
  <c r="V1291" i="4"/>
  <c r="O1292" i="4"/>
  <c r="H1293" i="4"/>
  <c r="M1300" i="4"/>
  <c r="V1301" i="4"/>
  <c r="O1302" i="4"/>
  <c r="V1307" i="4"/>
  <c r="J1308" i="4"/>
  <c r="P1309" i="4"/>
  <c r="V1318" i="4"/>
  <c r="P1319" i="4"/>
  <c r="U1324" i="4"/>
  <c r="G1325" i="4"/>
  <c r="P1333" i="4"/>
  <c r="S1341" i="4"/>
  <c r="H1342" i="4"/>
  <c r="L1342" i="4" s="1"/>
  <c r="Q1346" i="4"/>
  <c r="U1347" i="4"/>
  <c r="O1348" i="4"/>
  <c r="U1351" i="4"/>
  <c r="G1352" i="4"/>
  <c r="U1360" i="4"/>
  <c r="I1361" i="4"/>
  <c r="H1363" i="4"/>
  <c r="L1363" i="4" s="1"/>
  <c r="P1364" i="4"/>
  <c r="M1365" i="4"/>
  <c r="M1366" i="4"/>
  <c r="P1371" i="4"/>
  <c r="T1374" i="4"/>
  <c r="Q1375" i="4"/>
  <c r="G1376" i="4"/>
  <c r="P1378" i="4"/>
  <c r="G1379" i="4"/>
  <c r="J1380" i="4"/>
  <c r="M1382" i="4"/>
  <c r="P1385" i="4"/>
  <c r="G1391" i="4"/>
  <c r="U1397" i="4"/>
  <c r="J1398" i="4"/>
  <c r="U1405" i="4"/>
  <c r="K1406" i="4"/>
  <c r="K1411" i="4"/>
  <c r="H1412" i="4"/>
  <c r="G1415" i="4"/>
  <c r="J1421" i="4"/>
  <c r="I1429" i="4"/>
  <c r="J1430" i="4"/>
  <c r="V1432" i="4"/>
  <c r="M1433" i="4"/>
  <c r="G1440" i="4"/>
  <c r="M1441" i="4"/>
  <c r="I1449" i="4"/>
  <c r="T1455" i="4"/>
  <c r="H1457" i="4"/>
  <c r="L1457" i="4" s="1"/>
  <c r="P1464" i="4"/>
  <c r="U1472" i="4"/>
  <c r="H1473" i="4"/>
  <c r="L1473" i="4" s="1"/>
  <c r="W1474" i="4"/>
  <c r="H1475" i="4"/>
  <c r="H1491" i="4"/>
  <c r="L1491" i="4" s="1"/>
  <c r="R1493" i="4"/>
  <c r="H1493" i="4"/>
  <c r="R1514" i="4"/>
  <c r="H1514" i="4"/>
  <c r="R1541" i="4"/>
  <c r="S1541" i="4"/>
  <c r="H1541" i="4"/>
  <c r="N1541" i="4" s="1"/>
  <c r="S1203" i="4"/>
  <c r="S1212" i="4"/>
  <c r="W1214" i="4"/>
  <c r="O1221" i="4"/>
  <c r="K1224" i="4"/>
  <c r="O1228" i="4"/>
  <c r="V1236" i="4"/>
  <c r="K1237" i="4"/>
  <c r="I1241" i="4"/>
  <c r="V1255" i="4"/>
  <c r="T1268" i="4"/>
  <c r="G1269" i="4"/>
  <c r="J1275" i="4"/>
  <c r="O1277" i="4"/>
  <c r="M1278" i="4"/>
  <c r="G1279" i="4"/>
  <c r="W1280" i="4"/>
  <c r="P1281" i="4"/>
  <c r="O1286" i="4"/>
  <c r="P1287" i="4"/>
  <c r="W1288" i="4"/>
  <c r="W1292" i="4"/>
  <c r="M1293" i="4"/>
  <c r="I1294" i="4"/>
  <c r="T1300" i="4"/>
  <c r="Q1302" i="4"/>
  <c r="O1308" i="4"/>
  <c r="S1309" i="4"/>
  <c r="V1319" i="4"/>
  <c r="V1324" i="4"/>
  <c r="M1325" i="4"/>
  <c r="S1333" i="4"/>
  <c r="H1334" i="4"/>
  <c r="W1341" i="4"/>
  <c r="I1342" i="4"/>
  <c r="H1343" i="4"/>
  <c r="L1343" i="4" s="1"/>
  <c r="H1344" i="4"/>
  <c r="N1344" i="4" s="1"/>
  <c r="S1348" i="4"/>
  <c r="V1351" i="4"/>
  <c r="J1352" i="4"/>
  <c r="Q1361" i="4"/>
  <c r="Q1364" i="4"/>
  <c r="S1365" i="4"/>
  <c r="P1366" i="4"/>
  <c r="I1369" i="4"/>
  <c r="U1371" i="4"/>
  <c r="V1374" i="4"/>
  <c r="S1375" i="4"/>
  <c r="O1376" i="4"/>
  <c r="V1378" i="4"/>
  <c r="K1379" i="4"/>
  <c r="P1382" i="4"/>
  <c r="H1383" i="4"/>
  <c r="S1385" i="4"/>
  <c r="H1386" i="4"/>
  <c r="N1386" i="4" s="1"/>
  <c r="K1388" i="4"/>
  <c r="U1390" i="4"/>
  <c r="S1391" i="4"/>
  <c r="U1433" i="4"/>
  <c r="Q1449" i="4"/>
  <c r="U1464" i="4"/>
  <c r="M1473" i="4"/>
  <c r="S1221" i="4"/>
  <c r="P1222" i="4"/>
  <c r="P1224" i="4"/>
  <c r="P1228" i="4"/>
  <c r="T1234" i="4"/>
  <c r="J1235" i="4"/>
  <c r="M1237" i="4"/>
  <c r="R1241" i="4"/>
  <c r="I1242" i="4"/>
  <c r="Q1256" i="4"/>
  <c r="V1268" i="4"/>
  <c r="O1269" i="4"/>
  <c r="K1275" i="4"/>
  <c r="S1276" i="4"/>
  <c r="V1278" i="4"/>
  <c r="O1279" i="4"/>
  <c r="U1293" i="4"/>
  <c r="U1300" i="4"/>
  <c r="S1302" i="4"/>
  <c r="S1308" i="4"/>
  <c r="T1309" i="4"/>
  <c r="M1310" i="4"/>
  <c r="S1316" i="4"/>
  <c r="J1317" i="4"/>
  <c r="W1319" i="4"/>
  <c r="O1325" i="4"/>
  <c r="P1352" i="4"/>
  <c r="S1361" i="4"/>
  <c r="S1366" i="4"/>
  <c r="O1367" i="4"/>
  <c r="Q1369" i="4"/>
  <c r="P1376" i="4"/>
  <c r="V1382" i="4"/>
  <c r="I1383" i="4"/>
  <c r="V1385" i="4"/>
  <c r="R1386" i="4"/>
  <c r="P1388" i="4"/>
  <c r="T1391" i="4"/>
  <c r="H1392" i="4"/>
  <c r="L1392" i="4" s="1"/>
  <c r="P1398" i="4"/>
  <c r="G1400" i="4"/>
  <c r="T1406" i="4"/>
  <c r="G1407" i="4"/>
  <c r="I1409" i="4"/>
  <c r="S1412" i="4"/>
  <c r="R1413" i="4"/>
  <c r="U1415" i="4"/>
  <c r="Q1417" i="4"/>
  <c r="W1418" i="4"/>
  <c r="I1419" i="4"/>
  <c r="P1424" i="4"/>
  <c r="V1430" i="4"/>
  <c r="V1433" i="4"/>
  <c r="O1434" i="4"/>
  <c r="M1440" i="4"/>
  <c r="O1443" i="4"/>
  <c r="I1445" i="4"/>
  <c r="I1452" i="4"/>
  <c r="Q1453" i="4"/>
  <c r="K1454" i="4"/>
  <c r="V1455" i="4"/>
  <c r="Q1457" i="4"/>
  <c r="H1458" i="4"/>
  <c r="L1458" i="4" s="1"/>
  <c r="I1463" i="4"/>
  <c r="V1464" i="4"/>
  <c r="U1465" i="4"/>
  <c r="O1473" i="4"/>
  <c r="Q1475" i="4"/>
  <c r="U1228" i="4"/>
  <c r="I1229" i="4"/>
  <c r="I1232" i="4"/>
  <c r="I1233" i="4"/>
  <c r="U1234" i="4"/>
  <c r="K1235" i="4"/>
  <c r="P1237" i="4"/>
  <c r="T1241" i="4"/>
  <c r="M1242" i="4"/>
  <c r="H1249" i="4"/>
  <c r="N1249" i="4" s="1"/>
  <c r="J1251" i="4"/>
  <c r="H1253" i="4"/>
  <c r="N1253" i="4" s="1"/>
  <c r="G1254" i="4"/>
  <c r="P1269" i="4"/>
  <c r="M1270" i="4"/>
  <c r="O1271" i="4"/>
  <c r="R1275" i="4"/>
  <c r="V1300" i="4"/>
  <c r="G1301" i="4"/>
  <c r="V1302" i="4"/>
  <c r="P1303" i="4"/>
  <c r="T1308" i="4"/>
  <c r="U1309" i="4"/>
  <c r="O1310" i="4"/>
  <c r="U1315" i="4"/>
  <c r="S1317" i="4"/>
  <c r="G1318" i="4"/>
  <c r="P1325" i="4"/>
  <c r="T1352" i="4"/>
  <c r="T1366" i="4"/>
  <c r="Q1367" i="4"/>
  <c r="U1376" i="4"/>
  <c r="G1377" i="4"/>
  <c r="Q1383" i="4"/>
  <c r="O1384" i="4"/>
  <c r="W1386" i="4"/>
  <c r="W1391" i="4"/>
  <c r="J1392" i="4"/>
  <c r="T1398" i="4"/>
  <c r="T1399" i="4"/>
  <c r="M1400" i="4"/>
  <c r="O1401" i="4"/>
  <c r="U1406" i="4"/>
  <c r="Q1409" i="4"/>
  <c r="H1426" i="4"/>
  <c r="L1426" i="4" s="1"/>
  <c r="H1427" i="4"/>
  <c r="H1432" i="4"/>
  <c r="N1432" i="4" s="1"/>
  <c r="H1450" i="4"/>
  <c r="L1450" i="4" s="1"/>
  <c r="G1451" i="4"/>
  <c r="Q1452" i="4"/>
  <c r="P1454" i="4"/>
  <c r="S1457" i="4"/>
  <c r="I1458" i="4"/>
  <c r="G1459" i="4"/>
  <c r="Q1463" i="4"/>
  <c r="G1464" i="4"/>
  <c r="W1466" i="4"/>
  <c r="H1467" i="4"/>
  <c r="Q1473" i="4"/>
  <c r="G1485" i="4"/>
  <c r="H1486" i="4"/>
  <c r="N1486" i="4" s="1"/>
  <c r="R1510" i="4"/>
  <c r="S1510" i="4"/>
  <c r="H1209" i="4"/>
  <c r="N1209" i="4" s="1"/>
  <c r="V1228" i="4"/>
  <c r="O1229" i="4"/>
  <c r="H1230" i="4"/>
  <c r="L1230" i="4" s="1"/>
  <c r="Q1232" i="4"/>
  <c r="T1235" i="4"/>
  <c r="J1236" i="4"/>
  <c r="V1237" i="4"/>
  <c r="G1238" i="4"/>
  <c r="Q1239" i="4"/>
  <c r="I1248" i="4"/>
  <c r="Q1249" i="4"/>
  <c r="Q1250" i="4"/>
  <c r="T1251" i="4"/>
  <c r="T1253" i="4"/>
  <c r="M1254" i="4"/>
  <c r="M1260" i="4"/>
  <c r="H1261" i="4"/>
  <c r="N1261" i="4" s="1"/>
  <c r="S1269" i="4"/>
  <c r="I1298" i="4"/>
  <c r="J1299" i="4"/>
  <c r="W1300" i="4"/>
  <c r="K1301" i="4"/>
  <c r="V1303" i="4"/>
  <c r="G1304" i="4"/>
  <c r="U1308" i="4"/>
  <c r="G1309" i="4"/>
  <c r="Q1310" i="4"/>
  <c r="O1311" i="4"/>
  <c r="O1318" i="4"/>
  <c r="K1323" i="4"/>
  <c r="G1324" i="4"/>
  <c r="S1325" i="4"/>
  <c r="M1326" i="4"/>
  <c r="T1331" i="4"/>
  <c r="O1332" i="4"/>
  <c r="S1336" i="4"/>
  <c r="P1337" i="4"/>
  <c r="T1340" i="4"/>
  <c r="K1341" i="4"/>
  <c r="P1349" i="4"/>
  <c r="V1352" i="4"/>
  <c r="H1353" i="4"/>
  <c r="G1359" i="4"/>
  <c r="T1367" i="4"/>
  <c r="V1376" i="4"/>
  <c r="M1377" i="4"/>
  <c r="S1383" i="4"/>
  <c r="P1384" i="4"/>
  <c r="H1393" i="4"/>
  <c r="U1398" i="4"/>
  <c r="V1400" i="4"/>
  <c r="U1407" i="4"/>
  <c r="S1425" i="4"/>
  <c r="V1426" i="4"/>
  <c r="M1432" i="4"/>
  <c r="K1438" i="4"/>
  <c r="I1439" i="4"/>
  <c r="P1440" i="4"/>
  <c r="P1446" i="4"/>
  <c r="V1450" i="4"/>
  <c r="T1454" i="4"/>
  <c r="Q1458" i="4"/>
  <c r="O1459" i="4"/>
  <c r="S1463" i="4"/>
  <c r="H1464" i="4"/>
  <c r="O1467" i="4"/>
  <c r="S1471" i="4"/>
  <c r="G1472" i="4"/>
  <c r="S1473" i="4"/>
  <c r="I1479" i="4"/>
  <c r="H1481" i="4"/>
  <c r="L1481" i="4" s="1"/>
  <c r="H1482" i="4"/>
  <c r="T1485" i="4"/>
  <c r="I1486" i="4"/>
  <c r="I1487" i="4"/>
  <c r="R1490" i="4"/>
  <c r="Q1490" i="4"/>
  <c r="H1490" i="4"/>
  <c r="N1490" i="4" s="1"/>
  <c r="O1206" i="4"/>
  <c r="K1207" i="4"/>
  <c r="K1227" i="4"/>
  <c r="S1229" i="4"/>
  <c r="Q1230" i="4"/>
  <c r="V1235" i="4"/>
  <c r="O1236" i="4"/>
  <c r="W1237" i="4"/>
  <c r="M1238" i="4"/>
  <c r="W1247" i="4"/>
  <c r="T1249" i="4"/>
  <c r="U1251" i="4"/>
  <c r="O1254" i="4"/>
  <c r="P1260" i="4"/>
  <c r="I1261" i="4"/>
  <c r="W1271" i="4"/>
  <c r="H1272" i="4"/>
  <c r="O1284" i="4"/>
  <c r="K1285" i="4"/>
  <c r="J1297" i="4"/>
  <c r="O1301" i="4"/>
  <c r="W1303" i="4"/>
  <c r="O1304" i="4"/>
  <c r="W1308" i="4"/>
  <c r="H1309" i="4"/>
  <c r="U1310" i="4"/>
  <c r="P1311" i="4"/>
  <c r="H1312" i="4"/>
  <c r="N1312" i="4" s="1"/>
  <c r="Q1318" i="4"/>
  <c r="U1323" i="4"/>
  <c r="O1324" i="4"/>
  <c r="T1325" i="4"/>
  <c r="O1326" i="4"/>
  <c r="O1327" i="4"/>
  <c r="T1332" i="4"/>
  <c r="K1333" i="4"/>
  <c r="U1340" i="4"/>
  <c r="M1341" i="4"/>
  <c r="S1349" i="4"/>
  <c r="H1350" i="4"/>
  <c r="L1350" i="4" s="1"/>
  <c r="W1352" i="4"/>
  <c r="I1353" i="4"/>
  <c r="H1355" i="4"/>
  <c r="S1358" i="4"/>
  <c r="I1359" i="4"/>
  <c r="H1374" i="4"/>
  <c r="O1377" i="4"/>
  <c r="U1384" i="4"/>
  <c r="G1385" i="4"/>
  <c r="I1393" i="4"/>
  <c r="P1394" i="4"/>
  <c r="I1396" i="4"/>
  <c r="G1397" i="4"/>
  <c r="P1459" i="4"/>
  <c r="K1464" i="4"/>
  <c r="H1472" i="4"/>
  <c r="U1473" i="4"/>
  <c r="G1474" i="4"/>
  <c r="R1479" i="4"/>
  <c r="T1480" i="4"/>
  <c r="R1481" i="4"/>
  <c r="I1482" i="4"/>
  <c r="S1486" i="4"/>
  <c r="P1494" i="4"/>
  <c r="U1498" i="4"/>
  <c r="T1498" i="4"/>
  <c r="R1525" i="4"/>
  <c r="S1525" i="4"/>
  <c r="H1525" i="4"/>
  <c r="N1525" i="4" s="1"/>
  <c r="H1202" i="4"/>
  <c r="L1202" i="4" s="1"/>
  <c r="Q1205" i="4"/>
  <c r="T1206" i="4"/>
  <c r="U1207" i="4"/>
  <c r="U1227" i="4"/>
  <c r="P1236" i="4"/>
  <c r="H1245" i="4"/>
  <c r="N1245" i="4" s="1"/>
  <c r="U1254" i="4"/>
  <c r="G1255" i="4"/>
  <c r="M1261" i="4"/>
  <c r="H1262" i="4"/>
  <c r="J1268" i="4"/>
  <c r="T1284" i="4"/>
  <c r="M1285" i="4"/>
  <c r="Q1296" i="4"/>
  <c r="U1299" i="4"/>
  <c r="G1300" i="4"/>
  <c r="P1301" i="4"/>
  <c r="M1309" i="4"/>
  <c r="V1311" i="4"/>
  <c r="I1312" i="4"/>
  <c r="S1318" i="4"/>
  <c r="U1332" i="4"/>
  <c r="M1333" i="4"/>
  <c r="O1341" i="4"/>
  <c r="W1349" i="4"/>
  <c r="I1350" i="4"/>
  <c r="M1351" i="4"/>
  <c r="S1353" i="4"/>
  <c r="I1354" i="4"/>
  <c r="G1356" i="4"/>
  <c r="S1359" i="4"/>
  <c r="G1360" i="4"/>
  <c r="J1374" i="4"/>
  <c r="Q1377" i="4"/>
  <c r="G1378" i="4"/>
  <c r="V1384" i="4"/>
  <c r="K1385" i="4"/>
  <c r="Q1393" i="4"/>
  <c r="K1397" i="4"/>
  <c r="Q1405" i="4"/>
  <c r="S1447" i="4"/>
  <c r="W1459" i="4"/>
  <c r="M1464" i="4"/>
  <c r="O1472" i="4"/>
  <c r="V1473" i="4"/>
  <c r="T1494" i="4"/>
  <c r="T1542" i="4"/>
  <c r="U1542" i="4"/>
  <c r="I1202" i="4"/>
  <c r="M1214" i="4"/>
  <c r="V1227" i="4"/>
  <c r="S1236" i="4"/>
  <c r="W1254" i="4"/>
  <c r="H1255" i="4"/>
  <c r="W1261" i="4"/>
  <c r="V1262" i="4"/>
  <c r="V1267" i="4"/>
  <c r="M1268" i="4"/>
  <c r="P1285" i="4"/>
  <c r="H1286" i="4"/>
  <c r="L1286" i="4" s="1"/>
  <c r="I1290" i="4"/>
  <c r="J1291" i="4"/>
  <c r="J1292" i="4"/>
  <c r="V1299" i="4"/>
  <c r="J1300" i="4"/>
  <c r="T1301" i="4"/>
  <c r="G1308" i="4"/>
  <c r="O1309" i="4"/>
  <c r="Q1312" i="4"/>
  <c r="U1318" i="4"/>
  <c r="G1319" i="4"/>
  <c r="T1324" i="4"/>
  <c r="W1327" i="4"/>
  <c r="I1328" i="4"/>
  <c r="O1333" i="4"/>
  <c r="I1346" i="4"/>
  <c r="J1347" i="4"/>
  <c r="G1348" i="4"/>
  <c r="Q1350" i="4"/>
  <c r="R1351" i="4"/>
  <c r="T1353" i="4"/>
  <c r="Q1355" i="4"/>
  <c r="K1356" i="4"/>
  <c r="U1359" i="4"/>
  <c r="K1360" i="4"/>
  <c r="H1361" i="4"/>
  <c r="N1361" i="4" s="1"/>
  <c r="K1364" i="4"/>
  <c r="G1371" i="4"/>
  <c r="S1377" i="4"/>
  <c r="O1378" i="4"/>
  <c r="I1381" i="4"/>
  <c r="J1382" i="4"/>
  <c r="M1385" i="4"/>
  <c r="W1394" i="4"/>
  <c r="R1397" i="4"/>
  <c r="T1405" i="4"/>
  <c r="J1406" i="4"/>
  <c r="G1433" i="4"/>
  <c r="S1439" i="4"/>
  <c r="W1440" i="4"/>
  <c r="H1441" i="4"/>
  <c r="L1441" i="4" s="1"/>
  <c r="P1448" i="4"/>
  <c r="H1449" i="4"/>
  <c r="L1449" i="4" s="1"/>
  <c r="O1455" i="4"/>
  <c r="O1464" i="4"/>
  <c r="T1472" i="4"/>
  <c r="G1473" i="4"/>
  <c r="V1474" i="4"/>
  <c r="S1482" i="4"/>
  <c r="T1502" i="4"/>
  <c r="O1502" i="4"/>
  <c r="R1530" i="4"/>
  <c r="I1530" i="4"/>
  <c r="M1572" i="4"/>
  <c r="T1594" i="4"/>
  <c r="U1657" i="4"/>
  <c r="S1669" i="4"/>
  <c r="V1710" i="4"/>
  <c r="O1712" i="4"/>
  <c r="R1729" i="4"/>
  <c r="P1733" i="4"/>
  <c r="T1772" i="4"/>
  <c r="K1772" i="4"/>
  <c r="G1772" i="4"/>
  <c r="R1800" i="4"/>
  <c r="Q1800" i="4"/>
  <c r="H1805" i="4"/>
  <c r="L1805" i="4" s="1"/>
  <c r="S1805" i="4"/>
  <c r="J1810" i="4"/>
  <c r="G1810" i="4"/>
  <c r="W1810" i="4"/>
  <c r="T1810" i="4"/>
  <c r="V1839" i="4"/>
  <c r="K1839" i="4"/>
  <c r="G1839" i="4"/>
  <c r="U1860" i="4"/>
  <c r="J1860" i="4"/>
  <c r="G1860" i="4"/>
  <c r="W1874" i="4"/>
  <c r="J1874" i="4"/>
  <c r="U1884" i="4"/>
  <c r="O1884" i="4"/>
  <c r="T1908" i="4"/>
  <c r="J1908" i="4"/>
  <c r="W1908" i="4"/>
  <c r="M1497" i="4"/>
  <c r="U1506" i="4"/>
  <c r="U1507" i="4"/>
  <c r="M1508" i="4"/>
  <c r="V1516" i="4"/>
  <c r="P1517" i="4"/>
  <c r="G1518" i="4"/>
  <c r="G1521" i="4"/>
  <c r="J1523" i="4"/>
  <c r="G1528" i="4"/>
  <c r="J1535" i="4"/>
  <c r="R1537" i="4"/>
  <c r="I1538" i="4"/>
  <c r="J1539" i="4"/>
  <c r="Q1542" i="4"/>
  <c r="H1550" i="4"/>
  <c r="L1550" i="4" s="1"/>
  <c r="Q1562" i="4"/>
  <c r="V1565" i="4"/>
  <c r="G1566" i="4"/>
  <c r="G1569" i="4"/>
  <c r="W1572" i="4"/>
  <c r="P1577" i="4"/>
  <c r="G1580" i="4"/>
  <c r="S1582" i="4"/>
  <c r="G1591" i="4"/>
  <c r="M1595" i="4"/>
  <c r="G1598" i="4"/>
  <c r="I1606" i="4"/>
  <c r="Q1631" i="4"/>
  <c r="Q1633" i="4"/>
  <c r="O1637" i="4"/>
  <c r="S1646" i="4"/>
  <c r="G1652" i="4"/>
  <c r="U1658" i="4"/>
  <c r="W1660" i="4"/>
  <c r="I1661" i="4"/>
  <c r="Q1662" i="4"/>
  <c r="V1680" i="4"/>
  <c r="Q1681" i="4"/>
  <c r="J1684" i="4"/>
  <c r="J1692" i="4"/>
  <c r="P1712" i="4"/>
  <c r="S1729" i="4"/>
  <c r="W1733" i="4"/>
  <c r="T1745" i="4"/>
  <c r="O1820" i="4"/>
  <c r="M1820" i="4"/>
  <c r="R1865" i="4"/>
  <c r="S1865" i="4"/>
  <c r="H1865" i="4"/>
  <c r="N1865" i="4" s="1"/>
  <c r="S1878" i="4"/>
  <c r="H1878" i="4"/>
  <c r="U1906" i="4"/>
  <c r="J1906" i="4"/>
  <c r="K1988" i="4"/>
  <c r="J1988" i="4"/>
  <c r="V1988" i="4"/>
  <c r="U1988" i="4"/>
  <c r="T1988" i="4"/>
  <c r="K1996" i="4"/>
  <c r="J1996" i="4"/>
  <c r="V1996" i="4"/>
  <c r="U1996" i="4"/>
  <c r="T1996" i="4"/>
  <c r="K1493" i="4"/>
  <c r="O1497" i="4"/>
  <c r="G1501" i="4"/>
  <c r="U1508" i="4"/>
  <c r="H1509" i="4"/>
  <c r="V1517" i="4"/>
  <c r="H1518" i="4"/>
  <c r="U1523" i="4"/>
  <c r="P1533" i="4"/>
  <c r="V1535" i="4"/>
  <c r="Q1538" i="4"/>
  <c r="M1539" i="4"/>
  <c r="S1542" i="4"/>
  <c r="H1543" i="4"/>
  <c r="L1543" i="4" s="1"/>
  <c r="U1548" i="4"/>
  <c r="O1550" i="4"/>
  <c r="W1565" i="4"/>
  <c r="M1566" i="4"/>
  <c r="J1567" i="4"/>
  <c r="Q1568" i="4"/>
  <c r="M1569" i="4"/>
  <c r="W1573" i="4"/>
  <c r="I1574" i="4"/>
  <c r="T1577" i="4"/>
  <c r="I1578" i="4"/>
  <c r="J1580" i="4"/>
  <c r="T1583" i="4"/>
  <c r="I1584" i="4"/>
  <c r="G1586" i="4"/>
  <c r="K1587" i="4"/>
  <c r="O1591" i="4"/>
  <c r="P1595" i="4"/>
  <c r="V1597" i="4"/>
  <c r="I1598" i="4"/>
  <c r="H1603" i="4"/>
  <c r="N1603" i="4" s="1"/>
  <c r="M1606" i="4"/>
  <c r="I1614" i="4"/>
  <c r="H1615" i="4"/>
  <c r="N1615" i="4" s="1"/>
  <c r="U1619" i="4"/>
  <c r="W1624" i="4"/>
  <c r="P1635" i="4"/>
  <c r="I1636" i="4"/>
  <c r="O1638" i="4"/>
  <c r="G1645" i="4"/>
  <c r="U1646" i="4"/>
  <c r="O1647" i="4"/>
  <c r="I1650" i="4"/>
  <c r="J1651" i="4"/>
  <c r="M1652" i="4"/>
  <c r="J1668" i="4"/>
  <c r="M1674" i="4"/>
  <c r="K1677" i="4"/>
  <c r="T1682" i="4"/>
  <c r="V1683" i="4"/>
  <c r="P1684" i="4"/>
  <c r="J1691" i="4"/>
  <c r="O1692" i="4"/>
  <c r="J1700" i="4"/>
  <c r="O1704" i="4"/>
  <c r="V1708" i="4"/>
  <c r="K1709" i="4"/>
  <c r="U1714" i="4"/>
  <c r="V1716" i="4"/>
  <c r="M1717" i="4"/>
  <c r="Q1735" i="4"/>
  <c r="U1746" i="4"/>
  <c r="I1804" i="4"/>
  <c r="Q1804" i="4"/>
  <c r="P1837" i="4"/>
  <c r="M1837" i="4"/>
  <c r="G1837" i="4"/>
  <c r="K1859" i="4"/>
  <c r="V1859" i="4"/>
  <c r="U1859" i="4"/>
  <c r="R1873" i="4"/>
  <c r="I1873" i="4"/>
  <c r="R1883" i="4"/>
  <c r="Q1883" i="4"/>
  <c r="I1883" i="4"/>
  <c r="V1926" i="4"/>
  <c r="G1926" i="4"/>
  <c r="O1937" i="4"/>
  <c r="J1937" i="4"/>
  <c r="V1937" i="4"/>
  <c r="T1937" i="4"/>
  <c r="O1521" i="4"/>
  <c r="V1523" i="4"/>
  <c r="U1539" i="4"/>
  <c r="S1550" i="4"/>
  <c r="W1566" i="4"/>
  <c r="P1569" i="4"/>
  <c r="O1574" i="4"/>
  <c r="M1580" i="4"/>
  <c r="H1585" i="4"/>
  <c r="L1585" i="4" s="1"/>
  <c r="I1596" i="4"/>
  <c r="O1598" i="4"/>
  <c r="U1637" i="4"/>
  <c r="Q1644" i="4"/>
  <c r="P1647" i="4"/>
  <c r="P1652" i="4"/>
  <c r="S1673" i="4"/>
  <c r="O1700" i="4"/>
  <c r="M1709" i="4"/>
  <c r="O1717" i="4"/>
  <c r="R1735" i="4"/>
  <c r="Q1736" i="4"/>
  <c r="K1747" i="4"/>
  <c r="G1747" i="4"/>
  <c r="T1748" i="4"/>
  <c r="K1748" i="4"/>
  <c r="V1803" i="4"/>
  <c r="T1803" i="4"/>
  <c r="I1849" i="4"/>
  <c r="V1854" i="4"/>
  <c r="T1854" i="4"/>
  <c r="W1882" i="4"/>
  <c r="M1882" i="4"/>
  <c r="J1882" i="4"/>
  <c r="V1888" i="4"/>
  <c r="G1888" i="4"/>
  <c r="W1888" i="4"/>
  <c r="U1888" i="4"/>
  <c r="T1888" i="4"/>
  <c r="O1888" i="4"/>
  <c r="P1936" i="4"/>
  <c r="M1936" i="4"/>
  <c r="J1936" i="4"/>
  <c r="R1987" i="4"/>
  <c r="Q1987" i="4"/>
  <c r="I1987" i="4"/>
  <c r="R1995" i="4"/>
  <c r="I1995" i="4"/>
  <c r="H1995" i="4"/>
  <c r="T1493" i="4"/>
  <c r="V1497" i="4"/>
  <c r="P1501" i="4"/>
  <c r="K1505" i="4"/>
  <c r="S1509" i="4"/>
  <c r="U1518" i="4"/>
  <c r="T1521" i="4"/>
  <c r="W1524" i="4"/>
  <c r="H1526" i="4"/>
  <c r="L1526" i="4" s="1"/>
  <c r="W1528" i="4"/>
  <c r="V1533" i="4"/>
  <c r="V1539" i="4"/>
  <c r="M1540" i="4"/>
  <c r="W1548" i="4"/>
  <c r="H1549" i="4"/>
  <c r="U1550" i="4"/>
  <c r="H1551" i="4"/>
  <c r="L1551" i="4" s="1"/>
  <c r="O1553" i="4"/>
  <c r="S1556" i="4"/>
  <c r="G1557" i="4"/>
  <c r="T1569" i="4"/>
  <c r="J1571" i="4"/>
  <c r="O1580" i="4"/>
  <c r="R1584" i="4"/>
  <c r="T1587" i="4"/>
  <c r="I1588" i="4"/>
  <c r="U1595" i="4"/>
  <c r="J1597" i="4"/>
  <c r="P1598" i="4"/>
  <c r="P1606" i="4"/>
  <c r="Q1615" i="4"/>
  <c r="G1616" i="4"/>
  <c r="T1638" i="4"/>
  <c r="P1639" i="4"/>
  <c r="H1640" i="4"/>
  <c r="L1640" i="4" s="1"/>
  <c r="P1643" i="4"/>
  <c r="T1647" i="4"/>
  <c r="O1648" i="4"/>
  <c r="I1653" i="4"/>
  <c r="O1655" i="4"/>
  <c r="S1668" i="4"/>
  <c r="O1672" i="4"/>
  <c r="U1674" i="4"/>
  <c r="U1675" i="4"/>
  <c r="P1677" i="4"/>
  <c r="G1680" i="4"/>
  <c r="T1684" i="4"/>
  <c r="G1685" i="4"/>
  <c r="O1688" i="4"/>
  <c r="Q1689" i="4"/>
  <c r="V1692" i="4"/>
  <c r="K1693" i="4"/>
  <c r="H1697" i="4"/>
  <c r="U1698" i="4"/>
  <c r="T1700" i="4"/>
  <c r="G1701" i="4"/>
  <c r="H1702" i="4"/>
  <c r="L1702" i="4" s="1"/>
  <c r="O1709" i="4"/>
  <c r="S1717" i="4"/>
  <c r="V1735" i="4"/>
  <c r="P1737" i="4"/>
  <c r="T1738" i="4"/>
  <c r="O1739" i="4"/>
  <c r="W1759" i="4"/>
  <c r="P1759" i="4"/>
  <c r="S1819" i="4"/>
  <c r="Q1819" i="4"/>
  <c r="H1819" i="4"/>
  <c r="N1819" i="4" s="1"/>
  <c r="R1858" i="4"/>
  <c r="H1858" i="4"/>
  <c r="P1880" i="4"/>
  <c r="K1880" i="4"/>
  <c r="G1880" i="4"/>
  <c r="W1880" i="4"/>
  <c r="U1880" i="4"/>
  <c r="T1880" i="4"/>
  <c r="M1885" i="4"/>
  <c r="U1887" i="4"/>
  <c r="G1887" i="4"/>
  <c r="V1942" i="4"/>
  <c r="G1942" i="4"/>
  <c r="W1942" i="4"/>
  <c r="P1942" i="4"/>
  <c r="O1947" i="4"/>
  <c r="M1964" i="4"/>
  <c r="P1964" i="4"/>
  <c r="M1967" i="4"/>
  <c r="R2000" i="4"/>
  <c r="I2000" i="4"/>
  <c r="W1493" i="4"/>
  <c r="H1494" i="4"/>
  <c r="N1494" i="4" s="1"/>
  <c r="W1497" i="4"/>
  <c r="V1501" i="4"/>
  <c r="P1505" i="4"/>
  <c r="T1509" i="4"/>
  <c r="G1510" i="4"/>
  <c r="J1515" i="4"/>
  <c r="W1525" i="4"/>
  <c r="P1529" i="4"/>
  <c r="O1540" i="4"/>
  <c r="O1549" i="4"/>
  <c r="W1550" i="4"/>
  <c r="P1553" i="4"/>
  <c r="H1554" i="4"/>
  <c r="N1554" i="4" s="1"/>
  <c r="V1556" i="4"/>
  <c r="K1557" i="4"/>
  <c r="G1558" i="4"/>
  <c r="I1560" i="4"/>
  <c r="G1561" i="4"/>
  <c r="U1569" i="4"/>
  <c r="H1570" i="4"/>
  <c r="N1570" i="4" s="1"/>
  <c r="M1571" i="4"/>
  <c r="U1580" i="4"/>
  <c r="U1587" i="4"/>
  <c r="S1588" i="4"/>
  <c r="M1597" i="4"/>
  <c r="Q1598" i="4"/>
  <c r="H1599" i="4"/>
  <c r="I1601" i="4"/>
  <c r="T1603" i="4"/>
  <c r="I1604" i="4"/>
  <c r="G1605" i="4"/>
  <c r="Q1606" i="4"/>
  <c r="V1615" i="4"/>
  <c r="M1616" i="4"/>
  <c r="I1617" i="4"/>
  <c r="I1618" i="4"/>
  <c r="H1619" i="4"/>
  <c r="H1630" i="4"/>
  <c r="L1630" i="4" s="1"/>
  <c r="T1639" i="4"/>
  <c r="I1640" i="4"/>
  <c r="T1645" i="4"/>
  <c r="G1646" i="4"/>
  <c r="U1652" i="4"/>
  <c r="O1653" i="4"/>
  <c r="P1655" i="4"/>
  <c r="G1656" i="4"/>
  <c r="T1668" i="4"/>
  <c r="G1669" i="4"/>
  <c r="T1677" i="4"/>
  <c r="H1678" i="4"/>
  <c r="L1678" i="4" s="1"/>
  <c r="J1680" i="4"/>
  <c r="V1684" i="4"/>
  <c r="I1685" i="4"/>
  <c r="R1688" i="4"/>
  <c r="M1693" i="4"/>
  <c r="O1696" i="4"/>
  <c r="V1700" i="4"/>
  <c r="U1701" i="4"/>
  <c r="P1709" i="4"/>
  <c r="T1717" i="4"/>
  <c r="G1724" i="4"/>
  <c r="S1737" i="4"/>
  <c r="U1801" i="4"/>
  <c r="J1801" i="4"/>
  <c r="G1801" i="4"/>
  <c r="W1801" i="4"/>
  <c r="V1801" i="4"/>
  <c r="T1801" i="4"/>
  <c r="H1843" i="4"/>
  <c r="L1843" i="4" s="1"/>
  <c r="R1843" i="4"/>
  <c r="T1849" i="4"/>
  <c r="G1849" i="4"/>
  <c r="W1849" i="4"/>
  <c r="R1867" i="4"/>
  <c r="Q1867" i="4"/>
  <c r="R1880" i="4"/>
  <c r="S1880" i="4"/>
  <c r="S1931" i="4"/>
  <c r="Q1931" i="4"/>
  <c r="T1935" i="4"/>
  <c r="U1935" i="4"/>
  <c r="Q1964" i="4"/>
  <c r="I1964" i="4"/>
  <c r="S1549" i="4"/>
  <c r="I1554" i="4"/>
  <c r="V1557" i="4"/>
  <c r="J1559" i="4"/>
  <c r="Q1560" i="4"/>
  <c r="U1571" i="4"/>
  <c r="G1572" i="4"/>
  <c r="G1582" i="4"/>
  <c r="I1599" i="4"/>
  <c r="Q1604" i="4"/>
  <c r="K1610" i="4"/>
  <c r="W1616" i="4"/>
  <c r="Q1617" i="4"/>
  <c r="J1627" i="4"/>
  <c r="O1640" i="4"/>
  <c r="P1653" i="4"/>
  <c r="V1655" i="4"/>
  <c r="R1656" i="4"/>
  <c r="J1657" i="4"/>
  <c r="I1678" i="4"/>
  <c r="O1680" i="4"/>
  <c r="G1712" i="4"/>
  <c r="T1728" i="4"/>
  <c r="K1763" i="4"/>
  <c r="V1763" i="4"/>
  <c r="J1770" i="4"/>
  <c r="V1770" i="4"/>
  <c r="U1770" i="4"/>
  <c r="V1772" i="4"/>
  <c r="R1805" i="4"/>
  <c r="K1810" i="4"/>
  <c r="W1839" i="4"/>
  <c r="R1849" i="4"/>
  <c r="H1849" i="4"/>
  <c r="N1849" i="4" s="1"/>
  <c r="W1860" i="4"/>
  <c r="U1874" i="4"/>
  <c r="T1885" i="4"/>
  <c r="K1885" i="4"/>
  <c r="G1885" i="4"/>
  <c r="U1885" i="4"/>
  <c r="T1947" i="4"/>
  <c r="M1947" i="4"/>
  <c r="G1947" i="4"/>
  <c r="J1967" i="4"/>
  <c r="K1967" i="4"/>
  <c r="W1967" i="4"/>
  <c r="G1967" i="4"/>
  <c r="V1967" i="4"/>
  <c r="T1967" i="4"/>
  <c r="P1967" i="4"/>
  <c r="P1983" i="4"/>
  <c r="W1983" i="4"/>
  <c r="O1983" i="4"/>
  <c r="M1983" i="4"/>
  <c r="R1999" i="4"/>
  <c r="S1999" i="4"/>
  <c r="I1999" i="4"/>
  <c r="Q1494" i="4"/>
  <c r="Q1495" i="4"/>
  <c r="O1496" i="4"/>
  <c r="G1497" i="4"/>
  <c r="U1505" i="4"/>
  <c r="I1506" i="4"/>
  <c r="G1512" i="4"/>
  <c r="U1515" i="4"/>
  <c r="J1516" i="4"/>
  <c r="I1542" i="4"/>
  <c r="J1547" i="4"/>
  <c r="G1548" i="4"/>
  <c r="T1549" i="4"/>
  <c r="Q1554" i="4"/>
  <c r="W1558" i="4"/>
  <c r="P1561" i="4"/>
  <c r="S1564" i="4"/>
  <c r="G1565" i="4"/>
  <c r="V1571" i="4"/>
  <c r="J1572" i="4"/>
  <c r="G1577" i="4"/>
  <c r="W1580" i="4"/>
  <c r="R1581" i="4"/>
  <c r="I1582" i="4"/>
  <c r="R1593" i="4"/>
  <c r="K1594" i="4"/>
  <c r="H1595" i="4"/>
  <c r="P1599" i="4"/>
  <c r="W1606" i="4"/>
  <c r="P1607" i="4"/>
  <c r="Q1608" i="4"/>
  <c r="V1609" i="4"/>
  <c r="M1619" i="4"/>
  <c r="S1630" i="4"/>
  <c r="P1640" i="4"/>
  <c r="O1646" i="4"/>
  <c r="S1653" i="4"/>
  <c r="W1656" i="4"/>
  <c r="K1657" i="4"/>
  <c r="M1660" i="4"/>
  <c r="H1664" i="4"/>
  <c r="L1664" i="4" s="1"/>
  <c r="I1665" i="4"/>
  <c r="P1669" i="4"/>
  <c r="P1680" i="4"/>
  <c r="S1685" i="4"/>
  <c r="P1693" i="4"/>
  <c r="J1708" i="4"/>
  <c r="U1709" i="4"/>
  <c r="S1710" i="4"/>
  <c r="Q1711" i="4"/>
  <c r="J1712" i="4"/>
  <c r="I1722" i="4"/>
  <c r="M1724" i="4"/>
  <c r="O1729" i="4"/>
  <c r="I1731" i="4"/>
  <c r="P1732" i="4"/>
  <c r="O1733" i="4"/>
  <c r="H1743" i="4"/>
  <c r="I1744" i="4"/>
  <c r="M1745" i="4"/>
  <c r="T1756" i="4"/>
  <c r="K1756" i="4"/>
  <c r="U1756" i="4"/>
  <c r="P1756" i="4"/>
  <c r="M1810" i="4"/>
  <c r="U1821" i="4"/>
  <c r="J1821" i="4"/>
  <c r="G1821" i="4"/>
  <c r="V1821" i="4"/>
  <c r="S1842" i="4"/>
  <c r="Q1842" i="4"/>
  <c r="T1862" i="4"/>
  <c r="S1873" i="4"/>
  <c r="V1874" i="4"/>
  <c r="Q1879" i="4"/>
  <c r="R1879" i="4"/>
  <c r="S1883" i="4"/>
  <c r="P1906" i="4"/>
  <c r="V1908" i="4"/>
  <c r="R1967" i="4"/>
  <c r="S1967" i="4"/>
  <c r="S1968" i="4"/>
  <c r="I1968" i="4"/>
  <c r="H1968" i="4"/>
  <c r="N1968" i="4" s="1"/>
  <c r="R1971" i="4"/>
  <c r="Q1971" i="4"/>
  <c r="H1971" i="4"/>
  <c r="O1988" i="4"/>
  <c r="O1996" i="4"/>
  <c r="V1765" i="4"/>
  <c r="I1766" i="4"/>
  <c r="S1768" i="4"/>
  <c r="J1769" i="4"/>
  <c r="G1771" i="4"/>
  <c r="Q1776" i="4"/>
  <c r="G1777" i="4"/>
  <c r="I1779" i="4"/>
  <c r="T1781" i="4"/>
  <c r="O1782" i="4"/>
  <c r="H1785" i="4"/>
  <c r="N1785" i="4" s="1"/>
  <c r="I1786" i="4"/>
  <c r="H1787" i="4"/>
  <c r="G1790" i="4"/>
  <c r="Q1792" i="4"/>
  <c r="V1793" i="4"/>
  <c r="I1794" i="4"/>
  <c r="H1795" i="4"/>
  <c r="N1795" i="4" s="1"/>
  <c r="M1796" i="4"/>
  <c r="H1797" i="4"/>
  <c r="L1797" i="4" s="1"/>
  <c r="M1807" i="4"/>
  <c r="V1808" i="4"/>
  <c r="S1813" i="4"/>
  <c r="J1815" i="4"/>
  <c r="M1826" i="4"/>
  <c r="Q1828" i="4"/>
  <c r="J1829" i="4"/>
  <c r="O1844" i="4"/>
  <c r="M1846" i="4"/>
  <c r="K1853" i="4"/>
  <c r="W1863" i="4"/>
  <c r="H1864" i="4"/>
  <c r="S1875" i="4"/>
  <c r="V1876" i="4"/>
  <c r="K1877" i="4"/>
  <c r="I1896" i="4"/>
  <c r="S1900" i="4"/>
  <c r="P1902" i="4"/>
  <c r="H1909" i="4"/>
  <c r="L1909" i="4" s="1"/>
  <c r="P1913" i="4"/>
  <c r="I1917" i="4"/>
  <c r="Q1918" i="4"/>
  <c r="H1919" i="4"/>
  <c r="N1919" i="4" s="1"/>
  <c r="G1921" i="4"/>
  <c r="S1937" i="4"/>
  <c r="M1944" i="4"/>
  <c r="M1946" i="4"/>
  <c r="O1955" i="4"/>
  <c r="O1966" i="4"/>
  <c r="S1975" i="4"/>
  <c r="H1992" i="4"/>
  <c r="N1992" i="4" s="1"/>
  <c r="J1994" i="4"/>
  <c r="I1754" i="4"/>
  <c r="M1769" i="4"/>
  <c r="J1771" i="4"/>
  <c r="S1776" i="4"/>
  <c r="J1777" i="4"/>
  <c r="S1778" i="4"/>
  <c r="M1779" i="4"/>
  <c r="P1782" i="4"/>
  <c r="M1783" i="4"/>
  <c r="Q1784" i="4"/>
  <c r="P1785" i="4"/>
  <c r="U1786" i="4"/>
  <c r="Q1787" i="4"/>
  <c r="R1788" i="4"/>
  <c r="P1789" i="4"/>
  <c r="Q1790" i="4"/>
  <c r="M1791" i="4"/>
  <c r="S1794" i="4"/>
  <c r="U1795" i="4"/>
  <c r="U1796" i="4"/>
  <c r="P1797" i="4"/>
  <c r="H1798" i="4"/>
  <c r="N1798" i="4" s="1"/>
  <c r="H1802" i="4"/>
  <c r="T1805" i="4"/>
  <c r="I1811" i="4"/>
  <c r="U1812" i="4"/>
  <c r="T1815" i="4"/>
  <c r="I1816" i="4"/>
  <c r="H1818" i="4"/>
  <c r="O1826" i="4"/>
  <c r="P1829" i="4"/>
  <c r="J1831" i="4"/>
  <c r="S1844" i="4"/>
  <c r="M1853" i="4"/>
  <c r="M1864" i="4"/>
  <c r="M1877" i="4"/>
  <c r="I1890" i="4"/>
  <c r="O1896" i="4"/>
  <c r="R1902" i="4"/>
  <c r="P1909" i="4"/>
  <c r="I1914" i="4"/>
  <c r="J1915" i="4"/>
  <c r="R1916" i="4"/>
  <c r="V1917" i="4"/>
  <c r="S1918" i="4"/>
  <c r="I1919" i="4"/>
  <c r="M1920" i="4"/>
  <c r="O1921" i="4"/>
  <c r="U1944" i="4"/>
  <c r="P1946" i="4"/>
  <c r="W1955" i="4"/>
  <c r="V1956" i="4"/>
  <c r="U1960" i="4"/>
  <c r="P1966" i="4"/>
  <c r="P1969" i="4"/>
  <c r="V1975" i="4"/>
  <c r="Q1976" i="4"/>
  <c r="V1978" i="4"/>
  <c r="I1979" i="4"/>
  <c r="Q1983" i="4"/>
  <c r="V1984" i="4"/>
  <c r="M1985" i="4"/>
  <c r="H1989" i="4"/>
  <c r="L1989" i="4" s="1"/>
  <c r="H1990" i="4"/>
  <c r="L1990" i="4" s="1"/>
  <c r="V1992" i="4"/>
  <c r="O1994" i="4"/>
  <c r="I1997" i="4"/>
  <c r="M1753" i="4"/>
  <c r="M1754" i="4"/>
  <c r="I1762" i="4"/>
  <c r="P1769" i="4"/>
  <c r="O1771" i="4"/>
  <c r="T1777" i="4"/>
  <c r="W1782" i="4"/>
  <c r="V1783" i="4"/>
  <c r="R1787" i="4"/>
  <c r="U1790" i="4"/>
  <c r="R1797" i="4"/>
  <c r="I1798" i="4"/>
  <c r="J1799" i="4"/>
  <c r="I1802" i="4"/>
  <c r="V1805" i="4"/>
  <c r="Q1811" i="4"/>
  <c r="U1815" i="4"/>
  <c r="K1817" i="4"/>
  <c r="I1818" i="4"/>
  <c r="Q1826" i="4"/>
  <c r="T1829" i="4"/>
  <c r="Q1830" i="4"/>
  <c r="M1831" i="4"/>
  <c r="T1844" i="4"/>
  <c r="O1853" i="4"/>
  <c r="H1856" i="4"/>
  <c r="L1856" i="4" s="1"/>
  <c r="S1864" i="4"/>
  <c r="K1869" i="4"/>
  <c r="G1871" i="4"/>
  <c r="K1872" i="4"/>
  <c r="O1877" i="4"/>
  <c r="I1881" i="4"/>
  <c r="I1889" i="4"/>
  <c r="R1890" i="4"/>
  <c r="H1891" i="4"/>
  <c r="N1891" i="4" s="1"/>
  <c r="S1894" i="4"/>
  <c r="H1895" i="4"/>
  <c r="N1895" i="4" s="1"/>
  <c r="Q1896" i="4"/>
  <c r="H1903" i="4"/>
  <c r="L1903" i="4" s="1"/>
  <c r="Q1914" i="4"/>
  <c r="R1919" i="4"/>
  <c r="P1921" i="4"/>
  <c r="G1922" i="4"/>
  <c r="H1930" i="4"/>
  <c r="L1930" i="4" s="1"/>
  <c r="H1938" i="4"/>
  <c r="V1944" i="4"/>
  <c r="J1945" i="4"/>
  <c r="Q1946" i="4"/>
  <c r="S1953" i="4"/>
  <c r="H1954" i="4"/>
  <c r="V1960" i="4"/>
  <c r="H1961" i="4"/>
  <c r="L1961" i="4" s="1"/>
  <c r="G1970" i="4"/>
  <c r="K1974" i="4"/>
  <c r="G1975" i="4"/>
  <c r="G1980" i="4"/>
  <c r="U1985" i="4"/>
  <c r="H1986" i="4"/>
  <c r="Q1989" i="4"/>
  <c r="R1990" i="4"/>
  <c r="Q1997" i="4"/>
  <c r="G1998" i="4"/>
  <c r="U1754" i="4"/>
  <c r="Q1798" i="4"/>
  <c r="T1799" i="4"/>
  <c r="O1802" i="4"/>
  <c r="G1804" i="4"/>
  <c r="G1805" i="4"/>
  <c r="Q1816" i="4"/>
  <c r="M1818" i="4"/>
  <c r="W1826" i="4"/>
  <c r="V1829" i="4"/>
  <c r="T1831" i="4"/>
  <c r="O1832" i="4"/>
  <c r="G1833" i="4"/>
  <c r="G1843" i="4"/>
  <c r="V1844" i="4"/>
  <c r="G1852" i="4"/>
  <c r="P1853" i="4"/>
  <c r="O1856" i="4"/>
  <c r="T1864" i="4"/>
  <c r="O1868" i="4"/>
  <c r="M1869" i="4"/>
  <c r="W1871" i="4"/>
  <c r="M1872" i="4"/>
  <c r="Q1877" i="4"/>
  <c r="G1879" i="4"/>
  <c r="O1881" i="4"/>
  <c r="S1890" i="4"/>
  <c r="J1891" i="4"/>
  <c r="T1894" i="4"/>
  <c r="M1895" i="4"/>
  <c r="T1896" i="4"/>
  <c r="T1902" i="4"/>
  <c r="I1903" i="4"/>
  <c r="W1909" i="4"/>
  <c r="V1921" i="4"/>
  <c r="M1922" i="4"/>
  <c r="I1930" i="4"/>
  <c r="I1938" i="4"/>
  <c r="O1945" i="4"/>
  <c r="U1946" i="4"/>
  <c r="T1953" i="4"/>
  <c r="M1954" i="4"/>
  <c r="M1961" i="4"/>
  <c r="T1966" i="4"/>
  <c r="R1969" i="4"/>
  <c r="J1970" i="4"/>
  <c r="H1975" i="4"/>
  <c r="U1979" i="4"/>
  <c r="J1980" i="4"/>
  <c r="W1985" i="4"/>
  <c r="S1997" i="4"/>
  <c r="J1998" i="4"/>
  <c r="V1754" i="4"/>
  <c r="M1755" i="4"/>
  <c r="Q1762" i="4"/>
  <c r="M1764" i="4"/>
  <c r="U1799" i="4"/>
  <c r="U1800" i="4"/>
  <c r="Q1802" i="4"/>
  <c r="S1818" i="4"/>
  <c r="P1832" i="4"/>
  <c r="K1833" i="4"/>
  <c r="K1843" i="4"/>
  <c r="O1852" i="4"/>
  <c r="P1856" i="4"/>
  <c r="O1869" i="4"/>
  <c r="O1872" i="4"/>
  <c r="P1891" i="4"/>
  <c r="P1895" i="4"/>
  <c r="O1922" i="4"/>
  <c r="P1954" i="4"/>
  <c r="O1970" i="4"/>
  <c r="P1980" i="4"/>
  <c r="P1998" i="4"/>
  <c r="T1755" i="4"/>
  <c r="V1762" i="4"/>
  <c r="O1764" i="4"/>
  <c r="V1800" i="4"/>
  <c r="S1802" i="4"/>
  <c r="O1805" i="4"/>
  <c r="M1833" i="4"/>
  <c r="P1852" i="4"/>
  <c r="R1856" i="4"/>
  <c r="W1865" i="4"/>
  <c r="W1872" i="4"/>
  <c r="W1879" i="4"/>
  <c r="W1881" i="4"/>
  <c r="T1891" i="4"/>
  <c r="S1895" i="4"/>
  <c r="Q1903" i="4"/>
  <c r="S1922" i="4"/>
  <c r="S1945" i="4"/>
  <c r="Q1954" i="4"/>
  <c r="P1970" i="4"/>
  <c r="O1975" i="4"/>
  <c r="U1980" i="4"/>
  <c r="W1998" i="4"/>
  <c r="J366" i="4"/>
  <c r="K385" i="4"/>
  <c r="V434" i="4"/>
  <c r="P434" i="4"/>
  <c r="W443" i="4"/>
  <c r="O443" i="4"/>
  <c r="V518" i="4"/>
  <c r="J518" i="4"/>
  <c r="W518" i="4"/>
  <c r="G518" i="4"/>
  <c r="U518" i="4"/>
  <c r="T518" i="4"/>
  <c r="P518" i="4"/>
  <c r="O518" i="4"/>
  <c r="M518" i="4"/>
  <c r="R580" i="4"/>
  <c r="H580" i="4"/>
  <c r="S580" i="4"/>
  <c r="R611" i="4"/>
  <c r="Q611" i="4"/>
  <c r="I611" i="4"/>
  <c r="J1057" i="4"/>
  <c r="W1057" i="4"/>
  <c r="J243" i="4"/>
  <c r="M356" i="4"/>
  <c r="T368" i="4"/>
  <c r="M377" i="4"/>
  <c r="M388" i="4"/>
  <c r="J650" i="4"/>
  <c r="U650" i="4"/>
  <c r="T650" i="4"/>
  <c r="P650" i="4"/>
  <c r="M650" i="4"/>
  <c r="K650" i="4"/>
  <c r="J17" i="4"/>
  <c r="J20" i="4"/>
  <c r="H46" i="4"/>
  <c r="J89" i="4"/>
  <c r="H135" i="4"/>
  <c r="I261" i="4"/>
  <c r="T262" i="4"/>
  <c r="V265" i="4"/>
  <c r="H266" i="4"/>
  <c r="L266" i="4" s="1"/>
  <c r="W267" i="4"/>
  <c r="I271" i="4"/>
  <c r="I274" i="4"/>
  <c r="T275" i="4"/>
  <c r="H276" i="4"/>
  <c r="K278" i="4"/>
  <c r="K279" i="4"/>
  <c r="K281" i="4"/>
  <c r="P282" i="4"/>
  <c r="K284" i="4"/>
  <c r="M286" i="4"/>
  <c r="K287" i="4"/>
  <c r="M289" i="4"/>
  <c r="P290" i="4"/>
  <c r="K292" i="4"/>
  <c r="M294" i="4"/>
  <c r="M295" i="4"/>
  <c r="O297" i="4"/>
  <c r="V298" i="4"/>
  <c r="I299" i="4"/>
  <c r="I301" i="4"/>
  <c r="Q303" i="4"/>
  <c r="O307" i="4"/>
  <c r="Q309" i="4"/>
  <c r="U310" i="4"/>
  <c r="U311" i="4"/>
  <c r="I312" i="4"/>
  <c r="G313" i="4"/>
  <c r="K314" i="4"/>
  <c r="K318" i="4"/>
  <c r="W318" i="4"/>
  <c r="I319" i="4"/>
  <c r="K321" i="4"/>
  <c r="Q322" i="4"/>
  <c r="P324" i="4"/>
  <c r="G328" i="4"/>
  <c r="W328" i="4"/>
  <c r="H329" i="4"/>
  <c r="L329" i="4" s="1"/>
  <c r="H330" i="4"/>
  <c r="L330" i="4" s="1"/>
  <c r="K332" i="4"/>
  <c r="Q335" i="4"/>
  <c r="U339" i="4"/>
  <c r="M342" i="4"/>
  <c r="Q343" i="4"/>
  <c r="K345" i="4"/>
  <c r="T350" i="4"/>
  <c r="K353" i="4"/>
  <c r="P354" i="4"/>
  <c r="Q356" i="4"/>
  <c r="S359" i="4"/>
  <c r="S362" i="4"/>
  <c r="P364" i="4"/>
  <c r="I365" i="4"/>
  <c r="M366" i="4"/>
  <c r="M367" i="4"/>
  <c r="V368" i="4"/>
  <c r="G369" i="4"/>
  <c r="S369" i="4"/>
  <c r="R372" i="4"/>
  <c r="G373" i="4"/>
  <c r="G376" i="4"/>
  <c r="O377" i="4"/>
  <c r="O378" i="4"/>
  <c r="V381" i="4"/>
  <c r="I383" i="4"/>
  <c r="O385" i="4"/>
  <c r="S386" i="4"/>
  <c r="H387" i="4"/>
  <c r="N387" i="4" s="1"/>
  <c r="S388" i="4"/>
  <c r="I389" i="4"/>
  <c r="R390" i="4"/>
  <c r="S391" i="4"/>
  <c r="R393" i="4"/>
  <c r="G395" i="4"/>
  <c r="P398" i="4"/>
  <c r="Q399" i="4"/>
  <c r="K401" i="4"/>
  <c r="W401" i="4"/>
  <c r="H402" i="4"/>
  <c r="S402" i="4"/>
  <c r="R404" i="4"/>
  <c r="O406" i="4"/>
  <c r="P407" i="4"/>
  <c r="Q408" i="4"/>
  <c r="U409" i="4"/>
  <c r="J415" i="4"/>
  <c r="M415" i="4"/>
  <c r="U415" i="4"/>
  <c r="P415" i="4"/>
  <c r="W422" i="4"/>
  <c r="J430" i="4"/>
  <c r="T433" i="4"/>
  <c r="U433" i="4"/>
  <c r="M433" i="4"/>
  <c r="J433" i="4"/>
  <c r="Q434" i="4"/>
  <c r="G435" i="4"/>
  <c r="H445" i="4"/>
  <c r="N445" i="4" s="1"/>
  <c r="Q445" i="4"/>
  <c r="I445" i="4"/>
  <c r="V446" i="4"/>
  <c r="U446" i="4"/>
  <c r="T446" i="4"/>
  <c r="P446" i="4"/>
  <c r="O446" i="4"/>
  <c r="M446" i="4"/>
  <c r="K446" i="4"/>
  <c r="W468" i="4"/>
  <c r="J468" i="4"/>
  <c r="U468" i="4"/>
  <c r="P468" i="4"/>
  <c r="M468" i="4"/>
  <c r="S520" i="4"/>
  <c r="Q520" i="4"/>
  <c r="I520" i="4"/>
  <c r="J559" i="4"/>
  <c r="V559" i="4"/>
  <c r="U559" i="4"/>
  <c r="T559" i="4"/>
  <c r="P559" i="4"/>
  <c r="M559" i="4"/>
  <c r="U562" i="4"/>
  <c r="V562" i="4"/>
  <c r="V571" i="4"/>
  <c r="J571" i="4"/>
  <c r="G571" i="4"/>
  <c r="W571" i="4"/>
  <c r="T571" i="4"/>
  <c r="N820" i="4"/>
  <c r="L820" i="4"/>
  <c r="Q375" i="4"/>
  <c r="P386" i="4"/>
  <c r="M408" i="4"/>
  <c r="I21" i="4"/>
  <c r="K290" i="4"/>
  <c r="K295" i="4"/>
  <c r="K324" i="4"/>
  <c r="M335" i="4"/>
  <c r="P372" i="4"/>
  <c r="R381" i="4"/>
  <c r="M385" i="4"/>
  <c r="Q386" i="4"/>
  <c r="Q391" i="4"/>
  <c r="J401" i="4"/>
  <c r="S424" i="4"/>
  <c r="I424" i="4"/>
  <c r="S428" i="4"/>
  <c r="K434" i="4"/>
  <c r="V593" i="4"/>
  <c r="U593" i="4"/>
  <c r="G593" i="4"/>
  <c r="T593" i="4"/>
  <c r="P593" i="4"/>
  <c r="O593" i="4"/>
  <c r="M593" i="4"/>
  <c r="K593" i="4"/>
  <c r="J107" i="4"/>
  <c r="J249" i="4"/>
  <c r="Q261" i="4"/>
  <c r="G262" i="4"/>
  <c r="U262" i="4"/>
  <c r="U263" i="4"/>
  <c r="I264" i="4"/>
  <c r="G265" i="4"/>
  <c r="W265" i="4"/>
  <c r="I266" i="4"/>
  <c r="K268" i="4"/>
  <c r="K270" i="4"/>
  <c r="K271" i="4"/>
  <c r="K273" i="4"/>
  <c r="K274" i="4"/>
  <c r="W275" i="4"/>
  <c r="J276" i="4"/>
  <c r="M278" i="4"/>
  <c r="M279" i="4"/>
  <c r="M281" i="4"/>
  <c r="Q282" i="4"/>
  <c r="M284" i="4"/>
  <c r="O286" i="4"/>
  <c r="M287" i="4"/>
  <c r="O289" i="4"/>
  <c r="Q290" i="4"/>
  <c r="M292" i="4"/>
  <c r="O294" i="4"/>
  <c r="P295" i="4"/>
  <c r="P297" i="4"/>
  <c r="O299" i="4"/>
  <c r="V300" i="4"/>
  <c r="Q301" i="4"/>
  <c r="T302" i="4"/>
  <c r="S303" i="4"/>
  <c r="U305" i="4"/>
  <c r="H306" i="4"/>
  <c r="L306" i="4" s="1"/>
  <c r="Q307" i="4"/>
  <c r="S309" i="4"/>
  <c r="G310" i="4"/>
  <c r="V310" i="4"/>
  <c r="H311" i="4"/>
  <c r="V311" i="4"/>
  <c r="Q312" i="4"/>
  <c r="J313" i="4"/>
  <c r="P314" i="4"/>
  <c r="K316" i="4"/>
  <c r="M318" i="4"/>
  <c r="K319" i="4"/>
  <c r="M321" i="4"/>
  <c r="S322" i="4"/>
  <c r="G323" i="4"/>
  <c r="T324" i="4"/>
  <c r="I325" i="4"/>
  <c r="U326" i="4"/>
  <c r="V327" i="4"/>
  <c r="J328" i="4"/>
  <c r="I329" i="4"/>
  <c r="W329" i="4"/>
  <c r="I330" i="4"/>
  <c r="P332" i="4"/>
  <c r="S335" i="4"/>
  <c r="V336" i="4"/>
  <c r="G337" i="4"/>
  <c r="S337" i="4"/>
  <c r="O342" i="4"/>
  <c r="S343" i="4"/>
  <c r="M345" i="4"/>
  <c r="R349" i="4"/>
  <c r="G350" i="4"/>
  <c r="U350" i="4"/>
  <c r="H351" i="4"/>
  <c r="L351" i="4" s="1"/>
  <c r="M353" i="4"/>
  <c r="Q354" i="4"/>
  <c r="H355" i="4"/>
  <c r="S356" i="4"/>
  <c r="I357" i="4"/>
  <c r="T359" i="4"/>
  <c r="I360" i="4"/>
  <c r="G361" i="4"/>
  <c r="V362" i="4"/>
  <c r="G363" i="4"/>
  <c r="K365" i="4"/>
  <c r="O366" i="4"/>
  <c r="P367" i="4"/>
  <c r="W368" i="4"/>
  <c r="U369" i="4"/>
  <c r="S370" i="4"/>
  <c r="K373" i="4"/>
  <c r="R374" i="4"/>
  <c r="V375" i="4"/>
  <c r="M376" i="4"/>
  <c r="P377" i="4"/>
  <c r="P378" i="4"/>
  <c r="K382" i="4"/>
  <c r="Q383" i="4"/>
  <c r="G384" i="4"/>
  <c r="P385" i="4"/>
  <c r="I387" i="4"/>
  <c r="Q389" i="4"/>
  <c r="G390" i="4"/>
  <c r="I392" i="4"/>
  <c r="G393" i="4"/>
  <c r="W394" i="4"/>
  <c r="H395" i="4"/>
  <c r="N395" i="4" s="1"/>
  <c r="S397" i="4"/>
  <c r="S399" i="4"/>
  <c r="M401" i="4"/>
  <c r="I402" i="4"/>
  <c r="V402" i="4"/>
  <c r="G403" i="4"/>
  <c r="S404" i="4"/>
  <c r="G405" i="4"/>
  <c r="P406" i="4"/>
  <c r="Q407" i="4"/>
  <c r="T408" i="4"/>
  <c r="V409" i="4"/>
  <c r="G410" i="4"/>
  <c r="V414" i="4"/>
  <c r="O414" i="4"/>
  <c r="U414" i="4"/>
  <c r="K414" i="4"/>
  <c r="P419" i="4"/>
  <c r="J423" i="4"/>
  <c r="U423" i="4"/>
  <c r="M423" i="4"/>
  <c r="O427" i="4"/>
  <c r="T429" i="4"/>
  <c r="K433" i="4"/>
  <c r="S434" i="4"/>
  <c r="R435" i="4"/>
  <c r="W446" i="4"/>
  <c r="T473" i="4"/>
  <c r="J473" i="4"/>
  <c r="W473" i="4"/>
  <c r="G473" i="4"/>
  <c r="V473" i="4"/>
  <c r="U473" i="4"/>
  <c r="P473" i="4"/>
  <c r="O473" i="4"/>
  <c r="M473" i="4"/>
  <c r="R474" i="4"/>
  <c r="I474" i="4"/>
  <c r="H474" i="4"/>
  <c r="L474" i="4" s="1"/>
  <c r="S474" i="4"/>
  <c r="Q474" i="4"/>
  <c r="W476" i="4"/>
  <c r="J476" i="4"/>
  <c r="U476" i="4"/>
  <c r="P476" i="4"/>
  <c r="M476" i="4"/>
  <c r="T496" i="4"/>
  <c r="U498" i="4"/>
  <c r="V498" i="4"/>
  <c r="P498" i="4"/>
  <c r="H517" i="4"/>
  <c r="S517" i="4"/>
  <c r="Q517" i="4"/>
  <c r="I517" i="4"/>
  <c r="J535" i="4"/>
  <c r="V535" i="4"/>
  <c r="U535" i="4"/>
  <c r="T535" i="4"/>
  <c r="P535" i="4"/>
  <c r="M535" i="4"/>
  <c r="W558" i="4"/>
  <c r="J558" i="4"/>
  <c r="V558" i="4"/>
  <c r="G558" i="4"/>
  <c r="U558" i="4"/>
  <c r="T558" i="4"/>
  <c r="P558" i="4"/>
  <c r="O558" i="4"/>
  <c r="M558" i="4"/>
  <c r="O275" i="4"/>
  <c r="Q339" i="4"/>
  <c r="K342" i="4"/>
  <c r="Q362" i="4"/>
  <c r="K366" i="4"/>
  <c r="S394" i="4"/>
  <c r="P399" i="4"/>
  <c r="Q404" i="4"/>
  <c r="R426" i="4"/>
  <c r="S426" i="4"/>
  <c r="I426" i="4"/>
  <c r="H62" i="4"/>
  <c r="J176" i="4"/>
  <c r="K266" i="4"/>
  <c r="K276" i="4"/>
  <c r="P286" i="4"/>
  <c r="P289" i="4"/>
  <c r="P294" i="4"/>
  <c r="U297" i="4"/>
  <c r="Q299" i="4"/>
  <c r="K313" i="4"/>
  <c r="V322" i="4"/>
  <c r="V324" i="4"/>
  <c r="M328" i="4"/>
  <c r="P330" i="4"/>
  <c r="U335" i="4"/>
  <c r="R340" i="4"/>
  <c r="P342" i="4"/>
  <c r="T343" i="4"/>
  <c r="V359" i="4"/>
  <c r="P366" i="4"/>
  <c r="J369" i="4"/>
  <c r="V369" i="4"/>
  <c r="O373" i="4"/>
  <c r="O376" i="4"/>
  <c r="R377" i="4"/>
  <c r="Q378" i="4"/>
  <c r="S383" i="4"/>
  <c r="T399" i="4"/>
  <c r="O401" i="4"/>
  <c r="R406" i="4"/>
  <c r="S407" i="4"/>
  <c r="U408" i="4"/>
  <c r="S419" i="4"/>
  <c r="H419" i="4"/>
  <c r="N419" i="4" s="1"/>
  <c r="Q419" i="4"/>
  <c r="R423" i="4"/>
  <c r="H423" i="4"/>
  <c r="N423" i="4" s="1"/>
  <c r="Q423" i="4"/>
  <c r="S427" i="4"/>
  <c r="Q427" i="4"/>
  <c r="V430" i="4"/>
  <c r="M430" i="4"/>
  <c r="T430" i="4"/>
  <c r="G430" i="4"/>
  <c r="O430" i="4"/>
  <c r="W435" i="4"/>
  <c r="J447" i="4"/>
  <c r="U447" i="4"/>
  <c r="T447" i="4"/>
  <c r="P447" i="4"/>
  <c r="M447" i="4"/>
  <c r="V447" i="4"/>
  <c r="R471" i="4"/>
  <c r="I471" i="4"/>
  <c r="H471" i="4"/>
  <c r="S471" i="4"/>
  <c r="Q471" i="4"/>
  <c r="S601" i="4"/>
  <c r="H601" i="4"/>
  <c r="L601" i="4" s="1"/>
  <c r="H616" i="4"/>
  <c r="N616" i="4" s="1"/>
  <c r="S616" i="4"/>
  <c r="I616" i="4"/>
  <c r="K322" i="4"/>
  <c r="U366" i="4"/>
  <c r="Q394" i="4"/>
  <c r="M399" i="4"/>
  <c r="K407" i="4"/>
  <c r="Q1437" i="4"/>
  <c r="I1437" i="4"/>
  <c r="T267" i="4"/>
  <c r="K282" i="4"/>
  <c r="K286" i="4"/>
  <c r="K289" i="4"/>
  <c r="P322" i="4"/>
  <c r="P343" i="4"/>
  <c r="Q359" i="4"/>
  <c r="W366" i="4"/>
  <c r="S375" i="4"/>
  <c r="K378" i="4"/>
  <c r="V396" i="4"/>
  <c r="V401" i="4"/>
  <c r="M406" i="4"/>
  <c r="M407" i="4"/>
  <c r="O408" i="4"/>
  <c r="V424" i="4"/>
  <c r="J65" i="4"/>
  <c r="H102" i="4"/>
  <c r="H166" i="4"/>
  <c r="K262" i="4"/>
  <c r="W262" i="4"/>
  <c r="K265" i="4"/>
  <c r="Q266" i="4"/>
  <c r="Q274" i="4"/>
  <c r="M276" i="4"/>
  <c r="V282" i="4"/>
  <c r="I285" i="4"/>
  <c r="V290" i="4"/>
  <c r="I293" i="4"/>
  <c r="T294" i="4"/>
  <c r="W297" i="4"/>
  <c r="H300" i="4"/>
  <c r="N300" i="4" s="1"/>
  <c r="H303" i="4"/>
  <c r="K306" i="4"/>
  <c r="K310" i="4"/>
  <c r="K311" i="4"/>
  <c r="M313" i="4"/>
  <c r="O323" i="4"/>
  <c r="O328" i="4"/>
  <c r="Q330" i="4"/>
  <c r="V335" i="4"/>
  <c r="W337" i="4"/>
  <c r="K350" i="4"/>
  <c r="P355" i="4"/>
  <c r="J361" i="4"/>
  <c r="V361" i="4"/>
  <c r="H362" i="4"/>
  <c r="N362" i="4" s="1"/>
  <c r="S365" i="4"/>
  <c r="R366" i="4"/>
  <c r="K369" i="4"/>
  <c r="W369" i="4"/>
  <c r="V373" i="4"/>
  <c r="H375" i="4"/>
  <c r="L375" i="4" s="1"/>
  <c r="T376" i="4"/>
  <c r="U377" i="4"/>
  <c r="S378" i="4"/>
  <c r="I379" i="4"/>
  <c r="I380" i="4"/>
  <c r="U385" i="4"/>
  <c r="J390" i="4"/>
  <c r="U390" i="4"/>
  <c r="H391" i="4"/>
  <c r="J393" i="4"/>
  <c r="V393" i="4"/>
  <c r="H394" i="4"/>
  <c r="O395" i="4"/>
  <c r="P401" i="4"/>
  <c r="H404" i="4"/>
  <c r="L404" i="4" s="1"/>
  <c r="O405" i="4"/>
  <c r="T406" i="4"/>
  <c r="T407" i="4"/>
  <c r="V408" i="4"/>
  <c r="R419" i="4"/>
  <c r="V422" i="4"/>
  <c r="U422" i="4"/>
  <c r="J422" i="4"/>
  <c r="M422" i="4"/>
  <c r="S423" i="4"/>
  <c r="R427" i="4"/>
  <c r="H428" i="4"/>
  <c r="N428" i="4" s="1"/>
  <c r="P430" i="4"/>
  <c r="W436" i="4"/>
  <c r="U436" i="4"/>
  <c r="M436" i="4"/>
  <c r="I437" i="4"/>
  <c r="J439" i="4"/>
  <c r="M439" i="4"/>
  <c r="U439" i="4"/>
  <c r="P439" i="4"/>
  <c r="R447" i="4"/>
  <c r="H447" i="4"/>
  <c r="L447" i="4" s="1"/>
  <c r="S447" i="4"/>
  <c r="Q447" i="4"/>
  <c r="V448" i="4"/>
  <c r="G448" i="4"/>
  <c r="W448" i="4"/>
  <c r="T448" i="4"/>
  <c r="G459" i="4"/>
  <c r="W459" i="4"/>
  <c r="T459" i="4"/>
  <c r="S484" i="4"/>
  <c r="H484" i="4"/>
  <c r="V531" i="4"/>
  <c r="J531" i="4"/>
  <c r="G531" i="4"/>
  <c r="W531" i="4"/>
  <c r="T531" i="4"/>
  <c r="R564" i="4"/>
  <c r="H564" i="4"/>
  <c r="S564" i="4"/>
  <c r="V609" i="4"/>
  <c r="U609" i="4"/>
  <c r="T609" i="4"/>
  <c r="G609" i="4"/>
  <c r="P609" i="4"/>
  <c r="O609" i="4"/>
  <c r="M609" i="4"/>
  <c r="K609" i="4"/>
  <c r="W609" i="4"/>
  <c r="T612" i="4"/>
  <c r="V612" i="4"/>
  <c r="U612" i="4"/>
  <c r="G612" i="4"/>
  <c r="P612" i="4"/>
  <c r="O612" i="4"/>
  <c r="M612" i="4"/>
  <c r="K612" i="4"/>
  <c r="W612" i="4"/>
  <c r="N729" i="4"/>
  <c r="L729" i="4"/>
  <c r="V803" i="4"/>
  <c r="J803" i="4"/>
  <c r="U803" i="4"/>
  <c r="G803" i="4"/>
  <c r="T803" i="4"/>
  <c r="P803" i="4"/>
  <c r="O803" i="4"/>
  <c r="M803" i="4"/>
  <c r="W803" i="4"/>
  <c r="K803" i="4"/>
  <c r="Q331" i="4"/>
  <c r="O339" i="4"/>
  <c r="O381" i="4"/>
  <c r="P396" i="4"/>
  <c r="K406" i="4"/>
  <c r="R428" i="4"/>
  <c r="S614" i="4"/>
  <c r="H614" i="4"/>
  <c r="N614" i="4" s="1"/>
  <c r="R614" i="4"/>
  <c r="Q614" i="4"/>
  <c r="N836" i="4"/>
  <c r="L836" i="4"/>
  <c r="U1836" i="4"/>
  <c r="J1836" i="4"/>
  <c r="G1836" i="4"/>
  <c r="W1836" i="4"/>
  <c r="V1836" i="4"/>
  <c r="T1836" i="4"/>
  <c r="P1836" i="4"/>
  <c r="O1836" i="4"/>
  <c r="K1836" i="4"/>
  <c r="M297" i="4"/>
  <c r="J9" i="4"/>
  <c r="J73" i="4"/>
  <c r="M262" i="4"/>
  <c r="K263" i="4"/>
  <c r="M265" i="4"/>
  <c r="S266" i="4"/>
  <c r="G267" i="4"/>
  <c r="S268" i="4"/>
  <c r="Q271" i="4"/>
  <c r="S274" i="4"/>
  <c r="G275" i="4"/>
  <c r="P276" i="4"/>
  <c r="O283" i="4"/>
  <c r="Q285" i="4"/>
  <c r="T286" i="4"/>
  <c r="U289" i="4"/>
  <c r="O291" i="4"/>
  <c r="V292" i="4"/>
  <c r="Q293" i="4"/>
  <c r="U294" i="4"/>
  <c r="U295" i="4"/>
  <c r="I296" i="4"/>
  <c r="G297" i="4"/>
  <c r="K298" i="4"/>
  <c r="K302" i="4"/>
  <c r="W302" i="4"/>
  <c r="I303" i="4"/>
  <c r="P306" i="4"/>
  <c r="K308" i="4"/>
  <c r="M310" i="4"/>
  <c r="M311" i="4"/>
  <c r="O313" i="4"/>
  <c r="V314" i="4"/>
  <c r="I315" i="4"/>
  <c r="Q319" i="4"/>
  <c r="U321" i="4"/>
  <c r="H322" i="4"/>
  <c r="L322" i="4" s="1"/>
  <c r="Q323" i="4"/>
  <c r="K326" i="4"/>
  <c r="K327" i="4"/>
  <c r="P328" i="4"/>
  <c r="V330" i="4"/>
  <c r="I331" i="4"/>
  <c r="H335" i="4"/>
  <c r="M336" i="4"/>
  <c r="K337" i="4"/>
  <c r="G339" i="4"/>
  <c r="O341" i="4"/>
  <c r="T342" i="4"/>
  <c r="O344" i="4"/>
  <c r="M350" i="4"/>
  <c r="S351" i="4"/>
  <c r="Q355" i="4"/>
  <c r="J358" i="4"/>
  <c r="U358" i="4"/>
  <c r="H359" i="4"/>
  <c r="N359" i="4" s="1"/>
  <c r="K361" i="4"/>
  <c r="W361" i="4"/>
  <c r="I362" i="4"/>
  <c r="O363" i="4"/>
  <c r="V365" i="4"/>
  <c r="G366" i="4"/>
  <c r="S366" i="4"/>
  <c r="T367" i="4"/>
  <c r="M369" i="4"/>
  <c r="I375" i="4"/>
  <c r="V376" i="4"/>
  <c r="G377" i="4"/>
  <c r="V377" i="4"/>
  <c r="G378" i="4"/>
  <c r="Q379" i="4"/>
  <c r="Q380" i="4"/>
  <c r="G381" i="4"/>
  <c r="T384" i="4"/>
  <c r="G385" i="4"/>
  <c r="V385" i="4"/>
  <c r="H386" i="4"/>
  <c r="N386" i="4" s="1"/>
  <c r="Q387" i="4"/>
  <c r="K390" i="4"/>
  <c r="W390" i="4"/>
  <c r="I391" i="4"/>
  <c r="K393" i="4"/>
  <c r="W393" i="4"/>
  <c r="I394" i="4"/>
  <c r="Q395" i="4"/>
  <c r="K396" i="4"/>
  <c r="J398" i="4"/>
  <c r="U398" i="4"/>
  <c r="H399" i="4"/>
  <c r="N399" i="4" s="1"/>
  <c r="T400" i="4"/>
  <c r="R401" i="4"/>
  <c r="V405" i="4"/>
  <c r="G406" i="4"/>
  <c r="U406" i="4"/>
  <c r="H407" i="4"/>
  <c r="U407" i="4"/>
  <c r="K409" i="4"/>
  <c r="K410" i="4"/>
  <c r="R414" i="4"/>
  <c r="V415" i="4"/>
  <c r="T417" i="4"/>
  <c r="K417" i="4"/>
  <c r="V417" i="4"/>
  <c r="G417" i="4"/>
  <c r="M417" i="4"/>
  <c r="O422" i="4"/>
  <c r="M424" i="4"/>
  <c r="V433" i="4"/>
  <c r="G434" i="4"/>
  <c r="P436" i="4"/>
  <c r="Q437" i="4"/>
  <c r="T443" i="4"/>
  <c r="S472" i="4"/>
  <c r="Q472" i="4"/>
  <c r="I472" i="4"/>
  <c r="J495" i="4"/>
  <c r="V495" i="4"/>
  <c r="U495" i="4"/>
  <c r="T495" i="4"/>
  <c r="P495" i="4"/>
  <c r="M495" i="4"/>
  <c r="K518" i="4"/>
  <c r="W540" i="4"/>
  <c r="J540" i="4"/>
  <c r="U540" i="4"/>
  <c r="P540" i="4"/>
  <c r="M540" i="4"/>
  <c r="H557" i="4"/>
  <c r="S557" i="4"/>
  <c r="Q557" i="4"/>
  <c r="I557" i="4"/>
  <c r="O267" i="4"/>
  <c r="K297" i="4"/>
  <c r="K335" i="4"/>
  <c r="H444" i="4"/>
  <c r="S444" i="4"/>
  <c r="R444" i="4"/>
  <c r="R519" i="4"/>
  <c r="I519" i="4"/>
  <c r="H519" i="4"/>
  <c r="N519" i="4" s="1"/>
  <c r="S519" i="4"/>
  <c r="Q519" i="4"/>
  <c r="Q42" i="4"/>
  <c r="J254" i="4"/>
  <c r="M263" i="4"/>
  <c r="O265" i="4"/>
  <c r="V266" i="4"/>
  <c r="J267" i="4"/>
  <c r="U268" i="4"/>
  <c r="I269" i="4"/>
  <c r="S271" i="4"/>
  <c r="V274" i="4"/>
  <c r="I275" i="4"/>
  <c r="U276" i="4"/>
  <c r="I277" i="4"/>
  <c r="U279" i="4"/>
  <c r="I280" i="4"/>
  <c r="V281" i="4"/>
  <c r="H282" i="4"/>
  <c r="L282" i="4" s="1"/>
  <c r="Q283" i="4"/>
  <c r="S285" i="4"/>
  <c r="G286" i="4"/>
  <c r="U287" i="4"/>
  <c r="I288" i="4"/>
  <c r="G289" i="4"/>
  <c r="V289" i="4"/>
  <c r="H290" i="4"/>
  <c r="Q291" i="4"/>
  <c r="S293" i="4"/>
  <c r="G294" i="4"/>
  <c r="H295" i="4"/>
  <c r="V295" i="4"/>
  <c r="Q296" i="4"/>
  <c r="J297" i="4"/>
  <c r="P298" i="4"/>
  <c r="K300" i="4"/>
  <c r="K303" i="4"/>
  <c r="K305" i="4"/>
  <c r="Q306" i="4"/>
  <c r="M308" i="4"/>
  <c r="P311" i="4"/>
  <c r="P313" i="4"/>
  <c r="O315" i="4"/>
  <c r="U316" i="4"/>
  <c r="I317" i="4"/>
  <c r="S319" i="4"/>
  <c r="W321" i="4"/>
  <c r="I322" i="4"/>
  <c r="T323" i="4"/>
  <c r="H324" i="4"/>
  <c r="N324" i="4" s="1"/>
  <c r="M327" i="4"/>
  <c r="T328" i="4"/>
  <c r="P329" i="4"/>
  <c r="O331" i="4"/>
  <c r="K334" i="4"/>
  <c r="I335" i="4"/>
  <c r="O336" i="4"/>
  <c r="M337" i="4"/>
  <c r="V338" i="4"/>
  <c r="G342" i="4"/>
  <c r="U342" i="4"/>
  <c r="H343" i="4"/>
  <c r="L343" i="4" s="1"/>
  <c r="U345" i="4"/>
  <c r="S346" i="4"/>
  <c r="I347" i="4"/>
  <c r="I348" i="4"/>
  <c r="O350" i="4"/>
  <c r="R352" i="4"/>
  <c r="U353" i="4"/>
  <c r="R355" i="4"/>
  <c r="I356" i="4"/>
  <c r="K358" i="4"/>
  <c r="W358" i="4"/>
  <c r="I359" i="4"/>
  <c r="M361" i="4"/>
  <c r="Q363" i="4"/>
  <c r="T366" i="4"/>
  <c r="O369" i="4"/>
  <c r="Q371" i="4"/>
  <c r="H372" i="4"/>
  <c r="L372" i="4" s="1"/>
  <c r="K374" i="4"/>
  <c r="J377" i="4"/>
  <c r="W377" i="4"/>
  <c r="H378" i="4"/>
  <c r="L378" i="4" s="1"/>
  <c r="S380" i="4"/>
  <c r="J385" i="4"/>
  <c r="W385" i="4"/>
  <c r="I386" i="4"/>
  <c r="R387" i="4"/>
  <c r="I388" i="4"/>
  <c r="M390" i="4"/>
  <c r="M393" i="4"/>
  <c r="R395" i="4"/>
  <c r="K398" i="4"/>
  <c r="W398" i="4"/>
  <c r="I399" i="4"/>
  <c r="G401" i="4"/>
  <c r="J406" i="4"/>
  <c r="W406" i="4"/>
  <c r="I407" i="4"/>
  <c r="V407" i="4"/>
  <c r="I408" i="4"/>
  <c r="M409" i="4"/>
  <c r="Q410" i="4"/>
  <c r="H411" i="4"/>
  <c r="N411" i="4" s="1"/>
  <c r="R413" i="4"/>
  <c r="O417" i="4"/>
  <c r="Q420" i="4"/>
  <c r="I420" i="4"/>
  <c r="R420" i="4"/>
  <c r="P422" i="4"/>
  <c r="V423" i="4"/>
  <c r="H426" i="4"/>
  <c r="L426" i="4" s="1"/>
  <c r="Q428" i="4"/>
  <c r="I432" i="4"/>
  <c r="W433" i="4"/>
  <c r="H434" i="4"/>
  <c r="L434" i="4" s="1"/>
  <c r="S437" i="4"/>
  <c r="W444" i="4"/>
  <c r="U444" i="4"/>
  <c r="M444" i="4"/>
  <c r="V491" i="4"/>
  <c r="G491" i="4"/>
  <c r="W491" i="4"/>
  <c r="T491" i="4"/>
  <c r="S515" i="4"/>
  <c r="I515" i="4"/>
  <c r="T521" i="4"/>
  <c r="J521" i="4"/>
  <c r="W521" i="4"/>
  <c r="G521" i="4"/>
  <c r="V521" i="4"/>
  <c r="U521" i="4"/>
  <c r="P521" i="4"/>
  <c r="O521" i="4"/>
  <c r="M521" i="4"/>
  <c r="R522" i="4"/>
  <c r="I522" i="4"/>
  <c r="H522" i="4"/>
  <c r="L522" i="4" s="1"/>
  <c r="S522" i="4"/>
  <c r="T560" i="4"/>
  <c r="S588" i="4"/>
  <c r="H588" i="4"/>
  <c r="J593" i="4"/>
  <c r="R459" i="4"/>
  <c r="K463" i="4"/>
  <c r="Q491" i="4"/>
  <c r="K494" i="4"/>
  <c r="K497" i="4"/>
  <c r="K500" i="4"/>
  <c r="K534" i="4"/>
  <c r="K537" i="4"/>
  <c r="K538" i="4"/>
  <c r="U548" i="4"/>
  <c r="K561" i="4"/>
  <c r="Q562" i="4"/>
  <c r="T566" i="4"/>
  <c r="U569" i="4"/>
  <c r="K574" i="4"/>
  <c r="K575" i="4"/>
  <c r="T576" i="4"/>
  <c r="H577" i="4"/>
  <c r="L577" i="4" s="1"/>
  <c r="W577" i="4"/>
  <c r="I578" i="4"/>
  <c r="S583" i="4"/>
  <c r="J585" i="4"/>
  <c r="W585" i="4"/>
  <c r="I586" i="4"/>
  <c r="U591" i="4"/>
  <c r="G592" i="4"/>
  <c r="Q594" i="4"/>
  <c r="U596" i="4"/>
  <c r="Q597" i="4"/>
  <c r="G598" i="4"/>
  <c r="W598" i="4"/>
  <c r="I599" i="4"/>
  <c r="V599" i="4"/>
  <c r="I600" i="4"/>
  <c r="S602" i="4"/>
  <c r="Q603" i="4"/>
  <c r="G604" i="4"/>
  <c r="W604" i="4"/>
  <c r="I605" i="4"/>
  <c r="W606" i="4"/>
  <c r="K607" i="4"/>
  <c r="M610" i="4"/>
  <c r="K613" i="4"/>
  <c r="S733" i="4"/>
  <c r="Q733" i="4"/>
  <c r="H733" i="4"/>
  <c r="J778" i="4"/>
  <c r="U778" i="4"/>
  <c r="R816" i="4"/>
  <c r="H816" i="4"/>
  <c r="N816" i="4" s="1"/>
  <c r="S816" i="4"/>
  <c r="R1031" i="4"/>
  <c r="H1031" i="4"/>
  <c r="N1031" i="4" s="1"/>
  <c r="S1031" i="4"/>
  <c r="Q453" i="4"/>
  <c r="K462" i="4"/>
  <c r="M463" i="4"/>
  <c r="W464" i="4"/>
  <c r="W465" i="4"/>
  <c r="M494" i="4"/>
  <c r="M497" i="4"/>
  <c r="Q498" i="4"/>
  <c r="M500" i="4"/>
  <c r="O507" i="4"/>
  <c r="K511" i="4"/>
  <c r="T512" i="4"/>
  <c r="K514" i="4"/>
  <c r="J523" i="4"/>
  <c r="U524" i="4"/>
  <c r="V527" i="4"/>
  <c r="H530" i="4"/>
  <c r="L530" i="4" s="1"/>
  <c r="J532" i="4"/>
  <c r="M534" i="4"/>
  <c r="M537" i="4"/>
  <c r="Q538" i="4"/>
  <c r="T543" i="4"/>
  <c r="O547" i="4"/>
  <c r="S549" i="4"/>
  <c r="J550" i="4"/>
  <c r="W550" i="4"/>
  <c r="V551" i="4"/>
  <c r="K556" i="4"/>
  <c r="I565" i="4"/>
  <c r="U566" i="4"/>
  <c r="H567" i="4"/>
  <c r="N567" i="4" s="1"/>
  <c r="I568" i="4"/>
  <c r="V569" i="4"/>
  <c r="H570" i="4"/>
  <c r="L570" i="4" s="1"/>
  <c r="J572" i="4"/>
  <c r="J577" i="4"/>
  <c r="Q578" i="4"/>
  <c r="I581" i="4"/>
  <c r="T582" i="4"/>
  <c r="T583" i="4"/>
  <c r="Q586" i="4"/>
  <c r="V591" i="4"/>
  <c r="S594" i="4"/>
  <c r="S597" i="4"/>
  <c r="J598" i="4"/>
  <c r="K599" i="4"/>
  <c r="O600" i="4"/>
  <c r="R603" i="4"/>
  <c r="J604" i="4"/>
  <c r="P605" i="4"/>
  <c r="M607" i="4"/>
  <c r="O613" i="4"/>
  <c r="W619" i="4"/>
  <c r="V619" i="4"/>
  <c r="T619" i="4"/>
  <c r="S646" i="4"/>
  <c r="I646" i="4"/>
  <c r="H646" i="4"/>
  <c r="N646" i="4" s="1"/>
  <c r="Q646" i="4"/>
  <c r="S651" i="4"/>
  <c r="Q651" i="4"/>
  <c r="I651" i="4"/>
  <c r="R690" i="4"/>
  <c r="I690" i="4"/>
  <c r="H690" i="4"/>
  <c r="N690" i="4" s="1"/>
  <c r="S690" i="4"/>
  <c r="Q690" i="4"/>
  <c r="U693" i="4"/>
  <c r="W693" i="4"/>
  <c r="V693" i="4"/>
  <c r="G693" i="4"/>
  <c r="P693" i="4"/>
  <c r="O693" i="4"/>
  <c r="K693" i="4"/>
  <c r="H696" i="4"/>
  <c r="N696" i="4" s="1"/>
  <c r="S696" i="4"/>
  <c r="Q696" i="4"/>
  <c r="I696" i="4"/>
  <c r="G739" i="4"/>
  <c r="P739" i="4"/>
  <c r="O739" i="4"/>
  <c r="W739" i="4"/>
  <c r="M739" i="4"/>
  <c r="V739" i="4"/>
  <c r="U739" i="4"/>
  <c r="K739" i="4"/>
  <c r="S747" i="4"/>
  <c r="R747" i="4"/>
  <c r="J751" i="4"/>
  <c r="V751" i="4"/>
  <c r="S782" i="4"/>
  <c r="Q782" i="4"/>
  <c r="I782" i="4"/>
  <c r="H782" i="4"/>
  <c r="L782" i="4" s="1"/>
  <c r="V835" i="4"/>
  <c r="J835" i="4"/>
  <c r="U835" i="4"/>
  <c r="G835" i="4"/>
  <c r="T835" i="4"/>
  <c r="P835" i="4"/>
  <c r="O835" i="4"/>
  <c r="M835" i="4"/>
  <c r="S453" i="4"/>
  <c r="T454" i="4"/>
  <c r="T455" i="4"/>
  <c r="J457" i="4"/>
  <c r="W457" i="4"/>
  <c r="M462" i="4"/>
  <c r="P463" i="4"/>
  <c r="J465" i="4"/>
  <c r="K466" i="4"/>
  <c r="T470" i="4"/>
  <c r="U478" i="4"/>
  <c r="T479" i="4"/>
  <c r="O483" i="4"/>
  <c r="K487" i="4"/>
  <c r="T488" i="4"/>
  <c r="K490" i="4"/>
  <c r="O494" i="4"/>
  <c r="Q495" i="4"/>
  <c r="O497" i="4"/>
  <c r="S498" i="4"/>
  <c r="G499" i="4"/>
  <c r="P500" i="4"/>
  <c r="I501" i="4"/>
  <c r="U502" i="4"/>
  <c r="H503" i="4"/>
  <c r="N503" i="4" s="1"/>
  <c r="I504" i="4"/>
  <c r="V505" i="4"/>
  <c r="H506" i="4"/>
  <c r="Q507" i="4"/>
  <c r="K510" i="4"/>
  <c r="M511" i="4"/>
  <c r="K513" i="4"/>
  <c r="P514" i="4"/>
  <c r="K516" i="4"/>
  <c r="O523" i="4"/>
  <c r="K527" i="4"/>
  <c r="T528" i="4"/>
  <c r="I530" i="4"/>
  <c r="K532" i="4"/>
  <c r="O534" i="4"/>
  <c r="Q535" i="4"/>
  <c r="O537" i="4"/>
  <c r="S538" i="4"/>
  <c r="G539" i="4"/>
  <c r="S540" i="4"/>
  <c r="U543" i="4"/>
  <c r="K550" i="4"/>
  <c r="K551" i="4"/>
  <c r="T552" i="4"/>
  <c r="K554" i="4"/>
  <c r="M556" i="4"/>
  <c r="Q559" i="4"/>
  <c r="Q565" i="4"/>
  <c r="G566" i="4"/>
  <c r="W566" i="4"/>
  <c r="I567" i="4"/>
  <c r="Q568" i="4"/>
  <c r="G569" i="4"/>
  <c r="W569" i="4"/>
  <c r="I570" i="4"/>
  <c r="K572" i="4"/>
  <c r="K577" i="4"/>
  <c r="S578" i="4"/>
  <c r="G579" i="4"/>
  <c r="Q581" i="4"/>
  <c r="G582" i="4"/>
  <c r="U582" i="4"/>
  <c r="U583" i="4"/>
  <c r="G584" i="4"/>
  <c r="S586" i="4"/>
  <c r="G587" i="4"/>
  <c r="K591" i="4"/>
  <c r="O592" i="4"/>
  <c r="K598" i="4"/>
  <c r="Q600" i="4"/>
  <c r="K604" i="4"/>
  <c r="Q605" i="4"/>
  <c r="H606" i="4"/>
  <c r="N606" i="4" s="1"/>
  <c r="Q610" i="4"/>
  <c r="T644" i="4"/>
  <c r="J644" i="4"/>
  <c r="W644" i="4"/>
  <c r="G644" i="4"/>
  <c r="V644" i="4"/>
  <c r="U644" i="4"/>
  <c r="P644" i="4"/>
  <c r="O644" i="4"/>
  <c r="M644" i="4"/>
  <c r="R645" i="4"/>
  <c r="I645" i="4"/>
  <c r="H645" i="4"/>
  <c r="L645" i="4" s="1"/>
  <c r="S645" i="4"/>
  <c r="Q645" i="4"/>
  <c r="V694" i="4"/>
  <c r="G694" i="4"/>
  <c r="W694" i="4"/>
  <c r="O694" i="4"/>
  <c r="H746" i="4"/>
  <c r="N746" i="4" s="1"/>
  <c r="R746" i="4"/>
  <c r="H415" i="4"/>
  <c r="L415" i="4" s="1"/>
  <c r="I416" i="4"/>
  <c r="H418" i="4"/>
  <c r="L418" i="4" s="1"/>
  <c r="R421" i="4"/>
  <c r="K425" i="4"/>
  <c r="S429" i="4"/>
  <c r="T431" i="4"/>
  <c r="U438" i="4"/>
  <c r="H439" i="4"/>
  <c r="L439" i="4" s="1"/>
  <c r="I440" i="4"/>
  <c r="V441" i="4"/>
  <c r="H442" i="4"/>
  <c r="L442" i="4" s="1"/>
  <c r="J449" i="4"/>
  <c r="W449" i="4"/>
  <c r="I450" i="4"/>
  <c r="T453" i="4"/>
  <c r="G454" i="4"/>
  <c r="U454" i="4"/>
  <c r="H455" i="4"/>
  <c r="N455" i="4" s="1"/>
  <c r="U455" i="4"/>
  <c r="G456" i="4"/>
  <c r="K457" i="4"/>
  <c r="P458" i="4"/>
  <c r="K460" i="4"/>
  <c r="O462" i="4"/>
  <c r="Q463" i="4"/>
  <c r="K465" i="4"/>
  <c r="P466" i="4"/>
  <c r="S469" i="4"/>
  <c r="G470" i="4"/>
  <c r="U470" i="4"/>
  <c r="T471" i="4"/>
  <c r="O475" i="4"/>
  <c r="S477" i="4"/>
  <c r="G478" i="4"/>
  <c r="V478" i="4"/>
  <c r="H479" i="4"/>
  <c r="U479" i="4"/>
  <c r="I480" i="4"/>
  <c r="V481" i="4"/>
  <c r="H482" i="4"/>
  <c r="L482" i="4" s="1"/>
  <c r="Q483" i="4"/>
  <c r="K486" i="4"/>
  <c r="M487" i="4"/>
  <c r="K489" i="4"/>
  <c r="P490" i="4"/>
  <c r="K492" i="4"/>
  <c r="P494" i="4"/>
  <c r="S495" i="4"/>
  <c r="P497" i="4"/>
  <c r="I499" i="4"/>
  <c r="U500" i="4"/>
  <c r="Q501" i="4"/>
  <c r="G502" i="4"/>
  <c r="W502" i="4"/>
  <c r="I503" i="4"/>
  <c r="V503" i="4"/>
  <c r="Q504" i="4"/>
  <c r="G505" i="4"/>
  <c r="W505" i="4"/>
  <c r="I506" i="4"/>
  <c r="T507" i="4"/>
  <c r="H508" i="4"/>
  <c r="M510" i="4"/>
  <c r="P511" i="4"/>
  <c r="M513" i="4"/>
  <c r="Q514" i="4"/>
  <c r="M516" i="4"/>
  <c r="T519" i="4"/>
  <c r="T523" i="4"/>
  <c r="H524" i="4"/>
  <c r="K526" i="4"/>
  <c r="M527" i="4"/>
  <c r="K529" i="4"/>
  <c r="K530" i="4"/>
  <c r="M532" i="4"/>
  <c r="P534" i="4"/>
  <c r="S535" i="4"/>
  <c r="P537" i="4"/>
  <c r="V538" i="4"/>
  <c r="J539" i="4"/>
  <c r="Q541" i="4"/>
  <c r="G542" i="4"/>
  <c r="W542" i="4"/>
  <c r="I543" i="4"/>
  <c r="V543" i="4"/>
  <c r="Q544" i="4"/>
  <c r="G545" i="4"/>
  <c r="V545" i="4"/>
  <c r="H546" i="4"/>
  <c r="L546" i="4" s="1"/>
  <c r="W547" i="4"/>
  <c r="J548" i="4"/>
  <c r="M550" i="4"/>
  <c r="M551" i="4"/>
  <c r="K553" i="4"/>
  <c r="Q554" i="4"/>
  <c r="P556" i="4"/>
  <c r="S559" i="4"/>
  <c r="P561" i="4"/>
  <c r="O563" i="4"/>
  <c r="S565" i="4"/>
  <c r="J566" i="4"/>
  <c r="K567" i="4"/>
  <c r="T568" i="4"/>
  <c r="J569" i="4"/>
  <c r="K570" i="4"/>
  <c r="M572" i="4"/>
  <c r="P574" i="4"/>
  <c r="Q575" i="4"/>
  <c r="M577" i="4"/>
  <c r="V578" i="4"/>
  <c r="J579" i="4"/>
  <c r="S581" i="4"/>
  <c r="J582" i="4"/>
  <c r="W582" i="4"/>
  <c r="I583" i="4"/>
  <c r="V583" i="4"/>
  <c r="I584" i="4"/>
  <c r="O585" i="4"/>
  <c r="V586" i="4"/>
  <c r="J587" i="4"/>
  <c r="K590" i="4"/>
  <c r="M591" i="4"/>
  <c r="Q592" i="4"/>
  <c r="O595" i="4"/>
  <c r="H596" i="4"/>
  <c r="M598" i="4"/>
  <c r="P599" i="4"/>
  <c r="T600" i="4"/>
  <c r="T601" i="4"/>
  <c r="M604" i="4"/>
  <c r="S605" i="4"/>
  <c r="I606" i="4"/>
  <c r="S607" i="4"/>
  <c r="I608" i="4"/>
  <c r="S610" i="4"/>
  <c r="S613" i="4"/>
  <c r="R661" i="4"/>
  <c r="I661" i="4"/>
  <c r="H661" i="4"/>
  <c r="L661" i="4" s="1"/>
  <c r="S661" i="4"/>
  <c r="Q661" i="4"/>
  <c r="S691" i="4"/>
  <c r="Q691" i="4"/>
  <c r="I691" i="4"/>
  <c r="S728" i="4"/>
  <c r="H728" i="4"/>
  <c r="N728" i="4" s="1"/>
  <c r="V792" i="4"/>
  <c r="G792" i="4"/>
  <c r="W792" i="4"/>
  <c r="P792" i="4"/>
  <c r="O792" i="4"/>
  <c r="K792" i="4"/>
  <c r="Q450" i="4"/>
  <c r="J454" i="4"/>
  <c r="W454" i="4"/>
  <c r="V455" i="4"/>
  <c r="M457" i="4"/>
  <c r="Q458" i="4"/>
  <c r="P462" i="4"/>
  <c r="S463" i="4"/>
  <c r="M465" i="4"/>
  <c r="J470" i="4"/>
  <c r="V470" i="4"/>
  <c r="Q475" i="4"/>
  <c r="J478" i="4"/>
  <c r="W478" i="4"/>
  <c r="V479" i="4"/>
  <c r="T483" i="4"/>
  <c r="P487" i="4"/>
  <c r="T494" i="4"/>
  <c r="U497" i="4"/>
  <c r="O499" i="4"/>
  <c r="S501" i="4"/>
  <c r="J502" i="4"/>
  <c r="K503" i="4"/>
  <c r="T504" i="4"/>
  <c r="J505" i="4"/>
  <c r="K506" i="4"/>
  <c r="W507" i="4"/>
  <c r="J508" i="4"/>
  <c r="O510" i="4"/>
  <c r="Q511" i="4"/>
  <c r="Q530" i="4"/>
  <c r="T534" i="4"/>
  <c r="T537" i="4"/>
  <c r="O539" i="4"/>
  <c r="K543" i="4"/>
  <c r="T544" i="4"/>
  <c r="K548" i="4"/>
  <c r="K566" i="4"/>
  <c r="K569" i="4"/>
  <c r="Q570" i="4"/>
  <c r="O579" i="4"/>
  <c r="K582" i="4"/>
  <c r="K583" i="4"/>
  <c r="O584" i="4"/>
  <c r="O587" i="4"/>
  <c r="M606" i="4"/>
  <c r="G654" i="4"/>
  <c r="W654" i="4"/>
  <c r="P654" i="4"/>
  <c r="W671" i="4"/>
  <c r="M671" i="4"/>
  <c r="J671" i="4"/>
  <c r="U671" i="4"/>
  <c r="S841" i="4"/>
  <c r="R841" i="4"/>
  <c r="I841" i="4"/>
  <c r="H841" i="4"/>
  <c r="L841" i="4" s="1"/>
  <c r="Q841" i="4"/>
  <c r="S450" i="4"/>
  <c r="K454" i="4"/>
  <c r="K455" i="4"/>
  <c r="O457" i="4"/>
  <c r="T462" i="4"/>
  <c r="T463" i="4"/>
  <c r="O465" i="4"/>
  <c r="I467" i="4"/>
  <c r="K470" i="4"/>
  <c r="W470" i="4"/>
  <c r="H476" i="4"/>
  <c r="K478" i="4"/>
  <c r="K479" i="4"/>
  <c r="K482" i="4"/>
  <c r="W483" i="4"/>
  <c r="I493" i="4"/>
  <c r="U494" i="4"/>
  <c r="H495" i="4"/>
  <c r="N495" i="4" s="1"/>
  <c r="I496" i="4"/>
  <c r="V497" i="4"/>
  <c r="H498" i="4"/>
  <c r="L498" i="4" s="1"/>
  <c r="Q499" i="4"/>
  <c r="K502" i="4"/>
  <c r="K505" i="4"/>
  <c r="K508" i="4"/>
  <c r="V514" i="4"/>
  <c r="K524" i="4"/>
  <c r="S530" i="4"/>
  <c r="I533" i="4"/>
  <c r="U534" i="4"/>
  <c r="H535" i="4"/>
  <c r="N535" i="4" s="1"/>
  <c r="I536" i="4"/>
  <c r="U537" i="4"/>
  <c r="T539" i="4"/>
  <c r="H540" i="4"/>
  <c r="K542" i="4"/>
  <c r="M543" i="4"/>
  <c r="K545" i="4"/>
  <c r="K546" i="4"/>
  <c r="M548" i="4"/>
  <c r="P550" i="4"/>
  <c r="V554" i="4"/>
  <c r="U556" i="4"/>
  <c r="H559" i="4"/>
  <c r="N559" i="4" s="1"/>
  <c r="I560" i="4"/>
  <c r="V561" i="4"/>
  <c r="H562" i="4"/>
  <c r="L562" i="4" s="1"/>
  <c r="M566" i="4"/>
  <c r="M569" i="4"/>
  <c r="S570" i="4"/>
  <c r="P577" i="4"/>
  <c r="W579" i="4"/>
  <c r="M582" i="4"/>
  <c r="M583" i="4"/>
  <c r="Q584" i="4"/>
  <c r="W587" i="4"/>
  <c r="V592" i="4"/>
  <c r="K596" i="4"/>
  <c r="P598" i="4"/>
  <c r="S599" i="4"/>
  <c r="W600" i="4"/>
  <c r="P604" i="4"/>
  <c r="O606" i="4"/>
  <c r="T684" i="4"/>
  <c r="J684" i="4"/>
  <c r="W684" i="4"/>
  <c r="G684" i="4"/>
  <c r="V684" i="4"/>
  <c r="U684" i="4"/>
  <c r="P684" i="4"/>
  <c r="O684" i="4"/>
  <c r="M684" i="4"/>
  <c r="R685" i="4"/>
  <c r="I685" i="4"/>
  <c r="H685" i="4"/>
  <c r="S685" i="4"/>
  <c r="Q685" i="4"/>
  <c r="S711" i="4"/>
  <c r="H711" i="4"/>
  <c r="N711" i="4" s="1"/>
  <c r="S797" i="4"/>
  <c r="I797" i="4"/>
  <c r="H797" i="4"/>
  <c r="Q797" i="4"/>
  <c r="R833" i="4"/>
  <c r="Q833" i="4"/>
  <c r="I833" i="4"/>
  <c r="H833" i="4"/>
  <c r="N833" i="4" s="1"/>
  <c r="H917" i="4"/>
  <c r="N917" i="4" s="1"/>
  <c r="S917" i="4"/>
  <c r="R917" i="4"/>
  <c r="N918" i="4"/>
  <c r="L918" i="4"/>
  <c r="S418" i="4"/>
  <c r="P425" i="4"/>
  <c r="P428" i="4"/>
  <c r="K431" i="4"/>
  <c r="M432" i="4"/>
  <c r="K438" i="4"/>
  <c r="K441" i="4"/>
  <c r="Q442" i="4"/>
  <c r="O449" i="4"/>
  <c r="M452" i="4"/>
  <c r="M454" i="4"/>
  <c r="M455" i="4"/>
  <c r="Q456" i="4"/>
  <c r="P457" i="4"/>
  <c r="I461" i="4"/>
  <c r="U462" i="4"/>
  <c r="H463" i="4"/>
  <c r="L463" i="4" s="1"/>
  <c r="U463" i="4"/>
  <c r="P465" i="4"/>
  <c r="V466" i="4"/>
  <c r="Q467" i="4"/>
  <c r="K471" i="4"/>
  <c r="K474" i="4"/>
  <c r="W475" i="4"/>
  <c r="M479" i="4"/>
  <c r="K481" i="4"/>
  <c r="P482" i="4"/>
  <c r="K484" i="4"/>
  <c r="P486" i="4"/>
  <c r="S487" i="4"/>
  <c r="P489" i="4"/>
  <c r="V490" i="4"/>
  <c r="I491" i="4"/>
  <c r="U492" i="4"/>
  <c r="Q493" i="4"/>
  <c r="G494" i="4"/>
  <c r="W494" i="4"/>
  <c r="I495" i="4"/>
  <c r="Q496" i="4"/>
  <c r="G497" i="4"/>
  <c r="W497" i="4"/>
  <c r="I498" i="4"/>
  <c r="T499" i="4"/>
  <c r="H500" i="4"/>
  <c r="L500" i="4" s="1"/>
  <c r="M502" i="4"/>
  <c r="P503" i="4"/>
  <c r="M505" i="4"/>
  <c r="Q506" i="4"/>
  <c r="M508" i="4"/>
  <c r="T510" i="4"/>
  <c r="T511" i="4"/>
  <c r="U513" i="4"/>
  <c r="O515" i="4"/>
  <c r="K519" i="4"/>
  <c r="T520" i="4"/>
  <c r="K522" i="4"/>
  <c r="M524" i="4"/>
  <c r="P526" i="4"/>
  <c r="S527" i="4"/>
  <c r="V530" i="4"/>
  <c r="U532" i="4"/>
  <c r="Q533" i="4"/>
  <c r="G534" i="4"/>
  <c r="W534" i="4"/>
  <c r="I535" i="4"/>
  <c r="Q536" i="4"/>
  <c r="G537" i="4"/>
  <c r="H538" i="4"/>
  <c r="L538" i="4" s="1"/>
  <c r="W539" i="4"/>
  <c r="M542" i="4"/>
  <c r="P543" i="4"/>
  <c r="Q546" i="4"/>
  <c r="P548" i="4"/>
  <c r="S551" i="4"/>
  <c r="P553" i="4"/>
  <c r="O555" i="4"/>
  <c r="I559" i="4"/>
  <c r="Q560" i="4"/>
  <c r="G561" i="4"/>
  <c r="W561" i="4"/>
  <c r="I562" i="4"/>
  <c r="K564" i="4"/>
  <c r="O566" i="4"/>
  <c r="Q567" i="4"/>
  <c r="O569" i="4"/>
  <c r="V570" i="4"/>
  <c r="U572" i="4"/>
  <c r="Q573" i="4"/>
  <c r="G574" i="4"/>
  <c r="U574" i="4"/>
  <c r="H575" i="4"/>
  <c r="N575" i="4" s="1"/>
  <c r="U575" i="4"/>
  <c r="I576" i="4"/>
  <c r="U577" i="4"/>
  <c r="K580" i="4"/>
  <c r="O582" i="4"/>
  <c r="P583" i="4"/>
  <c r="T584" i="4"/>
  <c r="G585" i="4"/>
  <c r="K588" i="4"/>
  <c r="P590" i="4"/>
  <c r="S591" i="4"/>
  <c r="W592" i="4"/>
  <c r="H593" i="4"/>
  <c r="L593" i="4" s="1"/>
  <c r="H594" i="4"/>
  <c r="M596" i="4"/>
  <c r="T598" i="4"/>
  <c r="T599" i="4"/>
  <c r="J601" i="4"/>
  <c r="I602" i="4"/>
  <c r="U604" i="4"/>
  <c r="P606" i="4"/>
  <c r="S608" i="4"/>
  <c r="H609" i="4"/>
  <c r="N609" i="4" s="1"/>
  <c r="H610" i="4"/>
  <c r="N610" i="4" s="1"/>
  <c r="H612" i="4"/>
  <c r="L612" i="4" s="1"/>
  <c r="H613" i="4"/>
  <c r="V615" i="4"/>
  <c r="P615" i="4"/>
  <c r="V616" i="4"/>
  <c r="K616" i="4"/>
  <c r="V617" i="4"/>
  <c r="G617" i="4"/>
  <c r="P617" i="4"/>
  <c r="O617" i="4"/>
  <c r="M617" i="4"/>
  <c r="W617" i="4"/>
  <c r="K617" i="4"/>
  <c r="T617" i="4"/>
  <c r="T652" i="4"/>
  <c r="J652" i="4"/>
  <c r="W652" i="4"/>
  <c r="G652" i="4"/>
  <c r="V652" i="4"/>
  <c r="U652" i="4"/>
  <c r="P652" i="4"/>
  <c r="O652" i="4"/>
  <c r="M652" i="4"/>
  <c r="R653" i="4"/>
  <c r="I653" i="4"/>
  <c r="H653" i="4"/>
  <c r="S653" i="4"/>
  <c r="Q653" i="4"/>
  <c r="S686" i="4"/>
  <c r="I686" i="4"/>
  <c r="H686" i="4"/>
  <c r="N686" i="4" s="1"/>
  <c r="Q686" i="4"/>
  <c r="V697" i="4"/>
  <c r="J697" i="4"/>
  <c r="U697" i="4"/>
  <c r="G697" i="4"/>
  <c r="T697" i="4"/>
  <c r="P697" i="4"/>
  <c r="O697" i="4"/>
  <c r="M697" i="4"/>
  <c r="W697" i="4"/>
  <c r="W719" i="4"/>
  <c r="J719" i="4"/>
  <c r="U719" i="4"/>
  <c r="P719" i="4"/>
  <c r="P809" i="4"/>
  <c r="K813" i="4"/>
  <c r="V813" i="4"/>
  <c r="U813" i="4"/>
  <c r="G813" i="4"/>
  <c r="T813" i="4"/>
  <c r="P813" i="4"/>
  <c r="O813" i="4"/>
  <c r="M813" i="4"/>
  <c r="I618" i="4"/>
  <c r="R620" i="4"/>
  <c r="O621" i="4"/>
  <c r="O624" i="4"/>
  <c r="T625" i="4"/>
  <c r="W627" i="4"/>
  <c r="J628" i="4"/>
  <c r="W628" i="4"/>
  <c r="H629" i="4"/>
  <c r="L629" i="4" s="1"/>
  <c r="R632" i="4"/>
  <c r="Q634" i="4"/>
  <c r="G635" i="4"/>
  <c r="V636" i="4"/>
  <c r="H637" i="4"/>
  <c r="N637" i="4" s="1"/>
  <c r="R638" i="4"/>
  <c r="I639" i="4"/>
  <c r="Q642" i="4"/>
  <c r="O645" i="4"/>
  <c r="P646" i="4"/>
  <c r="K649" i="4"/>
  <c r="O653" i="4"/>
  <c r="O660" i="4"/>
  <c r="O661" i="4"/>
  <c r="P663" i="4"/>
  <c r="P665" i="4"/>
  <c r="Q666" i="4"/>
  <c r="O668" i="4"/>
  <c r="P669" i="4"/>
  <c r="I672" i="4"/>
  <c r="T673" i="4"/>
  <c r="S674" i="4"/>
  <c r="O676" i="4"/>
  <c r="Q682" i="4"/>
  <c r="O685" i="4"/>
  <c r="H687" i="4"/>
  <c r="N687" i="4" s="1"/>
  <c r="K692" i="4"/>
  <c r="K698" i="4"/>
  <c r="T699" i="4"/>
  <c r="G700" i="4"/>
  <c r="W700" i="4"/>
  <c r="H701" i="4"/>
  <c r="L701" i="4" s="1"/>
  <c r="W701" i="4"/>
  <c r="H702" i="4"/>
  <c r="N702" i="4" s="1"/>
  <c r="S704" i="4"/>
  <c r="J705" i="4"/>
  <c r="W705" i="4"/>
  <c r="I706" i="4"/>
  <c r="V706" i="4"/>
  <c r="Q707" i="4"/>
  <c r="V708" i="4"/>
  <c r="G709" i="4"/>
  <c r="V709" i="4"/>
  <c r="G710" i="4"/>
  <c r="U711" i="4"/>
  <c r="Q712" i="4"/>
  <c r="G713" i="4"/>
  <c r="V713" i="4"/>
  <c r="H714" i="4"/>
  <c r="N714" i="4" s="1"/>
  <c r="U714" i="4"/>
  <c r="I715" i="4"/>
  <c r="U716" i="4"/>
  <c r="S717" i="4"/>
  <c r="I720" i="4"/>
  <c r="T721" i="4"/>
  <c r="S722" i="4"/>
  <c r="O724" i="4"/>
  <c r="R725" i="4"/>
  <c r="J726" i="4"/>
  <c r="W726" i="4"/>
  <c r="J727" i="4"/>
  <c r="W728" i="4"/>
  <c r="I729" i="4"/>
  <c r="U729" i="4"/>
  <c r="G730" i="4"/>
  <c r="P731" i="4"/>
  <c r="P732" i="4"/>
  <c r="W733" i="4"/>
  <c r="I734" i="4"/>
  <c r="W734" i="4"/>
  <c r="H735" i="4"/>
  <c r="N735" i="4" s="1"/>
  <c r="P737" i="4"/>
  <c r="U740" i="4"/>
  <c r="R741" i="4"/>
  <c r="G744" i="4"/>
  <c r="W744" i="4"/>
  <c r="I745" i="4"/>
  <c r="U748" i="4"/>
  <c r="I750" i="4"/>
  <c r="R751" i="4"/>
  <c r="G752" i="4"/>
  <c r="P753" i="4"/>
  <c r="J754" i="4"/>
  <c r="M758" i="4"/>
  <c r="U765" i="4"/>
  <c r="P769" i="4"/>
  <c r="T771" i="4"/>
  <c r="O772" i="4"/>
  <c r="W773" i="4"/>
  <c r="I774" i="4"/>
  <c r="R778" i="4"/>
  <c r="G779" i="4"/>
  <c r="V779" i="4"/>
  <c r="G780" i="4"/>
  <c r="K784" i="4"/>
  <c r="W789" i="4"/>
  <c r="I790" i="4"/>
  <c r="Q796" i="4"/>
  <c r="O799" i="4"/>
  <c r="U804" i="4"/>
  <c r="H808" i="4"/>
  <c r="Q809" i="4"/>
  <c r="G811" i="4"/>
  <c r="T811" i="4"/>
  <c r="P812" i="4"/>
  <c r="Q814" i="4"/>
  <c r="K819" i="4"/>
  <c r="I820" i="4"/>
  <c r="T820" i="4"/>
  <c r="Q821" i="4"/>
  <c r="H824" i="4"/>
  <c r="S825" i="4"/>
  <c r="J827" i="4"/>
  <c r="U827" i="4"/>
  <c r="I829" i="4"/>
  <c r="W829" i="4"/>
  <c r="I830" i="4"/>
  <c r="J832" i="4"/>
  <c r="I836" i="4"/>
  <c r="T836" i="4"/>
  <c r="Q837" i="4"/>
  <c r="V838" i="4"/>
  <c r="H839" i="4"/>
  <c r="N839" i="4" s="1"/>
  <c r="J846" i="4"/>
  <c r="S896" i="4"/>
  <c r="H896" i="4"/>
  <c r="J916" i="4"/>
  <c r="W916" i="4"/>
  <c r="G926" i="4"/>
  <c r="P926" i="4"/>
  <c r="O926" i="4"/>
  <c r="P955" i="4"/>
  <c r="O1035" i="4"/>
  <c r="J1035" i="4"/>
  <c r="G1035" i="4"/>
  <c r="W1035" i="4"/>
  <c r="T1035" i="4"/>
  <c r="P1035" i="4"/>
  <c r="H1137" i="4"/>
  <c r="R1137" i="4"/>
  <c r="M618" i="4"/>
  <c r="G620" i="4"/>
  <c r="S620" i="4"/>
  <c r="Q621" i="4"/>
  <c r="V624" i="4"/>
  <c r="G625" i="4"/>
  <c r="U625" i="4"/>
  <c r="H626" i="4"/>
  <c r="L626" i="4" s="1"/>
  <c r="K628" i="4"/>
  <c r="I629" i="4"/>
  <c r="K633" i="4"/>
  <c r="S634" i="4"/>
  <c r="Q635" i="4"/>
  <c r="G636" i="4"/>
  <c r="W636" i="4"/>
  <c r="I637" i="4"/>
  <c r="W638" i="4"/>
  <c r="K639" i="4"/>
  <c r="S642" i="4"/>
  <c r="P645" i="4"/>
  <c r="M649" i="4"/>
  <c r="P653" i="4"/>
  <c r="Q654" i="4"/>
  <c r="I655" i="4"/>
  <c r="G657" i="4"/>
  <c r="T657" i="4"/>
  <c r="S658" i="4"/>
  <c r="P660" i="4"/>
  <c r="P661" i="4"/>
  <c r="R663" i="4"/>
  <c r="I664" i="4"/>
  <c r="S666" i="4"/>
  <c r="P668" i="4"/>
  <c r="Q669" i="4"/>
  <c r="Q672" i="4"/>
  <c r="U673" i="4"/>
  <c r="T674" i="4"/>
  <c r="P676" i="4"/>
  <c r="Q677" i="4"/>
  <c r="M679" i="4"/>
  <c r="T681" i="4"/>
  <c r="S682" i="4"/>
  <c r="P685" i="4"/>
  <c r="W686" i="4"/>
  <c r="J687" i="4"/>
  <c r="P689" i="4"/>
  <c r="M692" i="4"/>
  <c r="Q694" i="4"/>
  <c r="H695" i="4"/>
  <c r="M698" i="4"/>
  <c r="V699" i="4"/>
  <c r="J700" i="4"/>
  <c r="I701" i="4"/>
  <c r="I702" i="4"/>
  <c r="K705" i="4"/>
  <c r="K706" i="4"/>
  <c r="T707" i="4"/>
  <c r="G708" i="4"/>
  <c r="W708" i="4"/>
  <c r="H709" i="4"/>
  <c r="L709" i="4" s="1"/>
  <c r="W709" i="4"/>
  <c r="H710" i="4"/>
  <c r="N710" i="4" s="1"/>
  <c r="S712" i="4"/>
  <c r="J713" i="4"/>
  <c r="W713" i="4"/>
  <c r="I714" i="4"/>
  <c r="V714" i="4"/>
  <c r="Q715" i="4"/>
  <c r="V716" i="4"/>
  <c r="G717" i="4"/>
  <c r="V717" i="4"/>
  <c r="G718" i="4"/>
  <c r="Q720" i="4"/>
  <c r="G721" i="4"/>
  <c r="U721" i="4"/>
  <c r="T722" i="4"/>
  <c r="P724" i="4"/>
  <c r="K726" i="4"/>
  <c r="K727" i="4"/>
  <c r="I730" i="4"/>
  <c r="T731" i="4"/>
  <c r="Q732" i="4"/>
  <c r="K734" i="4"/>
  <c r="I735" i="4"/>
  <c r="Q737" i="4"/>
  <c r="G740" i="4"/>
  <c r="Q742" i="4"/>
  <c r="S743" i="4"/>
  <c r="H744" i="4"/>
  <c r="N744" i="4" s="1"/>
  <c r="P747" i="4"/>
  <c r="K748" i="4"/>
  <c r="V748" i="4"/>
  <c r="M750" i="4"/>
  <c r="J752" i="4"/>
  <c r="U753" i="4"/>
  <c r="T754" i="4"/>
  <c r="M757" i="4"/>
  <c r="O758" i="4"/>
  <c r="Q760" i="4"/>
  <c r="I762" i="4"/>
  <c r="T763" i="4"/>
  <c r="W764" i="4"/>
  <c r="V765" i="4"/>
  <c r="H766" i="4"/>
  <c r="L766" i="4" s="1"/>
  <c r="Q769" i="4"/>
  <c r="U771" i="4"/>
  <c r="P772" i="4"/>
  <c r="M773" i="4"/>
  <c r="Q774" i="4"/>
  <c r="J779" i="4"/>
  <c r="W779" i="4"/>
  <c r="T780" i="4"/>
  <c r="O784" i="4"/>
  <c r="T786" i="4"/>
  <c r="P788" i="4"/>
  <c r="M789" i="4"/>
  <c r="Q790" i="4"/>
  <c r="K795" i="4"/>
  <c r="I796" i="4"/>
  <c r="S796" i="4"/>
  <c r="W800" i="4"/>
  <c r="K804" i="4"/>
  <c r="V804" i="4"/>
  <c r="J808" i="4"/>
  <c r="S809" i="4"/>
  <c r="J811" i="4"/>
  <c r="U811" i="4"/>
  <c r="Q812" i="4"/>
  <c r="U814" i="4"/>
  <c r="M819" i="4"/>
  <c r="K820" i="4"/>
  <c r="U820" i="4"/>
  <c r="T821" i="4"/>
  <c r="J824" i="4"/>
  <c r="K827" i="4"/>
  <c r="V827" i="4"/>
  <c r="M830" i="4"/>
  <c r="K832" i="4"/>
  <c r="K836" i="4"/>
  <c r="U836" i="4"/>
  <c r="T837" i="4"/>
  <c r="G842" i="4"/>
  <c r="P842" i="4"/>
  <c r="K842" i="4"/>
  <c r="T842" i="4"/>
  <c r="T862" i="4"/>
  <c r="G862" i="4"/>
  <c r="P862" i="4"/>
  <c r="O862" i="4"/>
  <c r="W862" i="4"/>
  <c r="M862" i="4"/>
  <c r="V862" i="4"/>
  <c r="K862" i="4"/>
  <c r="J877" i="4"/>
  <c r="U877" i="4"/>
  <c r="T877" i="4"/>
  <c r="R879" i="4"/>
  <c r="I879" i="4"/>
  <c r="H879" i="4"/>
  <c r="S879" i="4"/>
  <c r="Q879" i="4"/>
  <c r="G911" i="4"/>
  <c r="T911" i="4"/>
  <c r="T925" i="4"/>
  <c r="W925" i="4"/>
  <c r="J925" i="4"/>
  <c r="V925" i="4"/>
  <c r="G925" i="4"/>
  <c r="U925" i="4"/>
  <c r="P925" i="4"/>
  <c r="O925" i="4"/>
  <c r="M925" i="4"/>
  <c r="G937" i="4"/>
  <c r="T937" i="4"/>
  <c r="R1003" i="4"/>
  <c r="I1003" i="4"/>
  <c r="H1003" i="4"/>
  <c r="L1003" i="4" s="1"/>
  <c r="S1003" i="4"/>
  <c r="Q1003" i="4"/>
  <c r="G1025" i="4"/>
  <c r="M1025" i="4"/>
  <c r="J1025" i="4"/>
  <c r="W1025" i="4"/>
  <c r="P618" i="4"/>
  <c r="U620" i="4"/>
  <c r="S621" i="4"/>
  <c r="J625" i="4"/>
  <c r="W625" i="4"/>
  <c r="I626" i="4"/>
  <c r="M628" i="4"/>
  <c r="P629" i="4"/>
  <c r="R635" i="4"/>
  <c r="J636" i="4"/>
  <c r="P637" i="4"/>
  <c r="M639" i="4"/>
  <c r="T646" i="4"/>
  <c r="O649" i="4"/>
  <c r="Q650" i="4"/>
  <c r="J656" i="4"/>
  <c r="J657" i="4"/>
  <c r="U657" i="4"/>
  <c r="T658" i="4"/>
  <c r="U663" i="4"/>
  <c r="Q664" i="4"/>
  <c r="T665" i="4"/>
  <c r="T666" i="4"/>
  <c r="I667" i="4"/>
  <c r="U668" i="4"/>
  <c r="S669" i="4"/>
  <c r="S672" i="4"/>
  <c r="G673" i="4"/>
  <c r="V673" i="4"/>
  <c r="H674" i="4"/>
  <c r="N674" i="4" s="1"/>
  <c r="U674" i="4"/>
  <c r="U676" i="4"/>
  <c r="S677" i="4"/>
  <c r="M687" i="4"/>
  <c r="O692" i="4"/>
  <c r="J695" i="4"/>
  <c r="K700" i="4"/>
  <c r="J708" i="4"/>
  <c r="I709" i="4"/>
  <c r="I710" i="4"/>
  <c r="K713" i="4"/>
  <c r="K714" i="4"/>
  <c r="T715" i="4"/>
  <c r="G716" i="4"/>
  <c r="W716" i="4"/>
  <c r="H717" i="4"/>
  <c r="L717" i="4" s="1"/>
  <c r="W717" i="4"/>
  <c r="H718" i="4"/>
  <c r="N718" i="4" s="1"/>
  <c r="U722" i="4"/>
  <c r="H740" i="4"/>
  <c r="N740" i="4" s="1"/>
  <c r="M748" i="4"/>
  <c r="W748" i="4"/>
  <c r="H749" i="4"/>
  <c r="N749" i="4" s="1"/>
  <c r="K752" i="4"/>
  <c r="O757" i="4"/>
  <c r="P758" i="4"/>
  <c r="S760" i="4"/>
  <c r="Q761" i="4"/>
  <c r="N762" i="4"/>
  <c r="G763" i="4"/>
  <c r="U763" i="4"/>
  <c r="W765" i="4"/>
  <c r="I766" i="4"/>
  <c r="G771" i="4"/>
  <c r="V771" i="4"/>
  <c r="G772" i="4"/>
  <c r="O773" i="4"/>
  <c r="K779" i="4"/>
  <c r="U780" i="4"/>
  <c r="P784" i="4"/>
  <c r="U786" i="4"/>
  <c r="O789" i="4"/>
  <c r="V799" i="4"/>
  <c r="G800" i="4"/>
  <c r="M804" i="4"/>
  <c r="W804" i="4"/>
  <c r="H805" i="4"/>
  <c r="N805" i="4" s="1"/>
  <c r="K808" i="4"/>
  <c r="K811" i="4"/>
  <c r="V811" i="4"/>
  <c r="G812" i="4"/>
  <c r="S812" i="4"/>
  <c r="O819" i="4"/>
  <c r="V820" i="4"/>
  <c r="G821" i="4"/>
  <c r="U821" i="4"/>
  <c r="K824" i="4"/>
  <c r="M827" i="4"/>
  <c r="W827" i="4"/>
  <c r="H828" i="4"/>
  <c r="Q828" i="4"/>
  <c r="Q830" i="4"/>
  <c r="O832" i="4"/>
  <c r="G837" i="4"/>
  <c r="U837" i="4"/>
  <c r="R839" i="4"/>
  <c r="Q839" i="4"/>
  <c r="T846" i="4"/>
  <c r="G846" i="4"/>
  <c r="W846" i="4"/>
  <c r="M846" i="4"/>
  <c r="V846" i="4"/>
  <c r="K846" i="4"/>
  <c r="P846" i="4"/>
  <c r="S851" i="4"/>
  <c r="I851" i="4"/>
  <c r="H851" i="4"/>
  <c r="R851" i="4"/>
  <c r="Q851" i="4"/>
  <c r="R897" i="4"/>
  <c r="I897" i="4"/>
  <c r="H897" i="4"/>
  <c r="L897" i="4" s="1"/>
  <c r="S897" i="4"/>
  <c r="Q897" i="4"/>
  <c r="T973" i="4"/>
  <c r="V973" i="4"/>
  <c r="U973" i="4"/>
  <c r="G973" i="4"/>
  <c r="P973" i="4"/>
  <c r="O973" i="4"/>
  <c r="M973" i="4"/>
  <c r="K973" i="4"/>
  <c r="W973" i="4"/>
  <c r="G1032" i="4"/>
  <c r="U1032" i="4"/>
  <c r="T1032" i="4"/>
  <c r="P1211" i="4"/>
  <c r="W1211" i="4"/>
  <c r="J1211" i="4"/>
  <c r="V1211" i="4"/>
  <c r="G1211" i="4"/>
  <c r="U1211" i="4"/>
  <c r="T1211" i="4"/>
  <c r="O1211" i="4"/>
  <c r="M1211" i="4"/>
  <c r="K1211" i="4"/>
  <c r="J620" i="4"/>
  <c r="V620" i="4"/>
  <c r="K625" i="4"/>
  <c r="I630" i="4"/>
  <c r="H631" i="4"/>
  <c r="L631" i="4" s="1"/>
  <c r="K636" i="4"/>
  <c r="Q637" i="4"/>
  <c r="H638" i="4"/>
  <c r="N638" i="4" s="1"/>
  <c r="I640" i="4"/>
  <c r="H642" i="4"/>
  <c r="N642" i="4" s="1"/>
  <c r="W646" i="4"/>
  <c r="P649" i="4"/>
  <c r="K657" i="4"/>
  <c r="W657" i="4"/>
  <c r="U658" i="4"/>
  <c r="U660" i="4"/>
  <c r="H666" i="4"/>
  <c r="V668" i="4"/>
  <c r="H670" i="4"/>
  <c r="N670" i="4" s="1"/>
  <c r="J673" i="4"/>
  <c r="W673" i="4"/>
  <c r="V674" i="4"/>
  <c r="V676" i="4"/>
  <c r="H682" i="4"/>
  <c r="N682" i="4" s="1"/>
  <c r="P687" i="4"/>
  <c r="P692" i="4"/>
  <c r="M695" i="4"/>
  <c r="M700" i="4"/>
  <c r="Q702" i="4"/>
  <c r="K708" i="4"/>
  <c r="K709" i="4"/>
  <c r="O710" i="4"/>
  <c r="M713" i="4"/>
  <c r="M714" i="4"/>
  <c r="V715" i="4"/>
  <c r="J716" i="4"/>
  <c r="I717" i="4"/>
  <c r="I718" i="4"/>
  <c r="K721" i="4"/>
  <c r="W721" i="4"/>
  <c r="I722" i="4"/>
  <c r="V722" i="4"/>
  <c r="Q723" i="4"/>
  <c r="V724" i="4"/>
  <c r="G725" i="4"/>
  <c r="O726" i="4"/>
  <c r="P727" i="4"/>
  <c r="R730" i="4"/>
  <c r="G731" i="4"/>
  <c r="V731" i="4"/>
  <c r="G732" i="4"/>
  <c r="T732" i="4"/>
  <c r="O734" i="4"/>
  <c r="K738" i="4"/>
  <c r="I740" i="4"/>
  <c r="Q745" i="4"/>
  <c r="O748" i="4"/>
  <c r="I749" i="4"/>
  <c r="P750" i="4"/>
  <c r="O752" i="4"/>
  <c r="K755" i="4"/>
  <c r="V755" i="4"/>
  <c r="G756" i="4"/>
  <c r="S756" i="4"/>
  <c r="P757" i="4"/>
  <c r="V758" i="4"/>
  <c r="S762" i="4"/>
  <c r="J763" i="4"/>
  <c r="V763" i="4"/>
  <c r="G764" i="4"/>
  <c r="P764" i="4"/>
  <c r="M765" i="4"/>
  <c r="Q766" i="4"/>
  <c r="H767" i="4"/>
  <c r="J771" i="4"/>
  <c r="W771" i="4"/>
  <c r="H772" i="4"/>
  <c r="S772" i="4"/>
  <c r="P773" i="4"/>
  <c r="G776" i="4"/>
  <c r="W776" i="4"/>
  <c r="I777" i="4"/>
  <c r="M779" i="4"/>
  <c r="K780" i="4"/>
  <c r="V780" i="4"/>
  <c r="G781" i="4"/>
  <c r="U781" i="4"/>
  <c r="W784" i="4"/>
  <c r="I785" i="4"/>
  <c r="K787" i="4"/>
  <c r="V787" i="4"/>
  <c r="G788" i="4"/>
  <c r="S788" i="4"/>
  <c r="P789" i="4"/>
  <c r="O791" i="4"/>
  <c r="S792" i="4"/>
  <c r="H793" i="4"/>
  <c r="N793" i="4" s="1"/>
  <c r="O795" i="4"/>
  <c r="U796" i="4"/>
  <c r="T797" i="4"/>
  <c r="W799" i="4"/>
  <c r="H800" i="4"/>
  <c r="N800" i="4" s="1"/>
  <c r="Q801" i="4"/>
  <c r="O804" i="4"/>
  <c r="I805" i="4"/>
  <c r="W805" i="4"/>
  <c r="I806" i="4"/>
  <c r="O808" i="4"/>
  <c r="M811" i="4"/>
  <c r="W811" i="4"/>
  <c r="H812" i="4"/>
  <c r="N812" i="4" s="1"/>
  <c r="T812" i="4"/>
  <c r="Q813" i="4"/>
  <c r="O815" i="4"/>
  <c r="W816" i="4"/>
  <c r="I817" i="4"/>
  <c r="P819" i="4"/>
  <c r="M820" i="4"/>
  <c r="W820" i="4"/>
  <c r="H821" i="4"/>
  <c r="N821" i="4" s="1"/>
  <c r="V821" i="4"/>
  <c r="H822" i="4"/>
  <c r="L822" i="4" s="1"/>
  <c r="O824" i="4"/>
  <c r="I828" i="4"/>
  <c r="S828" i="4"/>
  <c r="P829" i="4"/>
  <c r="U830" i="4"/>
  <c r="G831" i="4"/>
  <c r="P832" i="4"/>
  <c r="M836" i="4"/>
  <c r="W836" i="4"/>
  <c r="H837" i="4"/>
  <c r="N837" i="4" s="1"/>
  <c r="V837" i="4"/>
  <c r="H838" i="4"/>
  <c r="L838" i="4" s="1"/>
  <c r="O839" i="4"/>
  <c r="U846" i="4"/>
  <c r="I875" i="4"/>
  <c r="H875" i="4"/>
  <c r="S875" i="4"/>
  <c r="R875" i="4"/>
  <c r="K936" i="4"/>
  <c r="U936" i="4"/>
  <c r="J936" i="4"/>
  <c r="K988" i="4"/>
  <c r="J988" i="4"/>
  <c r="G988" i="4"/>
  <c r="W988" i="4"/>
  <c r="V988" i="4"/>
  <c r="U988" i="4"/>
  <c r="T988" i="4"/>
  <c r="O988" i="4"/>
  <c r="R617" i="4"/>
  <c r="S618" i="4"/>
  <c r="K620" i="4"/>
  <c r="W620" i="4"/>
  <c r="H621" i="4"/>
  <c r="W621" i="4"/>
  <c r="M625" i="4"/>
  <c r="S626" i="4"/>
  <c r="M627" i="4"/>
  <c r="P628" i="4"/>
  <c r="I631" i="4"/>
  <c r="M636" i="4"/>
  <c r="S637" i="4"/>
  <c r="I638" i="4"/>
  <c r="S639" i="4"/>
  <c r="W641" i="4"/>
  <c r="I642" i="4"/>
  <c r="T643" i="4"/>
  <c r="G645" i="4"/>
  <c r="V645" i="4"/>
  <c r="T649" i="4"/>
  <c r="G653" i="4"/>
  <c r="T653" i="4"/>
  <c r="M657" i="4"/>
  <c r="K658" i="4"/>
  <c r="T659" i="4"/>
  <c r="G660" i="4"/>
  <c r="V660" i="4"/>
  <c r="G661" i="4"/>
  <c r="T661" i="4"/>
  <c r="V664" i="4"/>
  <c r="W665" i="4"/>
  <c r="I666" i="4"/>
  <c r="T667" i="4"/>
  <c r="G668" i="4"/>
  <c r="W668" i="4"/>
  <c r="H669" i="4"/>
  <c r="L669" i="4" s="1"/>
  <c r="I670" i="4"/>
  <c r="K673" i="4"/>
  <c r="K674" i="4"/>
  <c r="T675" i="4"/>
  <c r="G676" i="4"/>
  <c r="W676" i="4"/>
  <c r="H677" i="4"/>
  <c r="L677" i="4" s="1"/>
  <c r="H678" i="4"/>
  <c r="N678" i="4" s="1"/>
  <c r="I682" i="4"/>
  <c r="K716" i="4"/>
  <c r="K722" i="4"/>
  <c r="T723" i="4"/>
  <c r="K763" i="4"/>
  <c r="W763" i="4"/>
  <c r="K771" i="4"/>
  <c r="T772" i="4"/>
  <c r="J800" i="4"/>
  <c r="U812" i="4"/>
  <c r="W821" i="4"/>
  <c r="W837" i="4"/>
  <c r="K845" i="4"/>
  <c r="J845" i="4"/>
  <c r="J847" i="4"/>
  <c r="P847" i="4"/>
  <c r="K847" i="4"/>
  <c r="U847" i="4"/>
  <c r="G847" i="4"/>
  <c r="R865" i="4"/>
  <c r="Q865" i="4"/>
  <c r="I865" i="4"/>
  <c r="H865" i="4"/>
  <c r="V922" i="4"/>
  <c r="J922" i="4"/>
  <c r="W922" i="4"/>
  <c r="G922" i="4"/>
  <c r="U922" i="4"/>
  <c r="T922" i="4"/>
  <c r="P922" i="4"/>
  <c r="O922" i="4"/>
  <c r="M922" i="4"/>
  <c r="R923" i="4"/>
  <c r="I923" i="4"/>
  <c r="H923" i="4"/>
  <c r="S923" i="4"/>
  <c r="R947" i="4"/>
  <c r="I947" i="4"/>
  <c r="H947" i="4"/>
  <c r="L947" i="4" s="1"/>
  <c r="S947" i="4"/>
  <c r="Q947" i="4"/>
  <c r="W950" i="4"/>
  <c r="V950" i="4"/>
  <c r="G950" i="4"/>
  <c r="P950" i="4"/>
  <c r="O950" i="4"/>
  <c r="K950" i="4"/>
  <c r="K960" i="4"/>
  <c r="J960" i="4"/>
  <c r="R1002" i="4"/>
  <c r="S1002" i="4"/>
  <c r="M620" i="4"/>
  <c r="I621" i="4"/>
  <c r="Q622" i="4"/>
  <c r="H623" i="4"/>
  <c r="L623" i="4" s="1"/>
  <c r="O625" i="4"/>
  <c r="R628" i="4"/>
  <c r="Q631" i="4"/>
  <c r="T633" i="4"/>
  <c r="O636" i="4"/>
  <c r="M638" i="4"/>
  <c r="K641" i="4"/>
  <c r="K642" i="4"/>
  <c r="U643" i="4"/>
  <c r="W645" i="4"/>
  <c r="R647" i="4"/>
  <c r="U649" i="4"/>
  <c r="H650" i="4"/>
  <c r="N650" i="4" s="1"/>
  <c r="V653" i="4"/>
  <c r="O657" i="4"/>
  <c r="U659" i="4"/>
  <c r="J660" i="4"/>
  <c r="W660" i="4"/>
  <c r="V661" i="4"/>
  <c r="H662" i="4"/>
  <c r="N662" i="4" s="1"/>
  <c r="K665" i="4"/>
  <c r="K666" i="4"/>
  <c r="J668" i="4"/>
  <c r="I669" i="4"/>
  <c r="Q670" i="4"/>
  <c r="M674" i="4"/>
  <c r="V675" i="4"/>
  <c r="J676" i="4"/>
  <c r="I677" i="4"/>
  <c r="I678" i="4"/>
  <c r="K682" i="4"/>
  <c r="T683" i="4"/>
  <c r="W685" i="4"/>
  <c r="S688" i="4"/>
  <c r="J689" i="4"/>
  <c r="W689" i="4"/>
  <c r="V690" i="4"/>
  <c r="V692" i="4"/>
  <c r="U695" i="4"/>
  <c r="T698" i="4"/>
  <c r="P700" i="4"/>
  <c r="Q701" i="4"/>
  <c r="M703" i="4"/>
  <c r="T705" i="4"/>
  <c r="S706" i="4"/>
  <c r="O708" i="4"/>
  <c r="P709" i="4"/>
  <c r="W710" i="4"/>
  <c r="J711" i="4"/>
  <c r="P713" i="4"/>
  <c r="Q714" i="4"/>
  <c r="M716" i="4"/>
  <c r="O717" i="4"/>
  <c r="Q718" i="4"/>
  <c r="H719" i="4"/>
  <c r="O721" i="4"/>
  <c r="M722" i="4"/>
  <c r="V723" i="4"/>
  <c r="J724" i="4"/>
  <c r="I725" i="4"/>
  <c r="J728" i="4"/>
  <c r="Q729" i="4"/>
  <c r="K731" i="4"/>
  <c r="I732" i="4"/>
  <c r="W732" i="4"/>
  <c r="J733" i="4"/>
  <c r="R734" i="4"/>
  <c r="Q735" i="4"/>
  <c r="T738" i="4"/>
  <c r="R739" i="4"/>
  <c r="P740" i="4"/>
  <c r="Q744" i="4"/>
  <c r="J747" i="4"/>
  <c r="U747" i="4"/>
  <c r="Q748" i="4"/>
  <c r="R750" i="4"/>
  <c r="H751" i="4"/>
  <c r="U756" i="4"/>
  <c r="T757" i="4"/>
  <c r="M763" i="4"/>
  <c r="P765" i="4"/>
  <c r="P767" i="4"/>
  <c r="M771" i="4"/>
  <c r="K772" i="4"/>
  <c r="U772" i="4"/>
  <c r="T773" i="4"/>
  <c r="J776" i="4"/>
  <c r="S777" i="4"/>
  <c r="P779" i="4"/>
  <c r="O780" i="4"/>
  <c r="W781" i="4"/>
  <c r="Q785" i="4"/>
  <c r="U788" i="4"/>
  <c r="T789" i="4"/>
  <c r="T795" i="4"/>
  <c r="W796" i="4"/>
  <c r="H798" i="4"/>
  <c r="L798" i="4" s="1"/>
  <c r="K800" i="4"/>
  <c r="Q804" i="4"/>
  <c r="S808" i="4"/>
  <c r="H809" i="4"/>
  <c r="N809" i="4" s="1"/>
  <c r="K812" i="4"/>
  <c r="V812" i="4"/>
  <c r="Q817" i="4"/>
  <c r="U819" i="4"/>
  <c r="P820" i="4"/>
  <c r="M821" i="4"/>
  <c r="S824" i="4"/>
  <c r="H825" i="4"/>
  <c r="R827" i="4"/>
  <c r="T829" i="4"/>
  <c r="O831" i="4"/>
  <c r="W832" i="4"/>
  <c r="P836" i="4"/>
  <c r="M837" i="4"/>
  <c r="M838" i="4"/>
  <c r="S839" i="4"/>
  <c r="R847" i="4"/>
  <c r="S847" i="4"/>
  <c r="Q847" i="4"/>
  <c r="H847" i="4"/>
  <c r="L847" i="4" s="1"/>
  <c r="T857" i="4"/>
  <c r="J857" i="4"/>
  <c r="G857" i="4"/>
  <c r="P857" i="4"/>
  <c r="G943" i="4"/>
  <c r="P943" i="4"/>
  <c r="T1021" i="4"/>
  <c r="V1021" i="4"/>
  <c r="R1173" i="4"/>
  <c r="I1173" i="4"/>
  <c r="H1173" i="4"/>
  <c r="N1173" i="4" s="1"/>
  <c r="S1173" i="4"/>
  <c r="Q1173" i="4"/>
  <c r="Q648" i="4"/>
  <c r="W649" i="4"/>
  <c r="W653" i="4"/>
  <c r="P657" i="4"/>
  <c r="K660" i="4"/>
  <c r="W661" i="4"/>
  <c r="K668" i="4"/>
  <c r="K676" i="4"/>
  <c r="K690" i="4"/>
  <c r="T691" i="4"/>
  <c r="G692" i="4"/>
  <c r="W692" i="4"/>
  <c r="H693" i="4"/>
  <c r="L693" i="4" s="1"/>
  <c r="H694" i="4"/>
  <c r="N694" i="4" s="1"/>
  <c r="H698" i="4"/>
  <c r="N698" i="4" s="1"/>
  <c r="U698" i="4"/>
  <c r="U700" i="4"/>
  <c r="S701" i="4"/>
  <c r="P703" i="4"/>
  <c r="T706" i="4"/>
  <c r="P708" i="4"/>
  <c r="Q709" i="4"/>
  <c r="M711" i="4"/>
  <c r="S714" i="4"/>
  <c r="O716" i="4"/>
  <c r="P717" i="4"/>
  <c r="W718" i="4"/>
  <c r="P722" i="4"/>
  <c r="K724" i="4"/>
  <c r="P725" i="4"/>
  <c r="U726" i="4"/>
  <c r="M728" i="4"/>
  <c r="K732" i="4"/>
  <c r="U734" i="4"/>
  <c r="R735" i="4"/>
  <c r="I736" i="4"/>
  <c r="H737" i="4"/>
  <c r="L737" i="4" s="1"/>
  <c r="W738" i="4"/>
  <c r="H739" i="4"/>
  <c r="Q740" i="4"/>
  <c r="K747" i="4"/>
  <c r="G748" i="4"/>
  <c r="S748" i="4"/>
  <c r="Q749" i="4"/>
  <c r="W750" i="4"/>
  <c r="K756" i="4"/>
  <c r="V756" i="4"/>
  <c r="G757" i="4"/>
  <c r="K764" i="4"/>
  <c r="T764" i="4"/>
  <c r="Q765" i="4"/>
  <c r="I768" i="4"/>
  <c r="H769" i="4"/>
  <c r="N769" i="4" s="1"/>
  <c r="V772" i="4"/>
  <c r="G773" i="4"/>
  <c r="U773" i="4"/>
  <c r="K776" i="4"/>
  <c r="P780" i="4"/>
  <c r="M781" i="4"/>
  <c r="G784" i="4"/>
  <c r="S785" i="4"/>
  <c r="K788" i="4"/>
  <c r="V788" i="4"/>
  <c r="G789" i="4"/>
  <c r="U789" i="4"/>
  <c r="W791" i="4"/>
  <c r="H792" i="4"/>
  <c r="N792" i="4" s="1"/>
  <c r="S793" i="4"/>
  <c r="O796" i="4"/>
  <c r="W797" i="4"/>
  <c r="I798" i="4"/>
  <c r="G799" i="4"/>
  <c r="O800" i="4"/>
  <c r="G804" i="4"/>
  <c r="S804" i="4"/>
  <c r="P805" i="4"/>
  <c r="O807" i="4"/>
  <c r="W808" i="4"/>
  <c r="I809" i="4"/>
  <c r="M812" i="4"/>
  <c r="W812" i="4"/>
  <c r="H813" i="4"/>
  <c r="N813" i="4" s="1"/>
  <c r="H814" i="4"/>
  <c r="L814" i="4" s="1"/>
  <c r="J816" i="4"/>
  <c r="S817" i="4"/>
  <c r="G819" i="4"/>
  <c r="G820" i="4"/>
  <c r="Q820" i="4"/>
  <c r="O821" i="4"/>
  <c r="O823" i="4"/>
  <c r="W824" i="4"/>
  <c r="I825" i="4"/>
  <c r="M828" i="4"/>
  <c r="V828" i="4"/>
  <c r="G829" i="4"/>
  <c r="U829" i="4"/>
  <c r="V831" i="4"/>
  <c r="G832" i="4"/>
  <c r="G836" i="4"/>
  <c r="Q836" i="4"/>
  <c r="O837" i="4"/>
  <c r="Q838" i="4"/>
  <c r="T839" i="4"/>
  <c r="T841" i="4"/>
  <c r="W841" i="4"/>
  <c r="V841" i="4"/>
  <c r="G841" i="4"/>
  <c r="O841" i="4"/>
  <c r="M841" i="4"/>
  <c r="S856" i="4"/>
  <c r="I856" i="4"/>
  <c r="H856" i="4"/>
  <c r="N856" i="4" s="1"/>
  <c r="R856" i="4"/>
  <c r="Q856" i="4"/>
  <c r="G870" i="4"/>
  <c r="P870" i="4"/>
  <c r="O870" i="4"/>
  <c r="W870" i="4"/>
  <c r="M870" i="4"/>
  <c r="V870" i="4"/>
  <c r="U870" i="4"/>
  <c r="K870" i="4"/>
  <c r="V914" i="4"/>
  <c r="T914" i="4"/>
  <c r="G914" i="4"/>
  <c r="P914" i="4"/>
  <c r="O914" i="4"/>
  <c r="M914" i="4"/>
  <c r="W914" i="4"/>
  <c r="K914" i="4"/>
  <c r="U914" i="4"/>
  <c r="H968" i="4"/>
  <c r="L968" i="4" s="1"/>
  <c r="I968" i="4"/>
  <c r="R990" i="4"/>
  <c r="I990" i="4"/>
  <c r="H990" i="4"/>
  <c r="S990" i="4"/>
  <c r="P1016" i="4"/>
  <c r="W1016" i="4"/>
  <c r="G1016" i="4"/>
  <c r="V1016" i="4"/>
  <c r="T1016" i="4"/>
  <c r="O1016" i="4"/>
  <c r="M1016" i="4"/>
  <c r="S1018" i="4"/>
  <c r="Q1018" i="4"/>
  <c r="K1035" i="4"/>
  <c r="P1070" i="4"/>
  <c r="V1070" i="4"/>
  <c r="J1070" i="4"/>
  <c r="U1070" i="4"/>
  <c r="G1070" i="4"/>
  <c r="T1070" i="4"/>
  <c r="O1070" i="4"/>
  <c r="M1070" i="4"/>
  <c r="W1070" i="4"/>
  <c r="K1070" i="4"/>
  <c r="T843" i="4"/>
  <c r="O849" i="4"/>
  <c r="W853" i="4"/>
  <c r="H854" i="4"/>
  <c r="L854" i="4" s="1"/>
  <c r="I859" i="4"/>
  <c r="P866" i="4"/>
  <c r="H872" i="4"/>
  <c r="N872" i="4" s="1"/>
  <c r="R877" i="4"/>
  <c r="K886" i="4"/>
  <c r="W886" i="4"/>
  <c r="T900" i="4"/>
  <c r="U902" i="4"/>
  <c r="S903" i="4"/>
  <c r="R906" i="4"/>
  <c r="G908" i="4"/>
  <c r="G909" i="4"/>
  <c r="R911" i="4"/>
  <c r="K912" i="4"/>
  <c r="I915" i="4"/>
  <c r="V918" i="4"/>
  <c r="G924" i="4"/>
  <c r="S928" i="4"/>
  <c r="G929" i="4"/>
  <c r="I932" i="4"/>
  <c r="S937" i="4"/>
  <c r="G938" i="4"/>
  <c r="G941" i="4"/>
  <c r="P946" i="4"/>
  <c r="K954" i="4"/>
  <c r="Q955" i="4"/>
  <c r="K957" i="4"/>
  <c r="P962" i="4"/>
  <c r="J965" i="4"/>
  <c r="W965" i="4"/>
  <c r="I966" i="4"/>
  <c r="G970" i="4"/>
  <c r="T970" i="4"/>
  <c r="J975" i="4"/>
  <c r="J977" i="4"/>
  <c r="G980" i="4"/>
  <c r="J981" i="4"/>
  <c r="W981" i="4"/>
  <c r="I982" i="4"/>
  <c r="K986" i="4"/>
  <c r="K987" i="4"/>
  <c r="T995" i="4"/>
  <c r="H997" i="4"/>
  <c r="L997" i="4" s="1"/>
  <c r="S1005" i="4"/>
  <c r="J1009" i="4"/>
  <c r="G1012" i="4"/>
  <c r="J1013" i="4"/>
  <c r="W1013" i="4"/>
  <c r="H1014" i="4"/>
  <c r="J1019" i="4"/>
  <c r="S1021" i="4"/>
  <c r="G1022" i="4"/>
  <c r="W1022" i="4"/>
  <c r="H1023" i="4"/>
  <c r="G1024" i="4"/>
  <c r="H1026" i="4"/>
  <c r="Q1032" i="4"/>
  <c r="S1044" i="4"/>
  <c r="R1044" i="4"/>
  <c r="Q1044" i="4"/>
  <c r="H1045" i="4"/>
  <c r="L1045" i="4" s="1"/>
  <c r="Q1045" i="4"/>
  <c r="W1083" i="4"/>
  <c r="G1083" i="4"/>
  <c r="T1083" i="4"/>
  <c r="P1083" i="4"/>
  <c r="R1163" i="4"/>
  <c r="I1163" i="4"/>
  <c r="J1168" i="4"/>
  <c r="W1168" i="4"/>
  <c r="G1168" i="4"/>
  <c r="V1168" i="4"/>
  <c r="T1168" i="4"/>
  <c r="O1168" i="4"/>
  <c r="T1220" i="4"/>
  <c r="G1220" i="4"/>
  <c r="P1220" i="4"/>
  <c r="O1220" i="4"/>
  <c r="M1220" i="4"/>
  <c r="W1220" i="4"/>
  <c r="V1220" i="4"/>
  <c r="K1220" i="4"/>
  <c r="V1375" i="4"/>
  <c r="U1375" i="4"/>
  <c r="U843" i="4"/>
  <c r="H844" i="4"/>
  <c r="M848" i="4"/>
  <c r="Q849" i="4"/>
  <c r="O851" i="4"/>
  <c r="Q852" i="4"/>
  <c r="G853" i="4"/>
  <c r="J854" i="4"/>
  <c r="U854" i="4"/>
  <c r="P856" i="4"/>
  <c r="O859" i="4"/>
  <c r="I863" i="4"/>
  <c r="Q866" i="4"/>
  <c r="R867" i="4"/>
  <c r="G871" i="4"/>
  <c r="J872" i="4"/>
  <c r="Q873" i="4"/>
  <c r="I876" i="4"/>
  <c r="S877" i="4"/>
  <c r="M879" i="4"/>
  <c r="J880" i="4"/>
  <c r="I881" i="4"/>
  <c r="J883" i="4"/>
  <c r="M886" i="4"/>
  <c r="I887" i="4"/>
  <c r="V887" i="4"/>
  <c r="G888" i="4"/>
  <c r="V888" i="4"/>
  <c r="G889" i="4"/>
  <c r="O890" i="4"/>
  <c r="K893" i="4"/>
  <c r="G894" i="4"/>
  <c r="U894" i="4"/>
  <c r="S895" i="4"/>
  <c r="P896" i="4"/>
  <c r="G898" i="4"/>
  <c r="I899" i="4"/>
  <c r="G902" i="4"/>
  <c r="V902" i="4"/>
  <c r="G903" i="4"/>
  <c r="T903" i="4"/>
  <c r="U904" i="4"/>
  <c r="G906" i="4"/>
  <c r="S906" i="4"/>
  <c r="U907" i="4"/>
  <c r="U909" i="4"/>
  <c r="M912" i="4"/>
  <c r="M915" i="4"/>
  <c r="O917" i="4"/>
  <c r="K918" i="4"/>
  <c r="W918" i="4"/>
  <c r="S920" i="4"/>
  <c r="G921" i="4"/>
  <c r="T923" i="4"/>
  <c r="M924" i="4"/>
  <c r="I929" i="4"/>
  <c r="P930" i="4"/>
  <c r="U933" i="4"/>
  <c r="M935" i="4"/>
  <c r="T938" i="4"/>
  <c r="U940" i="4"/>
  <c r="U941" i="4"/>
  <c r="Q943" i="4"/>
  <c r="R946" i="4"/>
  <c r="P949" i="4"/>
  <c r="Q952" i="4"/>
  <c r="M954" i="4"/>
  <c r="S955" i="4"/>
  <c r="M957" i="4"/>
  <c r="O958" i="4"/>
  <c r="S962" i="4"/>
  <c r="M964" i="4"/>
  <c r="K965" i="4"/>
  <c r="Q966" i="4"/>
  <c r="U970" i="4"/>
  <c r="H971" i="4"/>
  <c r="L971" i="4" s="1"/>
  <c r="M972" i="4"/>
  <c r="S974" i="4"/>
  <c r="S976" i="4"/>
  <c r="K977" i="4"/>
  <c r="H979" i="4"/>
  <c r="J980" i="4"/>
  <c r="K981" i="4"/>
  <c r="O982" i="4"/>
  <c r="M986" i="4"/>
  <c r="M987" i="4"/>
  <c r="P989" i="4"/>
  <c r="T994" i="4"/>
  <c r="U995" i="4"/>
  <c r="J997" i="4"/>
  <c r="W997" i="4"/>
  <c r="V1004" i="4"/>
  <c r="W1006" i="4"/>
  <c r="R1008" i="4"/>
  <c r="K1009" i="4"/>
  <c r="H1011" i="4"/>
  <c r="N1011" i="4" s="1"/>
  <c r="J1012" i="4"/>
  <c r="K1013" i="4"/>
  <c r="I1014" i="4"/>
  <c r="K1019" i="4"/>
  <c r="J1022" i="4"/>
  <c r="K1023" i="4"/>
  <c r="W1023" i="4"/>
  <c r="I1026" i="4"/>
  <c r="R1029" i="4"/>
  <c r="H1033" i="4"/>
  <c r="L1033" i="4" s="1"/>
  <c r="Q1035" i="4"/>
  <c r="T1097" i="4"/>
  <c r="J1097" i="4"/>
  <c r="G1097" i="4"/>
  <c r="W1097" i="4"/>
  <c r="V1097" i="4"/>
  <c r="U1097" i="4"/>
  <c r="O1097" i="4"/>
  <c r="H1125" i="4"/>
  <c r="L1125" i="4" s="1"/>
  <c r="S1125" i="4"/>
  <c r="Q1125" i="4"/>
  <c r="I1125" i="4"/>
  <c r="V1138" i="4"/>
  <c r="O1138" i="4"/>
  <c r="S1169" i="4"/>
  <c r="H1169" i="4"/>
  <c r="P1219" i="4"/>
  <c r="W1219" i="4"/>
  <c r="J1219" i="4"/>
  <c r="V1219" i="4"/>
  <c r="G1219" i="4"/>
  <c r="U1219" i="4"/>
  <c r="T1219" i="4"/>
  <c r="O1219" i="4"/>
  <c r="M1219" i="4"/>
  <c r="Q1372" i="4"/>
  <c r="I1372" i="4"/>
  <c r="H1372" i="4"/>
  <c r="N1372" i="4" s="1"/>
  <c r="S1372" i="4"/>
  <c r="R1372" i="4"/>
  <c r="S873" i="4"/>
  <c r="P876" i="4"/>
  <c r="G878" i="4"/>
  <c r="T878" i="4"/>
  <c r="O886" i="4"/>
  <c r="K887" i="4"/>
  <c r="W887" i="4"/>
  <c r="H888" i="4"/>
  <c r="W888" i="4"/>
  <c r="H889" i="4"/>
  <c r="L889" i="4" s="1"/>
  <c r="P890" i="4"/>
  <c r="Q893" i="4"/>
  <c r="J894" i="4"/>
  <c r="V894" i="4"/>
  <c r="G895" i="4"/>
  <c r="T895" i="4"/>
  <c r="T896" i="4"/>
  <c r="W897" i="4"/>
  <c r="H898" i="4"/>
  <c r="L898" i="4" s="1"/>
  <c r="K899" i="4"/>
  <c r="J902" i="4"/>
  <c r="W902" i="4"/>
  <c r="H903" i="4"/>
  <c r="N903" i="4" s="1"/>
  <c r="U903" i="4"/>
  <c r="J905" i="4"/>
  <c r="T906" i="4"/>
  <c r="J909" i="4"/>
  <c r="V909" i="4"/>
  <c r="T919" i="4"/>
  <c r="O924" i="4"/>
  <c r="Q926" i="4"/>
  <c r="J927" i="4"/>
  <c r="Q932" i="4"/>
  <c r="O935" i="4"/>
  <c r="J938" i="4"/>
  <c r="U938" i="4"/>
  <c r="J941" i="4"/>
  <c r="V941" i="4"/>
  <c r="R943" i="4"/>
  <c r="G946" i="4"/>
  <c r="J948" i="4"/>
  <c r="G953" i="4"/>
  <c r="O954" i="4"/>
  <c r="O957" i="4"/>
  <c r="P958" i="4"/>
  <c r="G962" i="4"/>
  <c r="T962" i="4"/>
  <c r="M965" i="4"/>
  <c r="S966" i="4"/>
  <c r="J970" i="4"/>
  <c r="W970" i="4"/>
  <c r="I971" i="4"/>
  <c r="T977" i="4"/>
  <c r="I979" i="4"/>
  <c r="M980" i="4"/>
  <c r="O986" i="4"/>
  <c r="G994" i="4"/>
  <c r="U994" i="4"/>
  <c r="V995" i="4"/>
  <c r="H1005" i="4"/>
  <c r="L1005" i="4" s="1"/>
  <c r="G1006" i="4"/>
  <c r="T1009" i="4"/>
  <c r="I1011" i="4"/>
  <c r="M1012" i="4"/>
  <c r="M1013" i="4"/>
  <c r="Q1014" i="4"/>
  <c r="Q1016" i="4"/>
  <c r="T1019" i="4"/>
  <c r="K1022" i="4"/>
  <c r="Q1026" i="4"/>
  <c r="S1029" i="4"/>
  <c r="I1033" i="4"/>
  <c r="R1035" i="4"/>
  <c r="R1039" i="4"/>
  <c r="H1039" i="4"/>
  <c r="L1039" i="4" s="1"/>
  <c r="S1039" i="4"/>
  <c r="H1061" i="4"/>
  <c r="N1061" i="4" s="1"/>
  <c r="I1061" i="4"/>
  <c r="S1061" i="4"/>
  <c r="R1061" i="4"/>
  <c r="G1065" i="4"/>
  <c r="W1065" i="4"/>
  <c r="V1065" i="4"/>
  <c r="U1065" i="4"/>
  <c r="J1127" i="4"/>
  <c r="V1127" i="4"/>
  <c r="U1127" i="4"/>
  <c r="G1127" i="4"/>
  <c r="T1127" i="4"/>
  <c r="P1127" i="4"/>
  <c r="O1127" i="4"/>
  <c r="M1127" i="4"/>
  <c r="W1127" i="4"/>
  <c r="M853" i="4"/>
  <c r="M854" i="4"/>
  <c r="W854" i="4"/>
  <c r="I855" i="4"/>
  <c r="Q859" i="4"/>
  <c r="S863" i="4"/>
  <c r="G864" i="4"/>
  <c r="U864" i="4"/>
  <c r="W867" i="4"/>
  <c r="S868" i="4"/>
  <c r="K869" i="4"/>
  <c r="I871" i="4"/>
  <c r="O872" i="4"/>
  <c r="U873" i="4"/>
  <c r="J874" i="4"/>
  <c r="Q876" i="4"/>
  <c r="J878" i="4"/>
  <c r="U878" i="4"/>
  <c r="O880" i="4"/>
  <c r="R883" i="4"/>
  <c r="H884" i="4"/>
  <c r="P886" i="4"/>
  <c r="J888" i="4"/>
  <c r="I889" i="4"/>
  <c r="K894" i="4"/>
  <c r="W894" i="4"/>
  <c r="U895" i="4"/>
  <c r="U896" i="4"/>
  <c r="I898" i="4"/>
  <c r="K902" i="4"/>
  <c r="I903" i="4"/>
  <c r="V903" i="4"/>
  <c r="W904" i="4"/>
  <c r="J906" i="4"/>
  <c r="U906" i="4"/>
  <c r="K909" i="4"/>
  <c r="W909" i="4"/>
  <c r="I910" i="4"/>
  <c r="Q912" i="4"/>
  <c r="J913" i="4"/>
  <c r="Q915" i="4"/>
  <c r="O921" i="4"/>
  <c r="Q924" i="4"/>
  <c r="S925" i="4"/>
  <c r="S926" i="4"/>
  <c r="M927" i="4"/>
  <c r="Q929" i="4"/>
  <c r="U930" i="4"/>
  <c r="H931" i="4"/>
  <c r="N931" i="4" s="1"/>
  <c r="G933" i="4"/>
  <c r="W933" i="4"/>
  <c r="H934" i="4"/>
  <c r="P935" i="4"/>
  <c r="K938" i="4"/>
  <c r="W938" i="4"/>
  <c r="I939" i="4"/>
  <c r="K941" i="4"/>
  <c r="W941" i="4"/>
  <c r="I942" i="4"/>
  <c r="T946" i="4"/>
  <c r="V947" i="4"/>
  <c r="U948" i="4"/>
  <c r="G949" i="4"/>
  <c r="Q950" i="4"/>
  <c r="S952" i="4"/>
  <c r="K953" i="4"/>
  <c r="P954" i="4"/>
  <c r="O956" i="4"/>
  <c r="P957" i="4"/>
  <c r="Q958" i="4"/>
  <c r="J959" i="4"/>
  <c r="U962" i="4"/>
  <c r="H963" i="4"/>
  <c r="N963" i="4" s="1"/>
  <c r="O965" i="4"/>
  <c r="H967" i="4"/>
  <c r="K970" i="4"/>
  <c r="M971" i="4"/>
  <c r="T972" i="4"/>
  <c r="K978" i="4"/>
  <c r="K979" i="4"/>
  <c r="O980" i="4"/>
  <c r="O981" i="4"/>
  <c r="Q982" i="4"/>
  <c r="H983" i="4"/>
  <c r="P986" i="4"/>
  <c r="S987" i="4"/>
  <c r="G989" i="4"/>
  <c r="U989" i="4"/>
  <c r="T993" i="4"/>
  <c r="J994" i="4"/>
  <c r="W994" i="4"/>
  <c r="I995" i="4"/>
  <c r="M996" i="4"/>
  <c r="M997" i="4"/>
  <c r="S998" i="4"/>
  <c r="I1000" i="4"/>
  <c r="J1001" i="4"/>
  <c r="T1002" i="4"/>
  <c r="U1003" i="4"/>
  <c r="G1004" i="4"/>
  <c r="J1005" i="4"/>
  <c r="W1005" i="4"/>
  <c r="H1006" i="4"/>
  <c r="K1010" i="4"/>
  <c r="K1011" i="4"/>
  <c r="O1012" i="4"/>
  <c r="O1013" i="4"/>
  <c r="S1014" i="4"/>
  <c r="H1015" i="4"/>
  <c r="W1019" i="4"/>
  <c r="I1020" i="4"/>
  <c r="M1022" i="4"/>
  <c r="O1023" i="4"/>
  <c r="O1024" i="4"/>
  <c r="H1027" i="4"/>
  <c r="N1027" i="4" s="1"/>
  <c r="G1030" i="4"/>
  <c r="U1030" i="4"/>
  <c r="T1031" i="4"/>
  <c r="M1033" i="4"/>
  <c r="W1040" i="4"/>
  <c r="V1040" i="4"/>
  <c r="U1040" i="4"/>
  <c r="K843" i="4"/>
  <c r="Q844" i="4"/>
  <c r="R846" i="4"/>
  <c r="T848" i="4"/>
  <c r="Q850" i="4"/>
  <c r="G851" i="4"/>
  <c r="O853" i="4"/>
  <c r="O854" i="4"/>
  <c r="Q855" i="4"/>
  <c r="G856" i="4"/>
  <c r="U856" i="4"/>
  <c r="R859" i="4"/>
  <c r="R862" i="4"/>
  <c r="V864" i="4"/>
  <c r="P872" i="4"/>
  <c r="K878" i="4"/>
  <c r="V878" i="4"/>
  <c r="V895" i="4"/>
  <c r="Q921" i="4"/>
  <c r="O927" i="4"/>
  <c r="Q944" i="4"/>
  <c r="J946" i="4"/>
  <c r="U946" i="4"/>
  <c r="O953" i="4"/>
  <c r="Q956" i="4"/>
  <c r="J962" i="4"/>
  <c r="W962" i="4"/>
  <c r="Q971" i="4"/>
  <c r="K994" i="4"/>
  <c r="K995" i="4"/>
  <c r="S1041" i="4"/>
  <c r="H1041" i="4"/>
  <c r="R1041" i="4"/>
  <c r="Q1041" i="4"/>
  <c r="P1076" i="4"/>
  <c r="M1076" i="4"/>
  <c r="U1076" i="4"/>
  <c r="S1096" i="4"/>
  <c r="Q1096" i="4"/>
  <c r="I1096" i="4"/>
  <c r="H1096" i="4"/>
  <c r="U1106" i="4"/>
  <c r="W1106" i="4"/>
  <c r="G1106" i="4"/>
  <c r="V1106" i="4"/>
  <c r="P1106" i="4"/>
  <c r="O1106" i="4"/>
  <c r="K1106" i="4"/>
  <c r="R1107" i="4"/>
  <c r="Q1107" i="4"/>
  <c r="I1107" i="4"/>
  <c r="H1107" i="4"/>
  <c r="N1107" i="4" s="1"/>
  <c r="R1130" i="4"/>
  <c r="H1130" i="4"/>
  <c r="L1130" i="4" s="1"/>
  <c r="S1130" i="4"/>
  <c r="R1170" i="4"/>
  <c r="I1170" i="4"/>
  <c r="H1170" i="4"/>
  <c r="L1170" i="4" s="1"/>
  <c r="S1170" i="4"/>
  <c r="R1172" i="4"/>
  <c r="H1172" i="4"/>
  <c r="N1172" i="4" s="1"/>
  <c r="S1172" i="4"/>
  <c r="W1204" i="4"/>
  <c r="J1204" i="4"/>
  <c r="V1204" i="4"/>
  <c r="G1204" i="4"/>
  <c r="U1204" i="4"/>
  <c r="T1204" i="4"/>
  <c r="P1204" i="4"/>
  <c r="O1204" i="4"/>
  <c r="M1204" i="4"/>
  <c r="P1217" i="4"/>
  <c r="M1217" i="4"/>
  <c r="M843" i="4"/>
  <c r="R844" i="4"/>
  <c r="S846" i="4"/>
  <c r="U848" i="4"/>
  <c r="R850" i="4"/>
  <c r="T851" i="4"/>
  <c r="T853" i="4"/>
  <c r="S855" i="4"/>
  <c r="V856" i="4"/>
  <c r="P860" i="4"/>
  <c r="I861" i="4"/>
  <c r="S862" i="4"/>
  <c r="J864" i="4"/>
  <c r="W864" i="4"/>
  <c r="R869" i="4"/>
  <c r="R870" i="4"/>
  <c r="T872" i="4"/>
  <c r="R874" i="4"/>
  <c r="I877" i="4"/>
  <c r="M878" i="4"/>
  <c r="W878" i="4"/>
  <c r="T879" i="4"/>
  <c r="T880" i="4"/>
  <c r="Q881" i="4"/>
  <c r="R884" i="4"/>
  <c r="I885" i="4"/>
  <c r="T886" i="4"/>
  <c r="Q887" i="4"/>
  <c r="O888" i="4"/>
  <c r="O894" i="4"/>
  <c r="K895" i="4"/>
  <c r="W895" i="4"/>
  <c r="W896" i="4"/>
  <c r="Q899" i="4"/>
  <c r="O902" i="4"/>
  <c r="M903" i="4"/>
  <c r="J904" i="4"/>
  <c r="M906" i="4"/>
  <c r="O909" i="4"/>
  <c r="S910" i="4"/>
  <c r="H911" i="4"/>
  <c r="V913" i="4"/>
  <c r="S914" i="4"/>
  <c r="T915" i="4"/>
  <c r="U917" i="4"/>
  <c r="P918" i="4"/>
  <c r="K920" i="4"/>
  <c r="V921" i="4"/>
  <c r="V924" i="4"/>
  <c r="U927" i="4"/>
  <c r="H928" i="4"/>
  <c r="S929" i="4"/>
  <c r="J930" i="4"/>
  <c r="K933" i="4"/>
  <c r="Q934" i="4"/>
  <c r="R935" i="4"/>
  <c r="O938" i="4"/>
  <c r="S939" i="4"/>
  <c r="O941" i="4"/>
  <c r="S942" i="4"/>
  <c r="K946" i="4"/>
  <c r="W946" i="4"/>
  <c r="J949" i="4"/>
  <c r="V949" i="4"/>
  <c r="H951" i="4"/>
  <c r="Q953" i="4"/>
  <c r="U954" i="4"/>
  <c r="H955" i="4"/>
  <c r="N955" i="4" s="1"/>
  <c r="U957" i="4"/>
  <c r="O959" i="4"/>
  <c r="K962" i="4"/>
  <c r="U964" i="4"/>
  <c r="S965" i="4"/>
  <c r="O970" i="4"/>
  <c r="S971" i="4"/>
  <c r="V972" i="4"/>
  <c r="Q979" i="4"/>
  <c r="U980" i="4"/>
  <c r="S981" i="4"/>
  <c r="T986" i="4"/>
  <c r="U987" i="4"/>
  <c r="J989" i="4"/>
  <c r="W989" i="4"/>
  <c r="M994" i="4"/>
  <c r="M995" i="4"/>
  <c r="P997" i="4"/>
  <c r="T1001" i="4"/>
  <c r="M1004" i="4"/>
  <c r="O1006" i="4"/>
  <c r="Q1011" i="4"/>
  <c r="U1012" i="4"/>
  <c r="S1013" i="4"/>
  <c r="R1020" i="4"/>
  <c r="I1021" i="4"/>
  <c r="T1022" i="4"/>
  <c r="S1023" i="4"/>
  <c r="K1027" i="4"/>
  <c r="K1030" i="4"/>
  <c r="W1030" i="4"/>
  <c r="H1044" i="4"/>
  <c r="N1044" i="4" s="1"/>
  <c r="T1048" i="4"/>
  <c r="W1048" i="4"/>
  <c r="V1048" i="4"/>
  <c r="G1050" i="4"/>
  <c r="W1050" i="4"/>
  <c r="P1050" i="4"/>
  <c r="O1050" i="4"/>
  <c r="S1064" i="4"/>
  <c r="Q1064" i="4"/>
  <c r="I1064" i="4"/>
  <c r="H1064" i="4"/>
  <c r="N1064" i="4" s="1"/>
  <c r="G1073" i="4"/>
  <c r="V1073" i="4"/>
  <c r="U1073" i="4"/>
  <c r="Q1141" i="4"/>
  <c r="R1141" i="4"/>
  <c r="I1141" i="4"/>
  <c r="H1141" i="4"/>
  <c r="L1141" i="4" s="1"/>
  <c r="U1187" i="4"/>
  <c r="J1187" i="4"/>
  <c r="G1187" i="4"/>
  <c r="W1187" i="4"/>
  <c r="V1187" i="4"/>
  <c r="H842" i="4"/>
  <c r="N842" i="4" s="1"/>
  <c r="O843" i="4"/>
  <c r="V848" i="4"/>
  <c r="U851" i="4"/>
  <c r="H852" i="4"/>
  <c r="U853" i="4"/>
  <c r="W856" i="4"/>
  <c r="S861" i="4"/>
  <c r="M864" i="4"/>
  <c r="H870" i="4"/>
  <c r="Q871" i="4"/>
  <c r="U872" i="4"/>
  <c r="P875" i="4"/>
  <c r="U879" i="4"/>
  <c r="U880" i="4"/>
  <c r="S881" i="4"/>
  <c r="S884" i="4"/>
  <c r="S885" i="4"/>
  <c r="G886" i="4"/>
  <c r="S887" i="4"/>
  <c r="P888" i="4"/>
  <c r="Q889" i="4"/>
  <c r="M895" i="4"/>
  <c r="J896" i="4"/>
  <c r="Q898" i="4"/>
  <c r="O903" i="4"/>
  <c r="O906" i="4"/>
  <c r="Q907" i="4"/>
  <c r="P909" i="4"/>
  <c r="T910" i="4"/>
  <c r="I911" i="4"/>
  <c r="J917" i="4"/>
  <c r="V917" i="4"/>
  <c r="Q918" i="4"/>
  <c r="H926" i="4"/>
  <c r="W927" i="4"/>
  <c r="I928" i="4"/>
  <c r="K930" i="4"/>
  <c r="S931" i="4"/>
  <c r="M933" i="4"/>
  <c r="S934" i="4"/>
  <c r="G935" i="4"/>
  <c r="I937" i="4"/>
  <c r="P938" i="4"/>
  <c r="P941" i="4"/>
  <c r="T942" i="4"/>
  <c r="H943" i="4"/>
  <c r="M946" i="4"/>
  <c r="K949" i="4"/>
  <c r="W949" i="4"/>
  <c r="H950" i="4"/>
  <c r="G954" i="4"/>
  <c r="W954" i="4"/>
  <c r="I955" i="4"/>
  <c r="G957" i="4"/>
  <c r="V957" i="4"/>
  <c r="P959" i="4"/>
  <c r="M962" i="4"/>
  <c r="S963" i="4"/>
  <c r="V964" i="4"/>
  <c r="G965" i="4"/>
  <c r="U965" i="4"/>
  <c r="K969" i="4"/>
  <c r="P970" i="4"/>
  <c r="T971" i="4"/>
  <c r="W972" i="4"/>
  <c r="H973" i="4"/>
  <c r="L973" i="4" s="1"/>
  <c r="H974" i="4"/>
  <c r="P978" i="4"/>
  <c r="S979" i="4"/>
  <c r="V980" i="4"/>
  <c r="G981" i="4"/>
  <c r="U981" i="4"/>
  <c r="R983" i="4"/>
  <c r="G986" i="4"/>
  <c r="U986" i="4"/>
  <c r="H987" i="4"/>
  <c r="V987" i="4"/>
  <c r="K989" i="4"/>
  <c r="O994" i="4"/>
  <c r="Q995" i="4"/>
  <c r="U996" i="4"/>
  <c r="S997" i="4"/>
  <c r="K1002" i="4"/>
  <c r="K1003" i="4"/>
  <c r="O1004" i="4"/>
  <c r="O1005" i="4"/>
  <c r="P1010" i="4"/>
  <c r="S1011" i="4"/>
  <c r="V1012" i="4"/>
  <c r="G1013" i="4"/>
  <c r="U1013" i="4"/>
  <c r="S1015" i="4"/>
  <c r="H1016" i="4"/>
  <c r="Q1021" i="4"/>
  <c r="U1022" i="4"/>
  <c r="T1023" i="4"/>
  <c r="V1024" i="4"/>
  <c r="O1027" i="4"/>
  <c r="M1030" i="4"/>
  <c r="K1031" i="4"/>
  <c r="W1031" i="4"/>
  <c r="H1032" i="4"/>
  <c r="R1033" i="4"/>
  <c r="H1035" i="4"/>
  <c r="N1035" i="4" s="1"/>
  <c r="S1049" i="4"/>
  <c r="R1049" i="4"/>
  <c r="Q1049" i="4"/>
  <c r="I1049" i="4"/>
  <c r="H1049" i="4"/>
  <c r="R1147" i="4"/>
  <c r="I1147" i="4"/>
  <c r="K1168" i="4"/>
  <c r="R1176" i="4"/>
  <c r="I1176" i="4"/>
  <c r="S1176" i="4"/>
  <c r="Q1176" i="4"/>
  <c r="U1212" i="4"/>
  <c r="T1212" i="4"/>
  <c r="G1212" i="4"/>
  <c r="P1212" i="4"/>
  <c r="O1212" i="4"/>
  <c r="M1212" i="4"/>
  <c r="W1212" i="4"/>
  <c r="K1212" i="4"/>
  <c r="V1212" i="4"/>
  <c r="J1220" i="4"/>
  <c r="O1039" i="4"/>
  <c r="O1046" i="4"/>
  <c r="O1047" i="4"/>
  <c r="Q1048" i="4"/>
  <c r="U1052" i="4"/>
  <c r="Q1053" i="4"/>
  <c r="G1054" i="4"/>
  <c r="W1054" i="4"/>
  <c r="H1055" i="4"/>
  <c r="V1055" i="4"/>
  <c r="H1056" i="4"/>
  <c r="L1056" i="4" s="1"/>
  <c r="J1058" i="4"/>
  <c r="K1059" i="4"/>
  <c r="T1062" i="4"/>
  <c r="P1063" i="4"/>
  <c r="S1066" i="4"/>
  <c r="S1067" i="4"/>
  <c r="I1068" i="4"/>
  <c r="I1071" i="4"/>
  <c r="V1071" i="4"/>
  <c r="Q1073" i="4"/>
  <c r="R1076" i="4"/>
  <c r="T1078" i="4"/>
  <c r="G1081" i="4"/>
  <c r="J1082" i="4"/>
  <c r="S1085" i="4"/>
  <c r="J1086" i="4"/>
  <c r="K1087" i="4"/>
  <c r="W1087" i="4"/>
  <c r="I1088" i="4"/>
  <c r="U1089" i="4"/>
  <c r="R1094" i="4"/>
  <c r="M1100" i="4"/>
  <c r="T1102" i="4"/>
  <c r="P1108" i="4"/>
  <c r="U1110" i="4"/>
  <c r="G1114" i="4"/>
  <c r="W1114" i="4"/>
  <c r="I1115" i="4"/>
  <c r="S1117" i="4"/>
  <c r="J1118" i="4"/>
  <c r="W1118" i="4"/>
  <c r="H1119" i="4"/>
  <c r="N1119" i="4" s="1"/>
  <c r="V1119" i="4"/>
  <c r="K1126" i="4"/>
  <c r="Q1128" i="4"/>
  <c r="J1129" i="4"/>
  <c r="O1130" i="4"/>
  <c r="J1132" i="4"/>
  <c r="R1134" i="4"/>
  <c r="M1136" i="4"/>
  <c r="K1140" i="4"/>
  <c r="K1142" i="4"/>
  <c r="S1144" i="4"/>
  <c r="G1145" i="4"/>
  <c r="W1145" i="4"/>
  <c r="I1146" i="4"/>
  <c r="G1152" i="4"/>
  <c r="W1152" i="4"/>
  <c r="H1153" i="4"/>
  <c r="N1153" i="4" s="1"/>
  <c r="H1156" i="4"/>
  <c r="I1157" i="4"/>
  <c r="T1161" i="4"/>
  <c r="M1167" i="4"/>
  <c r="M1175" i="4"/>
  <c r="O1179" i="4"/>
  <c r="S1180" i="4"/>
  <c r="G1184" i="4"/>
  <c r="W1184" i="4"/>
  <c r="H1185" i="4"/>
  <c r="N1185" i="4" s="1"/>
  <c r="I1186" i="4"/>
  <c r="G1188" i="4"/>
  <c r="U1188" i="4"/>
  <c r="I1192" i="4"/>
  <c r="J1193" i="4"/>
  <c r="W1193" i="4"/>
  <c r="I1194" i="4"/>
  <c r="H1196" i="4"/>
  <c r="S1197" i="4"/>
  <c r="M1199" i="4"/>
  <c r="P1201" i="4"/>
  <c r="S1205" i="4"/>
  <c r="G1206" i="4"/>
  <c r="U1206" i="4"/>
  <c r="O1208" i="4"/>
  <c r="I1213" i="4"/>
  <c r="R1214" i="4"/>
  <c r="R1217" i="4"/>
  <c r="G1221" i="4"/>
  <c r="T1221" i="4"/>
  <c r="G1229" i="4"/>
  <c r="T1229" i="4"/>
  <c r="V1230" i="4"/>
  <c r="K1244" i="4"/>
  <c r="V1252" i="4"/>
  <c r="J1252" i="4"/>
  <c r="U1252" i="4"/>
  <c r="G1252" i="4"/>
  <c r="T1252" i="4"/>
  <c r="P1252" i="4"/>
  <c r="O1252" i="4"/>
  <c r="M1252" i="4"/>
  <c r="R1278" i="4"/>
  <c r="I1278" i="4"/>
  <c r="H1278" i="4"/>
  <c r="L1278" i="4" s="1"/>
  <c r="S1278" i="4"/>
  <c r="Q1278" i="4"/>
  <c r="H1282" i="4"/>
  <c r="S1282" i="4"/>
  <c r="Q1282" i="4"/>
  <c r="I1282" i="4"/>
  <c r="U1295" i="4"/>
  <c r="G1295" i="4"/>
  <c r="W1295" i="4"/>
  <c r="V1295" i="4"/>
  <c r="P1295" i="4"/>
  <c r="O1295" i="4"/>
  <c r="R1300" i="4"/>
  <c r="S1300" i="4"/>
  <c r="T1355" i="4"/>
  <c r="U1355" i="4"/>
  <c r="G1355" i="4"/>
  <c r="P1355" i="4"/>
  <c r="O1355" i="4"/>
  <c r="M1355" i="4"/>
  <c r="K1355" i="4"/>
  <c r="W1368" i="4"/>
  <c r="J1368" i="4"/>
  <c r="V1368" i="4"/>
  <c r="G1368" i="4"/>
  <c r="U1368" i="4"/>
  <c r="T1368" i="4"/>
  <c r="P1368" i="4"/>
  <c r="O1368" i="4"/>
  <c r="M1368" i="4"/>
  <c r="I1379" i="4"/>
  <c r="H1379" i="4"/>
  <c r="S1379" i="4"/>
  <c r="R1379" i="4"/>
  <c r="Q1379" i="4"/>
  <c r="R1433" i="4"/>
  <c r="I1433" i="4"/>
  <c r="H1433" i="4"/>
  <c r="S1433" i="4"/>
  <c r="Q1433" i="4"/>
  <c r="T1046" i="4"/>
  <c r="H1052" i="4"/>
  <c r="N1052" i="4" s="1"/>
  <c r="R1053" i="4"/>
  <c r="K1055" i="4"/>
  <c r="W1055" i="4"/>
  <c r="M1068" i="4"/>
  <c r="W1071" i="4"/>
  <c r="V1074" i="4"/>
  <c r="H1075" i="4"/>
  <c r="N1075" i="4" s="1"/>
  <c r="U1078" i="4"/>
  <c r="T1079" i="4"/>
  <c r="J1081" i="4"/>
  <c r="K1082" i="4"/>
  <c r="Q1083" i="4"/>
  <c r="K1086" i="4"/>
  <c r="M1087" i="4"/>
  <c r="M1088" i="4"/>
  <c r="V1089" i="4"/>
  <c r="S1095" i="4"/>
  <c r="S1098" i="4"/>
  <c r="P1100" i="4"/>
  <c r="I1101" i="4"/>
  <c r="U1102" i="4"/>
  <c r="T1103" i="4"/>
  <c r="M1105" i="4"/>
  <c r="U1108" i="4"/>
  <c r="V1110" i="4"/>
  <c r="O1115" i="4"/>
  <c r="K1118" i="4"/>
  <c r="K1119" i="4"/>
  <c r="W1119" i="4"/>
  <c r="M1129" i="4"/>
  <c r="Q1136" i="4"/>
  <c r="J1145" i="4"/>
  <c r="M1146" i="4"/>
  <c r="K1148" i="4"/>
  <c r="S1149" i="4"/>
  <c r="J1150" i="4"/>
  <c r="V1151" i="4"/>
  <c r="I1152" i="4"/>
  <c r="J1153" i="4"/>
  <c r="W1153" i="4"/>
  <c r="I1154" i="4"/>
  <c r="J1156" i="4"/>
  <c r="T1159" i="4"/>
  <c r="T1160" i="4"/>
  <c r="U1161" i="4"/>
  <c r="P1167" i="4"/>
  <c r="Q1168" i="4"/>
  <c r="P1169" i="4"/>
  <c r="U1170" i="4"/>
  <c r="G1171" i="4"/>
  <c r="O1172" i="4"/>
  <c r="P1175" i="4"/>
  <c r="T1177" i="4"/>
  <c r="V1179" i="4"/>
  <c r="G1180" i="4"/>
  <c r="U1180" i="4"/>
  <c r="H1181" i="4"/>
  <c r="V1183" i="4"/>
  <c r="I1184" i="4"/>
  <c r="J1185" i="4"/>
  <c r="M1186" i="4"/>
  <c r="H1188" i="4"/>
  <c r="W1188" i="4"/>
  <c r="I1189" i="4"/>
  <c r="J1191" i="4"/>
  <c r="K1192" i="4"/>
  <c r="K1193" i="4"/>
  <c r="M1194" i="4"/>
  <c r="J1196" i="4"/>
  <c r="P1199" i="4"/>
  <c r="T1200" i="4"/>
  <c r="Q1201" i="4"/>
  <c r="U1202" i="4"/>
  <c r="M1203" i="4"/>
  <c r="H1206" i="4"/>
  <c r="L1206" i="4" s="1"/>
  <c r="V1206" i="4"/>
  <c r="G1207" i="4"/>
  <c r="T1208" i="4"/>
  <c r="Q1213" i="4"/>
  <c r="G1214" i="4"/>
  <c r="V1214" i="4"/>
  <c r="I1215" i="4"/>
  <c r="H1221" i="4"/>
  <c r="U1221" i="4"/>
  <c r="U1222" i="4"/>
  <c r="G1223" i="4"/>
  <c r="K1228" i="4"/>
  <c r="W1228" i="4"/>
  <c r="H1229" i="4"/>
  <c r="U1229" i="4"/>
  <c r="S1232" i="4"/>
  <c r="R1237" i="4"/>
  <c r="I1237" i="4"/>
  <c r="H1237" i="4"/>
  <c r="L1237" i="4" s="1"/>
  <c r="S1237" i="4"/>
  <c r="Q1237" i="4"/>
  <c r="H1240" i="4"/>
  <c r="S1279" i="4"/>
  <c r="H1279" i="4"/>
  <c r="L1279" i="4" s="1"/>
  <c r="T1294" i="4"/>
  <c r="W1294" i="4"/>
  <c r="V1294" i="4"/>
  <c r="G1294" i="4"/>
  <c r="U1294" i="4"/>
  <c r="O1294" i="4"/>
  <c r="M1294" i="4"/>
  <c r="V1355" i="4"/>
  <c r="G1389" i="4"/>
  <c r="M1389" i="4"/>
  <c r="W1389" i="4"/>
  <c r="K1392" i="4"/>
  <c r="V1392" i="4"/>
  <c r="U1392" i="4"/>
  <c r="G1392" i="4"/>
  <c r="T1392" i="4"/>
  <c r="P1392" i="4"/>
  <c r="O1392" i="4"/>
  <c r="M1392" i="4"/>
  <c r="W1414" i="4"/>
  <c r="K1414" i="4"/>
  <c r="V1414" i="4"/>
  <c r="J1414" i="4"/>
  <c r="U1414" i="4"/>
  <c r="T1414" i="4"/>
  <c r="P1414" i="4"/>
  <c r="R1415" i="4"/>
  <c r="I1415" i="4"/>
  <c r="S1415" i="4"/>
  <c r="Q1415" i="4"/>
  <c r="K1416" i="4"/>
  <c r="W1416" i="4"/>
  <c r="V1416" i="4"/>
  <c r="G1416" i="4"/>
  <c r="U1416" i="4"/>
  <c r="T1416" i="4"/>
  <c r="P1416" i="4"/>
  <c r="O1416" i="4"/>
  <c r="M1416" i="4"/>
  <c r="W1417" i="4"/>
  <c r="V1417" i="4"/>
  <c r="S1430" i="4"/>
  <c r="R1430" i="4"/>
  <c r="S1436" i="4"/>
  <c r="Q1436" i="4"/>
  <c r="I1436" i="4"/>
  <c r="H1436" i="4"/>
  <c r="U1044" i="4"/>
  <c r="U1046" i="4"/>
  <c r="S1047" i="4"/>
  <c r="I1052" i="4"/>
  <c r="K1054" i="4"/>
  <c r="M1055" i="4"/>
  <c r="M1056" i="4"/>
  <c r="O1058" i="4"/>
  <c r="T1059" i="4"/>
  <c r="U1061" i="4"/>
  <c r="J1062" i="4"/>
  <c r="V1062" i="4"/>
  <c r="G1063" i="4"/>
  <c r="T1063" i="4"/>
  <c r="H1067" i="4"/>
  <c r="N1067" i="4" s="1"/>
  <c r="P1068" i="4"/>
  <c r="R1070" i="4"/>
  <c r="M1071" i="4"/>
  <c r="M1072" i="4"/>
  <c r="G1074" i="4"/>
  <c r="W1074" i="4"/>
  <c r="I1075" i="4"/>
  <c r="G1078" i="4"/>
  <c r="V1078" i="4"/>
  <c r="G1079" i="4"/>
  <c r="U1079" i="4"/>
  <c r="M1081" i="4"/>
  <c r="O1082" i="4"/>
  <c r="Q1088" i="4"/>
  <c r="W1089" i="4"/>
  <c r="H1090" i="4"/>
  <c r="Q1101" i="4"/>
  <c r="G1102" i="4"/>
  <c r="V1102" i="4"/>
  <c r="G1103" i="4"/>
  <c r="U1103" i="4"/>
  <c r="G1110" i="4"/>
  <c r="W1110" i="4"/>
  <c r="H1111" i="4"/>
  <c r="J1114" i="4"/>
  <c r="Q1115" i="4"/>
  <c r="H1122" i="4"/>
  <c r="J1124" i="4"/>
  <c r="G1139" i="4"/>
  <c r="M1145" i="4"/>
  <c r="Q1146" i="4"/>
  <c r="K1152" i="4"/>
  <c r="Q1157" i="4"/>
  <c r="G1160" i="4"/>
  <c r="V1160" i="4"/>
  <c r="G1161" i="4"/>
  <c r="V1161" i="4"/>
  <c r="H1180" i="4"/>
  <c r="N1180" i="4" s="1"/>
  <c r="I1181" i="4"/>
  <c r="K1184" i="4"/>
  <c r="J1188" i="4"/>
  <c r="Q1194" i="4"/>
  <c r="T1199" i="4"/>
  <c r="G1201" i="4"/>
  <c r="T1201" i="4"/>
  <c r="O1203" i="4"/>
  <c r="J1206" i="4"/>
  <c r="W1206" i="4"/>
  <c r="H1207" i="4"/>
  <c r="V1208" i="4"/>
  <c r="S1213" i="4"/>
  <c r="H1214" i="4"/>
  <c r="L1214" i="4" s="1"/>
  <c r="G1216" i="4"/>
  <c r="V1221" i="4"/>
  <c r="G1222" i="4"/>
  <c r="V1222" i="4"/>
  <c r="I1223" i="4"/>
  <c r="V1229" i="4"/>
  <c r="V1244" i="4"/>
  <c r="J1244" i="4"/>
  <c r="U1244" i="4"/>
  <c r="G1244" i="4"/>
  <c r="T1244" i="4"/>
  <c r="P1244" i="4"/>
  <c r="O1244" i="4"/>
  <c r="M1244" i="4"/>
  <c r="S1400" i="4"/>
  <c r="H1400" i="4"/>
  <c r="N1400" i="4" s="1"/>
  <c r="R1407" i="4"/>
  <c r="I1407" i="4"/>
  <c r="S1407" i="4"/>
  <c r="Q1407" i="4"/>
  <c r="K1408" i="4"/>
  <c r="W1408" i="4"/>
  <c r="V1408" i="4"/>
  <c r="G1408" i="4"/>
  <c r="U1408" i="4"/>
  <c r="T1408" i="4"/>
  <c r="P1408" i="4"/>
  <c r="O1408" i="4"/>
  <c r="M1408" i="4"/>
  <c r="V1409" i="4"/>
  <c r="W1409" i="4"/>
  <c r="S1434" i="4"/>
  <c r="H1434" i="4"/>
  <c r="L1434" i="4" s="1"/>
  <c r="U1037" i="4"/>
  <c r="G1038" i="4"/>
  <c r="U1038" i="4"/>
  <c r="T1039" i="4"/>
  <c r="J1041" i="4"/>
  <c r="K1042" i="4"/>
  <c r="V1046" i="4"/>
  <c r="G1047" i="4"/>
  <c r="T1047" i="4"/>
  <c r="S1050" i="4"/>
  <c r="M1054" i="4"/>
  <c r="O1055" i="4"/>
  <c r="O1056" i="4"/>
  <c r="W1059" i="4"/>
  <c r="J1060" i="4"/>
  <c r="K1062" i="4"/>
  <c r="W1062" i="4"/>
  <c r="H1063" i="4"/>
  <c r="N1063" i="4" s="1"/>
  <c r="U1063" i="4"/>
  <c r="J1066" i="4"/>
  <c r="I1067" i="4"/>
  <c r="Q1068" i="4"/>
  <c r="I1069" i="4"/>
  <c r="O1071" i="4"/>
  <c r="Q1072" i="4"/>
  <c r="J1074" i="4"/>
  <c r="O1075" i="4"/>
  <c r="V1077" i="4"/>
  <c r="J1078" i="4"/>
  <c r="W1078" i="4"/>
  <c r="H1079" i="4"/>
  <c r="V1079" i="4"/>
  <c r="H1080" i="4"/>
  <c r="N1080" i="4" s="1"/>
  <c r="O1081" i="4"/>
  <c r="P1082" i="4"/>
  <c r="M1084" i="4"/>
  <c r="O1086" i="4"/>
  <c r="P1087" i="4"/>
  <c r="T1088" i="4"/>
  <c r="J1090" i="4"/>
  <c r="S1091" i="4"/>
  <c r="H1092" i="4"/>
  <c r="N1092" i="4" s="1"/>
  <c r="G1094" i="4"/>
  <c r="V1094" i="4"/>
  <c r="G1095" i="4"/>
  <c r="U1095" i="4"/>
  <c r="G1098" i="4"/>
  <c r="W1098" i="4"/>
  <c r="I1099" i="4"/>
  <c r="S1101" i="4"/>
  <c r="J1102" i="4"/>
  <c r="W1102" i="4"/>
  <c r="H1103" i="4"/>
  <c r="V1103" i="4"/>
  <c r="H1104" i="4"/>
  <c r="S1106" i="4"/>
  <c r="V1109" i="4"/>
  <c r="J1110" i="4"/>
  <c r="K1111" i="4"/>
  <c r="W1111" i="4"/>
  <c r="I1112" i="4"/>
  <c r="G1113" i="4"/>
  <c r="K1114" i="4"/>
  <c r="S1115" i="4"/>
  <c r="O1118" i="4"/>
  <c r="O1119" i="4"/>
  <c r="G1121" i="4"/>
  <c r="J1122" i="4"/>
  <c r="S1123" i="4"/>
  <c r="M1124" i="4"/>
  <c r="T1126" i="4"/>
  <c r="S1127" i="4"/>
  <c r="U1129" i="4"/>
  <c r="V1130" i="4"/>
  <c r="H1131" i="4"/>
  <c r="N1131" i="4" s="1"/>
  <c r="G1134" i="4"/>
  <c r="M1135" i="4"/>
  <c r="T1136" i="4"/>
  <c r="T1137" i="4"/>
  <c r="J1139" i="4"/>
  <c r="P1140" i="4"/>
  <c r="M1143" i="4"/>
  <c r="O1145" i="4"/>
  <c r="S1146" i="4"/>
  <c r="O1148" i="4"/>
  <c r="O1152" i="4"/>
  <c r="M1153" i="4"/>
  <c r="S1154" i="4"/>
  <c r="M1156" i="4"/>
  <c r="S1157" i="4"/>
  <c r="J1158" i="4"/>
  <c r="V1159" i="4"/>
  <c r="H1160" i="4"/>
  <c r="N1160" i="4" s="1"/>
  <c r="W1160" i="4"/>
  <c r="H1161" i="4"/>
  <c r="W1161" i="4"/>
  <c r="I1162" i="4"/>
  <c r="G1164" i="4"/>
  <c r="W1164" i="4"/>
  <c r="I1165" i="4"/>
  <c r="U1169" i="4"/>
  <c r="T1175" i="4"/>
  <c r="V1176" i="4"/>
  <c r="G1177" i="4"/>
  <c r="V1177" i="4"/>
  <c r="H1178" i="4"/>
  <c r="L1178" i="4" s="1"/>
  <c r="J1180" i="4"/>
  <c r="Q1181" i="4"/>
  <c r="J1183" i="4"/>
  <c r="O1184" i="4"/>
  <c r="Q1186" i="4"/>
  <c r="K1188" i="4"/>
  <c r="S1189" i="4"/>
  <c r="M1191" i="4"/>
  <c r="Q1192" i="4"/>
  <c r="O1193" i="4"/>
  <c r="S1194" i="4"/>
  <c r="O1196" i="4"/>
  <c r="U1199" i="4"/>
  <c r="G1200" i="4"/>
  <c r="W1200" i="4"/>
  <c r="U1201" i="4"/>
  <c r="Q1203" i="4"/>
  <c r="M1206" i="4"/>
  <c r="J1207" i="4"/>
  <c r="W1208" i="4"/>
  <c r="I1209" i="4"/>
  <c r="J1214" i="4"/>
  <c r="J1216" i="4"/>
  <c r="M1221" i="4"/>
  <c r="W1221" i="4"/>
  <c r="H1222" i="4"/>
  <c r="L1222" i="4" s="1"/>
  <c r="O1223" i="4"/>
  <c r="J1227" i="4"/>
  <c r="M1229" i="4"/>
  <c r="W1229" i="4"/>
  <c r="I1230" i="4"/>
  <c r="R1233" i="4"/>
  <c r="H1233" i="4"/>
  <c r="H1234" i="4"/>
  <c r="N1234" i="4" s="1"/>
  <c r="I1234" i="4"/>
  <c r="P1259" i="4"/>
  <c r="K1259" i="4"/>
  <c r="J1259" i="4"/>
  <c r="V1259" i="4"/>
  <c r="U1259" i="4"/>
  <c r="T1259" i="4"/>
  <c r="P1316" i="4"/>
  <c r="W1316" i="4"/>
  <c r="J1316" i="4"/>
  <c r="V1316" i="4"/>
  <c r="G1316" i="4"/>
  <c r="U1316" i="4"/>
  <c r="T1316" i="4"/>
  <c r="O1316" i="4"/>
  <c r="M1316" i="4"/>
  <c r="U1317" i="4"/>
  <c r="T1317" i="4"/>
  <c r="G1317" i="4"/>
  <c r="P1317" i="4"/>
  <c r="O1317" i="4"/>
  <c r="M1317" i="4"/>
  <c r="W1317" i="4"/>
  <c r="K1317" i="4"/>
  <c r="R1360" i="4"/>
  <c r="H1360" i="4"/>
  <c r="W1361" i="4"/>
  <c r="U1361" i="4"/>
  <c r="G1361" i="4"/>
  <c r="P1361" i="4"/>
  <c r="O1361" i="4"/>
  <c r="K1361" i="4"/>
  <c r="R1401" i="4"/>
  <c r="I1401" i="4"/>
  <c r="H1401" i="4"/>
  <c r="S1401" i="4"/>
  <c r="Q1401" i="4"/>
  <c r="P1500" i="4"/>
  <c r="J1500" i="4"/>
  <c r="W1500" i="4"/>
  <c r="G1500" i="4"/>
  <c r="V1500" i="4"/>
  <c r="U1500" i="4"/>
  <c r="O1500" i="4"/>
  <c r="M1500" i="4"/>
  <c r="K1500" i="4"/>
  <c r="T1060" i="4"/>
  <c r="V1063" i="4"/>
  <c r="K1074" i="4"/>
  <c r="K1078" i="4"/>
  <c r="K1079" i="4"/>
  <c r="W1079" i="4"/>
  <c r="O1099" i="4"/>
  <c r="K1102" i="4"/>
  <c r="K1103" i="4"/>
  <c r="W1103" i="4"/>
  <c r="K1110" i="4"/>
  <c r="P1124" i="4"/>
  <c r="O1139" i="4"/>
  <c r="J1161" i="4"/>
  <c r="S1181" i="4"/>
  <c r="J1201" i="4"/>
  <c r="W1201" i="4"/>
  <c r="M1209" i="4"/>
  <c r="P1216" i="4"/>
  <c r="Q1223" i="4"/>
  <c r="M1230" i="4"/>
  <c r="V1239" i="4"/>
  <c r="J1239" i="4"/>
  <c r="G1239" i="4"/>
  <c r="S1240" i="4"/>
  <c r="R1240" i="4"/>
  <c r="I1240" i="4"/>
  <c r="U1263" i="4"/>
  <c r="G1263" i="4"/>
  <c r="W1263" i="4"/>
  <c r="V1263" i="4"/>
  <c r="P1263" i="4"/>
  <c r="O1263" i="4"/>
  <c r="R1320" i="4"/>
  <c r="I1320" i="4"/>
  <c r="H1320" i="4"/>
  <c r="N1320" i="4" s="1"/>
  <c r="S1320" i="4"/>
  <c r="K1038" i="4"/>
  <c r="W1038" i="4"/>
  <c r="V1039" i="4"/>
  <c r="H1040" i="4"/>
  <c r="N1040" i="4" s="1"/>
  <c r="V1042" i="4"/>
  <c r="S1043" i="4"/>
  <c r="K1044" i="4"/>
  <c r="J1046" i="4"/>
  <c r="I1047" i="4"/>
  <c r="V1047" i="4"/>
  <c r="H1048" i="4"/>
  <c r="N1048" i="4" s="1"/>
  <c r="H1050" i="4"/>
  <c r="L1050" i="4" s="1"/>
  <c r="Q1052" i="4"/>
  <c r="T1054" i="4"/>
  <c r="S1055" i="4"/>
  <c r="Q1056" i="4"/>
  <c r="R1058" i="4"/>
  <c r="J1061" i="4"/>
  <c r="K1063" i="4"/>
  <c r="W1063" i="4"/>
  <c r="O1066" i="4"/>
  <c r="O1067" i="4"/>
  <c r="R1069" i="4"/>
  <c r="S1071" i="4"/>
  <c r="O1074" i="4"/>
  <c r="Q1075" i="4"/>
  <c r="M1078" i="4"/>
  <c r="M1079" i="4"/>
  <c r="U1081" i="4"/>
  <c r="V1082" i="4"/>
  <c r="R1084" i="4"/>
  <c r="I1085" i="4"/>
  <c r="U1086" i="4"/>
  <c r="T1087" i="4"/>
  <c r="J1089" i="4"/>
  <c r="O1090" i="4"/>
  <c r="Q1092" i="4"/>
  <c r="K1094" i="4"/>
  <c r="K1095" i="4"/>
  <c r="W1095" i="4"/>
  <c r="J1098" i="4"/>
  <c r="Q1099" i="4"/>
  <c r="M1102" i="4"/>
  <c r="M1103" i="4"/>
  <c r="V1105" i="4"/>
  <c r="M1110" i="4"/>
  <c r="O1111" i="4"/>
  <c r="M1113" i="4"/>
  <c r="P1114" i="4"/>
  <c r="M1116" i="4"/>
  <c r="T1118" i="4"/>
  <c r="S1119" i="4"/>
  <c r="M1121" i="4"/>
  <c r="O1122" i="4"/>
  <c r="U1124" i="4"/>
  <c r="V1126" i="4"/>
  <c r="W1129" i="4"/>
  <c r="O1131" i="4"/>
  <c r="T1135" i="4"/>
  <c r="W1136" i="4"/>
  <c r="V1137" i="4"/>
  <c r="H1138" i="4"/>
  <c r="W1140" i="4"/>
  <c r="T1143" i="4"/>
  <c r="T1145" i="4"/>
  <c r="M1151" i="4"/>
  <c r="S1152" i="4"/>
  <c r="P1156" i="4"/>
  <c r="K1160" i="4"/>
  <c r="M1161" i="4"/>
  <c r="S1162" i="4"/>
  <c r="K1164" i="4"/>
  <c r="S1165" i="4"/>
  <c r="M1166" i="4"/>
  <c r="U1167" i="4"/>
  <c r="W1169" i="4"/>
  <c r="W1172" i="4"/>
  <c r="V1175" i="4"/>
  <c r="J1177" i="4"/>
  <c r="Q1178" i="4"/>
  <c r="M1180" i="4"/>
  <c r="M1183" i="4"/>
  <c r="S1184" i="4"/>
  <c r="T1185" i="4"/>
  <c r="U1186" i="4"/>
  <c r="O1188" i="4"/>
  <c r="T1192" i="4"/>
  <c r="T1193" i="4"/>
  <c r="V1194" i="4"/>
  <c r="J1195" i="4"/>
  <c r="S1196" i="4"/>
  <c r="H1197" i="4"/>
  <c r="K1200" i="4"/>
  <c r="K1201" i="4"/>
  <c r="U1203" i="4"/>
  <c r="H1205" i="4"/>
  <c r="N1205" i="4" s="1"/>
  <c r="P1206" i="4"/>
  <c r="P1207" i="4"/>
  <c r="O1209" i="4"/>
  <c r="O1214" i="4"/>
  <c r="Q1216" i="4"/>
  <c r="H1217" i="4"/>
  <c r="N1217" i="4" s="1"/>
  <c r="S1220" i="4"/>
  <c r="P1221" i="4"/>
  <c r="M1222" i="4"/>
  <c r="R1223" i="4"/>
  <c r="M1227" i="4"/>
  <c r="S1228" i="4"/>
  <c r="P1229" i="4"/>
  <c r="O1230" i="4"/>
  <c r="S1238" i="4"/>
  <c r="Q1238" i="4"/>
  <c r="I1238" i="4"/>
  <c r="H1238" i="4"/>
  <c r="N1238" i="4" s="1"/>
  <c r="G1256" i="4"/>
  <c r="W1256" i="4"/>
  <c r="P1256" i="4"/>
  <c r="H1258" i="4"/>
  <c r="S1258" i="4"/>
  <c r="R1258" i="4"/>
  <c r="P1283" i="4"/>
  <c r="K1283" i="4"/>
  <c r="J1283" i="4"/>
  <c r="V1283" i="4"/>
  <c r="U1283" i="4"/>
  <c r="T1283" i="4"/>
  <c r="R1301" i="4"/>
  <c r="H1301" i="4"/>
  <c r="S1301" i="4"/>
  <c r="O1362" i="4"/>
  <c r="M1362" i="4"/>
  <c r="J1395" i="4"/>
  <c r="G1395" i="4"/>
  <c r="W1395" i="4"/>
  <c r="U1395" i="4"/>
  <c r="P1395" i="4"/>
  <c r="O1395" i="4"/>
  <c r="M1395" i="4"/>
  <c r="K1039" i="4"/>
  <c r="W1039" i="4"/>
  <c r="K1046" i="4"/>
  <c r="T1055" i="4"/>
  <c r="M1063" i="4"/>
  <c r="S1069" i="4"/>
  <c r="P1074" i="4"/>
  <c r="S1075" i="4"/>
  <c r="O1078" i="4"/>
  <c r="O1079" i="4"/>
  <c r="Q1080" i="4"/>
  <c r="M1089" i="4"/>
  <c r="R1092" i="4"/>
  <c r="O1102" i="4"/>
  <c r="O1103" i="4"/>
  <c r="Q1104" i="4"/>
  <c r="W1105" i="4"/>
  <c r="H1106" i="4"/>
  <c r="J1108" i="4"/>
  <c r="O1110" i="4"/>
  <c r="I1117" i="4"/>
  <c r="U1118" i="4"/>
  <c r="T1119" i="4"/>
  <c r="W1126" i="4"/>
  <c r="H1128" i="4"/>
  <c r="N1128" i="4" s="1"/>
  <c r="J1130" i="4"/>
  <c r="Q1131" i="4"/>
  <c r="J1137" i="4"/>
  <c r="W1137" i="4"/>
  <c r="I1138" i="4"/>
  <c r="U1143" i="4"/>
  <c r="I1144" i="4"/>
  <c r="U1145" i="4"/>
  <c r="U1148" i="4"/>
  <c r="T1152" i="4"/>
  <c r="M1159" i="4"/>
  <c r="O1160" i="4"/>
  <c r="O1161" i="4"/>
  <c r="M1164" i="4"/>
  <c r="J1167" i="4"/>
  <c r="V1167" i="4"/>
  <c r="I1168" i="4"/>
  <c r="J1169" i="4"/>
  <c r="J1172" i="4"/>
  <c r="J1175" i="4"/>
  <c r="K1176" i="4"/>
  <c r="M1177" i="4"/>
  <c r="S1178" i="4"/>
  <c r="G1179" i="4"/>
  <c r="O1180" i="4"/>
  <c r="P1183" i="4"/>
  <c r="T1184" i="4"/>
  <c r="U1185" i="4"/>
  <c r="V1186" i="4"/>
  <c r="P1188" i="4"/>
  <c r="T1191" i="4"/>
  <c r="V1192" i="4"/>
  <c r="G1193" i="4"/>
  <c r="O1195" i="4"/>
  <c r="W1196" i="4"/>
  <c r="I1197" i="4"/>
  <c r="J1199" i="4"/>
  <c r="O1200" i="4"/>
  <c r="M1201" i="4"/>
  <c r="Q1202" i="4"/>
  <c r="V1203" i="4"/>
  <c r="I1205" i="4"/>
  <c r="Q1206" i="4"/>
  <c r="Q1207" i="4"/>
  <c r="J1208" i="4"/>
  <c r="Q1209" i="4"/>
  <c r="H1212" i="4"/>
  <c r="L1212" i="4" s="1"/>
  <c r="H1220" i="4"/>
  <c r="Q1221" i="4"/>
  <c r="O1224" i="4"/>
  <c r="T1227" i="4"/>
  <c r="Q1229" i="4"/>
  <c r="P1230" i="4"/>
  <c r="H1232" i="4"/>
  <c r="K1252" i="4"/>
  <c r="J1295" i="4"/>
  <c r="R1304" i="4"/>
  <c r="I1304" i="4"/>
  <c r="H1304" i="4"/>
  <c r="N1304" i="4" s="1"/>
  <c r="S1304" i="4"/>
  <c r="Q1304" i="4"/>
  <c r="G1312" i="4"/>
  <c r="W1312" i="4"/>
  <c r="K1368" i="4"/>
  <c r="G1381" i="4"/>
  <c r="W1381" i="4"/>
  <c r="U1381" i="4"/>
  <c r="O1381" i="4"/>
  <c r="M1381" i="4"/>
  <c r="R1239" i="4"/>
  <c r="J1243" i="4"/>
  <c r="U1245" i="4"/>
  <c r="K1248" i="4"/>
  <c r="R1250" i="4"/>
  <c r="I1253" i="4"/>
  <c r="U1253" i="4"/>
  <c r="V1254" i="4"/>
  <c r="S1260" i="4"/>
  <c r="O1261" i="4"/>
  <c r="I1262" i="4"/>
  <c r="K1268" i="4"/>
  <c r="W1268" i="4"/>
  <c r="H1269" i="4"/>
  <c r="L1269" i="4" s="1"/>
  <c r="T1269" i="4"/>
  <c r="U1270" i="4"/>
  <c r="I1272" i="4"/>
  <c r="T1276" i="4"/>
  <c r="P1277" i="4"/>
  <c r="O1278" i="4"/>
  <c r="P1279" i="4"/>
  <c r="U1284" i="4"/>
  <c r="S1285" i="4"/>
  <c r="Q1286" i="4"/>
  <c r="V1287" i="4"/>
  <c r="S1290" i="4"/>
  <c r="K1291" i="4"/>
  <c r="S1292" i="4"/>
  <c r="O1293" i="4"/>
  <c r="S1298" i="4"/>
  <c r="K1299" i="4"/>
  <c r="O1300" i="4"/>
  <c r="M1301" i="4"/>
  <c r="W1301" i="4"/>
  <c r="H1302" i="4"/>
  <c r="N1302" i="4" s="1"/>
  <c r="W1302" i="4"/>
  <c r="H1303" i="4"/>
  <c r="L1303" i="4" s="1"/>
  <c r="K1308" i="4"/>
  <c r="J1309" i="4"/>
  <c r="V1309" i="4"/>
  <c r="G1310" i="4"/>
  <c r="V1310" i="4"/>
  <c r="G1311" i="4"/>
  <c r="S1312" i="4"/>
  <c r="J1313" i="4"/>
  <c r="I1314" i="4"/>
  <c r="H1318" i="4"/>
  <c r="L1318" i="4" s="1"/>
  <c r="W1318" i="4"/>
  <c r="H1319" i="4"/>
  <c r="L1319" i="4" s="1"/>
  <c r="V1323" i="4"/>
  <c r="J1324" i="4"/>
  <c r="W1324" i="4"/>
  <c r="H1325" i="4"/>
  <c r="U1325" i="4"/>
  <c r="U1326" i="4"/>
  <c r="Q1328" i="4"/>
  <c r="U1331" i="4"/>
  <c r="G1332" i="4"/>
  <c r="V1332" i="4"/>
  <c r="G1333" i="4"/>
  <c r="T1333" i="4"/>
  <c r="S1334" i="4"/>
  <c r="W1335" i="4"/>
  <c r="H1336" i="4"/>
  <c r="N1336" i="4" s="1"/>
  <c r="U1339" i="4"/>
  <c r="G1340" i="4"/>
  <c r="V1340" i="4"/>
  <c r="G1341" i="4"/>
  <c r="T1341" i="4"/>
  <c r="S1342" i="4"/>
  <c r="W1343" i="4"/>
  <c r="I1344" i="4"/>
  <c r="V1347" i="4"/>
  <c r="J1348" i="4"/>
  <c r="W1348" i="4"/>
  <c r="H1349" i="4"/>
  <c r="T1349" i="4"/>
  <c r="R1350" i="4"/>
  <c r="G1351" i="4"/>
  <c r="K1352" i="4"/>
  <c r="K1353" i="4"/>
  <c r="O1356" i="4"/>
  <c r="M1359" i="4"/>
  <c r="M1360" i="4"/>
  <c r="I1363" i="4"/>
  <c r="S1364" i="4"/>
  <c r="T1365" i="4"/>
  <c r="H1366" i="4"/>
  <c r="N1366" i="4" s="1"/>
  <c r="U1366" i="4"/>
  <c r="G1367" i="4"/>
  <c r="S1369" i="4"/>
  <c r="J1370" i="4"/>
  <c r="J1371" i="4"/>
  <c r="K1374" i="4"/>
  <c r="J1376" i="4"/>
  <c r="W1376" i="4"/>
  <c r="H1377" i="4"/>
  <c r="L1377" i="4" s="1"/>
  <c r="W1377" i="4"/>
  <c r="M1379" i="4"/>
  <c r="S1382" i="4"/>
  <c r="T1383" i="4"/>
  <c r="G1384" i="4"/>
  <c r="W1384" i="4"/>
  <c r="H1385" i="4"/>
  <c r="L1385" i="4" s="1"/>
  <c r="I1386" i="4"/>
  <c r="Q1389" i="4"/>
  <c r="V1390" i="4"/>
  <c r="I1391" i="4"/>
  <c r="G1394" i="4"/>
  <c r="I1399" i="4"/>
  <c r="O1400" i="4"/>
  <c r="P1401" i="4"/>
  <c r="M1406" i="4"/>
  <c r="O1407" i="4"/>
  <c r="S1409" i="4"/>
  <c r="H1410" i="4"/>
  <c r="S1411" i="4"/>
  <c r="O1415" i="4"/>
  <c r="S1417" i="4"/>
  <c r="T1422" i="4"/>
  <c r="T1423" i="4"/>
  <c r="T1424" i="4"/>
  <c r="W1426" i="4"/>
  <c r="I1427" i="4"/>
  <c r="O1433" i="4"/>
  <c r="P1434" i="4"/>
  <c r="H1435" i="4"/>
  <c r="V1438" i="4"/>
  <c r="R1501" i="4"/>
  <c r="H1501" i="4"/>
  <c r="N1501" i="4" s="1"/>
  <c r="S1501" i="4"/>
  <c r="M1235" i="4"/>
  <c r="O1237" i="4"/>
  <c r="P1240" i="4"/>
  <c r="U1242" i="4"/>
  <c r="K1243" i="4"/>
  <c r="K1245" i="4"/>
  <c r="V1245" i="4"/>
  <c r="H1246" i="4"/>
  <c r="L1246" i="4" s="1"/>
  <c r="O1248" i="4"/>
  <c r="S1250" i="4"/>
  <c r="K1253" i="4"/>
  <c r="V1253" i="4"/>
  <c r="T1260" i="4"/>
  <c r="P1261" i="4"/>
  <c r="M1262" i="4"/>
  <c r="I1269" i="4"/>
  <c r="U1269" i="4"/>
  <c r="V1270" i="4"/>
  <c r="G1271" i="4"/>
  <c r="Q1272" i="4"/>
  <c r="T1275" i="4"/>
  <c r="U1276" i="4"/>
  <c r="S1277" i="4"/>
  <c r="V1279" i="4"/>
  <c r="H1280" i="4"/>
  <c r="N1280" i="4" s="1"/>
  <c r="G1284" i="4"/>
  <c r="V1284" i="4"/>
  <c r="G1285" i="4"/>
  <c r="T1285" i="4"/>
  <c r="S1286" i="4"/>
  <c r="W1287" i="4"/>
  <c r="H1288" i="4"/>
  <c r="N1288" i="4" s="1"/>
  <c r="M1291" i="4"/>
  <c r="T1292" i="4"/>
  <c r="P1293" i="4"/>
  <c r="M1299" i="4"/>
  <c r="I1302" i="4"/>
  <c r="J1303" i="4"/>
  <c r="J1305" i="4"/>
  <c r="I1306" i="4"/>
  <c r="M1308" i="4"/>
  <c r="K1309" i="4"/>
  <c r="H1310" i="4"/>
  <c r="L1310" i="4" s="1"/>
  <c r="W1310" i="4"/>
  <c r="H1311" i="4"/>
  <c r="L1311" i="4" s="1"/>
  <c r="P1313" i="4"/>
  <c r="Q1314" i="4"/>
  <c r="J1315" i="4"/>
  <c r="I1318" i="4"/>
  <c r="J1319" i="4"/>
  <c r="J1321" i="4"/>
  <c r="I1322" i="4"/>
  <c r="K1324" i="4"/>
  <c r="J1325" i="4"/>
  <c r="V1325" i="4"/>
  <c r="G1326" i="4"/>
  <c r="V1326" i="4"/>
  <c r="G1327" i="4"/>
  <c r="S1328" i="4"/>
  <c r="J1329" i="4"/>
  <c r="I1330" i="4"/>
  <c r="V1331" i="4"/>
  <c r="J1332" i="4"/>
  <c r="W1332" i="4"/>
  <c r="H1333" i="4"/>
  <c r="N1333" i="4" s="1"/>
  <c r="U1333" i="4"/>
  <c r="U1334" i="4"/>
  <c r="I1336" i="4"/>
  <c r="V1339" i="4"/>
  <c r="J1340" i="4"/>
  <c r="W1340" i="4"/>
  <c r="H1341" i="4"/>
  <c r="N1341" i="4" s="1"/>
  <c r="U1341" i="4"/>
  <c r="U1342" i="4"/>
  <c r="Q1344" i="4"/>
  <c r="K1348" i="4"/>
  <c r="J1349" i="4"/>
  <c r="U1349" i="4"/>
  <c r="V1350" i="4"/>
  <c r="M1352" i="4"/>
  <c r="O1353" i="4"/>
  <c r="P1356" i="4"/>
  <c r="H1358" i="4"/>
  <c r="Q1359" i="4"/>
  <c r="O1360" i="4"/>
  <c r="Q1363" i="4"/>
  <c r="G1364" i="4"/>
  <c r="T1364" i="4"/>
  <c r="G1365" i="4"/>
  <c r="U1365" i="4"/>
  <c r="J1366" i="4"/>
  <c r="V1366" i="4"/>
  <c r="I1367" i="4"/>
  <c r="K1371" i="4"/>
  <c r="M1374" i="4"/>
  <c r="K1376" i="4"/>
  <c r="I1377" i="4"/>
  <c r="J1378" i="4"/>
  <c r="O1379" i="4"/>
  <c r="T1382" i="4"/>
  <c r="V1383" i="4"/>
  <c r="J1384" i="4"/>
  <c r="I1385" i="4"/>
  <c r="R1389" i="4"/>
  <c r="M1391" i="4"/>
  <c r="S1393" i="4"/>
  <c r="J1394" i="4"/>
  <c r="Q1397" i="4"/>
  <c r="V1398" i="4"/>
  <c r="K1399" i="4"/>
  <c r="P1400" i="4"/>
  <c r="H1404" i="4"/>
  <c r="N1404" i="4" s="1"/>
  <c r="P1406" i="4"/>
  <c r="I1410" i="4"/>
  <c r="G1411" i="4"/>
  <c r="Q1412" i="4"/>
  <c r="R1414" i="4"/>
  <c r="G1418" i="4"/>
  <c r="S1419" i="4"/>
  <c r="Q1421" i="4"/>
  <c r="U1422" i="4"/>
  <c r="G1423" i="4"/>
  <c r="U1423" i="4"/>
  <c r="U1424" i="4"/>
  <c r="U1425" i="4"/>
  <c r="Q1427" i="4"/>
  <c r="T1430" i="4"/>
  <c r="T1431" i="4"/>
  <c r="P1432" i="4"/>
  <c r="J1439" i="4"/>
  <c r="U1439" i="4"/>
  <c r="G1439" i="4"/>
  <c r="M1439" i="4"/>
  <c r="O1439" i="4"/>
  <c r="T1457" i="4"/>
  <c r="W1457" i="4"/>
  <c r="V1457" i="4"/>
  <c r="G1457" i="4"/>
  <c r="U1457" i="4"/>
  <c r="O1457" i="4"/>
  <c r="M1457" i="4"/>
  <c r="S1474" i="4"/>
  <c r="I1474" i="4"/>
  <c r="H1474" i="4"/>
  <c r="L1474" i="4" s="1"/>
  <c r="Q1474" i="4"/>
  <c r="J1590" i="4"/>
  <c r="U1590" i="4"/>
  <c r="G1590" i="4"/>
  <c r="P1590" i="4"/>
  <c r="O1590" i="4"/>
  <c r="M1590" i="4"/>
  <c r="W1590" i="4"/>
  <c r="K1590" i="4"/>
  <c r="V1590" i="4"/>
  <c r="M1243" i="4"/>
  <c r="M1245" i="4"/>
  <c r="W1245" i="4"/>
  <c r="I1246" i="4"/>
  <c r="G1247" i="4"/>
  <c r="P1248" i="4"/>
  <c r="U1250" i="4"/>
  <c r="K1251" i="4"/>
  <c r="M1253" i="4"/>
  <c r="W1253" i="4"/>
  <c r="H1254" i="4"/>
  <c r="J1255" i="4"/>
  <c r="S1256" i="4"/>
  <c r="H1257" i="4"/>
  <c r="N1257" i="4" s="1"/>
  <c r="G1260" i="4"/>
  <c r="U1260" i="4"/>
  <c r="Q1261" i="4"/>
  <c r="O1262" i="4"/>
  <c r="H1264" i="4"/>
  <c r="J1267" i="4"/>
  <c r="O1268" i="4"/>
  <c r="K1269" i="4"/>
  <c r="V1269" i="4"/>
  <c r="G1270" i="4"/>
  <c r="W1270" i="4"/>
  <c r="H1271" i="4"/>
  <c r="L1271" i="4" s="1"/>
  <c r="S1272" i="4"/>
  <c r="I1273" i="4"/>
  <c r="U1275" i="4"/>
  <c r="G1276" i="4"/>
  <c r="V1276" i="4"/>
  <c r="G1277" i="4"/>
  <c r="T1277" i="4"/>
  <c r="W1279" i="4"/>
  <c r="I1280" i="4"/>
  <c r="J1284" i="4"/>
  <c r="W1284" i="4"/>
  <c r="H1285" i="4"/>
  <c r="L1285" i="4" s="1"/>
  <c r="U1285" i="4"/>
  <c r="U1286" i="4"/>
  <c r="I1288" i="4"/>
  <c r="T1291" i="4"/>
  <c r="U1292" i="4"/>
  <c r="S1293" i="4"/>
  <c r="Q1294" i="4"/>
  <c r="H1296" i="4"/>
  <c r="N1296" i="4" s="1"/>
  <c r="M1302" i="4"/>
  <c r="O1303" i="4"/>
  <c r="P1305" i="4"/>
  <c r="Q1306" i="4"/>
  <c r="J1307" i="4"/>
  <c r="I1310" i="4"/>
  <c r="J1311" i="4"/>
  <c r="S1314" i="4"/>
  <c r="K1315" i="4"/>
  <c r="M1318" i="4"/>
  <c r="O1319" i="4"/>
  <c r="P1321" i="4"/>
  <c r="M1324" i="4"/>
  <c r="K1325" i="4"/>
  <c r="H1326" i="4"/>
  <c r="L1326" i="4" s="1"/>
  <c r="W1326" i="4"/>
  <c r="H1327" i="4"/>
  <c r="P1329" i="4"/>
  <c r="K1332" i="4"/>
  <c r="J1333" i="4"/>
  <c r="G1334" i="4"/>
  <c r="V1334" i="4"/>
  <c r="G1335" i="4"/>
  <c r="K1340" i="4"/>
  <c r="J1341" i="4"/>
  <c r="G1342" i="4"/>
  <c r="V1342" i="4"/>
  <c r="G1343" i="4"/>
  <c r="S1344" i="4"/>
  <c r="J1345" i="4"/>
  <c r="H1346" i="4"/>
  <c r="N1346" i="4" s="1"/>
  <c r="M1348" i="4"/>
  <c r="K1349" i="4"/>
  <c r="V1349" i="4"/>
  <c r="G1350" i="4"/>
  <c r="K1351" i="4"/>
  <c r="O1352" i="4"/>
  <c r="Q1353" i="4"/>
  <c r="R1356" i="4"/>
  <c r="O1357" i="4"/>
  <c r="I1358" i="4"/>
  <c r="R1359" i="4"/>
  <c r="P1360" i="4"/>
  <c r="R1363" i="4"/>
  <c r="V1364" i="4"/>
  <c r="I1365" i="4"/>
  <c r="K1366" i="4"/>
  <c r="M1367" i="4"/>
  <c r="M1371" i="4"/>
  <c r="P1374" i="4"/>
  <c r="M1376" i="4"/>
  <c r="K1377" i="4"/>
  <c r="Q1381" i="4"/>
  <c r="U1382" i="4"/>
  <c r="G1383" i="4"/>
  <c r="M1384" i="4"/>
  <c r="Q1386" i="4"/>
  <c r="S1389" i="4"/>
  <c r="J1390" i="4"/>
  <c r="Q1391" i="4"/>
  <c r="O1394" i="4"/>
  <c r="Q1399" i="4"/>
  <c r="T1400" i="4"/>
  <c r="I1404" i="4"/>
  <c r="R1410" i="4"/>
  <c r="H1411" i="4"/>
  <c r="R1412" i="4"/>
  <c r="R1421" i="4"/>
  <c r="J1422" i="4"/>
  <c r="V1422" i="4"/>
  <c r="I1423" i="4"/>
  <c r="V1423" i="4"/>
  <c r="G1424" i="4"/>
  <c r="V1424" i="4"/>
  <c r="G1425" i="4"/>
  <c r="V1425" i="4"/>
  <c r="G1426" i="4"/>
  <c r="S1427" i="4"/>
  <c r="Q1428" i="4"/>
  <c r="U1430" i="4"/>
  <c r="G1431" i="4"/>
  <c r="U1431" i="4"/>
  <c r="V1435" i="4"/>
  <c r="G1435" i="4"/>
  <c r="O1435" i="4"/>
  <c r="R1502" i="4"/>
  <c r="I1502" i="4"/>
  <c r="H1502" i="4"/>
  <c r="N1502" i="4" s="1"/>
  <c r="S1502" i="4"/>
  <c r="Q1502" i="4"/>
  <c r="K1233" i="4"/>
  <c r="U1235" i="4"/>
  <c r="G1236" i="4"/>
  <c r="U1236" i="4"/>
  <c r="P1238" i="4"/>
  <c r="H1241" i="4"/>
  <c r="N1241" i="4" s="1"/>
  <c r="S1244" i="4"/>
  <c r="O1245" i="4"/>
  <c r="Q1246" i="4"/>
  <c r="J1247" i="4"/>
  <c r="Q1248" i="4"/>
  <c r="M1251" i="4"/>
  <c r="S1252" i="4"/>
  <c r="O1253" i="4"/>
  <c r="I1254" i="4"/>
  <c r="O1255" i="4"/>
  <c r="I1257" i="4"/>
  <c r="J1260" i="4"/>
  <c r="V1260" i="4"/>
  <c r="G1261" i="4"/>
  <c r="S1261" i="4"/>
  <c r="Q1262" i="4"/>
  <c r="I1264" i="4"/>
  <c r="I1266" i="4"/>
  <c r="K1267" i="4"/>
  <c r="P1268" i="4"/>
  <c r="M1269" i="4"/>
  <c r="W1269" i="4"/>
  <c r="H1270" i="4"/>
  <c r="L1270" i="4" s="1"/>
  <c r="J1271" i="4"/>
  <c r="Q1273" i="4"/>
  <c r="I1274" i="4"/>
  <c r="V1275" i="4"/>
  <c r="J1276" i="4"/>
  <c r="W1276" i="4"/>
  <c r="H1277" i="4"/>
  <c r="N1277" i="4" s="1"/>
  <c r="U1277" i="4"/>
  <c r="U1278" i="4"/>
  <c r="Q1280" i="4"/>
  <c r="K1284" i="4"/>
  <c r="J1285" i="4"/>
  <c r="V1285" i="4"/>
  <c r="G1286" i="4"/>
  <c r="V1286" i="4"/>
  <c r="G1287" i="4"/>
  <c r="Q1288" i="4"/>
  <c r="U1291" i="4"/>
  <c r="G1292" i="4"/>
  <c r="V1292" i="4"/>
  <c r="G1293" i="4"/>
  <c r="T1293" i="4"/>
  <c r="S1294" i="4"/>
  <c r="I1296" i="4"/>
  <c r="S1306" i="4"/>
  <c r="K1307" i="4"/>
  <c r="M1315" i="4"/>
  <c r="Q1322" i="4"/>
  <c r="J1323" i="4"/>
  <c r="I1326" i="4"/>
  <c r="J1327" i="4"/>
  <c r="Q1330" i="4"/>
  <c r="W1334" i="4"/>
  <c r="I1338" i="4"/>
  <c r="W1342" i="4"/>
  <c r="P1345" i="4"/>
  <c r="H1354" i="4"/>
  <c r="L1354" i="4" s="1"/>
  <c r="M1358" i="4"/>
  <c r="T1360" i="4"/>
  <c r="J1364" i="4"/>
  <c r="K1365" i="4"/>
  <c r="I1387" i="4"/>
  <c r="K1390" i="4"/>
  <c r="H1396" i="4"/>
  <c r="S1399" i="4"/>
  <c r="U1400" i="4"/>
  <c r="U1401" i="4"/>
  <c r="W1402" i="4"/>
  <c r="Q1404" i="4"/>
  <c r="I1405" i="4"/>
  <c r="T1407" i="4"/>
  <c r="J1411" i="4"/>
  <c r="M1413" i="4"/>
  <c r="T1415" i="4"/>
  <c r="J1418" i="4"/>
  <c r="K1422" i="4"/>
  <c r="K1423" i="4"/>
  <c r="W1423" i="4"/>
  <c r="W1424" i="4"/>
  <c r="W1425" i="4"/>
  <c r="R1428" i="4"/>
  <c r="V1431" i="4"/>
  <c r="R1435" i="4"/>
  <c r="Q1435" i="4"/>
  <c r="R1443" i="4"/>
  <c r="I1443" i="4"/>
  <c r="H1443" i="4"/>
  <c r="S1443" i="4"/>
  <c r="Q1443" i="4"/>
  <c r="S1456" i="4"/>
  <c r="H1456" i="4"/>
  <c r="N1456" i="4" s="1"/>
  <c r="U1458" i="4"/>
  <c r="G1458" i="4"/>
  <c r="W1458" i="4"/>
  <c r="V1458" i="4"/>
  <c r="P1458" i="4"/>
  <c r="O1458" i="4"/>
  <c r="J1463" i="4"/>
  <c r="V1463" i="4"/>
  <c r="U1463" i="4"/>
  <c r="G1463" i="4"/>
  <c r="T1463" i="4"/>
  <c r="O1463" i="4"/>
  <c r="M1463" i="4"/>
  <c r="U1513" i="4"/>
  <c r="T1513" i="4"/>
  <c r="G1513" i="4"/>
  <c r="P1513" i="4"/>
  <c r="O1513" i="4"/>
  <c r="M1513" i="4"/>
  <c r="W1513" i="4"/>
  <c r="K1513" i="4"/>
  <c r="V1513" i="4"/>
  <c r="S1519" i="4"/>
  <c r="R1519" i="4"/>
  <c r="I1519" i="4"/>
  <c r="H1519" i="4"/>
  <c r="L1519" i="4" s="1"/>
  <c r="T1243" i="4"/>
  <c r="P1245" i="4"/>
  <c r="O1247" i="4"/>
  <c r="S1248" i="4"/>
  <c r="P1253" i="4"/>
  <c r="K1260" i="4"/>
  <c r="W1260" i="4"/>
  <c r="T1261" i="4"/>
  <c r="U1262" i="4"/>
  <c r="Q1264" i="4"/>
  <c r="M1267" i="4"/>
  <c r="I1270" i="4"/>
  <c r="R1273" i="4"/>
  <c r="K1276" i="4"/>
  <c r="J1277" i="4"/>
  <c r="V1277" i="4"/>
  <c r="S1280" i="4"/>
  <c r="W1286" i="4"/>
  <c r="M1307" i="4"/>
  <c r="S1322" i="4"/>
  <c r="S1330" i="4"/>
  <c r="J1335" i="4"/>
  <c r="J1343" i="4"/>
  <c r="M1390" i="4"/>
  <c r="S1404" i="4"/>
  <c r="M1422" i="4"/>
  <c r="J1424" i="4"/>
  <c r="J1426" i="4"/>
  <c r="K1431" i="4"/>
  <c r="W1431" i="4"/>
  <c r="S1435" i="4"/>
  <c r="S1442" i="4"/>
  <c r="H1442" i="4"/>
  <c r="J1234" i="4"/>
  <c r="K1236" i="4"/>
  <c r="W1236" i="4"/>
  <c r="T1237" i="4"/>
  <c r="U1238" i="4"/>
  <c r="U1243" i="4"/>
  <c r="Q1245" i="4"/>
  <c r="P1247" i="4"/>
  <c r="Q1253" i="4"/>
  <c r="R1257" i="4"/>
  <c r="U1261" i="4"/>
  <c r="S1264" i="4"/>
  <c r="T1267" i="4"/>
  <c r="M1276" i="4"/>
  <c r="K1277" i="4"/>
  <c r="W1277" i="4"/>
  <c r="W1278" i="4"/>
  <c r="J1287" i="4"/>
  <c r="K1292" i="4"/>
  <c r="J1293" i="4"/>
  <c r="V1293" i="4"/>
  <c r="S1296" i="4"/>
  <c r="T1307" i="4"/>
  <c r="M1323" i="4"/>
  <c r="M1331" i="4"/>
  <c r="S1332" i="4"/>
  <c r="M1334" i="4"/>
  <c r="O1335" i="4"/>
  <c r="S1338" i="4"/>
  <c r="K1339" i="4"/>
  <c r="S1340" i="4"/>
  <c r="M1342" i="4"/>
  <c r="O1343" i="4"/>
  <c r="S1346" i="4"/>
  <c r="M1347" i="4"/>
  <c r="T1348" i="4"/>
  <c r="M1350" i="4"/>
  <c r="T1351" i="4"/>
  <c r="Q1354" i="4"/>
  <c r="Q1358" i="4"/>
  <c r="V1360" i="4"/>
  <c r="S1367" i="4"/>
  <c r="H1369" i="4"/>
  <c r="U1374" i="4"/>
  <c r="I1375" i="4"/>
  <c r="P1377" i="4"/>
  <c r="P1380" i="4"/>
  <c r="K1382" i="4"/>
  <c r="T1384" i="4"/>
  <c r="Q1385" i="4"/>
  <c r="I1389" i="4"/>
  <c r="P1390" i="4"/>
  <c r="R1396" i="4"/>
  <c r="M1398" i="4"/>
  <c r="W1400" i="4"/>
  <c r="R1405" i="4"/>
  <c r="V1406" i="4"/>
  <c r="V1407" i="4"/>
  <c r="H1409" i="4"/>
  <c r="S1413" i="4"/>
  <c r="V1415" i="4"/>
  <c r="H1417" i="4"/>
  <c r="L1417" i="4" s="1"/>
  <c r="P1418" i="4"/>
  <c r="P1422" i="4"/>
  <c r="O1423" i="4"/>
  <c r="M1424" i="4"/>
  <c r="M1425" i="4"/>
  <c r="O1426" i="4"/>
  <c r="S1429" i="4"/>
  <c r="K1430" i="4"/>
  <c r="M1431" i="4"/>
  <c r="J1432" i="4"/>
  <c r="W1432" i="4"/>
  <c r="W1433" i="4"/>
  <c r="W1435" i="4"/>
  <c r="V1439" i="4"/>
  <c r="W1463" i="4"/>
  <c r="H1512" i="4"/>
  <c r="N1512" i="4" s="1"/>
  <c r="I1512" i="4"/>
  <c r="R1532" i="4"/>
  <c r="S1532" i="4"/>
  <c r="U1237" i="4"/>
  <c r="Q1241" i="4"/>
  <c r="V1243" i="4"/>
  <c r="G1245" i="4"/>
  <c r="S1245" i="4"/>
  <c r="V1247" i="4"/>
  <c r="H1248" i="4"/>
  <c r="R1249" i="4"/>
  <c r="I1250" i="4"/>
  <c r="V1251" i="4"/>
  <c r="G1253" i="4"/>
  <c r="S1253" i="4"/>
  <c r="Q1254" i="4"/>
  <c r="W1255" i="4"/>
  <c r="I1256" i="4"/>
  <c r="K1261" i="4"/>
  <c r="V1261" i="4"/>
  <c r="G1262" i="4"/>
  <c r="W1262" i="4"/>
  <c r="H1263" i="4"/>
  <c r="L1263" i="4" s="1"/>
  <c r="U1267" i="4"/>
  <c r="G1268" i="4"/>
  <c r="Q1269" i="4"/>
  <c r="O1270" i="4"/>
  <c r="V1271" i="4"/>
  <c r="M1275" i="4"/>
  <c r="O1276" i="4"/>
  <c r="J1279" i="4"/>
  <c r="S1284" i="4"/>
  <c r="M1286" i="4"/>
  <c r="O1287" i="4"/>
  <c r="P1289" i="4"/>
  <c r="M1292" i="4"/>
  <c r="K1293" i="4"/>
  <c r="H1294" i="4"/>
  <c r="L1294" i="4" s="1"/>
  <c r="H1295" i="4"/>
  <c r="P1297" i="4"/>
  <c r="K1300" i="4"/>
  <c r="J1301" i="4"/>
  <c r="U1302" i="4"/>
  <c r="U1307" i="4"/>
  <c r="V1308" i="4"/>
  <c r="S1310" i="4"/>
  <c r="W1311" i="4"/>
  <c r="V1315" i="4"/>
  <c r="T1323" i="4"/>
  <c r="Q1326" i="4"/>
  <c r="V1327" i="4"/>
  <c r="O1334" i="4"/>
  <c r="P1335" i="4"/>
  <c r="M1339" i="4"/>
  <c r="O1342" i="4"/>
  <c r="P1343" i="4"/>
  <c r="T1347" i="4"/>
  <c r="R1354" i="4"/>
  <c r="J1360" i="4"/>
  <c r="T1390" i="4"/>
  <c r="S1396" i="4"/>
  <c r="J1400" i="4"/>
  <c r="K1407" i="4"/>
  <c r="W1407" i="4"/>
  <c r="Q1411" i="4"/>
  <c r="T1413" i="4"/>
  <c r="K1415" i="4"/>
  <c r="W1415" i="4"/>
  <c r="V1418" i="4"/>
  <c r="Q1423" i="4"/>
  <c r="O1424" i="4"/>
  <c r="O1425" i="4"/>
  <c r="P1426" i="4"/>
  <c r="M1430" i="4"/>
  <c r="O1431" i="4"/>
  <c r="L1432" i="4"/>
  <c r="U1434" i="4"/>
  <c r="V1434" i="4"/>
  <c r="J1434" i="4"/>
  <c r="W1438" i="4"/>
  <c r="U1438" i="4"/>
  <c r="J1438" i="4"/>
  <c r="P1438" i="4"/>
  <c r="R1441" i="4"/>
  <c r="S1441" i="4"/>
  <c r="I1441" i="4"/>
  <c r="N1441" i="4"/>
  <c r="R1508" i="4"/>
  <c r="S1508" i="4"/>
  <c r="J1440" i="4"/>
  <c r="W1441" i="4"/>
  <c r="P1443" i="4"/>
  <c r="T1446" i="4"/>
  <c r="T1447" i="4"/>
  <c r="T1448" i="4"/>
  <c r="S1449" i="4"/>
  <c r="W1450" i="4"/>
  <c r="H1451" i="4"/>
  <c r="M1454" i="4"/>
  <c r="Q1455" i="4"/>
  <c r="M1456" i="4"/>
  <c r="Q1459" i="4"/>
  <c r="H1460" i="4"/>
  <c r="J1462" i="4"/>
  <c r="J1464" i="4"/>
  <c r="W1464" i="4"/>
  <c r="H1465" i="4"/>
  <c r="L1465" i="4" s="1"/>
  <c r="V1465" i="4"/>
  <c r="G1466" i="4"/>
  <c r="I1467" i="4"/>
  <c r="T1470" i="4"/>
  <c r="T1471" i="4"/>
  <c r="P1472" i="4"/>
  <c r="P1473" i="4"/>
  <c r="P1474" i="4"/>
  <c r="W1475" i="4"/>
  <c r="I1476" i="4"/>
  <c r="I1477" i="4"/>
  <c r="J1478" i="4"/>
  <c r="Q1479" i="4"/>
  <c r="G1481" i="4"/>
  <c r="T1481" i="4"/>
  <c r="P1483" i="4"/>
  <c r="H1485" i="4"/>
  <c r="N1485" i="4" s="1"/>
  <c r="V1485" i="4"/>
  <c r="G1486" i="4"/>
  <c r="W1486" i="4"/>
  <c r="U1487" i="4"/>
  <c r="I1488" i="4"/>
  <c r="S1489" i="4"/>
  <c r="S1490" i="4"/>
  <c r="M1491" i="4"/>
  <c r="P1493" i="4"/>
  <c r="S1494" i="4"/>
  <c r="H1495" i="4"/>
  <c r="L1495" i="4" s="1"/>
  <c r="K1497" i="4"/>
  <c r="Q1498" i="4"/>
  <c r="O1501" i="4"/>
  <c r="P1502" i="4"/>
  <c r="S1505" i="4"/>
  <c r="T1506" i="4"/>
  <c r="J1507" i="4"/>
  <c r="O1508" i="4"/>
  <c r="P1509" i="4"/>
  <c r="H1511" i="4"/>
  <c r="L1511" i="4" s="1"/>
  <c r="I1514" i="4"/>
  <c r="G1516" i="4"/>
  <c r="W1516" i="4"/>
  <c r="H1517" i="4"/>
  <c r="W1517" i="4"/>
  <c r="W1520" i="4"/>
  <c r="U1521" i="4"/>
  <c r="J1524" i="4"/>
  <c r="J1525" i="4"/>
  <c r="I1526" i="4"/>
  <c r="R1534" i="4"/>
  <c r="Q1534" i="4"/>
  <c r="I1534" i="4"/>
  <c r="S1535" i="4"/>
  <c r="H1535" i="4"/>
  <c r="L1535" i="4" s="1"/>
  <c r="U1537" i="4"/>
  <c r="T1537" i="4"/>
  <c r="P1537" i="4"/>
  <c r="O1537" i="4"/>
  <c r="K1537" i="4"/>
  <c r="P1555" i="4"/>
  <c r="M1555" i="4"/>
  <c r="J1555" i="4"/>
  <c r="V1555" i="4"/>
  <c r="U1555" i="4"/>
  <c r="W1589" i="4"/>
  <c r="J1589" i="4"/>
  <c r="V1589" i="4"/>
  <c r="G1589" i="4"/>
  <c r="U1589" i="4"/>
  <c r="T1589" i="4"/>
  <c r="P1589" i="4"/>
  <c r="O1589" i="4"/>
  <c r="M1589" i="4"/>
  <c r="J1622" i="4"/>
  <c r="T1622" i="4"/>
  <c r="P1622" i="4"/>
  <c r="W1622" i="4"/>
  <c r="M1622" i="4"/>
  <c r="G1622" i="4"/>
  <c r="V1622" i="4"/>
  <c r="U1622" i="4"/>
  <c r="O1622" i="4"/>
  <c r="J1442" i="4"/>
  <c r="G1447" i="4"/>
  <c r="U1447" i="4"/>
  <c r="U1448" i="4"/>
  <c r="I1451" i="4"/>
  <c r="S1455" i="4"/>
  <c r="O1456" i="4"/>
  <c r="K1462" i="4"/>
  <c r="I1465" i="4"/>
  <c r="W1465" i="4"/>
  <c r="U1470" i="4"/>
  <c r="U1471" i="4"/>
  <c r="Q1476" i="4"/>
  <c r="K1478" i="4"/>
  <c r="U1481" i="4"/>
  <c r="Q1483" i="4"/>
  <c r="J1485" i="4"/>
  <c r="W1485" i="4"/>
  <c r="Q1488" i="4"/>
  <c r="T1489" i="4"/>
  <c r="P1491" i="4"/>
  <c r="S1493" i="4"/>
  <c r="P1495" i="4"/>
  <c r="S1498" i="4"/>
  <c r="M1507" i="4"/>
  <c r="M1514" i="4"/>
  <c r="J1517" i="4"/>
  <c r="J1521" i="4"/>
  <c r="V1521" i="4"/>
  <c r="H1522" i="4"/>
  <c r="N1522" i="4" s="1"/>
  <c r="K1524" i="4"/>
  <c r="K1525" i="4"/>
  <c r="Q1526" i="4"/>
  <c r="J1529" i="4"/>
  <c r="S1530" i="4"/>
  <c r="S1540" i="4"/>
  <c r="J1614" i="4"/>
  <c r="T1614" i="4"/>
  <c r="G1614" i="4"/>
  <c r="P1614" i="4"/>
  <c r="O1614" i="4"/>
  <c r="W1614" i="4"/>
  <c r="M1614" i="4"/>
  <c r="V1614" i="4"/>
  <c r="K1614" i="4"/>
  <c r="O1442" i="4"/>
  <c r="I1447" i="4"/>
  <c r="V1447" i="4"/>
  <c r="V1448" i="4"/>
  <c r="O1451" i="4"/>
  <c r="P1456" i="4"/>
  <c r="M1462" i="4"/>
  <c r="M1465" i="4"/>
  <c r="V1470" i="4"/>
  <c r="M1478" i="4"/>
  <c r="J1481" i="4"/>
  <c r="V1481" i="4"/>
  <c r="G1482" i="4"/>
  <c r="R1483" i="4"/>
  <c r="K1485" i="4"/>
  <c r="R1488" i="4"/>
  <c r="G1489" i="4"/>
  <c r="U1489" i="4"/>
  <c r="Q1491" i="4"/>
  <c r="J1492" i="4"/>
  <c r="P1511" i="4"/>
  <c r="Q1514" i="4"/>
  <c r="K1516" i="4"/>
  <c r="K1517" i="4"/>
  <c r="Q1518" i="4"/>
  <c r="K1521" i="4"/>
  <c r="W1521" i="4"/>
  <c r="I1522" i="4"/>
  <c r="M1524" i="4"/>
  <c r="O1525" i="4"/>
  <c r="S1526" i="4"/>
  <c r="J1527" i="4"/>
  <c r="K1529" i="4"/>
  <c r="M1531" i="4"/>
  <c r="V1537" i="4"/>
  <c r="W1613" i="4"/>
  <c r="J1613" i="4"/>
  <c r="V1613" i="4"/>
  <c r="G1613" i="4"/>
  <c r="U1613" i="4"/>
  <c r="T1613" i="4"/>
  <c r="P1613" i="4"/>
  <c r="O1613" i="4"/>
  <c r="M1613" i="4"/>
  <c r="P1442" i="4"/>
  <c r="W1443" i="4"/>
  <c r="K1447" i="4"/>
  <c r="W1447" i="4"/>
  <c r="W1448" i="4"/>
  <c r="W1449" i="4"/>
  <c r="P1451" i="4"/>
  <c r="T1456" i="4"/>
  <c r="P1462" i="4"/>
  <c r="O1465" i="4"/>
  <c r="O1466" i="4"/>
  <c r="Q1467" i="4"/>
  <c r="H1468" i="4"/>
  <c r="K1470" i="4"/>
  <c r="K1471" i="4"/>
  <c r="W1471" i="4"/>
  <c r="V1472" i="4"/>
  <c r="O1478" i="4"/>
  <c r="K1481" i="4"/>
  <c r="W1481" i="4"/>
  <c r="O1485" i="4"/>
  <c r="M1486" i="4"/>
  <c r="S1488" i="4"/>
  <c r="J1489" i="4"/>
  <c r="V1489" i="4"/>
  <c r="R1491" i="4"/>
  <c r="K1492" i="4"/>
  <c r="V1493" i="4"/>
  <c r="R1495" i="4"/>
  <c r="G1496" i="4"/>
  <c r="P1497" i="4"/>
  <c r="J1499" i="4"/>
  <c r="T1501" i="4"/>
  <c r="J1505" i="4"/>
  <c r="V1505" i="4"/>
  <c r="H1506" i="4"/>
  <c r="N1506" i="4" s="1"/>
  <c r="T1507" i="4"/>
  <c r="V1508" i="4"/>
  <c r="G1509" i="4"/>
  <c r="V1509" i="4"/>
  <c r="Q1511" i="4"/>
  <c r="S1514" i="4"/>
  <c r="M1516" i="4"/>
  <c r="O1517" i="4"/>
  <c r="S1518" i="4"/>
  <c r="M1521" i="4"/>
  <c r="Q1522" i="4"/>
  <c r="O1524" i="4"/>
  <c r="P1525" i="4"/>
  <c r="W1526" i="4"/>
  <c r="P1527" i="4"/>
  <c r="O1529" i="4"/>
  <c r="T1531" i="4"/>
  <c r="W1537" i="4"/>
  <c r="U1541" i="4"/>
  <c r="K1541" i="4"/>
  <c r="W1541" i="4"/>
  <c r="V1541" i="4"/>
  <c r="G1541" i="4"/>
  <c r="O1541" i="4"/>
  <c r="P1563" i="4"/>
  <c r="M1563" i="4"/>
  <c r="J1563" i="4"/>
  <c r="V1563" i="4"/>
  <c r="U1563" i="4"/>
  <c r="V1442" i="4"/>
  <c r="M1447" i="4"/>
  <c r="J1448" i="4"/>
  <c r="J1450" i="4"/>
  <c r="Q1451" i="4"/>
  <c r="I1455" i="4"/>
  <c r="G1456" i="4"/>
  <c r="U1456" i="4"/>
  <c r="H1459" i="4"/>
  <c r="T1462" i="4"/>
  <c r="P1465" i="4"/>
  <c r="P1466" i="4"/>
  <c r="I1468" i="4"/>
  <c r="M1470" i="4"/>
  <c r="M1471" i="4"/>
  <c r="J1472" i="4"/>
  <c r="W1472" i="4"/>
  <c r="T1478" i="4"/>
  <c r="M1481" i="4"/>
  <c r="P1485" i="4"/>
  <c r="O1486" i="4"/>
  <c r="K1489" i="4"/>
  <c r="W1489" i="4"/>
  <c r="T1499" i="4"/>
  <c r="S1522" i="4"/>
  <c r="V1527" i="4"/>
  <c r="R1533" i="4"/>
  <c r="H1533" i="4"/>
  <c r="N1533" i="4" s="1"/>
  <c r="S1533" i="4"/>
  <c r="R1544" i="4"/>
  <c r="Q1544" i="4"/>
  <c r="I1544" i="4"/>
  <c r="P1667" i="4"/>
  <c r="K1667" i="4"/>
  <c r="J1667" i="4"/>
  <c r="V1667" i="4"/>
  <c r="U1667" i="4"/>
  <c r="M1667" i="4"/>
  <c r="U1440" i="4"/>
  <c r="W1442" i="4"/>
  <c r="M1446" i="4"/>
  <c r="O1447" i="4"/>
  <c r="M1448" i="4"/>
  <c r="M1449" i="4"/>
  <c r="O1450" i="4"/>
  <c r="S1451" i="4"/>
  <c r="H1452" i="4"/>
  <c r="K1455" i="4"/>
  <c r="W1455" i="4"/>
  <c r="V1456" i="4"/>
  <c r="I1459" i="4"/>
  <c r="U1462" i="4"/>
  <c r="Q1465" i="4"/>
  <c r="Q1466" i="4"/>
  <c r="Q1468" i="4"/>
  <c r="P1470" i="4"/>
  <c r="O1471" i="4"/>
  <c r="K1472" i="4"/>
  <c r="I1473" i="4"/>
  <c r="W1473" i="4"/>
  <c r="O1475" i="4"/>
  <c r="U1478" i="4"/>
  <c r="O1481" i="4"/>
  <c r="R1485" i="4"/>
  <c r="M1489" i="4"/>
  <c r="I1490" i="4"/>
  <c r="J1493" i="4"/>
  <c r="I1494" i="4"/>
  <c r="Q1496" i="4"/>
  <c r="U1499" i="4"/>
  <c r="W1501" i="4"/>
  <c r="M1505" i="4"/>
  <c r="V1507" i="4"/>
  <c r="J1508" i="4"/>
  <c r="J1509" i="4"/>
  <c r="I1510" i="4"/>
  <c r="M1515" i="4"/>
  <c r="S1516" i="4"/>
  <c r="S1517" i="4"/>
  <c r="M1523" i="4"/>
  <c r="U1524" i="4"/>
  <c r="T1525" i="4"/>
  <c r="T1529" i="4"/>
  <c r="V1531" i="4"/>
  <c r="H1534" i="4"/>
  <c r="L1534" i="4" s="1"/>
  <c r="I1536" i="4"/>
  <c r="S1538" i="4"/>
  <c r="U1575" i="4"/>
  <c r="J1575" i="4"/>
  <c r="V1575" i="4"/>
  <c r="K1593" i="4"/>
  <c r="V1593" i="4"/>
  <c r="U1600" i="4"/>
  <c r="G1600" i="4"/>
  <c r="W1600" i="4"/>
  <c r="P1608" i="4"/>
  <c r="G1608" i="4"/>
  <c r="W1608" i="4"/>
  <c r="U1608" i="4"/>
  <c r="O1608" i="4"/>
  <c r="M1608" i="4"/>
  <c r="H1612" i="4"/>
  <c r="N1612" i="4" s="1"/>
  <c r="S1612" i="4"/>
  <c r="Q1612" i="4"/>
  <c r="I1612" i="4"/>
  <c r="Q1447" i="4"/>
  <c r="O1448" i="4"/>
  <c r="O1449" i="4"/>
  <c r="P1450" i="4"/>
  <c r="W1451" i="4"/>
  <c r="J1456" i="4"/>
  <c r="V1462" i="4"/>
  <c r="S1465" i="4"/>
  <c r="V1466" i="4"/>
  <c r="Q1471" i="4"/>
  <c r="P1475" i="4"/>
  <c r="W1478" i="4"/>
  <c r="H1483" i="4"/>
  <c r="Q1486" i="4"/>
  <c r="R1496" i="4"/>
  <c r="H1498" i="4"/>
  <c r="J1501" i="4"/>
  <c r="M1502" i="4"/>
  <c r="Q1506" i="4"/>
  <c r="K1508" i="4"/>
  <c r="K1509" i="4"/>
  <c r="Q1510" i="4"/>
  <c r="U1516" i="4"/>
  <c r="T1517" i="4"/>
  <c r="T1523" i="4"/>
  <c r="V1524" i="4"/>
  <c r="G1525" i="4"/>
  <c r="V1525" i="4"/>
  <c r="Q1528" i="4"/>
  <c r="V1529" i="4"/>
  <c r="H1530" i="4"/>
  <c r="N1530" i="4" s="1"/>
  <c r="P1532" i="4"/>
  <c r="W1532" i="4"/>
  <c r="G1532" i="4"/>
  <c r="M1532" i="4"/>
  <c r="S1534" i="4"/>
  <c r="Q1536" i="4"/>
  <c r="G1537" i="4"/>
  <c r="T1541" i="4"/>
  <c r="U1551" i="4"/>
  <c r="V1551" i="4"/>
  <c r="J1551" i="4"/>
  <c r="H1553" i="4"/>
  <c r="R1553" i="4"/>
  <c r="T1555" i="4"/>
  <c r="P1579" i="4"/>
  <c r="M1579" i="4"/>
  <c r="J1579" i="4"/>
  <c r="V1579" i="4"/>
  <c r="U1579" i="4"/>
  <c r="T1579" i="4"/>
  <c r="K1589" i="4"/>
  <c r="K1622" i="4"/>
  <c r="K1545" i="4"/>
  <c r="S1546" i="4"/>
  <c r="M1547" i="4"/>
  <c r="G1556" i="4"/>
  <c r="W1556" i="4"/>
  <c r="H1557" i="4"/>
  <c r="W1557" i="4"/>
  <c r="H1558" i="4"/>
  <c r="L1558" i="4" s="1"/>
  <c r="P1559" i="4"/>
  <c r="R1561" i="4"/>
  <c r="G1564" i="4"/>
  <c r="W1564" i="4"/>
  <c r="H1565" i="4"/>
  <c r="N1565" i="4" s="1"/>
  <c r="H1566" i="4"/>
  <c r="L1566" i="4" s="1"/>
  <c r="P1567" i="4"/>
  <c r="J1573" i="4"/>
  <c r="I1576" i="4"/>
  <c r="G1581" i="4"/>
  <c r="T1581" i="4"/>
  <c r="I1585" i="4"/>
  <c r="H1591" i="4"/>
  <c r="N1591" i="4" s="1"/>
  <c r="Q1596" i="4"/>
  <c r="Q1600" i="4"/>
  <c r="G1602" i="4"/>
  <c r="I1607" i="4"/>
  <c r="S1610" i="4"/>
  <c r="J1611" i="4"/>
  <c r="G1615" i="4"/>
  <c r="W1615" i="4"/>
  <c r="H1616" i="4"/>
  <c r="L1620" i="4"/>
  <c r="R1622" i="4"/>
  <c r="H1622" i="4"/>
  <c r="L1622" i="4" s="1"/>
  <c r="Q1622" i="4"/>
  <c r="S1624" i="4"/>
  <c r="I1624" i="4"/>
  <c r="Q1624" i="4"/>
  <c r="G1626" i="4"/>
  <c r="J1629" i="4"/>
  <c r="S1642" i="4"/>
  <c r="Q1642" i="4"/>
  <c r="I1642" i="4"/>
  <c r="R1676" i="4"/>
  <c r="S1676" i="4"/>
  <c r="O1545" i="4"/>
  <c r="T1547" i="4"/>
  <c r="J1556" i="4"/>
  <c r="J1557" i="4"/>
  <c r="I1558" i="4"/>
  <c r="V1559" i="4"/>
  <c r="J1564" i="4"/>
  <c r="J1565" i="4"/>
  <c r="I1566" i="4"/>
  <c r="V1567" i="4"/>
  <c r="K1572" i="4"/>
  <c r="K1573" i="4"/>
  <c r="M1574" i="4"/>
  <c r="Q1576" i="4"/>
  <c r="U1581" i="4"/>
  <c r="O1583" i="4"/>
  <c r="Q1585" i="4"/>
  <c r="K1588" i="4"/>
  <c r="I1591" i="4"/>
  <c r="R1594" i="4"/>
  <c r="S1596" i="4"/>
  <c r="O1599" i="4"/>
  <c r="K1602" i="4"/>
  <c r="O1607" i="4"/>
  <c r="K1611" i="4"/>
  <c r="I1616" i="4"/>
  <c r="Q1618" i="4"/>
  <c r="Q1620" i="4"/>
  <c r="S1622" i="4"/>
  <c r="P1625" i="4"/>
  <c r="W1627" i="4"/>
  <c r="U1627" i="4"/>
  <c r="P1627" i="4"/>
  <c r="K1627" i="4"/>
  <c r="T1627" i="4"/>
  <c r="J1661" i="4"/>
  <c r="T1661" i="4"/>
  <c r="G1661" i="4"/>
  <c r="P1661" i="4"/>
  <c r="O1661" i="4"/>
  <c r="M1661" i="4"/>
  <c r="W1661" i="4"/>
  <c r="K1661" i="4"/>
  <c r="U1661" i="4"/>
  <c r="U1664" i="4"/>
  <c r="W1664" i="4"/>
  <c r="V1664" i="4"/>
  <c r="G1664" i="4"/>
  <c r="P1664" i="4"/>
  <c r="O1664" i="4"/>
  <c r="K1664" i="4"/>
  <c r="T1665" i="4"/>
  <c r="G1665" i="4"/>
  <c r="P1665" i="4"/>
  <c r="O1665" i="4"/>
  <c r="K1665" i="4"/>
  <c r="P1678" i="4"/>
  <c r="K1556" i="4"/>
  <c r="K1564" i="4"/>
  <c r="S1576" i="4"/>
  <c r="J1581" i="4"/>
  <c r="V1581" i="4"/>
  <c r="R1585" i="4"/>
  <c r="M1588" i="4"/>
  <c r="O1602" i="4"/>
  <c r="S1620" i="4"/>
  <c r="P1629" i="4"/>
  <c r="V1629" i="4"/>
  <c r="G1629" i="4"/>
  <c r="T1629" i="4"/>
  <c r="M1629" i="4"/>
  <c r="O1629" i="4"/>
  <c r="K1631" i="4"/>
  <c r="P1631" i="4"/>
  <c r="O1631" i="4"/>
  <c r="W1631" i="4"/>
  <c r="H1635" i="4"/>
  <c r="R1635" i="4"/>
  <c r="P1690" i="4"/>
  <c r="M1690" i="4"/>
  <c r="J1690" i="4"/>
  <c r="U1690" i="4"/>
  <c r="P1699" i="4"/>
  <c r="K1699" i="4"/>
  <c r="J1699" i="4"/>
  <c r="V1699" i="4"/>
  <c r="U1699" i="4"/>
  <c r="G1788" i="4"/>
  <c r="M1788" i="4"/>
  <c r="W1788" i="4"/>
  <c r="O1788" i="4"/>
  <c r="W1533" i="4"/>
  <c r="T1539" i="4"/>
  <c r="V1540" i="4"/>
  <c r="G1542" i="4"/>
  <c r="W1542" i="4"/>
  <c r="J1543" i="4"/>
  <c r="R1545" i="4"/>
  <c r="V1547" i="4"/>
  <c r="J1548" i="4"/>
  <c r="J1549" i="4"/>
  <c r="I1550" i="4"/>
  <c r="I1552" i="4"/>
  <c r="V1553" i="4"/>
  <c r="M1556" i="4"/>
  <c r="O1557" i="4"/>
  <c r="O1558" i="4"/>
  <c r="S1560" i="4"/>
  <c r="J1561" i="4"/>
  <c r="V1561" i="4"/>
  <c r="H1562" i="4"/>
  <c r="N1562" i="4" s="1"/>
  <c r="M1564" i="4"/>
  <c r="O1565" i="4"/>
  <c r="O1566" i="4"/>
  <c r="S1568" i="4"/>
  <c r="J1569" i="4"/>
  <c r="W1569" i="4"/>
  <c r="I1570" i="4"/>
  <c r="O1572" i="4"/>
  <c r="P1573" i="4"/>
  <c r="Q1574" i="4"/>
  <c r="V1577" i="4"/>
  <c r="H1578" i="4"/>
  <c r="N1578" i="4" s="1"/>
  <c r="K1580" i="4"/>
  <c r="K1581" i="4"/>
  <c r="W1581" i="4"/>
  <c r="H1582" i="4"/>
  <c r="V1583" i="4"/>
  <c r="G1584" i="4"/>
  <c r="J1587" i="4"/>
  <c r="Q1588" i="4"/>
  <c r="P1591" i="4"/>
  <c r="K1595" i="4"/>
  <c r="K1597" i="4"/>
  <c r="W1597" i="4"/>
  <c r="H1598" i="4"/>
  <c r="S1598" i="4"/>
  <c r="Q1599" i="4"/>
  <c r="J1603" i="4"/>
  <c r="S1604" i="4"/>
  <c r="J1605" i="4"/>
  <c r="V1605" i="4"/>
  <c r="G1606" i="4"/>
  <c r="S1606" i="4"/>
  <c r="Q1607" i="4"/>
  <c r="H1609" i="4"/>
  <c r="L1609" i="4" s="1"/>
  <c r="P1611" i="4"/>
  <c r="O1615" i="4"/>
  <c r="O1616" i="4"/>
  <c r="K1619" i="4"/>
  <c r="W1621" i="4"/>
  <c r="K1621" i="4"/>
  <c r="U1621" i="4"/>
  <c r="T1621" i="4"/>
  <c r="P1621" i="4"/>
  <c r="M1621" i="4"/>
  <c r="H1628" i="4"/>
  <c r="Q1628" i="4"/>
  <c r="T1631" i="4"/>
  <c r="G1650" i="4"/>
  <c r="W1650" i="4"/>
  <c r="J1533" i="4"/>
  <c r="G1540" i="4"/>
  <c r="W1540" i="4"/>
  <c r="P1543" i="4"/>
  <c r="T1545" i="4"/>
  <c r="K1548" i="4"/>
  <c r="K1549" i="4"/>
  <c r="M1550" i="4"/>
  <c r="Q1552" i="4"/>
  <c r="G1553" i="4"/>
  <c r="W1553" i="4"/>
  <c r="O1556" i="4"/>
  <c r="P1557" i="4"/>
  <c r="Q1558" i="4"/>
  <c r="K1561" i="4"/>
  <c r="W1561" i="4"/>
  <c r="O1564" i="4"/>
  <c r="P1565" i="4"/>
  <c r="Q1566" i="4"/>
  <c r="K1569" i="4"/>
  <c r="Q1570" i="4"/>
  <c r="S1572" i="4"/>
  <c r="S1573" i="4"/>
  <c r="S1574" i="4"/>
  <c r="J1577" i="4"/>
  <c r="W1577" i="4"/>
  <c r="M1581" i="4"/>
  <c r="W1583" i="4"/>
  <c r="Q1590" i="4"/>
  <c r="Q1591" i="4"/>
  <c r="T1598" i="4"/>
  <c r="T1599" i="4"/>
  <c r="K1603" i="4"/>
  <c r="K1605" i="4"/>
  <c r="W1605" i="4"/>
  <c r="T1607" i="4"/>
  <c r="T1611" i="4"/>
  <c r="Q1614" i="4"/>
  <c r="P1615" i="4"/>
  <c r="P1616" i="4"/>
  <c r="K1623" i="4"/>
  <c r="T1623" i="4"/>
  <c r="P1623" i="4"/>
  <c r="O1623" i="4"/>
  <c r="U1629" i="4"/>
  <c r="V1631" i="4"/>
  <c r="V1545" i="4"/>
  <c r="H1546" i="4"/>
  <c r="N1546" i="4" s="1"/>
  <c r="S1552" i="4"/>
  <c r="S1557" i="4"/>
  <c r="S1558" i="4"/>
  <c r="S1565" i="4"/>
  <c r="S1566" i="4"/>
  <c r="S1570" i="4"/>
  <c r="U1572" i="4"/>
  <c r="T1573" i="4"/>
  <c r="U1574" i="4"/>
  <c r="H1575" i="4"/>
  <c r="K1577" i="4"/>
  <c r="O1581" i="4"/>
  <c r="M1587" i="4"/>
  <c r="T1588" i="4"/>
  <c r="S1590" i="4"/>
  <c r="T1591" i="4"/>
  <c r="I1592" i="4"/>
  <c r="I1593" i="4"/>
  <c r="K1598" i="4"/>
  <c r="U1598" i="4"/>
  <c r="V1599" i="4"/>
  <c r="M1603" i="4"/>
  <c r="M1605" i="4"/>
  <c r="U1606" i="4"/>
  <c r="V1607" i="4"/>
  <c r="U1611" i="4"/>
  <c r="S1614" i="4"/>
  <c r="Q1616" i="4"/>
  <c r="V1623" i="4"/>
  <c r="W1629" i="4"/>
  <c r="T1632" i="4"/>
  <c r="O1632" i="4"/>
  <c r="M1632" i="4"/>
  <c r="P1632" i="4"/>
  <c r="S1639" i="4"/>
  <c r="I1639" i="4"/>
  <c r="H1639" i="4"/>
  <c r="Q1639" i="4"/>
  <c r="S1683" i="4"/>
  <c r="O1533" i="4"/>
  <c r="P1535" i="4"/>
  <c r="K1540" i="4"/>
  <c r="M1542" i="4"/>
  <c r="G1545" i="4"/>
  <c r="W1545" i="4"/>
  <c r="I1546" i="4"/>
  <c r="O1548" i="4"/>
  <c r="P1549" i="4"/>
  <c r="Q1550" i="4"/>
  <c r="K1553" i="4"/>
  <c r="S1554" i="4"/>
  <c r="U1556" i="4"/>
  <c r="T1557" i="4"/>
  <c r="U1558" i="4"/>
  <c r="H1559" i="4"/>
  <c r="L1559" i="4" s="1"/>
  <c r="S1562" i="4"/>
  <c r="U1564" i="4"/>
  <c r="T1565" i="4"/>
  <c r="U1566" i="4"/>
  <c r="H1567" i="4"/>
  <c r="L1567" i="4" s="1"/>
  <c r="T1571" i="4"/>
  <c r="V1572" i="4"/>
  <c r="G1573" i="4"/>
  <c r="V1573" i="4"/>
  <c r="G1574" i="4"/>
  <c r="W1574" i="4"/>
  <c r="S1578" i="4"/>
  <c r="S1580" i="4"/>
  <c r="P1584" i="4"/>
  <c r="P1587" i="4"/>
  <c r="V1588" i="4"/>
  <c r="H1590" i="4"/>
  <c r="L1590" i="4" s="1"/>
  <c r="R1592" i="4"/>
  <c r="R1595" i="4"/>
  <c r="M1598" i="4"/>
  <c r="V1598" i="4"/>
  <c r="G1599" i="4"/>
  <c r="W1599" i="4"/>
  <c r="H1600" i="4"/>
  <c r="N1600" i="4" s="1"/>
  <c r="P1603" i="4"/>
  <c r="K1606" i="4"/>
  <c r="V1606" i="4"/>
  <c r="G1607" i="4"/>
  <c r="W1607" i="4"/>
  <c r="H1608" i="4"/>
  <c r="Q1609" i="4"/>
  <c r="I1610" i="4"/>
  <c r="H1614" i="4"/>
  <c r="L1614" i="4" s="1"/>
  <c r="T1615" i="4"/>
  <c r="U1616" i="4"/>
  <c r="H1617" i="4"/>
  <c r="R1619" i="4"/>
  <c r="V1621" i="4"/>
  <c r="I1622" i="4"/>
  <c r="W1623" i="4"/>
  <c r="H1624" i="4"/>
  <c r="N1624" i="4" s="1"/>
  <c r="T1630" i="4"/>
  <c r="G1630" i="4"/>
  <c r="P1630" i="4"/>
  <c r="O1630" i="4"/>
  <c r="W1630" i="4"/>
  <c r="K1630" i="4"/>
  <c r="M1630" i="4"/>
  <c r="U1632" i="4"/>
  <c r="H1633" i="4"/>
  <c r="L1633" i="4" s="1"/>
  <c r="H1643" i="4"/>
  <c r="R1643" i="4"/>
  <c r="H1623" i="4"/>
  <c r="N1623" i="4" s="1"/>
  <c r="Q1625" i="4"/>
  <c r="Q1626" i="4"/>
  <c r="H1631" i="4"/>
  <c r="N1631" i="4" s="1"/>
  <c r="H1632" i="4"/>
  <c r="L1632" i="4" s="1"/>
  <c r="P1633" i="4"/>
  <c r="T1637" i="4"/>
  <c r="S1638" i="4"/>
  <c r="Q1640" i="4"/>
  <c r="I1644" i="4"/>
  <c r="U1645" i="4"/>
  <c r="T1646" i="4"/>
  <c r="Q1647" i="4"/>
  <c r="P1648" i="4"/>
  <c r="K1651" i="4"/>
  <c r="T1652" i="4"/>
  <c r="Q1653" i="4"/>
  <c r="U1655" i="4"/>
  <c r="T1657" i="4"/>
  <c r="Q1659" i="4"/>
  <c r="P1660" i="4"/>
  <c r="I1662" i="4"/>
  <c r="G1668" i="4"/>
  <c r="U1668" i="4"/>
  <c r="Q1669" i="4"/>
  <c r="P1672" i="4"/>
  <c r="T1674" i="4"/>
  <c r="J1675" i="4"/>
  <c r="P1676" i="4"/>
  <c r="O1677" i="4"/>
  <c r="Q1678" i="4"/>
  <c r="G1679" i="4"/>
  <c r="W1680" i="4"/>
  <c r="I1681" i="4"/>
  <c r="U1683" i="4"/>
  <c r="G1684" i="4"/>
  <c r="W1684" i="4"/>
  <c r="H1685" i="4"/>
  <c r="T1685" i="4"/>
  <c r="P1688" i="4"/>
  <c r="K1691" i="4"/>
  <c r="T1692" i="4"/>
  <c r="S1693" i="4"/>
  <c r="P1696" i="4"/>
  <c r="S1699" i="4"/>
  <c r="W1700" i="4"/>
  <c r="H1701" i="4"/>
  <c r="L1701" i="4" s="1"/>
  <c r="W1701" i="4"/>
  <c r="I1702" i="4"/>
  <c r="P1704" i="4"/>
  <c r="U1706" i="4"/>
  <c r="K1707" i="4"/>
  <c r="T1708" i="4"/>
  <c r="S1709" i="4"/>
  <c r="T1822" i="4"/>
  <c r="G1822" i="4"/>
  <c r="T1643" i="4"/>
  <c r="Q1648" i="4"/>
  <c r="P1651" i="4"/>
  <c r="R1659" i="4"/>
  <c r="R1660" i="4"/>
  <c r="U1685" i="4"/>
  <c r="M1691" i="4"/>
  <c r="V1696" i="4"/>
  <c r="K1701" i="4"/>
  <c r="P1702" i="4"/>
  <c r="M1707" i="4"/>
  <c r="H1728" i="4"/>
  <c r="L1728" i="4" s="1"/>
  <c r="S1728" i="4"/>
  <c r="R1728" i="4"/>
  <c r="I1728" i="4"/>
  <c r="S1886" i="4"/>
  <c r="I1886" i="4"/>
  <c r="H1886" i="4"/>
  <c r="N1886" i="4" s="1"/>
  <c r="Q1886" i="4"/>
  <c r="O1624" i="4"/>
  <c r="V1633" i="4"/>
  <c r="I1634" i="4"/>
  <c r="U1635" i="4"/>
  <c r="Q1636" i="4"/>
  <c r="G1637" i="4"/>
  <c r="V1637" i="4"/>
  <c r="G1638" i="4"/>
  <c r="U1638" i="4"/>
  <c r="V1639" i="4"/>
  <c r="G1640" i="4"/>
  <c r="W1640" i="4"/>
  <c r="I1641" i="4"/>
  <c r="S1644" i="4"/>
  <c r="J1645" i="4"/>
  <c r="W1645" i="4"/>
  <c r="H1646" i="4"/>
  <c r="N1646" i="4" s="1"/>
  <c r="V1646" i="4"/>
  <c r="G1647" i="4"/>
  <c r="U1647" i="4"/>
  <c r="U1648" i="4"/>
  <c r="H1649" i="4"/>
  <c r="L1649" i="4" s="1"/>
  <c r="T1651" i="4"/>
  <c r="J1652" i="4"/>
  <c r="V1652" i="4"/>
  <c r="G1653" i="4"/>
  <c r="V1653" i="4"/>
  <c r="I1654" i="4"/>
  <c r="G1655" i="4"/>
  <c r="W1655" i="4"/>
  <c r="H1656" i="4"/>
  <c r="L1656" i="4" s="1"/>
  <c r="W1657" i="4"/>
  <c r="I1658" i="4"/>
  <c r="S1659" i="4"/>
  <c r="U1662" i="4"/>
  <c r="G1663" i="4"/>
  <c r="K1668" i="4"/>
  <c r="W1668" i="4"/>
  <c r="H1669" i="4"/>
  <c r="T1669" i="4"/>
  <c r="T1672" i="4"/>
  <c r="M1675" i="4"/>
  <c r="T1676" i="4"/>
  <c r="Q1677" i="4"/>
  <c r="S1681" i="4"/>
  <c r="K1684" i="4"/>
  <c r="K1685" i="4"/>
  <c r="W1685" i="4"/>
  <c r="I1686" i="4"/>
  <c r="G1687" i="4"/>
  <c r="V1688" i="4"/>
  <c r="H1689" i="4"/>
  <c r="N1689" i="4" s="1"/>
  <c r="S1691" i="4"/>
  <c r="W1692" i="4"/>
  <c r="H1693" i="4"/>
  <c r="H1694" i="4"/>
  <c r="L1694" i="4" s="1"/>
  <c r="W1696" i="4"/>
  <c r="I1697" i="4"/>
  <c r="M1701" i="4"/>
  <c r="Q1702" i="4"/>
  <c r="I1703" i="4"/>
  <c r="V1704" i="4"/>
  <c r="H1705" i="4"/>
  <c r="N1705" i="4" s="1"/>
  <c r="S1707" i="4"/>
  <c r="W1708" i="4"/>
  <c r="H1709" i="4"/>
  <c r="L1709" i="4" s="1"/>
  <c r="G1720" i="4"/>
  <c r="V1720" i="4"/>
  <c r="T1720" i="4"/>
  <c r="O1720" i="4"/>
  <c r="K1720" i="4"/>
  <c r="I1723" i="4"/>
  <c r="R1723" i="4"/>
  <c r="S1772" i="4"/>
  <c r="H1772" i="4"/>
  <c r="L1772" i="4" s="1"/>
  <c r="P1624" i="4"/>
  <c r="Q1634" i="4"/>
  <c r="S1636" i="4"/>
  <c r="J1637" i="4"/>
  <c r="W1637" i="4"/>
  <c r="H1638" i="4"/>
  <c r="L1638" i="4" s="1"/>
  <c r="V1638" i="4"/>
  <c r="G1639" i="4"/>
  <c r="W1639" i="4"/>
  <c r="P1641" i="4"/>
  <c r="K1645" i="4"/>
  <c r="K1646" i="4"/>
  <c r="W1646" i="4"/>
  <c r="H1647" i="4"/>
  <c r="L1647" i="4" s="1"/>
  <c r="V1647" i="4"/>
  <c r="G1648" i="4"/>
  <c r="W1648" i="4"/>
  <c r="I1649" i="4"/>
  <c r="K1652" i="4"/>
  <c r="W1652" i="4"/>
  <c r="H1653" i="4"/>
  <c r="L1653" i="4" s="1"/>
  <c r="W1653" i="4"/>
  <c r="R1654" i="4"/>
  <c r="J1655" i="4"/>
  <c r="I1656" i="4"/>
  <c r="U1659" i="4"/>
  <c r="G1660" i="4"/>
  <c r="T1660" i="4"/>
  <c r="V1662" i="4"/>
  <c r="I1663" i="4"/>
  <c r="R1664" i="4"/>
  <c r="Q1665" i="4"/>
  <c r="M1668" i="4"/>
  <c r="I1669" i="4"/>
  <c r="U1669" i="4"/>
  <c r="H1670" i="4"/>
  <c r="L1670" i="4" s="1"/>
  <c r="V1672" i="4"/>
  <c r="H1673" i="4"/>
  <c r="N1673" i="4" s="1"/>
  <c r="V1676" i="4"/>
  <c r="G1677" i="4"/>
  <c r="S1677" i="4"/>
  <c r="K1680" i="4"/>
  <c r="O1684" i="4"/>
  <c r="M1685" i="4"/>
  <c r="Q1686" i="4"/>
  <c r="O1687" i="4"/>
  <c r="G1688" i="4"/>
  <c r="W1688" i="4"/>
  <c r="I1689" i="4"/>
  <c r="U1691" i="4"/>
  <c r="G1692" i="4"/>
  <c r="I1693" i="4"/>
  <c r="W1693" i="4"/>
  <c r="I1694" i="4"/>
  <c r="G1695" i="4"/>
  <c r="Q1697" i="4"/>
  <c r="J1698" i="4"/>
  <c r="K1700" i="4"/>
  <c r="O1701" i="4"/>
  <c r="V1702" i="4"/>
  <c r="Q1703" i="4"/>
  <c r="G1704" i="4"/>
  <c r="W1704" i="4"/>
  <c r="I1705" i="4"/>
  <c r="U1707" i="4"/>
  <c r="G1708" i="4"/>
  <c r="J1709" i="4"/>
  <c r="W1709" i="4"/>
  <c r="I1710" i="4"/>
  <c r="R1713" i="4"/>
  <c r="I1713" i="4"/>
  <c r="H1713" i="4"/>
  <c r="N1713" i="4" s="1"/>
  <c r="P1715" i="4"/>
  <c r="J1715" i="4"/>
  <c r="V1715" i="4"/>
  <c r="U1715" i="4"/>
  <c r="H1759" i="4"/>
  <c r="S1759" i="4"/>
  <c r="R1759" i="4"/>
  <c r="R1773" i="4"/>
  <c r="I1773" i="4"/>
  <c r="H1773" i="4"/>
  <c r="L1773" i="4" s="1"/>
  <c r="S1773" i="4"/>
  <c r="R1806" i="4"/>
  <c r="I1806" i="4"/>
  <c r="H1806" i="4"/>
  <c r="N1806" i="4" s="1"/>
  <c r="S1806" i="4"/>
  <c r="K1637" i="4"/>
  <c r="K1638" i="4"/>
  <c r="W1638" i="4"/>
  <c r="Q1641" i="4"/>
  <c r="W1647" i="4"/>
  <c r="H1648" i="4"/>
  <c r="L1648" i="4" s="1"/>
  <c r="P1649" i="4"/>
  <c r="K1655" i="4"/>
  <c r="P1656" i="4"/>
  <c r="Q1658" i="4"/>
  <c r="J1660" i="4"/>
  <c r="U1660" i="4"/>
  <c r="Q1661" i="4"/>
  <c r="Q1663" i="4"/>
  <c r="S1665" i="4"/>
  <c r="M1666" i="4"/>
  <c r="K1669" i="4"/>
  <c r="W1669" i="4"/>
  <c r="I1670" i="4"/>
  <c r="G1672" i="4"/>
  <c r="W1672" i="4"/>
  <c r="I1673" i="4"/>
  <c r="G1676" i="4"/>
  <c r="W1676" i="4"/>
  <c r="H1677" i="4"/>
  <c r="N1677" i="4" s="1"/>
  <c r="J1683" i="4"/>
  <c r="O1685" i="4"/>
  <c r="H1688" i="4"/>
  <c r="V1691" i="4"/>
  <c r="G1696" i="4"/>
  <c r="S1697" i="4"/>
  <c r="P1701" i="4"/>
  <c r="J1706" i="4"/>
  <c r="V1707" i="4"/>
  <c r="P1710" i="4"/>
  <c r="S1742" i="4"/>
  <c r="Q1742" i="4"/>
  <c r="I1742" i="4"/>
  <c r="H1742" i="4"/>
  <c r="L1742" i="4" s="1"/>
  <c r="U1624" i="4"/>
  <c r="H1625" i="4"/>
  <c r="L1625" i="4" s="1"/>
  <c r="S1631" i="4"/>
  <c r="Q1632" i="4"/>
  <c r="K1635" i="4"/>
  <c r="M1637" i="4"/>
  <c r="M1638" i="4"/>
  <c r="M1640" i="4"/>
  <c r="V1641" i="4"/>
  <c r="J1643" i="4"/>
  <c r="O1645" i="4"/>
  <c r="M1647" i="4"/>
  <c r="I1648" i="4"/>
  <c r="Q1649" i="4"/>
  <c r="M1653" i="4"/>
  <c r="M1655" i="4"/>
  <c r="Q1656" i="4"/>
  <c r="R1658" i="4"/>
  <c r="K1660" i="4"/>
  <c r="S1661" i="4"/>
  <c r="P1666" i="4"/>
  <c r="M1669" i="4"/>
  <c r="Q1670" i="4"/>
  <c r="J1672" i="4"/>
  <c r="V1675" i="4"/>
  <c r="J1676" i="4"/>
  <c r="I1677" i="4"/>
  <c r="U1677" i="4"/>
  <c r="K1683" i="4"/>
  <c r="P1685" i="4"/>
  <c r="J1688" i="4"/>
  <c r="S1689" i="4"/>
  <c r="K1692" i="4"/>
  <c r="J1696" i="4"/>
  <c r="T1698" i="4"/>
  <c r="S1700" i="4"/>
  <c r="S1701" i="4"/>
  <c r="J1704" i="4"/>
  <c r="S1705" i="4"/>
  <c r="M1706" i="4"/>
  <c r="K1708" i="4"/>
  <c r="Q1710" i="4"/>
  <c r="S1719" i="4"/>
  <c r="Q1719" i="4"/>
  <c r="I1719" i="4"/>
  <c r="G1736" i="4"/>
  <c r="O1736" i="4"/>
  <c r="K1736" i="4"/>
  <c r="W1736" i="4"/>
  <c r="V1736" i="4"/>
  <c r="R1749" i="4"/>
  <c r="Q1749" i="4"/>
  <c r="I1749" i="4"/>
  <c r="H1749" i="4"/>
  <c r="L1749" i="4" s="1"/>
  <c r="M1780" i="4"/>
  <c r="J1780" i="4"/>
  <c r="W1780" i="4"/>
  <c r="S1803" i="4"/>
  <c r="I1803" i="4"/>
  <c r="H1803" i="4"/>
  <c r="K1643" i="4"/>
  <c r="I1659" i="4"/>
  <c r="T1666" i="4"/>
  <c r="K1672" i="4"/>
  <c r="Q1673" i="4"/>
  <c r="K1676" i="4"/>
  <c r="M1683" i="4"/>
  <c r="K1696" i="4"/>
  <c r="T1701" i="4"/>
  <c r="I1711" i="4"/>
  <c r="S1748" i="4"/>
  <c r="H1748" i="4"/>
  <c r="L1748" i="4" s="1"/>
  <c r="U1840" i="4"/>
  <c r="T1840" i="4"/>
  <c r="G1840" i="4"/>
  <c r="P1840" i="4"/>
  <c r="O1840" i="4"/>
  <c r="M1840" i="4"/>
  <c r="W1840" i="4"/>
  <c r="K1840" i="4"/>
  <c r="J1840" i="4"/>
  <c r="S1715" i="4"/>
  <c r="W1716" i="4"/>
  <c r="H1717" i="4"/>
  <c r="L1717" i="4" s="1"/>
  <c r="U1717" i="4"/>
  <c r="H1718" i="4"/>
  <c r="R1721" i="4"/>
  <c r="P1724" i="4"/>
  <c r="P1726" i="4"/>
  <c r="W1728" i="4"/>
  <c r="T1729" i="4"/>
  <c r="R1732" i="4"/>
  <c r="Q1733" i="4"/>
  <c r="K1735" i="4"/>
  <c r="G1737" i="4"/>
  <c r="T1737" i="4"/>
  <c r="Q1739" i="4"/>
  <c r="U1740" i="4"/>
  <c r="Q1744" i="4"/>
  <c r="G1745" i="4"/>
  <c r="U1745" i="4"/>
  <c r="H1746" i="4"/>
  <c r="V1746" i="4"/>
  <c r="M1747" i="4"/>
  <c r="M1748" i="4"/>
  <c r="Q1750" i="4"/>
  <c r="O1753" i="4"/>
  <c r="Q1754" i="4"/>
  <c r="V1755" i="4"/>
  <c r="G1756" i="4"/>
  <c r="V1756" i="4"/>
  <c r="H1757" i="4"/>
  <c r="L1757" i="4" s="1"/>
  <c r="I1760" i="4"/>
  <c r="S1762" i="4"/>
  <c r="W1763" i="4"/>
  <c r="H1764" i="4"/>
  <c r="L1764" i="4" s="1"/>
  <c r="W1764" i="4"/>
  <c r="I1765" i="4"/>
  <c r="K1769" i="4"/>
  <c r="W1769" i="4"/>
  <c r="I1770" i="4"/>
  <c r="M1771" i="4"/>
  <c r="M1772" i="4"/>
  <c r="V1777" i="4"/>
  <c r="H1778" i="4"/>
  <c r="H1781" i="4"/>
  <c r="V1781" i="4"/>
  <c r="H1782" i="4"/>
  <c r="N1782" i="4" s="1"/>
  <c r="I1784" i="4"/>
  <c r="S1785" i="4"/>
  <c r="W1786" i="4"/>
  <c r="I1787" i="4"/>
  <c r="Q1788" i="4"/>
  <c r="T1789" i="4"/>
  <c r="S1790" i="4"/>
  <c r="W1793" i="4"/>
  <c r="H1794" i="4"/>
  <c r="N1794" i="4" s="1"/>
  <c r="T1794" i="4"/>
  <c r="O1796" i="4"/>
  <c r="I1800" i="4"/>
  <c r="P1802" i="4"/>
  <c r="M1804" i="4"/>
  <c r="K1808" i="4"/>
  <c r="R1810" i="4"/>
  <c r="I1810" i="4"/>
  <c r="V1848" i="4"/>
  <c r="J1848" i="4"/>
  <c r="U1848" i="4"/>
  <c r="G1848" i="4"/>
  <c r="T1848" i="4"/>
  <c r="P1848" i="4"/>
  <c r="O1848" i="4"/>
  <c r="M1848" i="4"/>
  <c r="W1848" i="4"/>
  <c r="V1712" i="4"/>
  <c r="G1716" i="4"/>
  <c r="J1717" i="4"/>
  <c r="W1717" i="4"/>
  <c r="I1718" i="4"/>
  <c r="T1721" i="4"/>
  <c r="R1724" i="4"/>
  <c r="Q1726" i="4"/>
  <c r="K1727" i="4"/>
  <c r="J1729" i="4"/>
  <c r="U1729" i="4"/>
  <c r="H1730" i="4"/>
  <c r="L1730" i="4" s="1"/>
  <c r="U1731" i="4"/>
  <c r="G1732" i="4"/>
  <c r="S1732" i="4"/>
  <c r="S1733" i="4"/>
  <c r="M1735" i="4"/>
  <c r="U1737" i="4"/>
  <c r="H1738" i="4"/>
  <c r="V1739" i="4"/>
  <c r="G1740" i="4"/>
  <c r="V1740" i="4"/>
  <c r="H1741" i="4"/>
  <c r="L1741" i="4" s="1"/>
  <c r="R1744" i="4"/>
  <c r="J1745" i="4"/>
  <c r="W1745" i="4"/>
  <c r="I1746" i="4"/>
  <c r="O1747" i="4"/>
  <c r="O1748" i="4"/>
  <c r="R1750" i="4"/>
  <c r="P1753" i="4"/>
  <c r="S1754" i="4"/>
  <c r="W1755" i="4"/>
  <c r="H1756" i="4"/>
  <c r="W1756" i="4"/>
  <c r="I1757" i="4"/>
  <c r="T1761" i="4"/>
  <c r="T1762" i="4"/>
  <c r="J1764" i="4"/>
  <c r="P1765" i="4"/>
  <c r="K1770" i="4"/>
  <c r="O1772" i="4"/>
  <c r="V1773" i="4"/>
  <c r="I1774" i="4"/>
  <c r="J1775" i="4"/>
  <c r="W1777" i="4"/>
  <c r="I1778" i="4"/>
  <c r="J1781" i="4"/>
  <c r="W1781" i="4"/>
  <c r="T1785" i="4"/>
  <c r="M1787" i="4"/>
  <c r="V1789" i="4"/>
  <c r="U1794" i="4"/>
  <c r="Q1796" i="4"/>
  <c r="T1797" i="4"/>
  <c r="W1807" i="4"/>
  <c r="T1807" i="4"/>
  <c r="J1807" i="4"/>
  <c r="U1807" i="4"/>
  <c r="U1817" i="4"/>
  <c r="V1817" i="4"/>
  <c r="T1817" i="4"/>
  <c r="P1817" i="4"/>
  <c r="O1817" i="4"/>
  <c r="J1817" i="4"/>
  <c r="G1817" i="4"/>
  <c r="M1855" i="4"/>
  <c r="G1855" i="4"/>
  <c r="W1855" i="4"/>
  <c r="U1855" i="4"/>
  <c r="P1889" i="4"/>
  <c r="W1712" i="4"/>
  <c r="J1716" i="4"/>
  <c r="K1717" i="4"/>
  <c r="P1718" i="4"/>
  <c r="G1721" i="4"/>
  <c r="U1721" i="4"/>
  <c r="H1722" i="4"/>
  <c r="L1722" i="4" s="1"/>
  <c r="U1724" i="4"/>
  <c r="R1726" i="4"/>
  <c r="M1727" i="4"/>
  <c r="K1729" i="4"/>
  <c r="W1729" i="4"/>
  <c r="I1730" i="4"/>
  <c r="U1732" i="4"/>
  <c r="V1733" i="4"/>
  <c r="G1734" i="4"/>
  <c r="J1737" i="4"/>
  <c r="W1737" i="4"/>
  <c r="I1738" i="4"/>
  <c r="W1739" i="4"/>
  <c r="W1740" i="4"/>
  <c r="I1741" i="4"/>
  <c r="K1745" i="4"/>
  <c r="K1746" i="4"/>
  <c r="T1747" i="4"/>
  <c r="P1748" i="4"/>
  <c r="J1751" i="4"/>
  <c r="T1753" i="4"/>
  <c r="T1754" i="4"/>
  <c r="J1756" i="4"/>
  <c r="Q1757" i="4"/>
  <c r="I1758" i="4"/>
  <c r="Q1760" i="4"/>
  <c r="G1761" i="4"/>
  <c r="U1761" i="4"/>
  <c r="U1762" i="4"/>
  <c r="G1763" i="4"/>
  <c r="K1764" i="4"/>
  <c r="Q1765" i="4"/>
  <c r="M1770" i="4"/>
  <c r="T1771" i="4"/>
  <c r="P1772" i="4"/>
  <c r="Q1774" i="4"/>
  <c r="K1775" i="4"/>
  <c r="I1776" i="4"/>
  <c r="P1778" i="4"/>
  <c r="K1781" i="4"/>
  <c r="M1782" i="4"/>
  <c r="R1784" i="4"/>
  <c r="G1785" i="4"/>
  <c r="V1785" i="4"/>
  <c r="H1786" i="4"/>
  <c r="P1787" i="4"/>
  <c r="S1788" i="4"/>
  <c r="G1789" i="4"/>
  <c r="W1789" i="4"/>
  <c r="H1790" i="4"/>
  <c r="N1790" i="4" s="1"/>
  <c r="W1790" i="4"/>
  <c r="P1791" i="4"/>
  <c r="J1793" i="4"/>
  <c r="K1794" i="4"/>
  <c r="W1794" i="4"/>
  <c r="I1795" i="4"/>
  <c r="R1796" i="4"/>
  <c r="G1797" i="4"/>
  <c r="V1797" i="4"/>
  <c r="S1800" i="4"/>
  <c r="G1802" i="4"/>
  <c r="R1804" i="4"/>
  <c r="H1807" i="4"/>
  <c r="R1807" i="4"/>
  <c r="J1809" i="4"/>
  <c r="S1810" i="4"/>
  <c r="J1813" i="4"/>
  <c r="U1827" i="4"/>
  <c r="V1827" i="4"/>
  <c r="H1933" i="4"/>
  <c r="S1933" i="4"/>
  <c r="I1933" i="4"/>
  <c r="K1716" i="4"/>
  <c r="Q1718" i="4"/>
  <c r="J1721" i="4"/>
  <c r="W1721" i="4"/>
  <c r="H1725" i="4"/>
  <c r="N1725" i="4" s="1"/>
  <c r="P1727" i="4"/>
  <c r="M1730" i="4"/>
  <c r="J1732" i="4"/>
  <c r="V1732" i="4"/>
  <c r="M1738" i="4"/>
  <c r="J1740" i="4"/>
  <c r="U1748" i="4"/>
  <c r="K1751" i="4"/>
  <c r="I1752" i="4"/>
  <c r="U1753" i="4"/>
  <c r="H1754" i="4"/>
  <c r="S1757" i="4"/>
  <c r="S1760" i="4"/>
  <c r="J1761" i="4"/>
  <c r="V1761" i="4"/>
  <c r="H1762" i="4"/>
  <c r="M1763" i="4"/>
  <c r="U1772" i="4"/>
  <c r="P1775" i="4"/>
  <c r="Q1778" i="4"/>
  <c r="O1781" i="4"/>
  <c r="S1784" i="4"/>
  <c r="W1785" i="4"/>
  <c r="I1790" i="4"/>
  <c r="K1793" i="4"/>
  <c r="M1794" i="4"/>
  <c r="M1795" i="4"/>
  <c r="W1797" i="4"/>
  <c r="T1802" i="4"/>
  <c r="U1804" i="4"/>
  <c r="R1808" i="4"/>
  <c r="I1808" i="4"/>
  <c r="I1847" i="4"/>
  <c r="R1847" i="4"/>
  <c r="R1857" i="4"/>
  <c r="Q1857" i="4"/>
  <c r="I1857" i="4"/>
  <c r="H1857" i="4"/>
  <c r="N1857" i="4" s="1"/>
  <c r="T1861" i="4"/>
  <c r="U1861" i="4"/>
  <c r="G1861" i="4"/>
  <c r="P1861" i="4"/>
  <c r="O1861" i="4"/>
  <c r="M1861" i="4"/>
  <c r="K1861" i="4"/>
  <c r="W1861" i="4"/>
  <c r="W1866" i="4"/>
  <c r="M1866" i="4"/>
  <c r="J1866" i="4"/>
  <c r="V1866" i="4"/>
  <c r="U1866" i="4"/>
  <c r="T1866" i="4"/>
  <c r="S1870" i="4"/>
  <c r="I1870" i="4"/>
  <c r="H1870" i="4"/>
  <c r="T1873" i="4"/>
  <c r="W1873" i="4"/>
  <c r="O1873" i="4"/>
  <c r="V1910" i="4"/>
  <c r="O1910" i="4"/>
  <c r="K1910" i="4"/>
  <c r="J1910" i="4"/>
  <c r="J1930" i="4"/>
  <c r="T1930" i="4"/>
  <c r="G1930" i="4"/>
  <c r="P1930" i="4"/>
  <c r="O1930" i="4"/>
  <c r="W1930" i="4"/>
  <c r="M1930" i="4"/>
  <c r="V1930" i="4"/>
  <c r="K1930" i="4"/>
  <c r="U1930" i="4"/>
  <c r="O1716" i="4"/>
  <c r="S1718" i="4"/>
  <c r="K1721" i="4"/>
  <c r="I1725" i="4"/>
  <c r="Q1727" i="4"/>
  <c r="P1730" i="4"/>
  <c r="K1732" i="4"/>
  <c r="W1732" i="4"/>
  <c r="I1733" i="4"/>
  <c r="J1734" i="4"/>
  <c r="K1740" i="4"/>
  <c r="S1741" i="4"/>
  <c r="Q1746" i="4"/>
  <c r="G1748" i="4"/>
  <c r="V1748" i="4"/>
  <c r="P1751" i="4"/>
  <c r="Q1752" i="4"/>
  <c r="G1753" i="4"/>
  <c r="W1753" i="4"/>
  <c r="K1761" i="4"/>
  <c r="W1761" i="4"/>
  <c r="O1763" i="4"/>
  <c r="P1781" i="4"/>
  <c r="J1785" i="4"/>
  <c r="J1789" i="4"/>
  <c r="K1790" i="4"/>
  <c r="O1793" i="4"/>
  <c r="O1794" i="4"/>
  <c r="P1795" i="4"/>
  <c r="J1797" i="4"/>
  <c r="U1802" i="4"/>
  <c r="U1809" i="4"/>
  <c r="P1809" i="4"/>
  <c r="O1809" i="4"/>
  <c r="G1809" i="4"/>
  <c r="T1809" i="4"/>
  <c r="U1813" i="4"/>
  <c r="W1813" i="4"/>
  <c r="G1813" i="4"/>
  <c r="V1813" i="4"/>
  <c r="T1813" i="4"/>
  <c r="P1813" i="4"/>
  <c r="O1813" i="4"/>
  <c r="W1850" i="4"/>
  <c r="M1850" i="4"/>
  <c r="J1850" i="4"/>
  <c r="U1850" i="4"/>
  <c r="T1850" i="4"/>
  <c r="K1712" i="4"/>
  <c r="T1714" i="4"/>
  <c r="S1716" i="4"/>
  <c r="P1717" i="4"/>
  <c r="V1718" i="4"/>
  <c r="M1721" i="4"/>
  <c r="S1722" i="4"/>
  <c r="K1724" i="4"/>
  <c r="Q1725" i="4"/>
  <c r="P1729" i="4"/>
  <c r="Q1730" i="4"/>
  <c r="M1732" i="4"/>
  <c r="K1733" i="4"/>
  <c r="P1734" i="4"/>
  <c r="O1737" i="4"/>
  <c r="Q1738" i="4"/>
  <c r="M1740" i="4"/>
  <c r="W1741" i="4"/>
  <c r="P1745" i="4"/>
  <c r="S1746" i="4"/>
  <c r="W1747" i="4"/>
  <c r="W1748" i="4"/>
  <c r="S1752" i="4"/>
  <c r="J1753" i="4"/>
  <c r="K1754" i="4"/>
  <c r="O1755" i="4"/>
  <c r="J1759" i="4"/>
  <c r="M1761" i="4"/>
  <c r="K1762" i="4"/>
  <c r="T1763" i="4"/>
  <c r="P1764" i="4"/>
  <c r="Q1766" i="4"/>
  <c r="K1767" i="4"/>
  <c r="T1770" i="4"/>
  <c r="W1772" i="4"/>
  <c r="K1777" i="4"/>
  <c r="P1779" i="4"/>
  <c r="Q1782" i="4"/>
  <c r="K1785" i="4"/>
  <c r="Q1786" i="4"/>
  <c r="T1787" i="4"/>
  <c r="I1788" i="4"/>
  <c r="K1789" i="4"/>
  <c r="O1790" i="4"/>
  <c r="P1793" i="4"/>
  <c r="P1794" i="4"/>
  <c r="Q1795" i="4"/>
  <c r="K1797" i="4"/>
  <c r="S1798" i="4"/>
  <c r="M1799" i="4"/>
  <c r="K1801" i="4"/>
  <c r="K1802" i="4"/>
  <c r="W1802" i="4"/>
  <c r="J1805" i="4"/>
  <c r="W1805" i="4"/>
  <c r="V1809" i="4"/>
  <c r="G1814" i="4"/>
  <c r="W1814" i="4"/>
  <c r="T1814" i="4"/>
  <c r="H1893" i="4"/>
  <c r="N1893" i="4" s="1"/>
  <c r="I1893" i="4"/>
  <c r="S1893" i="4"/>
  <c r="O1721" i="4"/>
  <c r="S1725" i="4"/>
  <c r="S1730" i="4"/>
  <c r="O1732" i="4"/>
  <c r="S1738" i="4"/>
  <c r="O1740" i="4"/>
  <c r="R1745" i="4"/>
  <c r="J1748" i="4"/>
  <c r="K1753" i="4"/>
  <c r="K1759" i="4"/>
  <c r="U1763" i="4"/>
  <c r="P1767" i="4"/>
  <c r="J1772" i="4"/>
  <c r="P1773" i="4"/>
  <c r="P1777" i="4"/>
  <c r="Q1779" i="4"/>
  <c r="S1782" i="4"/>
  <c r="O1785" i="4"/>
  <c r="S1786" i="4"/>
  <c r="O1789" i="4"/>
  <c r="T1793" i="4"/>
  <c r="Q1794" i="4"/>
  <c r="T1795" i="4"/>
  <c r="G1796" i="4"/>
  <c r="O1797" i="4"/>
  <c r="P1799" i="4"/>
  <c r="O1801" i="4"/>
  <c r="M1802" i="4"/>
  <c r="P1803" i="4"/>
  <c r="K1805" i="4"/>
  <c r="O1806" i="4"/>
  <c r="W1809" i="4"/>
  <c r="H1810" i="4"/>
  <c r="Q1812" i="4"/>
  <c r="I1812" i="4"/>
  <c r="R1814" i="4"/>
  <c r="H1814" i="4"/>
  <c r="N1814" i="4" s="1"/>
  <c r="S1814" i="4"/>
  <c r="Q1814" i="4"/>
  <c r="J1824" i="4"/>
  <c r="V1824" i="4"/>
  <c r="U1824" i="4"/>
  <c r="K1824" i="4"/>
  <c r="U1825" i="4"/>
  <c r="J1825" i="4"/>
  <c r="G1825" i="4"/>
  <c r="W1825" i="4"/>
  <c r="V1825" i="4"/>
  <c r="P1825" i="4"/>
  <c r="O1825" i="4"/>
  <c r="K1848" i="4"/>
  <c r="U1818" i="4"/>
  <c r="Q1827" i="4"/>
  <c r="G1828" i="4"/>
  <c r="H1830" i="4"/>
  <c r="W1832" i="4"/>
  <c r="H1833" i="4"/>
  <c r="I1834" i="4"/>
  <c r="Q1837" i="4"/>
  <c r="I1841" i="4"/>
  <c r="H1844" i="4"/>
  <c r="L1844" i="4" s="1"/>
  <c r="H1845" i="4"/>
  <c r="N1845" i="4" s="1"/>
  <c r="I1851" i="4"/>
  <c r="Q1855" i="4"/>
  <c r="M1858" i="4"/>
  <c r="K1860" i="4"/>
  <c r="P1862" i="4"/>
  <c r="J1864" i="4"/>
  <c r="V1864" i="4"/>
  <c r="P1868" i="4"/>
  <c r="T1870" i="4"/>
  <c r="I1871" i="4"/>
  <c r="G1876" i="4"/>
  <c r="W1876" i="4"/>
  <c r="H1877" i="4"/>
  <c r="H1880" i="4"/>
  <c r="P1882" i="4"/>
  <c r="P1884" i="4"/>
  <c r="T1886" i="4"/>
  <c r="I1887" i="4"/>
  <c r="Q1889" i="4"/>
  <c r="G1890" i="4"/>
  <c r="W1890" i="4"/>
  <c r="G1894" i="4"/>
  <c r="U1894" i="4"/>
  <c r="G1897" i="4"/>
  <c r="J1914" i="4"/>
  <c r="V1914" i="4"/>
  <c r="P1914" i="4"/>
  <c r="O1914" i="4"/>
  <c r="M1914" i="4"/>
  <c r="W1929" i="4"/>
  <c r="J1929" i="4"/>
  <c r="V1929" i="4"/>
  <c r="G1929" i="4"/>
  <c r="U1929" i="4"/>
  <c r="T1929" i="4"/>
  <c r="P1929" i="4"/>
  <c r="O1929" i="4"/>
  <c r="M1929" i="4"/>
  <c r="N1975" i="4"/>
  <c r="L1975" i="4"/>
  <c r="U1810" i="4"/>
  <c r="H1811" i="4"/>
  <c r="N1811" i="4" s="1"/>
  <c r="S1816" i="4"/>
  <c r="K1818" i="4"/>
  <c r="W1818" i="4"/>
  <c r="I1819" i="4"/>
  <c r="W1821" i="4"/>
  <c r="H1822" i="4"/>
  <c r="N1822" i="4" s="1"/>
  <c r="U1823" i="4"/>
  <c r="P1826" i="4"/>
  <c r="I1828" i="4"/>
  <c r="W1829" i="4"/>
  <c r="I1830" i="4"/>
  <c r="I1833" i="4"/>
  <c r="M1834" i="4"/>
  <c r="S1837" i="4"/>
  <c r="P1838" i="4"/>
  <c r="Q1841" i="4"/>
  <c r="I1842" i="4"/>
  <c r="J1844" i="4"/>
  <c r="W1844" i="4"/>
  <c r="I1845" i="4"/>
  <c r="K1849" i="4"/>
  <c r="K1851" i="4"/>
  <c r="T1852" i="4"/>
  <c r="Q1853" i="4"/>
  <c r="G1856" i="4"/>
  <c r="P1858" i="4"/>
  <c r="O1860" i="4"/>
  <c r="Q1862" i="4"/>
  <c r="K1864" i="4"/>
  <c r="W1864" i="4"/>
  <c r="I1865" i="4"/>
  <c r="I1867" i="4"/>
  <c r="P1869" i="4"/>
  <c r="O1871" i="4"/>
  <c r="P1872" i="4"/>
  <c r="Q1873" i="4"/>
  <c r="U1875" i="4"/>
  <c r="J1876" i="4"/>
  <c r="I1877" i="4"/>
  <c r="W1877" i="4"/>
  <c r="I1878" i="4"/>
  <c r="J1880" i="4"/>
  <c r="V1880" i="4"/>
  <c r="H1881" i="4"/>
  <c r="N1881" i="4" s="1"/>
  <c r="T1882" i="4"/>
  <c r="P1885" i="4"/>
  <c r="O1887" i="4"/>
  <c r="P1888" i="4"/>
  <c r="R1889" i="4"/>
  <c r="H1890" i="4"/>
  <c r="L1890" i="4" s="1"/>
  <c r="O1891" i="4"/>
  <c r="T1893" i="4"/>
  <c r="J1894" i="4"/>
  <c r="V1894" i="4"/>
  <c r="G1895" i="4"/>
  <c r="U1895" i="4"/>
  <c r="W1896" i="4"/>
  <c r="J1897" i="4"/>
  <c r="I1901" i="4"/>
  <c r="S1906" i="4"/>
  <c r="R1911" i="4"/>
  <c r="S1911" i="4"/>
  <c r="S1932" i="4"/>
  <c r="H1932" i="4"/>
  <c r="P1952" i="4"/>
  <c r="M1952" i="4"/>
  <c r="J1952" i="4"/>
  <c r="V1952" i="4"/>
  <c r="U1952" i="4"/>
  <c r="V1974" i="4"/>
  <c r="J1974" i="4"/>
  <c r="U1974" i="4"/>
  <c r="G1974" i="4"/>
  <c r="T1974" i="4"/>
  <c r="P1974" i="4"/>
  <c r="O1974" i="4"/>
  <c r="M1974" i="4"/>
  <c r="T1986" i="4"/>
  <c r="G1986" i="4"/>
  <c r="P1986" i="4"/>
  <c r="O1986" i="4"/>
  <c r="W1986" i="4"/>
  <c r="M1986" i="4"/>
  <c r="V1986" i="4"/>
  <c r="K1986" i="4"/>
  <c r="G1991" i="4"/>
  <c r="K1991" i="4"/>
  <c r="J1991" i="4"/>
  <c r="W1991" i="4"/>
  <c r="H1993" i="4"/>
  <c r="N1993" i="4" s="1"/>
  <c r="Q1993" i="4"/>
  <c r="I1993" i="4"/>
  <c r="T1838" i="4"/>
  <c r="S1841" i="4"/>
  <c r="P1845" i="4"/>
  <c r="O1849" i="4"/>
  <c r="Q1851" i="4"/>
  <c r="T1856" i="4"/>
  <c r="P1860" i="4"/>
  <c r="K1865" i="4"/>
  <c r="T1868" i="4"/>
  <c r="Q1869" i="4"/>
  <c r="Q1871" i="4"/>
  <c r="S1872" i="4"/>
  <c r="K1876" i="4"/>
  <c r="P1878" i="4"/>
  <c r="U1882" i="4"/>
  <c r="T1884" i="4"/>
  <c r="Q1885" i="4"/>
  <c r="Q1887" i="4"/>
  <c r="S1888" i="4"/>
  <c r="K1894" i="4"/>
  <c r="W1894" i="4"/>
  <c r="O1897" i="4"/>
  <c r="T1904" i="4"/>
  <c r="V1904" i="4"/>
  <c r="O1818" i="4"/>
  <c r="Q1822" i="4"/>
  <c r="Q1824" i="4"/>
  <c r="S1826" i="4"/>
  <c r="S1830" i="4"/>
  <c r="R1834" i="4"/>
  <c r="V1838" i="4"/>
  <c r="Q1845" i="4"/>
  <c r="S1851" i="4"/>
  <c r="H1854" i="4"/>
  <c r="N1854" i="4" s="1"/>
  <c r="J1856" i="4"/>
  <c r="U1856" i="4"/>
  <c r="T1858" i="4"/>
  <c r="I1859" i="4"/>
  <c r="I1863" i="4"/>
  <c r="O1864" i="4"/>
  <c r="O1865" i="4"/>
  <c r="S1867" i="4"/>
  <c r="V1868" i="4"/>
  <c r="G1869" i="4"/>
  <c r="S1869" i="4"/>
  <c r="G1872" i="4"/>
  <c r="T1872" i="4"/>
  <c r="M1874" i="4"/>
  <c r="O1876" i="4"/>
  <c r="Q1878" i="4"/>
  <c r="K1881" i="4"/>
  <c r="V1882" i="4"/>
  <c r="V1884" i="4"/>
  <c r="S1885" i="4"/>
  <c r="K1890" i="4"/>
  <c r="H1892" i="4"/>
  <c r="M1894" i="4"/>
  <c r="K1895" i="4"/>
  <c r="W1895" i="4"/>
  <c r="P1897" i="4"/>
  <c r="I1898" i="4"/>
  <c r="S1901" i="4"/>
  <c r="J1902" i="4"/>
  <c r="U1902" i="4"/>
  <c r="R1907" i="4"/>
  <c r="Q1907" i="4"/>
  <c r="I1907" i="4"/>
  <c r="S1908" i="4"/>
  <c r="H1908" i="4"/>
  <c r="L1908" i="4" s="1"/>
  <c r="U1914" i="4"/>
  <c r="V1950" i="4"/>
  <c r="J1950" i="4"/>
  <c r="G1950" i="4"/>
  <c r="W1950" i="4"/>
  <c r="T1950" i="4"/>
  <c r="P1950" i="4"/>
  <c r="O1950" i="4"/>
  <c r="U1986" i="4"/>
  <c r="O1810" i="4"/>
  <c r="T1811" i="4"/>
  <c r="M1815" i="4"/>
  <c r="P1818" i="4"/>
  <c r="K1821" i="4"/>
  <c r="S1822" i="4"/>
  <c r="S1824" i="4"/>
  <c r="H1826" i="4"/>
  <c r="T1826" i="4"/>
  <c r="K1829" i="4"/>
  <c r="P1831" i="4"/>
  <c r="O1835" i="4"/>
  <c r="H1837" i="4"/>
  <c r="N1837" i="4" s="1"/>
  <c r="M1839" i="4"/>
  <c r="R1840" i="4"/>
  <c r="M1843" i="4"/>
  <c r="P1844" i="4"/>
  <c r="S1845" i="4"/>
  <c r="P1846" i="4"/>
  <c r="O1847" i="4"/>
  <c r="S1849" i="4"/>
  <c r="U1851" i="4"/>
  <c r="J1852" i="4"/>
  <c r="I1853" i="4"/>
  <c r="W1853" i="4"/>
  <c r="I1854" i="4"/>
  <c r="K1856" i="4"/>
  <c r="V1856" i="4"/>
  <c r="U1858" i="4"/>
  <c r="Q1859" i="4"/>
  <c r="T1860" i="4"/>
  <c r="Q1861" i="4"/>
  <c r="O1863" i="4"/>
  <c r="Q1865" i="4"/>
  <c r="U1867" i="4"/>
  <c r="G1868" i="4"/>
  <c r="W1868" i="4"/>
  <c r="H1869" i="4"/>
  <c r="U1869" i="4"/>
  <c r="H1872" i="4"/>
  <c r="U1872" i="4"/>
  <c r="P1874" i="4"/>
  <c r="P1876" i="4"/>
  <c r="T1878" i="4"/>
  <c r="I1879" i="4"/>
  <c r="G1884" i="4"/>
  <c r="W1884" i="4"/>
  <c r="H1885" i="4"/>
  <c r="H1888" i="4"/>
  <c r="O1890" i="4"/>
  <c r="O1894" i="4"/>
  <c r="V1897" i="4"/>
  <c r="Q1898" i="4"/>
  <c r="G1899" i="4"/>
  <c r="K1902" i="4"/>
  <c r="W1902" i="4"/>
  <c r="W1914" i="4"/>
  <c r="H1973" i="4"/>
  <c r="L1973" i="4" s="1"/>
  <c r="I1973" i="4"/>
  <c r="P1810" i="4"/>
  <c r="P1815" i="4"/>
  <c r="Q1818" i="4"/>
  <c r="O1821" i="4"/>
  <c r="J1823" i="4"/>
  <c r="I1826" i="4"/>
  <c r="U1826" i="4"/>
  <c r="H1827" i="4"/>
  <c r="L1827" i="4" s="1"/>
  <c r="O1829" i="4"/>
  <c r="Q1833" i="4"/>
  <c r="Q1835" i="4"/>
  <c r="I1837" i="4"/>
  <c r="Q1843" i="4"/>
  <c r="Q1846" i="4"/>
  <c r="K1852" i="4"/>
  <c r="Q1854" i="4"/>
  <c r="M1856" i="4"/>
  <c r="S1859" i="4"/>
  <c r="V1860" i="4"/>
  <c r="S1861" i="4"/>
  <c r="J1868" i="4"/>
  <c r="I1869" i="4"/>
  <c r="W1869" i="4"/>
  <c r="J1872" i="4"/>
  <c r="H1873" i="4"/>
  <c r="N1873" i="4" s="1"/>
  <c r="T1874" i="4"/>
  <c r="P1877" i="4"/>
  <c r="O1879" i="4"/>
  <c r="Q1881" i="4"/>
  <c r="U1883" i="4"/>
  <c r="J1884" i="4"/>
  <c r="I1885" i="4"/>
  <c r="W1885" i="4"/>
  <c r="J1888" i="4"/>
  <c r="H1889" i="4"/>
  <c r="R1892" i="4"/>
  <c r="J1893" i="4"/>
  <c r="O1895" i="4"/>
  <c r="M1896" i="4"/>
  <c r="S1898" i="4"/>
  <c r="J1899" i="4"/>
  <c r="M1902" i="4"/>
  <c r="J1903" i="4"/>
  <c r="G1903" i="4"/>
  <c r="P1903" i="4"/>
  <c r="W1903" i="4"/>
  <c r="V1903" i="4"/>
  <c r="K1903" i="4"/>
  <c r="M1903" i="4"/>
  <c r="M1913" i="4"/>
  <c r="W1913" i="4"/>
  <c r="J1913" i="4"/>
  <c r="U1913" i="4"/>
  <c r="T1913" i="4"/>
  <c r="O1913" i="4"/>
  <c r="K1915" i="4"/>
  <c r="T1915" i="4"/>
  <c r="U1915" i="4"/>
  <c r="S1934" i="4"/>
  <c r="H1934" i="4"/>
  <c r="R1934" i="4"/>
  <c r="J1959" i="4"/>
  <c r="G1959" i="4"/>
  <c r="W1959" i="4"/>
  <c r="P1959" i="4"/>
  <c r="G1981" i="4"/>
  <c r="W1981" i="4"/>
  <c r="G1818" i="4"/>
  <c r="M1823" i="4"/>
  <c r="I1827" i="4"/>
  <c r="S1833" i="4"/>
  <c r="U1847" i="4"/>
  <c r="K1868" i="4"/>
  <c r="P1870" i="4"/>
  <c r="K1884" i="4"/>
  <c r="P1886" i="4"/>
  <c r="P1899" i="4"/>
  <c r="P1912" i="4"/>
  <c r="W1912" i="4"/>
  <c r="G1912" i="4"/>
  <c r="W1958" i="4"/>
  <c r="J1958" i="4"/>
  <c r="V1958" i="4"/>
  <c r="G1958" i="4"/>
  <c r="U1958" i="4"/>
  <c r="T1958" i="4"/>
  <c r="P1958" i="4"/>
  <c r="O1958" i="4"/>
  <c r="M1958" i="4"/>
  <c r="H1904" i="4"/>
  <c r="V1906" i="4"/>
  <c r="K1909" i="4"/>
  <c r="Q1915" i="4"/>
  <c r="M1919" i="4"/>
  <c r="T1921" i="4"/>
  <c r="P1922" i="4"/>
  <c r="P1924" i="4"/>
  <c r="T1926" i="4"/>
  <c r="H1927" i="4"/>
  <c r="N1927" i="4" s="1"/>
  <c r="H1931" i="4"/>
  <c r="O1934" i="4"/>
  <c r="T1936" i="4"/>
  <c r="P1938" i="4"/>
  <c r="P1940" i="4"/>
  <c r="I1941" i="4"/>
  <c r="K1945" i="4"/>
  <c r="W1945" i="4"/>
  <c r="H1946" i="4"/>
  <c r="S1946" i="4"/>
  <c r="Q1947" i="4"/>
  <c r="G1953" i="4"/>
  <c r="U1953" i="4"/>
  <c r="S1954" i="4"/>
  <c r="Q1955" i="4"/>
  <c r="J1961" i="4"/>
  <c r="W1961" i="4"/>
  <c r="O1962" i="4"/>
  <c r="I1963" i="4"/>
  <c r="K1966" i="4"/>
  <c r="W1966" i="4"/>
  <c r="H1967" i="4"/>
  <c r="L1967" i="4" s="1"/>
  <c r="V1970" i="4"/>
  <c r="T1975" i="4"/>
  <c r="P1978" i="4"/>
  <c r="M1980" i="4"/>
  <c r="R1983" i="4"/>
  <c r="G1987" i="4"/>
  <c r="U1987" i="4"/>
  <c r="I1992" i="4"/>
  <c r="K1994" i="4"/>
  <c r="O1995" i="4"/>
  <c r="G1997" i="4"/>
  <c r="V1997" i="4"/>
  <c r="I1904" i="4"/>
  <c r="O1909" i="4"/>
  <c r="Q1910" i="4"/>
  <c r="Q1912" i="4"/>
  <c r="I1916" i="4"/>
  <c r="H1917" i="4"/>
  <c r="N1917" i="4" s="1"/>
  <c r="Q1919" i="4"/>
  <c r="U1921" i="4"/>
  <c r="Q1922" i="4"/>
  <c r="Q1924" i="4"/>
  <c r="G1925" i="4"/>
  <c r="W1926" i="4"/>
  <c r="I1927" i="4"/>
  <c r="I1931" i="4"/>
  <c r="P1934" i="4"/>
  <c r="U1936" i="4"/>
  <c r="G1937" i="4"/>
  <c r="U1937" i="4"/>
  <c r="Q1938" i="4"/>
  <c r="V1940" i="4"/>
  <c r="Q1941" i="4"/>
  <c r="T1942" i="4"/>
  <c r="H1943" i="4"/>
  <c r="N1943" i="4" s="1"/>
  <c r="M1945" i="4"/>
  <c r="I1946" i="4"/>
  <c r="T1946" i="4"/>
  <c r="U1947" i="4"/>
  <c r="H1948" i="4"/>
  <c r="L1948" i="4" s="1"/>
  <c r="J1953" i="4"/>
  <c r="V1953" i="4"/>
  <c r="G1954" i="4"/>
  <c r="T1954" i="4"/>
  <c r="U1955" i="4"/>
  <c r="H1956" i="4"/>
  <c r="L1956" i="4" s="1"/>
  <c r="Q1959" i="4"/>
  <c r="K1961" i="4"/>
  <c r="Q1962" i="4"/>
  <c r="R1963" i="4"/>
  <c r="H1964" i="4"/>
  <c r="N1964" i="4" s="1"/>
  <c r="I1967" i="4"/>
  <c r="U1967" i="4"/>
  <c r="W1970" i="4"/>
  <c r="I1971" i="4"/>
  <c r="K1975" i="4"/>
  <c r="U1975" i="4"/>
  <c r="R1978" i="4"/>
  <c r="O1980" i="4"/>
  <c r="S1982" i="4"/>
  <c r="G1983" i="4"/>
  <c r="S1983" i="4"/>
  <c r="G1985" i="4"/>
  <c r="H1987" i="4"/>
  <c r="N1987" i="4" s="1"/>
  <c r="V1987" i="4"/>
  <c r="G1988" i="4"/>
  <c r="W1988" i="4"/>
  <c r="I1989" i="4"/>
  <c r="M1994" i="4"/>
  <c r="Q1995" i="4"/>
  <c r="G1996" i="4"/>
  <c r="W1996" i="4"/>
  <c r="H1997" i="4"/>
  <c r="L1997" i="4" s="1"/>
  <c r="O1998" i="4"/>
  <c r="S2000" i="4"/>
  <c r="O1931" i="4"/>
  <c r="K1953" i="4"/>
  <c r="W1953" i="4"/>
  <c r="T1963" i="4"/>
  <c r="K1971" i="4"/>
  <c r="W1982" i="4"/>
  <c r="W1987" i="4"/>
  <c r="Q1992" i="4"/>
  <c r="M1908" i="4"/>
  <c r="Q1909" i="4"/>
  <c r="H1914" i="4"/>
  <c r="S1914" i="4"/>
  <c r="O1917" i="4"/>
  <c r="V1920" i="4"/>
  <c r="J1921" i="4"/>
  <c r="W1921" i="4"/>
  <c r="H1922" i="4"/>
  <c r="L1922" i="4" s="1"/>
  <c r="T1922" i="4"/>
  <c r="O1925" i="4"/>
  <c r="J1926" i="4"/>
  <c r="Q1927" i="4"/>
  <c r="P1931" i="4"/>
  <c r="T1934" i="4"/>
  <c r="H1935" i="4"/>
  <c r="K1937" i="4"/>
  <c r="W1937" i="4"/>
  <c r="T1938" i="4"/>
  <c r="Q1943" i="4"/>
  <c r="P1948" i="4"/>
  <c r="H1951" i="4"/>
  <c r="M1953" i="4"/>
  <c r="I1954" i="4"/>
  <c r="V1954" i="4"/>
  <c r="P1956" i="4"/>
  <c r="M1960" i="4"/>
  <c r="O1971" i="4"/>
  <c r="R1974" i="4"/>
  <c r="M1975" i="4"/>
  <c r="W1975" i="4"/>
  <c r="I1976" i="4"/>
  <c r="G1978" i="4"/>
  <c r="W1978" i="4"/>
  <c r="H1979" i="4"/>
  <c r="N1979" i="4" s="1"/>
  <c r="T1980" i="4"/>
  <c r="K1987" i="4"/>
  <c r="M1988" i="4"/>
  <c r="S1989" i="4"/>
  <c r="I1990" i="4"/>
  <c r="R1992" i="4"/>
  <c r="M1996" i="4"/>
  <c r="K1997" i="4"/>
  <c r="H1999" i="4"/>
  <c r="N1999" i="4" s="1"/>
  <c r="Q1917" i="4"/>
  <c r="K1921" i="4"/>
  <c r="I1922" i="4"/>
  <c r="U1922" i="4"/>
  <c r="K1926" i="4"/>
  <c r="S1927" i="4"/>
  <c r="J1928" i="4"/>
  <c r="G1934" i="4"/>
  <c r="W1934" i="4"/>
  <c r="I1935" i="4"/>
  <c r="U1938" i="4"/>
  <c r="J1942" i="4"/>
  <c r="S1943" i="4"/>
  <c r="H1947" i="4"/>
  <c r="L1947" i="4" s="1"/>
  <c r="I1949" i="4"/>
  <c r="I1951" i="4"/>
  <c r="O1953" i="4"/>
  <c r="H1955" i="4"/>
  <c r="L1955" i="4" s="1"/>
  <c r="H1978" i="4"/>
  <c r="M1987" i="4"/>
  <c r="O1990" i="4"/>
  <c r="O1997" i="4"/>
  <c r="S1903" i="4"/>
  <c r="K1906" i="4"/>
  <c r="H1910" i="4"/>
  <c r="N1910" i="4" s="1"/>
  <c r="H1915" i="4"/>
  <c r="R1917" i="4"/>
  <c r="I1918" i="4"/>
  <c r="K1922" i="4"/>
  <c r="V1922" i="4"/>
  <c r="H1923" i="4"/>
  <c r="O1926" i="4"/>
  <c r="M1928" i="4"/>
  <c r="S1930" i="4"/>
  <c r="Q1935" i="4"/>
  <c r="K1938" i="4"/>
  <c r="V1938" i="4"/>
  <c r="H1939" i="4"/>
  <c r="L1939" i="4" s="1"/>
  <c r="K1942" i="4"/>
  <c r="T1944" i="4"/>
  <c r="O1946" i="4"/>
  <c r="I1947" i="4"/>
  <c r="Q1949" i="4"/>
  <c r="Q1951" i="4"/>
  <c r="O1954" i="4"/>
  <c r="I1955" i="4"/>
  <c r="Q1957" i="4"/>
  <c r="T1960" i="4"/>
  <c r="L1968" i="4"/>
  <c r="K1970" i="4"/>
  <c r="K1973" i="4"/>
  <c r="J1978" i="4"/>
  <c r="Q1979" i="4"/>
  <c r="P1990" i="4"/>
  <c r="O1993" i="4"/>
  <c r="Q1999" i="4"/>
  <c r="J1934" i="4"/>
  <c r="S1935" i="4"/>
  <c r="S1949" i="4"/>
  <c r="S1951" i="4"/>
  <c r="S1957" i="4"/>
  <c r="Q1967" i="4"/>
  <c r="Q13" i="4"/>
  <c r="J33" i="4"/>
  <c r="J52" i="4"/>
  <c r="J61" i="4"/>
  <c r="J78" i="4"/>
  <c r="S111" i="4"/>
  <c r="J131" i="4"/>
  <c r="J167" i="4"/>
  <c r="J171" i="4"/>
  <c r="J174" i="4"/>
  <c r="J209" i="4"/>
  <c r="J236" i="4"/>
  <c r="N375" i="4"/>
  <c r="N578" i="4"/>
  <c r="N1354" i="4"/>
  <c r="N1457" i="4"/>
  <c r="N1458" i="4"/>
  <c r="N1479" i="4"/>
  <c r="L1586" i="4"/>
  <c r="J41" i="4"/>
  <c r="Q58" i="4"/>
  <c r="S58" i="4" s="1"/>
  <c r="W58" i="4" s="1"/>
  <c r="H70" i="4"/>
  <c r="I162" i="4"/>
  <c r="J204" i="4"/>
  <c r="Q207" i="4"/>
  <c r="S207" i="4" s="1"/>
  <c r="J244" i="4"/>
  <c r="J212" i="4"/>
  <c r="J217" i="4"/>
  <c r="J252" i="4"/>
  <c r="N330" i="4"/>
  <c r="N340" i="4"/>
  <c r="L431" i="4"/>
  <c r="L804" i="4"/>
  <c r="L895" i="4"/>
  <c r="L921" i="4"/>
  <c r="L1849" i="4"/>
  <c r="N1903" i="4"/>
  <c r="N1912" i="4"/>
  <c r="R105" i="4"/>
  <c r="J147" i="4"/>
  <c r="L399" i="4"/>
  <c r="N1269" i="4"/>
  <c r="N1317" i="4"/>
  <c r="L1713" i="4"/>
  <c r="J57" i="4"/>
  <c r="J68" i="4"/>
  <c r="Q87" i="4"/>
  <c r="S87" i="4" s="1"/>
  <c r="W87" i="4" s="1"/>
  <c r="R123" i="4"/>
  <c r="J260" i="4"/>
  <c r="N378" i="4"/>
  <c r="N474" i="4"/>
  <c r="N482" i="4"/>
  <c r="L793" i="4"/>
  <c r="L1024" i="4"/>
  <c r="N1310" i="4"/>
  <c r="L1400" i="4"/>
  <c r="J22" i="4"/>
  <c r="J36" i="4"/>
  <c r="H88" i="4"/>
  <c r="J154" i="4"/>
  <c r="J177" i="4"/>
  <c r="J220" i="4"/>
  <c r="G249" i="4"/>
  <c r="N453" i="4"/>
  <c r="L788" i="4"/>
  <c r="L995" i="4"/>
  <c r="N1392" i="4"/>
  <c r="N1606" i="4"/>
  <c r="I5" i="4"/>
  <c r="H142" i="4"/>
  <c r="J150" i="4"/>
  <c r="J228" i="4"/>
  <c r="J251" i="4"/>
  <c r="L618" i="4"/>
  <c r="L1083" i="4"/>
  <c r="L1205" i="4"/>
  <c r="Q5" i="4"/>
  <c r="S5" i="4" s="1"/>
  <c r="W5" i="4" s="1"/>
  <c r="Q26" i="4"/>
  <c r="S26" i="4" s="1"/>
  <c r="W26" i="4" s="1"/>
  <c r="Q50" i="4"/>
  <c r="S50" i="4" s="1"/>
  <c r="W50" i="4" s="1"/>
  <c r="J54" i="4"/>
  <c r="Q85" i="4"/>
  <c r="S85" i="4" s="1"/>
  <c r="W85" i="4" s="1"/>
  <c r="Q93" i="4"/>
  <c r="S93" i="4" s="1"/>
  <c r="W93" i="4" s="1"/>
  <c r="S189" i="4"/>
  <c r="N645" i="4"/>
  <c r="L938" i="4"/>
  <c r="L1261" i="4"/>
  <c r="N1294" i="4"/>
  <c r="N1656" i="4"/>
  <c r="N1797" i="4"/>
  <c r="Q55" i="4"/>
  <c r="S55" i="4" s="1"/>
  <c r="W55" i="4" s="1"/>
  <c r="G73" i="4"/>
  <c r="R82" i="4"/>
  <c r="H83" i="4"/>
  <c r="G171" i="4"/>
  <c r="H171" i="4" s="1"/>
  <c r="N354" i="4"/>
  <c r="L359" i="4"/>
  <c r="N458" i="4"/>
  <c r="N463" i="4"/>
  <c r="N591" i="4"/>
  <c r="N677" i="4"/>
  <c r="L718" i="4"/>
  <c r="N734" i="4"/>
  <c r="L887" i="4"/>
  <c r="N939" i="4"/>
  <c r="N1033" i="4"/>
  <c r="L1333" i="4"/>
  <c r="N1448" i="4"/>
  <c r="L1895" i="4"/>
  <c r="Q10" i="4"/>
  <c r="S10" i="4" s="1"/>
  <c r="W10" i="4" s="1"/>
  <c r="G41" i="4"/>
  <c r="S42" i="4"/>
  <c r="W42" i="4" s="1"/>
  <c r="G126" i="4"/>
  <c r="I126" i="4" s="1"/>
  <c r="J136" i="4"/>
  <c r="G150" i="4"/>
  <c r="J235" i="4"/>
  <c r="N282" i="4"/>
  <c r="N327" i="4"/>
  <c r="L387" i="4"/>
  <c r="N439" i="4"/>
  <c r="L445" i="4"/>
  <c r="N672" i="4"/>
  <c r="N846" i="4"/>
  <c r="N973" i="4"/>
  <c r="N1003" i="4"/>
  <c r="N1039" i="4"/>
  <c r="L1040" i="4"/>
  <c r="L1064" i="4"/>
  <c r="N1449" i="4"/>
  <c r="N1450" i="4"/>
  <c r="L1541" i="4"/>
  <c r="L1615" i="4"/>
  <c r="L1689" i="4"/>
  <c r="N1730" i="4"/>
  <c r="L1886" i="4"/>
  <c r="N1930" i="4"/>
  <c r="G9" i="4"/>
  <c r="Q61" i="4"/>
  <c r="S61" i="4" s="1"/>
  <c r="W61" i="4" s="1"/>
  <c r="Q71" i="4"/>
  <c r="S71" i="4" s="1"/>
  <c r="W71" i="4" s="1"/>
  <c r="G131" i="4"/>
  <c r="I131" i="4" s="1"/>
  <c r="R169" i="4"/>
  <c r="Q210" i="4"/>
  <c r="S210" i="4" s="1"/>
  <c r="Q239" i="4"/>
  <c r="S239" i="4" s="1"/>
  <c r="W239" i="4" s="1"/>
  <c r="N351" i="4"/>
  <c r="L780" i="4"/>
  <c r="L812" i="4"/>
  <c r="N971" i="4"/>
  <c r="L1031" i="4"/>
  <c r="L1115" i="4"/>
  <c r="L1596" i="4"/>
  <c r="L1612" i="4"/>
  <c r="N1630" i="4"/>
  <c r="N1792" i="4"/>
  <c r="Q23" i="4"/>
  <c r="S23" i="4" s="1"/>
  <c r="W23" i="4" s="1"/>
  <c r="Q29" i="4"/>
  <c r="S29" i="4" s="1"/>
  <c r="W29" i="4" s="1"/>
  <c r="Q39" i="4"/>
  <c r="S39" i="4" s="1"/>
  <c r="W39" i="4" s="1"/>
  <c r="G68" i="4"/>
  <c r="H68" i="4" s="1"/>
  <c r="Q69" i="4"/>
  <c r="S69" i="4" s="1"/>
  <c r="W69" i="4" s="1"/>
  <c r="Q124" i="4"/>
  <c r="R156" i="4"/>
  <c r="G176" i="4"/>
  <c r="I176" i="4" s="1"/>
  <c r="S197" i="4"/>
  <c r="N314" i="4"/>
  <c r="N514" i="4"/>
  <c r="L801" i="4"/>
  <c r="L1112" i="4"/>
  <c r="L1361" i="4"/>
  <c r="N1382" i="4"/>
  <c r="N1440" i="4"/>
  <c r="N1678" i="4"/>
  <c r="R142" i="4"/>
  <c r="S156" i="4"/>
  <c r="G167" i="4"/>
  <c r="I167" i="4" s="1"/>
  <c r="Q202" i="4"/>
  <c r="S202" i="4" s="1"/>
  <c r="W202" i="4" s="1"/>
  <c r="G217" i="4"/>
  <c r="H217" i="4" s="1"/>
  <c r="Q226" i="4"/>
  <c r="S226" i="4" s="1"/>
  <c r="N367" i="4"/>
  <c r="N381" i="4"/>
  <c r="N854" i="4"/>
  <c r="N947" i="4"/>
  <c r="L1203" i="4"/>
  <c r="N1286" i="4"/>
  <c r="N1496" i="4"/>
  <c r="N1749" i="4"/>
  <c r="R7" i="4"/>
  <c r="J25" i="4"/>
  <c r="G25" i="4"/>
  <c r="H25" i="4" s="1"/>
  <c r="R37" i="4"/>
  <c r="Q37" i="4"/>
  <c r="S37" i="4" s="1"/>
  <c r="I37" i="4"/>
  <c r="J44" i="4"/>
  <c r="J49" i="4"/>
  <c r="J76" i="4"/>
  <c r="G76" i="4"/>
  <c r="R2" i="4"/>
  <c r="Q2" i="4"/>
  <c r="S2" i="4" s="1"/>
  <c r="J4" i="4"/>
  <c r="Q7" i="4"/>
  <c r="S7" i="4" s="1"/>
  <c r="J12" i="4"/>
  <c r="J13" i="4"/>
  <c r="S13" i="4"/>
  <c r="W13" i="4" s="1"/>
  <c r="J29" i="4"/>
  <c r="G29" i="4"/>
  <c r="I29" i="4" s="1"/>
  <c r="R53" i="4"/>
  <c r="W53" i="4" s="1"/>
  <c r="I53" i="4"/>
  <c r="H53" i="4"/>
  <c r="Q53" i="4"/>
  <c r="S53" i="4" s="1"/>
  <c r="G54" i="4"/>
  <c r="R138" i="4"/>
  <c r="Q138" i="4"/>
  <c r="S138" i="4" s="1"/>
  <c r="R24" i="4"/>
  <c r="Q24" i="4"/>
  <c r="S24" i="4" s="1"/>
  <c r="Q80" i="4"/>
  <c r="S80" i="4" s="1"/>
  <c r="J28" i="4"/>
  <c r="R74" i="4"/>
  <c r="Q74" i="4"/>
  <c r="S74" i="4" s="1"/>
  <c r="H6" i="4"/>
  <c r="G22" i="4"/>
  <c r="H22" i="4" s="1"/>
  <c r="R31" i="4"/>
  <c r="Q31" i="4"/>
  <c r="S31" i="4" s="1"/>
  <c r="J38" i="4"/>
  <c r="R47" i="4"/>
  <c r="Q47" i="4"/>
  <c r="S47" i="4" s="1"/>
  <c r="R32" i="4"/>
  <c r="Q32" i="4"/>
  <c r="S32" i="4" s="1"/>
  <c r="W32" i="4" s="1"/>
  <c r="R34" i="4"/>
  <c r="Q34" i="4"/>
  <c r="S34" i="4" s="1"/>
  <c r="G38" i="4"/>
  <c r="H38" i="4" s="1"/>
  <c r="J45" i="4"/>
  <c r="G45" i="4"/>
  <c r="I45" i="4" s="1"/>
  <c r="R86" i="4"/>
  <c r="R18" i="4"/>
  <c r="Q18" i="4"/>
  <c r="S18" i="4" s="1"/>
  <c r="Q19" i="4"/>
  <c r="S19" i="4" s="1"/>
  <c r="R21" i="4"/>
  <c r="Q21" i="4"/>
  <c r="S21" i="4" s="1"/>
  <c r="R95" i="4"/>
  <c r="I95" i="4"/>
  <c r="H95" i="4"/>
  <c r="Q95" i="4"/>
  <c r="S95" i="4" s="1"/>
  <c r="J30" i="4"/>
  <c r="G60" i="4"/>
  <c r="I60" i="4" s="1"/>
  <c r="G61" i="4"/>
  <c r="Q64" i="4"/>
  <c r="S64" i="4" s="1"/>
  <c r="J87" i="4"/>
  <c r="R92" i="4"/>
  <c r="G106" i="4"/>
  <c r="H106" i="4" s="1"/>
  <c r="J110" i="4"/>
  <c r="J37" i="4"/>
  <c r="Q45" i="4"/>
  <c r="S45" i="4" s="1"/>
  <c r="W45" i="4" s="1"/>
  <c r="J60" i="4"/>
  <c r="J88" i="4"/>
  <c r="S92" i="4"/>
  <c r="R99" i="4"/>
  <c r="J130" i="4"/>
  <c r="G130" i="4"/>
  <c r="H130" i="4" s="1"/>
  <c r="Q133" i="4"/>
  <c r="S133" i="4" s="1"/>
  <c r="Q148" i="4"/>
  <c r="S148" i="4" s="1"/>
  <c r="G185" i="4"/>
  <c r="I185" i="4" s="1"/>
  <c r="J185" i="4"/>
  <c r="Q75" i="4"/>
  <c r="J77" i="4"/>
  <c r="G77" i="4"/>
  <c r="I77" i="4" s="1"/>
  <c r="Q97" i="4"/>
  <c r="S97" i="4" s="1"/>
  <c r="W97" i="4" s="1"/>
  <c r="J103" i="4"/>
  <c r="G103" i="4"/>
  <c r="G118" i="4"/>
  <c r="H118" i="4" s="1"/>
  <c r="J118" i="4"/>
  <c r="J21" i="4"/>
  <c r="J62" i="4"/>
  <c r="R66" i="4"/>
  <c r="S66" i="4"/>
  <c r="H69" i="4"/>
  <c r="K69" i="4" s="1"/>
  <c r="S72" i="4"/>
  <c r="R77" i="4"/>
  <c r="Q77" i="4"/>
  <c r="S77" i="4" s="1"/>
  <c r="S96" i="4"/>
  <c r="R96" i="4"/>
  <c r="Q114" i="4"/>
  <c r="S114" i="4" s="1"/>
  <c r="W114" i="4" s="1"/>
  <c r="R128" i="4"/>
  <c r="J143" i="4"/>
  <c r="S48" i="4"/>
  <c r="J69" i="4"/>
  <c r="R79" i="4"/>
  <c r="J81" i="4"/>
  <c r="G81" i="4"/>
  <c r="H81" i="4" s="1"/>
  <c r="G85" i="4"/>
  <c r="I85" i="4" s="1"/>
  <c r="J5" i="4"/>
  <c r="J14" i="4"/>
  <c r="S16" i="4"/>
  <c r="J46" i="4"/>
  <c r="R63" i="4"/>
  <c r="S63" i="4"/>
  <c r="W63" i="4" s="1"/>
  <c r="Q79" i="4"/>
  <c r="S79" i="4" s="1"/>
  <c r="G139" i="4"/>
  <c r="I139" i="4" s="1"/>
  <c r="J6" i="4"/>
  <c r="S8" i="4"/>
  <c r="Q11" i="4"/>
  <c r="S11" i="4" s="1"/>
  <c r="W11" i="4" s="1"/>
  <c r="G30" i="4"/>
  <c r="H30" i="4" s="1"/>
  <c r="G33" i="4"/>
  <c r="H33" i="4" s="1"/>
  <c r="S40" i="4"/>
  <c r="G52" i="4"/>
  <c r="J53" i="4"/>
  <c r="H54" i="4"/>
  <c r="S56" i="4"/>
  <c r="G65" i="4"/>
  <c r="H65" i="4" s="1"/>
  <c r="G78" i="4"/>
  <c r="H78" i="4" s="1"/>
  <c r="J90" i="4"/>
  <c r="G90" i="4"/>
  <c r="I98" i="4"/>
  <c r="J100" i="4"/>
  <c r="R101" i="4"/>
  <c r="Q101" i="4"/>
  <c r="S101" i="4" s="1"/>
  <c r="J102" i="4"/>
  <c r="J106" i="4"/>
  <c r="G110" i="4"/>
  <c r="J134" i="4"/>
  <c r="G134" i="4"/>
  <c r="H134" i="4" s="1"/>
  <c r="R111" i="4"/>
  <c r="I111" i="4"/>
  <c r="G117" i="4"/>
  <c r="H117" i="4" s="1"/>
  <c r="Q120" i="4"/>
  <c r="S120" i="4" s="1"/>
  <c r="R120" i="4"/>
  <c r="J127" i="4"/>
  <c r="Q129" i="4"/>
  <c r="S129" i="4" s="1"/>
  <c r="R164" i="4"/>
  <c r="Q155" i="4"/>
  <c r="S155" i="4" s="1"/>
  <c r="W155" i="4" s="1"/>
  <c r="G157" i="4"/>
  <c r="I157" i="4" s="1"/>
  <c r="Q157" i="4"/>
  <c r="S157" i="4" s="1"/>
  <c r="W157" i="4" s="1"/>
  <c r="G158" i="4"/>
  <c r="H158" i="4" s="1"/>
  <c r="J158" i="4"/>
  <c r="J159" i="4"/>
  <c r="G159" i="4"/>
  <c r="H159" i="4" s="1"/>
  <c r="R115" i="4"/>
  <c r="Q115" i="4"/>
  <c r="S115" i="4" s="1"/>
  <c r="I121" i="4"/>
  <c r="H121" i="4"/>
  <c r="Q121" i="4"/>
  <c r="S121" i="4" s="1"/>
  <c r="W121" i="4" s="1"/>
  <c r="G144" i="4"/>
  <c r="G147" i="4"/>
  <c r="H147" i="4" s="1"/>
  <c r="G152" i="4"/>
  <c r="H152" i="4" s="1"/>
  <c r="J152" i="4"/>
  <c r="R159" i="4"/>
  <c r="Q159" i="4"/>
  <c r="S159" i="4" s="1"/>
  <c r="J170" i="4"/>
  <c r="J70" i="4"/>
  <c r="J83" i="4"/>
  <c r="G86" i="4"/>
  <c r="H86" i="4" s="1"/>
  <c r="S88" i="4"/>
  <c r="G93" i="4"/>
  <c r="I93" i="4" s="1"/>
  <c r="G94" i="4"/>
  <c r="H94" i="4" s="1"/>
  <c r="H98" i="4"/>
  <c r="R98" i="4"/>
  <c r="R103" i="4"/>
  <c r="Q103" i="4"/>
  <c r="S103" i="4" s="1"/>
  <c r="G107" i="4"/>
  <c r="H107" i="4" s="1"/>
  <c r="J113" i="4"/>
  <c r="R121" i="4"/>
  <c r="R151" i="4"/>
  <c r="Q151" i="4"/>
  <c r="S151" i="4" s="1"/>
  <c r="S83" i="4"/>
  <c r="S84" i="4"/>
  <c r="W84" i="4" s="1"/>
  <c r="J86" i="4"/>
  <c r="J94" i="4"/>
  <c r="G112" i="4"/>
  <c r="I112" i="4" s="1"/>
  <c r="S116" i="4"/>
  <c r="R126" i="4"/>
  <c r="R135" i="4"/>
  <c r="I135" i="4"/>
  <c r="K135" i="4" s="1"/>
  <c r="Q135" i="4"/>
  <c r="S135" i="4" s="1"/>
  <c r="Q164" i="4"/>
  <c r="S164" i="4" s="1"/>
  <c r="G193" i="4"/>
  <c r="I193" i="4" s="1"/>
  <c r="J193" i="4"/>
  <c r="Q91" i="4"/>
  <c r="S91" i="4" s="1"/>
  <c r="W91" i="4" s="1"/>
  <c r="J95" i="4"/>
  <c r="S98" i="4"/>
  <c r="R104" i="4"/>
  <c r="H111" i="4"/>
  <c r="G113" i="4"/>
  <c r="H113" i="4" s="1"/>
  <c r="J119" i="4"/>
  <c r="H129" i="4"/>
  <c r="G149" i="4"/>
  <c r="I149" i="4" s="1"/>
  <c r="S149" i="4"/>
  <c r="J153" i="4"/>
  <c r="Q161" i="4"/>
  <c r="S161" i="4" s="1"/>
  <c r="W161" i="4" s="1"/>
  <c r="Q119" i="4"/>
  <c r="S119" i="4" s="1"/>
  <c r="W119" i="4" s="1"/>
  <c r="Q132" i="4"/>
  <c r="S132" i="4" s="1"/>
  <c r="G141" i="4"/>
  <c r="H141" i="4" s="1"/>
  <c r="J146" i="4"/>
  <c r="S147" i="4"/>
  <c r="R149" i="4"/>
  <c r="G184" i="4"/>
  <c r="R186" i="4"/>
  <c r="S186" i="4"/>
  <c r="R223" i="4"/>
  <c r="Q223" i="4"/>
  <c r="S223" i="4" s="1"/>
  <c r="J233" i="4"/>
  <c r="G233" i="4"/>
  <c r="Q100" i="4"/>
  <c r="S100" i="4" s="1"/>
  <c r="S124" i="4"/>
  <c r="R125" i="4"/>
  <c r="R132" i="4"/>
  <c r="Q143" i="4"/>
  <c r="S143" i="4" s="1"/>
  <c r="W143" i="4" s="1"/>
  <c r="Q146" i="4"/>
  <c r="R146" i="4"/>
  <c r="S162" i="4"/>
  <c r="R162" i="4"/>
  <c r="H162" i="4"/>
  <c r="Q127" i="4"/>
  <c r="S127" i="4" s="1"/>
  <c r="W127" i="4" s="1"/>
  <c r="S137" i="4"/>
  <c r="R137" i="4"/>
  <c r="Q139" i="4"/>
  <c r="S139" i="4" s="1"/>
  <c r="W139" i="4" s="1"/>
  <c r="J151" i="4"/>
  <c r="G153" i="4"/>
  <c r="H153" i="4" s="1"/>
  <c r="R175" i="4"/>
  <c r="I175" i="4"/>
  <c r="H175" i="4"/>
  <c r="Q175" i="4"/>
  <c r="S175" i="4" s="1"/>
  <c r="R194" i="4"/>
  <c r="S194" i="4"/>
  <c r="J214" i="4"/>
  <c r="G214" i="4"/>
  <c r="J215" i="4"/>
  <c r="Q232" i="4"/>
  <c r="S232" i="4" s="1"/>
  <c r="I232" i="4"/>
  <c r="J201" i="4"/>
  <c r="G201" i="4"/>
  <c r="H201" i="4" s="1"/>
  <c r="R215" i="4"/>
  <c r="S215" i="4"/>
  <c r="R231" i="4"/>
  <c r="Q231" i="4"/>
  <c r="S231" i="4" s="1"/>
  <c r="S106" i="4"/>
  <c r="J111" i="4"/>
  <c r="J129" i="4"/>
  <c r="G136" i="4"/>
  <c r="I136" i="4" s="1"/>
  <c r="S144" i="4"/>
  <c r="R144" i="4"/>
  <c r="S160" i="4"/>
  <c r="R160" i="4"/>
  <c r="S181" i="4"/>
  <c r="Q176" i="4"/>
  <c r="S176" i="4" s="1"/>
  <c r="G177" i="4"/>
  <c r="H177" i="4" s="1"/>
  <c r="J135" i="4"/>
  <c r="J142" i="4"/>
  <c r="S152" i="4"/>
  <c r="J166" i="4"/>
  <c r="Q167" i="4"/>
  <c r="S167" i="4" s="1"/>
  <c r="W167" i="4" s="1"/>
  <c r="Q177" i="4"/>
  <c r="S177" i="4" s="1"/>
  <c r="W177" i="4" s="1"/>
  <c r="S245" i="4"/>
  <c r="N1464" i="4"/>
  <c r="L1464" i="4"/>
  <c r="L1483" i="4"/>
  <c r="N1483" i="4"/>
  <c r="N1549" i="4"/>
  <c r="L1549" i="4"/>
  <c r="N1573" i="4"/>
  <c r="L1573" i="4"/>
  <c r="J180" i="4"/>
  <c r="G209" i="4"/>
  <c r="H209" i="4" s="1"/>
  <c r="J225" i="4"/>
  <c r="L981" i="4"/>
  <c r="N981" i="4"/>
  <c r="N1229" i="4"/>
  <c r="L1229" i="4"/>
  <c r="N1309" i="4"/>
  <c r="L1309" i="4"/>
  <c r="R236" i="4"/>
  <c r="L732" i="4"/>
  <c r="N732" i="4"/>
  <c r="Q165" i="4"/>
  <c r="S165" i="4" s="1"/>
  <c r="R183" i="4"/>
  <c r="S183" i="4"/>
  <c r="R210" i="4"/>
  <c r="G216" i="4"/>
  <c r="I216" i="4" s="1"/>
  <c r="Q224" i="4"/>
  <c r="S224" i="4" s="1"/>
  <c r="R234" i="4"/>
  <c r="S234" i="4"/>
  <c r="Q256" i="4"/>
  <c r="S256" i="4" s="1"/>
  <c r="N355" i="4"/>
  <c r="L355" i="4"/>
  <c r="N390" i="4"/>
  <c r="L390" i="4"/>
  <c r="R165" i="4"/>
  <c r="S170" i="4"/>
  <c r="J175" i="4"/>
  <c r="J188" i="4"/>
  <c r="R191" i="4"/>
  <c r="Q191" i="4"/>
  <c r="S191" i="4" s="1"/>
  <c r="J196" i="4"/>
  <c r="R199" i="4"/>
  <c r="Q199" i="4"/>
  <c r="S199" i="4" s="1"/>
  <c r="S216" i="4"/>
  <c r="Q253" i="4"/>
  <c r="S253" i="4" s="1"/>
  <c r="N1639" i="4"/>
  <c r="L1639" i="4"/>
  <c r="N1669" i="4"/>
  <c r="L1669" i="4"/>
  <c r="N1736" i="4"/>
  <c r="L1736" i="4"/>
  <c r="N1746" i="4"/>
  <c r="L1746" i="4"/>
  <c r="L1803" i="4"/>
  <c r="N1803" i="4"/>
  <c r="N1843" i="4"/>
  <c r="L1904" i="4"/>
  <c r="N1904" i="4"/>
  <c r="G182" i="4"/>
  <c r="H182" i="4" s="1"/>
  <c r="G190" i="4"/>
  <c r="H190" i="4" s="1"/>
  <c r="G198" i="4"/>
  <c r="H198" i="4" s="1"/>
  <c r="G208" i="4"/>
  <c r="I208" i="4" s="1"/>
  <c r="J246" i="4"/>
  <c r="J255" i="4"/>
  <c r="J259" i="4"/>
  <c r="G259" i="4"/>
  <c r="H259" i="4" s="1"/>
  <c r="L429" i="4"/>
  <c r="N429" i="4"/>
  <c r="L506" i="4"/>
  <c r="N506" i="4"/>
  <c r="L586" i="4"/>
  <c r="N586" i="4"/>
  <c r="L594" i="4"/>
  <c r="N594" i="4"/>
  <c r="N756" i="4"/>
  <c r="L756" i="4"/>
  <c r="N935" i="4"/>
  <c r="L935" i="4"/>
  <c r="L953" i="4"/>
  <c r="N1016" i="4"/>
  <c r="L1016" i="4"/>
  <c r="N1079" i="4"/>
  <c r="L1079" i="4"/>
  <c r="L1302" i="4"/>
  <c r="N1697" i="4"/>
  <c r="L1697" i="4"/>
  <c r="N1770" i="4"/>
  <c r="L1770" i="4"/>
  <c r="L1959" i="4"/>
  <c r="N1959" i="4"/>
  <c r="R255" i="4"/>
  <c r="R258" i="4"/>
  <c r="Q258" i="4"/>
  <c r="S258" i="4" s="1"/>
  <c r="L410" i="4"/>
  <c r="N410" i="4"/>
  <c r="N623" i="4"/>
  <c r="N863" i="4"/>
  <c r="L863" i="4"/>
  <c r="N979" i="4"/>
  <c r="L979" i="4"/>
  <c r="L1262" i="4"/>
  <c r="N1262" i="4"/>
  <c r="L1334" i="4"/>
  <c r="N1334" i="4"/>
  <c r="N1383" i="4"/>
  <c r="L1383" i="4"/>
  <c r="N1514" i="4"/>
  <c r="L1514" i="4"/>
  <c r="L1788" i="4"/>
  <c r="N1788" i="4"/>
  <c r="N1841" i="4"/>
  <c r="L1841" i="4"/>
  <c r="N1870" i="4"/>
  <c r="L1870" i="4"/>
  <c r="L1933" i="4"/>
  <c r="N1933" i="4"/>
  <c r="N1995" i="4"/>
  <c r="L1995" i="4"/>
  <c r="J182" i="4"/>
  <c r="J190" i="4"/>
  <c r="J198" i="4"/>
  <c r="S205" i="4"/>
  <c r="J206" i="4"/>
  <c r="S213" i="4"/>
  <c r="Q218" i="4"/>
  <c r="S218" i="4" s="1"/>
  <c r="Q221" i="4"/>
  <c r="S221" i="4" s="1"/>
  <c r="G222" i="4"/>
  <c r="I222" i="4" s="1"/>
  <c r="S229" i="4"/>
  <c r="Q237" i="4"/>
  <c r="S237" i="4" s="1"/>
  <c r="G238" i="4"/>
  <c r="J241" i="4"/>
  <c r="J247" i="4"/>
  <c r="S248" i="4"/>
  <c r="Q250" i="4"/>
  <c r="Q255" i="4"/>
  <c r="S255" i="4" s="1"/>
  <c r="N829" i="4"/>
  <c r="L829" i="4"/>
  <c r="N906" i="4"/>
  <c r="L906" i="4"/>
  <c r="N950" i="4"/>
  <c r="L950" i="4"/>
  <c r="L1069" i="4"/>
  <c r="N1069" i="4"/>
  <c r="N1095" i="4"/>
  <c r="L1095" i="4"/>
  <c r="N1096" i="4"/>
  <c r="L1096" i="4"/>
  <c r="N1120" i="4"/>
  <c r="L1120" i="4"/>
  <c r="L1146" i="4"/>
  <c r="N1146" i="4"/>
  <c r="L1254" i="4"/>
  <c r="N1254" i="4"/>
  <c r="L1287" i="4"/>
  <c r="N1287" i="4"/>
  <c r="N1293" i="4"/>
  <c r="L1293" i="4"/>
  <c r="N1538" i="4"/>
  <c r="L1538" i="4"/>
  <c r="N1733" i="4"/>
  <c r="L1733" i="4"/>
  <c r="N1830" i="4"/>
  <c r="L1830" i="4"/>
  <c r="N1931" i="4"/>
  <c r="L1931" i="4"/>
  <c r="J207" i="4"/>
  <c r="Q208" i="4"/>
  <c r="S208" i="4" s="1"/>
  <c r="J222" i="4"/>
  <c r="G225" i="4"/>
  <c r="G230" i="4"/>
  <c r="J238" i="4"/>
  <c r="S250" i="4"/>
  <c r="W250" i="4" s="1"/>
  <c r="L346" i="4"/>
  <c r="N346" i="4"/>
  <c r="N365" i="4"/>
  <c r="L365" i="4"/>
  <c r="L407" i="4"/>
  <c r="N407" i="4"/>
  <c r="L653" i="4"/>
  <c r="N653" i="4"/>
  <c r="N745" i="4"/>
  <c r="L745" i="4"/>
  <c r="N748" i="4"/>
  <c r="L748" i="4"/>
  <c r="N851" i="4"/>
  <c r="L851" i="4"/>
  <c r="L1117" i="4"/>
  <c r="N1117" i="4"/>
  <c r="N1325" i="4"/>
  <c r="L1325" i="4"/>
  <c r="N1359" i="4"/>
  <c r="L1442" i="4"/>
  <c r="N1442" i="4"/>
  <c r="N1472" i="4"/>
  <c r="L1472" i="4"/>
  <c r="N1762" i="4"/>
  <c r="L1762" i="4"/>
  <c r="N1858" i="4"/>
  <c r="L1858" i="4"/>
  <c r="N1862" i="4"/>
  <c r="L1862" i="4"/>
  <c r="N1889" i="4"/>
  <c r="L1889" i="4"/>
  <c r="J223" i="4"/>
  <c r="J230" i="4"/>
  <c r="J239" i="4"/>
  <c r="S240" i="4"/>
  <c r="G257" i="4"/>
  <c r="L290" i="4"/>
  <c r="N290" i="4"/>
  <c r="N338" i="4"/>
  <c r="L338" i="4"/>
  <c r="N797" i="4"/>
  <c r="L797" i="4"/>
  <c r="N871" i="4"/>
  <c r="L871" i="4"/>
  <c r="N904" i="4"/>
  <c r="L904" i="4"/>
  <c r="L1641" i="4"/>
  <c r="N1641" i="4"/>
  <c r="L1784" i="4"/>
  <c r="N1784" i="4"/>
  <c r="N1954" i="4"/>
  <c r="L1954" i="4"/>
  <c r="J231" i="4"/>
  <c r="Q242" i="4"/>
  <c r="S242" i="4" s="1"/>
  <c r="Q247" i="4"/>
  <c r="S247" i="4" s="1"/>
  <c r="L285" i="4"/>
  <c r="N285" i="4"/>
  <c r="L455" i="4"/>
  <c r="L865" i="4"/>
  <c r="N865" i="4"/>
  <c r="N942" i="4"/>
  <c r="L942" i="4"/>
  <c r="L1053" i="4"/>
  <c r="N1053" i="4"/>
  <c r="N1088" i="4"/>
  <c r="L1088" i="4"/>
  <c r="N1165" i="4"/>
  <c r="L1409" i="4"/>
  <c r="N1409" i="4"/>
  <c r="N1557" i="4"/>
  <c r="L1557" i="4"/>
  <c r="N1878" i="4"/>
  <c r="L1878" i="4"/>
  <c r="L1923" i="4"/>
  <c r="N1923" i="4"/>
  <c r="N1951" i="4"/>
  <c r="L1951" i="4"/>
  <c r="N1976" i="4"/>
  <c r="L1976" i="4"/>
  <c r="J257" i="4"/>
  <c r="L277" i="4"/>
  <c r="N277" i="4"/>
  <c r="N335" i="4"/>
  <c r="L335" i="4"/>
  <c r="L632" i="4"/>
  <c r="N632" i="4"/>
  <c r="L685" i="4"/>
  <c r="N685" i="4"/>
  <c r="L686" i="4"/>
  <c r="L844" i="4"/>
  <c r="N844" i="4"/>
  <c r="N888" i="4"/>
  <c r="L888" i="4"/>
  <c r="N987" i="4"/>
  <c r="L987" i="4"/>
  <c r="N1161" i="4"/>
  <c r="L1161" i="4"/>
  <c r="N1201" i="4"/>
  <c r="L1433" i="4"/>
  <c r="N1433" i="4"/>
  <c r="L1584" i="4"/>
  <c r="N1584" i="4"/>
  <c r="L1814" i="4"/>
  <c r="N1907" i="4"/>
  <c r="L1907" i="4"/>
  <c r="N266" i="4"/>
  <c r="N274" i="4"/>
  <c r="N357" i="4"/>
  <c r="N361" i="4"/>
  <c r="N404" i="4"/>
  <c r="N469" i="4"/>
  <c r="N570" i="4"/>
  <c r="L608" i="4"/>
  <c r="L650" i="4"/>
  <c r="N701" i="4"/>
  <c r="N862" i="4"/>
  <c r="N864" i="4"/>
  <c r="N929" i="4"/>
  <c r="N941" i="4"/>
  <c r="N1029" i="4"/>
  <c r="N1114" i="4"/>
  <c r="L1160" i="4"/>
  <c r="N1214" i="4"/>
  <c r="N1780" i="4"/>
  <c r="N349" i="4"/>
  <c r="N965" i="4"/>
  <c r="N1021" i="4"/>
  <c r="N1101" i="4"/>
  <c r="N1237" i="4"/>
  <c r="N1840" i="4"/>
  <c r="N477" i="4"/>
  <c r="L654" i="4"/>
  <c r="L670" i="4"/>
  <c r="L785" i="4"/>
  <c r="L907" i="4"/>
  <c r="L1099" i="4"/>
  <c r="L1131" i="4"/>
  <c r="L1217" i="4"/>
  <c r="L1416" i="4"/>
  <c r="L1570" i="4"/>
  <c r="L1604" i="4"/>
  <c r="L1681" i="4"/>
  <c r="L1705" i="4"/>
  <c r="L383" i="4"/>
  <c r="N498" i="4"/>
  <c r="N530" i="4"/>
  <c r="L638" i="4"/>
  <c r="N661" i="4"/>
  <c r="L662" i="4"/>
  <c r="N759" i="4"/>
  <c r="N766" i="4"/>
  <c r="L773" i="4"/>
  <c r="L821" i="4"/>
  <c r="N830" i="4"/>
  <c r="L861" i="4"/>
  <c r="L915" i="4"/>
  <c r="L1011" i="4"/>
  <c r="L1123" i="4"/>
  <c r="L1134" i="4"/>
  <c r="N1154" i="4"/>
  <c r="L1185" i="4"/>
  <c r="N1378" i="4"/>
  <c r="L1389" i="4"/>
  <c r="L1456" i="4"/>
  <c r="L1554" i="4"/>
  <c r="N1659" i="4"/>
  <c r="N1670" i="4"/>
  <c r="N1710" i="4"/>
  <c r="N1924" i="4"/>
  <c r="L1943" i="4"/>
  <c r="N1969" i="4"/>
  <c r="N1990" i="4"/>
  <c r="N693" i="4"/>
  <c r="L694" i="4"/>
  <c r="N774" i="4"/>
  <c r="N806" i="4"/>
  <c r="N822" i="4"/>
  <c r="N880" i="4"/>
  <c r="N909" i="4"/>
  <c r="L910" i="4"/>
  <c r="L1027" i="4"/>
  <c r="N1045" i="4"/>
  <c r="N1050" i="4"/>
  <c r="L1071" i="4"/>
  <c r="N1098" i="4"/>
  <c r="N1170" i="4"/>
  <c r="L1193" i="4"/>
  <c r="N1465" i="4"/>
  <c r="N1491" i="4"/>
  <c r="L1522" i="4"/>
  <c r="L1525" i="4"/>
  <c r="L1530" i="4"/>
  <c r="L1533" i="4"/>
  <c r="L1900" i="4"/>
  <c r="L1917" i="4"/>
  <c r="L1957" i="4"/>
  <c r="N372" i="4"/>
  <c r="N393" i="4"/>
  <c r="N442" i="4"/>
  <c r="N490" i="4"/>
  <c r="N522" i="4"/>
  <c r="N554" i="4"/>
  <c r="N599" i="4"/>
  <c r="N626" i="4"/>
  <c r="N737" i="4"/>
  <c r="L757" i="4"/>
  <c r="N881" i="4"/>
  <c r="L970" i="4"/>
  <c r="N1141" i="4"/>
  <c r="L1177" i="4"/>
  <c r="N1194" i="4"/>
  <c r="N1206" i="4"/>
  <c r="N1230" i="4"/>
  <c r="N1342" i="4"/>
  <c r="N1466" i="4"/>
  <c r="N1481" i="4"/>
  <c r="N1567" i="4"/>
  <c r="N1585" i="4"/>
  <c r="N1622" i="4"/>
  <c r="L1665" i="4"/>
  <c r="N1686" i="4"/>
  <c r="L1819" i="4"/>
  <c r="L1857" i="4"/>
  <c r="L1865" i="4"/>
  <c r="R12" i="4"/>
  <c r="R52" i="4"/>
  <c r="R76" i="4"/>
  <c r="W100" i="4"/>
  <c r="G100" i="4"/>
  <c r="H100" i="4" s="1"/>
  <c r="H211" i="4"/>
  <c r="Q222" i="4"/>
  <c r="S222" i="4" s="1"/>
  <c r="G237" i="4"/>
  <c r="I237" i="4" s="1"/>
  <c r="J237" i="4"/>
  <c r="N436" i="4"/>
  <c r="L436" i="4"/>
  <c r="G8" i="4"/>
  <c r="I8" i="4" s="1"/>
  <c r="H9" i="4"/>
  <c r="J11" i="4"/>
  <c r="R11" i="4"/>
  <c r="S12" i="4"/>
  <c r="G16" i="4"/>
  <c r="I16" i="4" s="1"/>
  <c r="H17" i="4"/>
  <c r="J19" i="4"/>
  <c r="R19" i="4"/>
  <c r="S20" i="4"/>
  <c r="G24" i="4"/>
  <c r="I24" i="4" s="1"/>
  <c r="J27" i="4"/>
  <c r="R27" i="4"/>
  <c r="S28" i="4"/>
  <c r="G32" i="4"/>
  <c r="I32" i="4" s="1"/>
  <c r="J35" i="4"/>
  <c r="R35" i="4"/>
  <c r="S36" i="4"/>
  <c r="G40" i="4"/>
  <c r="I40" i="4" s="1"/>
  <c r="H41" i="4"/>
  <c r="J43" i="4"/>
  <c r="R43" i="4"/>
  <c r="S44" i="4"/>
  <c r="G48" i="4"/>
  <c r="I48" i="4" s="1"/>
  <c r="H49" i="4"/>
  <c r="J51" i="4"/>
  <c r="R51" i="4"/>
  <c r="S52" i="4"/>
  <c r="G56" i="4"/>
  <c r="I56" i="4" s="1"/>
  <c r="H57" i="4"/>
  <c r="J59" i="4"/>
  <c r="R59" i="4"/>
  <c r="S60" i="4"/>
  <c r="G64" i="4"/>
  <c r="I64" i="4" s="1"/>
  <c r="J67" i="4"/>
  <c r="R67" i="4"/>
  <c r="S68" i="4"/>
  <c r="G72" i="4"/>
  <c r="I72" i="4" s="1"/>
  <c r="H73" i="4"/>
  <c r="J75" i="4"/>
  <c r="R75" i="4"/>
  <c r="S76" i="4"/>
  <c r="G80" i="4"/>
  <c r="I80" i="4" s="1"/>
  <c r="J82" i="4"/>
  <c r="S82" i="4"/>
  <c r="R84" i="4"/>
  <c r="H89" i="4"/>
  <c r="Q89" i="4"/>
  <c r="S89" i="4" s="1"/>
  <c r="G92" i="4"/>
  <c r="I92" i="4" s="1"/>
  <c r="J92" i="4"/>
  <c r="R94" i="4"/>
  <c r="G99" i="4"/>
  <c r="I99" i="4" s="1"/>
  <c r="G104" i="4"/>
  <c r="I104" i="4" s="1"/>
  <c r="J105" i="4"/>
  <c r="S105" i="4"/>
  <c r="W105" i="4" s="1"/>
  <c r="Q107" i="4"/>
  <c r="S107" i="4" s="1"/>
  <c r="G109" i="4"/>
  <c r="H109" i="4" s="1"/>
  <c r="Q109" i="4"/>
  <c r="S109" i="4" s="1"/>
  <c r="Q110" i="4"/>
  <c r="S110" i="4" s="1"/>
  <c r="I110" i="4"/>
  <c r="Q112" i="4"/>
  <c r="S112" i="4" s="1"/>
  <c r="R117" i="4"/>
  <c r="G122" i="4"/>
  <c r="H122" i="4" s="1"/>
  <c r="J123" i="4"/>
  <c r="S123" i="4"/>
  <c r="W123" i="4" s="1"/>
  <c r="J125" i="4"/>
  <c r="G127" i="4"/>
  <c r="J128" i="4"/>
  <c r="Q130" i="4"/>
  <c r="S130" i="4" s="1"/>
  <c r="Q140" i="4"/>
  <c r="S140" i="4" s="1"/>
  <c r="G145" i="4"/>
  <c r="H145" i="4" s="1"/>
  <c r="S146" i="4"/>
  <c r="W146" i="4" s="1"/>
  <c r="R148" i="4"/>
  <c r="W148" i="4" s="1"/>
  <c r="Q153" i="4"/>
  <c r="S153" i="4" s="1"/>
  <c r="G156" i="4"/>
  <c r="I156" i="4" s="1"/>
  <c r="J156" i="4"/>
  <c r="R158" i="4"/>
  <c r="G163" i="4"/>
  <c r="I163" i="4" s="1"/>
  <c r="G168" i="4"/>
  <c r="I168" i="4" s="1"/>
  <c r="J169" i="4"/>
  <c r="S169" i="4"/>
  <c r="W169" i="4" s="1"/>
  <c r="Q171" i="4"/>
  <c r="S171" i="4" s="1"/>
  <c r="G173" i="4"/>
  <c r="H173" i="4" s="1"/>
  <c r="Q173" i="4"/>
  <c r="S173" i="4" s="1"/>
  <c r="Q174" i="4"/>
  <c r="S174" i="4" s="1"/>
  <c r="I174" i="4"/>
  <c r="R176" i="4"/>
  <c r="J179" i="4"/>
  <c r="G181" i="4"/>
  <c r="Q185" i="4"/>
  <c r="J186" i="4"/>
  <c r="G186" i="4"/>
  <c r="J187" i="4"/>
  <c r="G189" i="4"/>
  <c r="Q193" i="4"/>
  <c r="S193" i="4" s="1"/>
  <c r="J194" i="4"/>
  <c r="G194" i="4"/>
  <c r="J195" i="4"/>
  <c r="G197" i="4"/>
  <c r="Q201" i="4"/>
  <c r="S201" i="4" s="1"/>
  <c r="J202" i="4"/>
  <c r="G202" i="4"/>
  <c r="J203" i="4"/>
  <c r="Q206" i="4"/>
  <c r="S206" i="4" s="1"/>
  <c r="I206" i="4"/>
  <c r="H206" i="4"/>
  <c r="J210" i="4"/>
  <c r="G210" i="4"/>
  <c r="G219" i="4"/>
  <c r="I219" i="4" s="1"/>
  <c r="G221" i="4"/>
  <c r="J221" i="4"/>
  <c r="J224" i="4"/>
  <c r="Q225" i="4"/>
  <c r="S225" i="4" s="1"/>
  <c r="I225" i="4"/>
  <c r="J226" i="4"/>
  <c r="W226" i="4"/>
  <c r="G226" i="4"/>
  <c r="I226" i="4" s="1"/>
  <c r="Q249" i="4"/>
  <c r="S249" i="4" s="1"/>
  <c r="I249" i="4"/>
  <c r="H249" i="4"/>
  <c r="S265" i="4"/>
  <c r="Q265" i="4"/>
  <c r="I265" i="4"/>
  <c r="H265" i="4"/>
  <c r="N271" i="4"/>
  <c r="L271" i="4"/>
  <c r="P285" i="4"/>
  <c r="W285" i="4"/>
  <c r="O285" i="4"/>
  <c r="G285" i="4"/>
  <c r="U285" i="4"/>
  <c r="M285" i="4"/>
  <c r="T285" i="4"/>
  <c r="K285" i="4"/>
  <c r="J285" i="4"/>
  <c r="K296" i="4"/>
  <c r="J296" i="4"/>
  <c r="P296" i="4"/>
  <c r="W296" i="4"/>
  <c r="O296" i="4"/>
  <c r="G296" i="4"/>
  <c r="V296" i="4"/>
  <c r="U296" i="4"/>
  <c r="M296" i="4"/>
  <c r="N301" i="4"/>
  <c r="K312" i="4"/>
  <c r="J312" i="4"/>
  <c r="P312" i="4"/>
  <c r="W312" i="4"/>
  <c r="O312" i="4"/>
  <c r="G312" i="4"/>
  <c r="V312" i="4"/>
  <c r="U312" i="4"/>
  <c r="M312" i="4"/>
  <c r="S321" i="4"/>
  <c r="Q321" i="4"/>
  <c r="I321" i="4"/>
  <c r="H321" i="4"/>
  <c r="V379" i="4"/>
  <c r="K379" i="4"/>
  <c r="G379" i="4"/>
  <c r="P379" i="4"/>
  <c r="O379" i="4"/>
  <c r="M379" i="4"/>
  <c r="W379" i="4"/>
  <c r="U379" i="4"/>
  <c r="J379" i="4"/>
  <c r="T379" i="4"/>
  <c r="R28" i="4"/>
  <c r="J133" i="4"/>
  <c r="W164" i="4"/>
  <c r="G164" i="4"/>
  <c r="H164" i="4" s="1"/>
  <c r="H184" i="4"/>
  <c r="H192" i="4"/>
  <c r="N295" i="4"/>
  <c r="L295" i="4"/>
  <c r="J3" i="4"/>
  <c r="R3" i="4"/>
  <c r="S4" i="4"/>
  <c r="J2" i="4"/>
  <c r="S3" i="4"/>
  <c r="G7" i="4"/>
  <c r="I9" i="4"/>
  <c r="Q9" i="4"/>
  <c r="S9" i="4" s="1"/>
  <c r="J10" i="4"/>
  <c r="G15" i="4"/>
  <c r="I17" i="4"/>
  <c r="Q17" i="4"/>
  <c r="S17" i="4" s="1"/>
  <c r="J18" i="4"/>
  <c r="G23" i="4"/>
  <c r="Q25" i="4"/>
  <c r="S25" i="4" s="1"/>
  <c r="W25" i="4" s="1"/>
  <c r="J26" i="4"/>
  <c r="S27" i="4"/>
  <c r="G31" i="4"/>
  <c r="Q33" i="4"/>
  <c r="S33" i="4" s="1"/>
  <c r="W33" i="4" s="1"/>
  <c r="J34" i="4"/>
  <c r="S35" i="4"/>
  <c r="G39" i="4"/>
  <c r="I41" i="4"/>
  <c r="Q41" i="4"/>
  <c r="S41" i="4" s="1"/>
  <c r="W41" i="4" s="1"/>
  <c r="J42" i="4"/>
  <c r="S43" i="4"/>
  <c r="G47" i="4"/>
  <c r="I49" i="4"/>
  <c r="Q49" i="4"/>
  <c r="S49" i="4" s="1"/>
  <c r="J50" i="4"/>
  <c r="S51" i="4"/>
  <c r="G55" i="4"/>
  <c r="H56" i="4"/>
  <c r="I57" i="4"/>
  <c r="Q57" i="4"/>
  <c r="S57" i="4" s="1"/>
  <c r="J58" i="4"/>
  <c r="S59" i="4"/>
  <c r="G63" i="4"/>
  <c r="Q65" i="4"/>
  <c r="S65" i="4" s="1"/>
  <c r="J66" i="4"/>
  <c r="S67" i="4"/>
  <c r="G71" i="4"/>
  <c r="H72" i="4"/>
  <c r="K72" i="4" s="1"/>
  <c r="I73" i="4"/>
  <c r="Q73" i="4"/>
  <c r="S73" i="4" s="1"/>
  <c r="J74" i="4"/>
  <c r="S75" i="4"/>
  <c r="G79" i="4"/>
  <c r="H80" i="4"/>
  <c r="K80" i="4" s="1"/>
  <c r="Q81" i="4"/>
  <c r="S81" i="4" s="1"/>
  <c r="G84" i="4"/>
  <c r="J84" i="4"/>
  <c r="I89" i="4"/>
  <c r="R89" i="4"/>
  <c r="W89" i="4" s="1"/>
  <c r="G91" i="4"/>
  <c r="G96" i="4"/>
  <c r="J97" i="4"/>
  <c r="Q99" i="4"/>
  <c r="S99" i="4" s="1"/>
  <c r="G101" i="4"/>
  <c r="Q102" i="4"/>
  <c r="S102" i="4" s="1"/>
  <c r="W102" i="4" s="1"/>
  <c r="I102" i="4"/>
  <c r="K102" i="4" s="1"/>
  <c r="Q104" i="4"/>
  <c r="S104" i="4" s="1"/>
  <c r="I107" i="4"/>
  <c r="R107" i="4"/>
  <c r="R109" i="4"/>
  <c r="R112" i="4"/>
  <c r="G114" i="4"/>
  <c r="J115" i="4"/>
  <c r="J117" i="4"/>
  <c r="S117" i="4"/>
  <c r="G119" i="4"/>
  <c r="J120" i="4"/>
  <c r="Q122" i="4"/>
  <c r="S122" i="4" s="1"/>
  <c r="W122" i="4" s="1"/>
  <c r="R130" i="4"/>
  <c r="G137" i="4"/>
  <c r="J138" i="4"/>
  <c r="R140" i="4"/>
  <c r="W140" i="4" s="1"/>
  <c r="Q145" i="4"/>
  <c r="S145" i="4" s="1"/>
  <c r="G148" i="4"/>
  <c r="H148" i="4" s="1"/>
  <c r="J148" i="4"/>
  <c r="W149" i="4"/>
  <c r="H150" i="4"/>
  <c r="R150" i="4"/>
  <c r="R153" i="4"/>
  <c r="G155" i="4"/>
  <c r="G160" i="4"/>
  <c r="J161" i="4"/>
  <c r="Q163" i="4"/>
  <c r="S163" i="4" s="1"/>
  <c r="G165" i="4"/>
  <c r="Q166" i="4"/>
  <c r="S166" i="4" s="1"/>
  <c r="W166" i="4" s="1"/>
  <c r="I166" i="4"/>
  <c r="K166" i="4" s="1"/>
  <c r="L166" i="4" s="1"/>
  <c r="M166" i="4" s="1"/>
  <c r="N166" i="4" s="1"/>
  <c r="O166" i="4" s="1"/>
  <c r="P166" i="4" s="1"/>
  <c r="Q168" i="4"/>
  <c r="S168" i="4" s="1"/>
  <c r="W168" i="4" s="1"/>
  <c r="R171" i="4"/>
  <c r="I173" i="4"/>
  <c r="K173" i="4" s="1"/>
  <c r="R173" i="4"/>
  <c r="G205" i="4"/>
  <c r="J205" i="4"/>
  <c r="J208" i="4"/>
  <c r="Q209" i="4"/>
  <c r="S209" i="4" s="1"/>
  <c r="Q211" i="4"/>
  <c r="S211" i="4" s="1"/>
  <c r="Q227" i="4"/>
  <c r="Q233" i="4"/>
  <c r="S233" i="4" s="1"/>
  <c r="I233" i="4"/>
  <c r="H233" i="4"/>
  <c r="J256" i="4"/>
  <c r="G256" i="4"/>
  <c r="I256" i="4" s="1"/>
  <c r="N261" i="4"/>
  <c r="K272" i="4"/>
  <c r="J272" i="4"/>
  <c r="P272" i="4"/>
  <c r="W272" i="4"/>
  <c r="O272" i="4"/>
  <c r="G272" i="4"/>
  <c r="V272" i="4"/>
  <c r="U272" i="4"/>
  <c r="M272" i="4"/>
  <c r="S281" i="4"/>
  <c r="Q281" i="4"/>
  <c r="I281" i="4"/>
  <c r="H281" i="4"/>
  <c r="L284" i="4"/>
  <c r="Q294" i="4"/>
  <c r="I294" i="4"/>
  <c r="H294" i="4"/>
  <c r="S294" i="4"/>
  <c r="T296" i="4"/>
  <c r="P301" i="4"/>
  <c r="W301" i="4"/>
  <c r="O301" i="4"/>
  <c r="G301" i="4"/>
  <c r="U301" i="4"/>
  <c r="M301" i="4"/>
  <c r="T301" i="4"/>
  <c r="K301" i="4"/>
  <c r="J301" i="4"/>
  <c r="Q310" i="4"/>
  <c r="I310" i="4"/>
  <c r="H310" i="4"/>
  <c r="S310" i="4"/>
  <c r="T312" i="4"/>
  <c r="N317" i="4"/>
  <c r="S443" i="4"/>
  <c r="H443" i="4"/>
  <c r="I443" i="4"/>
  <c r="R443" i="4"/>
  <c r="Q443" i="4"/>
  <c r="R20" i="4"/>
  <c r="W20" i="4" s="1"/>
  <c r="R60" i="4"/>
  <c r="R68" i="4"/>
  <c r="R49" i="4"/>
  <c r="R57" i="4"/>
  <c r="R65" i="4"/>
  <c r="R73" i="4"/>
  <c r="W73" i="4" s="1"/>
  <c r="R81" i="4"/>
  <c r="Q94" i="4"/>
  <c r="S94" i="4" s="1"/>
  <c r="J109" i="4"/>
  <c r="R122" i="4"/>
  <c r="G140" i="4"/>
  <c r="H140" i="4" s="1"/>
  <c r="J140" i="4"/>
  <c r="I145" i="4"/>
  <c r="R145" i="4"/>
  <c r="W145" i="4" s="1"/>
  <c r="Q158" i="4"/>
  <c r="S158" i="4" s="1"/>
  <c r="R163" i="4"/>
  <c r="J173" i="4"/>
  <c r="Q180" i="4"/>
  <c r="S180" i="4" s="1"/>
  <c r="J181" i="4"/>
  <c r="Q184" i="4"/>
  <c r="S184" i="4" s="1"/>
  <c r="Q188" i="4"/>
  <c r="J189" i="4"/>
  <c r="Q192" i="4"/>
  <c r="S192" i="4" s="1"/>
  <c r="Q196" i="4"/>
  <c r="J197" i="4"/>
  <c r="Q204" i="4"/>
  <c r="S204" i="4" s="1"/>
  <c r="R211" i="4"/>
  <c r="J219" i="4"/>
  <c r="Q220" i="4"/>
  <c r="S220" i="4" s="1"/>
  <c r="J240" i="4"/>
  <c r="G240" i="4"/>
  <c r="I240" i="4" s="1"/>
  <c r="G245" i="4"/>
  <c r="J245" i="4"/>
  <c r="Q254" i="4"/>
  <c r="S254" i="4" s="1"/>
  <c r="I254" i="4"/>
  <c r="H254" i="4"/>
  <c r="P261" i="4"/>
  <c r="W261" i="4"/>
  <c r="O261" i="4"/>
  <c r="G261" i="4"/>
  <c r="U261" i="4"/>
  <c r="M261" i="4"/>
  <c r="T261" i="4"/>
  <c r="K261" i="4"/>
  <c r="J261" i="4"/>
  <c r="Q270" i="4"/>
  <c r="I270" i="4"/>
  <c r="H270" i="4"/>
  <c r="S270" i="4"/>
  <c r="N287" i="4"/>
  <c r="L287" i="4"/>
  <c r="N316" i="4"/>
  <c r="L316" i="4"/>
  <c r="P317" i="4"/>
  <c r="W317" i="4"/>
  <c r="O317" i="4"/>
  <c r="G317" i="4"/>
  <c r="U317" i="4"/>
  <c r="M317" i="4"/>
  <c r="T317" i="4"/>
  <c r="K317" i="4"/>
  <c r="J317" i="4"/>
  <c r="H341" i="4"/>
  <c r="S341" i="4"/>
  <c r="I341" i="4"/>
  <c r="R341" i="4"/>
  <c r="Q341" i="4"/>
  <c r="R36" i="4"/>
  <c r="W36" i="4" s="1"/>
  <c r="R44" i="4"/>
  <c r="G178" i="4"/>
  <c r="S200" i="4"/>
  <c r="H200" i="4"/>
  <c r="Q278" i="4"/>
  <c r="I278" i="4"/>
  <c r="H278" i="4"/>
  <c r="S278" i="4"/>
  <c r="R9" i="4"/>
  <c r="R17" i="4"/>
  <c r="R8" i="4"/>
  <c r="W8" i="4" s="1"/>
  <c r="J24" i="4"/>
  <c r="J40" i="4"/>
  <c r="R40" i="4"/>
  <c r="R48" i="4"/>
  <c r="J64" i="4"/>
  <c r="J72" i="4"/>
  <c r="J80" i="4"/>
  <c r="Q86" i="4"/>
  <c r="S86" i="4" s="1"/>
  <c r="J99" i="4"/>
  <c r="J101" i="4"/>
  <c r="J104" i="4"/>
  <c r="J122" i="4"/>
  <c r="G132" i="4"/>
  <c r="J132" i="4"/>
  <c r="J145" i="4"/>
  <c r="Q150" i="4"/>
  <c r="S150" i="4" s="1"/>
  <c r="I150" i="4"/>
  <c r="W151" i="4"/>
  <c r="J163" i="4"/>
  <c r="J165" i="4"/>
  <c r="J168" i="4"/>
  <c r="R184" i="4"/>
  <c r="R192" i="4"/>
  <c r="R200" i="4"/>
  <c r="Q214" i="4"/>
  <c r="S214" i="4" s="1"/>
  <c r="W214" i="4" s="1"/>
  <c r="I214" i="4"/>
  <c r="H214" i="4"/>
  <c r="R222" i="4"/>
  <c r="Q230" i="4"/>
  <c r="S230" i="4" s="1"/>
  <c r="I230" i="4"/>
  <c r="H230" i="4"/>
  <c r="J232" i="4"/>
  <c r="Q238" i="4"/>
  <c r="S238" i="4" s="1"/>
  <c r="I238" i="4"/>
  <c r="H238" i="4"/>
  <c r="R249" i="4"/>
  <c r="R265" i="4"/>
  <c r="P277" i="4"/>
  <c r="W277" i="4"/>
  <c r="O277" i="4"/>
  <c r="G277" i="4"/>
  <c r="U277" i="4"/>
  <c r="M277" i="4"/>
  <c r="T277" i="4"/>
  <c r="K277" i="4"/>
  <c r="J277" i="4"/>
  <c r="K288" i="4"/>
  <c r="J288" i="4"/>
  <c r="P288" i="4"/>
  <c r="W288" i="4"/>
  <c r="O288" i="4"/>
  <c r="G288" i="4"/>
  <c r="V288" i="4"/>
  <c r="U288" i="4"/>
  <c r="M288" i="4"/>
  <c r="S297" i="4"/>
  <c r="Q297" i="4"/>
  <c r="I297" i="4"/>
  <c r="H297" i="4"/>
  <c r="N303" i="4"/>
  <c r="L303" i="4"/>
  <c r="S313" i="4"/>
  <c r="Q313" i="4"/>
  <c r="I313" i="4"/>
  <c r="H313" i="4"/>
  <c r="R321" i="4"/>
  <c r="P333" i="4"/>
  <c r="W333" i="4"/>
  <c r="O333" i="4"/>
  <c r="G333" i="4"/>
  <c r="V333" i="4"/>
  <c r="U333" i="4"/>
  <c r="M333" i="4"/>
  <c r="T333" i="4"/>
  <c r="K333" i="4"/>
  <c r="J333" i="4"/>
  <c r="S344" i="4"/>
  <c r="H344" i="4"/>
  <c r="I344" i="4"/>
  <c r="R344" i="4"/>
  <c r="Q344" i="4"/>
  <c r="H373" i="4"/>
  <c r="S373" i="4"/>
  <c r="I373" i="4"/>
  <c r="R373" i="4"/>
  <c r="Q373" i="4"/>
  <c r="S396" i="4"/>
  <c r="I396" i="4"/>
  <c r="R396" i="4"/>
  <c r="H396" i="4"/>
  <c r="Q396" i="4"/>
  <c r="H405" i="4"/>
  <c r="S405" i="4"/>
  <c r="I405" i="4"/>
  <c r="R405" i="4"/>
  <c r="Q405" i="4"/>
  <c r="K416" i="4"/>
  <c r="J416" i="4"/>
  <c r="P416" i="4"/>
  <c r="V416" i="4"/>
  <c r="U416" i="4"/>
  <c r="G416" i="4"/>
  <c r="T416" i="4"/>
  <c r="O416" i="4"/>
  <c r="M416" i="4"/>
  <c r="J8" i="4"/>
  <c r="R16" i="4"/>
  <c r="J32" i="4"/>
  <c r="J48" i="4"/>
  <c r="J56" i="4"/>
  <c r="R56" i="4"/>
  <c r="W56" i="4" s="1"/>
  <c r="R64" i="4"/>
  <c r="R72" i="4"/>
  <c r="R80" i="4"/>
  <c r="G4" i="4"/>
  <c r="I4" i="4" s="1"/>
  <c r="H5" i="4"/>
  <c r="I6" i="4"/>
  <c r="Q6" i="4"/>
  <c r="S6" i="4" s="1"/>
  <c r="J7" i="4"/>
  <c r="G12" i="4"/>
  <c r="H12" i="4" s="1"/>
  <c r="H13" i="4"/>
  <c r="I14" i="4"/>
  <c r="K14" i="4" s="1"/>
  <c r="Q14" i="4"/>
  <c r="S14" i="4" s="1"/>
  <c r="J15" i="4"/>
  <c r="G20" i="4"/>
  <c r="I20" i="4" s="1"/>
  <c r="H21" i="4"/>
  <c r="I22" i="4"/>
  <c r="Q22" i="4"/>
  <c r="S22" i="4" s="1"/>
  <c r="J23" i="4"/>
  <c r="G28" i="4"/>
  <c r="H28" i="4" s="1"/>
  <c r="Q30" i="4"/>
  <c r="S30" i="4" s="1"/>
  <c r="J31" i="4"/>
  <c r="G36" i="4"/>
  <c r="H36" i="4" s="1"/>
  <c r="H37" i="4"/>
  <c r="Q38" i="4"/>
  <c r="S38" i="4" s="1"/>
  <c r="J39" i="4"/>
  <c r="G44" i="4"/>
  <c r="I44" i="4" s="1"/>
  <c r="H45" i="4"/>
  <c r="I46" i="4"/>
  <c r="K46" i="4" s="1"/>
  <c r="L46" i="4" s="1"/>
  <c r="M46" i="4" s="1"/>
  <c r="N46" i="4" s="1"/>
  <c r="O46" i="4" s="1"/>
  <c r="P46" i="4" s="1"/>
  <c r="Q46" i="4"/>
  <c r="S46" i="4" s="1"/>
  <c r="J47" i="4"/>
  <c r="I54" i="4"/>
  <c r="Q54" i="4"/>
  <c r="S54" i="4" s="1"/>
  <c r="J55" i="4"/>
  <c r="K56" i="4"/>
  <c r="I62" i="4"/>
  <c r="K62" i="4" s="1"/>
  <c r="Q62" i="4"/>
  <c r="S62" i="4" s="1"/>
  <c r="J63" i="4"/>
  <c r="I70" i="4"/>
  <c r="K70" i="4" s="1"/>
  <c r="Q70" i="4"/>
  <c r="S70" i="4" s="1"/>
  <c r="J71" i="4"/>
  <c r="Q78" i="4"/>
  <c r="S78" i="4" s="1"/>
  <c r="J79" i="4"/>
  <c r="I83" i="4"/>
  <c r="K83" i="4" s="1"/>
  <c r="R83" i="4"/>
  <c r="W83" i="4" s="1"/>
  <c r="I88" i="4"/>
  <c r="K88" i="4" s="1"/>
  <c r="R88" i="4"/>
  <c r="J91" i="4"/>
  <c r="J93" i="4"/>
  <c r="J96" i="4"/>
  <c r="I106" i="4"/>
  <c r="K106" i="4" s="1"/>
  <c r="R106" i="4"/>
  <c r="W106" i="4" s="1"/>
  <c r="Q108" i="4"/>
  <c r="S108" i="4" s="1"/>
  <c r="J114" i="4"/>
  <c r="W124" i="4"/>
  <c r="G124" i="4"/>
  <c r="J124" i="4"/>
  <c r="I129" i="4"/>
  <c r="R129" i="4"/>
  <c r="J137" i="4"/>
  <c r="Q141" i="4"/>
  <c r="S141" i="4" s="1"/>
  <c r="Q142" i="4"/>
  <c r="S142" i="4" s="1"/>
  <c r="I142" i="4"/>
  <c r="K142" i="4" s="1"/>
  <c r="I147" i="4"/>
  <c r="R147" i="4"/>
  <c r="W147" i="4" s="1"/>
  <c r="I152" i="4"/>
  <c r="K152" i="4" s="1"/>
  <c r="R152" i="4"/>
  <c r="W152" i="4" s="1"/>
  <c r="J155" i="4"/>
  <c r="J157" i="4"/>
  <c r="J160" i="4"/>
  <c r="I170" i="4"/>
  <c r="R170" i="4"/>
  <c r="Q172" i="4"/>
  <c r="S172" i="4" s="1"/>
  <c r="Q178" i="4"/>
  <c r="S178" i="4" s="1"/>
  <c r="W178" i="4" s="1"/>
  <c r="Q179" i="4"/>
  <c r="S179" i="4" s="1"/>
  <c r="Q182" i="4"/>
  <c r="S182" i="4" s="1"/>
  <c r="W182" i="4" s="1"/>
  <c r="R185" i="4"/>
  <c r="Q187" i="4"/>
  <c r="S187" i="4" s="1"/>
  <c r="Q190" i="4"/>
  <c r="S190" i="4" s="1"/>
  <c r="W190" i="4" s="1"/>
  <c r="R193" i="4"/>
  <c r="Q195" i="4"/>
  <c r="S195" i="4" s="1"/>
  <c r="Q198" i="4"/>
  <c r="S198" i="4" s="1"/>
  <c r="W198" i="4" s="1"/>
  <c r="I198" i="4"/>
  <c r="R201" i="4"/>
  <c r="Q203" i="4"/>
  <c r="S203" i="4" s="1"/>
  <c r="R204" i="4"/>
  <c r="R206" i="4"/>
  <c r="G213" i="4"/>
  <c r="J213" i="4"/>
  <c r="J216" i="4"/>
  <c r="Q217" i="4"/>
  <c r="S217" i="4" s="1"/>
  <c r="W217" i="4" s="1"/>
  <c r="J218" i="4"/>
  <c r="W218" i="4"/>
  <c r="G218" i="4"/>
  <c r="R220" i="4"/>
  <c r="R225" i="4"/>
  <c r="G229" i="4"/>
  <c r="J229" i="4"/>
  <c r="R233" i="4"/>
  <c r="Q257" i="4"/>
  <c r="S257" i="4" s="1"/>
  <c r="W257" i="4" s="1"/>
  <c r="I257" i="4"/>
  <c r="H257" i="4"/>
  <c r="V261" i="4"/>
  <c r="N263" i="4"/>
  <c r="L263" i="4"/>
  <c r="S273" i="4"/>
  <c r="Q273" i="4"/>
  <c r="I273" i="4"/>
  <c r="H273" i="4"/>
  <c r="N276" i="4"/>
  <c r="L276" i="4"/>
  <c r="R281" i="4"/>
  <c r="Q286" i="4"/>
  <c r="I286" i="4"/>
  <c r="H286" i="4"/>
  <c r="S286" i="4"/>
  <c r="T288" i="4"/>
  <c r="N293" i="4"/>
  <c r="R294" i="4"/>
  <c r="K304" i="4"/>
  <c r="J304" i="4"/>
  <c r="P304" i="4"/>
  <c r="W304" i="4"/>
  <c r="O304" i="4"/>
  <c r="G304" i="4"/>
  <c r="V304" i="4"/>
  <c r="U304" i="4"/>
  <c r="M304" i="4"/>
  <c r="N309" i="4"/>
  <c r="R310" i="4"/>
  <c r="V317" i="4"/>
  <c r="N319" i="4"/>
  <c r="L319" i="4"/>
  <c r="N333" i="4"/>
  <c r="L333" i="4"/>
  <c r="S376" i="4"/>
  <c r="H376" i="4"/>
  <c r="I376" i="4"/>
  <c r="R376" i="4"/>
  <c r="Q376" i="4"/>
  <c r="W416" i="4"/>
  <c r="L417" i="4"/>
  <c r="N417" i="4"/>
  <c r="Q438" i="4"/>
  <c r="I438" i="4"/>
  <c r="H438" i="4"/>
  <c r="S438" i="4"/>
  <c r="R438" i="4"/>
  <c r="R4" i="4"/>
  <c r="J164" i="4"/>
  <c r="J178" i="4"/>
  <c r="S227" i="4"/>
  <c r="W227" i="4" s="1"/>
  <c r="H227" i="4"/>
  <c r="S305" i="4"/>
  <c r="Q305" i="4"/>
  <c r="I305" i="4"/>
  <c r="H305" i="4"/>
  <c r="N311" i="4"/>
  <c r="L311" i="4"/>
  <c r="Q326" i="4"/>
  <c r="I326" i="4"/>
  <c r="H326" i="4"/>
  <c r="S326" i="4"/>
  <c r="V347" i="4"/>
  <c r="K347" i="4"/>
  <c r="G347" i="4"/>
  <c r="P347" i="4"/>
  <c r="O347" i="4"/>
  <c r="M347" i="4"/>
  <c r="W347" i="4"/>
  <c r="U347" i="4"/>
  <c r="J347" i="4"/>
  <c r="N394" i="4"/>
  <c r="L394" i="4"/>
  <c r="G3" i="4"/>
  <c r="G11" i="4"/>
  <c r="R14" i="4"/>
  <c r="R22" i="4"/>
  <c r="R30" i="4"/>
  <c r="R38" i="4"/>
  <c r="G43" i="4"/>
  <c r="R46" i="4"/>
  <c r="G51" i="4"/>
  <c r="H52" i="4"/>
  <c r="R62" i="4"/>
  <c r="G67" i="4"/>
  <c r="R70" i="4"/>
  <c r="G75" i="4"/>
  <c r="H76" i="4"/>
  <c r="R78" i="4"/>
  <c r="G82" i="4"/>
  <c r="I82" i="4" s="1"/>
  <c r="J85" i="4"/>
  <c r="G87" i="4"/>
  <c r="H90" i="4"/>
  <c r="Q90" i="4"/>
  <c r="S90" i="4" s="1"/>
  <c r="W90" i="4" s="1"/>
  <c r="G105" i="4"/>
  <c r="I105" i="4" s="1"/>
  <c r="R108" i="4"/>
  <c r="Q113" i="4"/>
  <c r="S113" i="4" s="1"/>
  <c r="W113" i="4" s="1"/>
  <c r="W116" i="4"/>
  <c r="G116" i="4"/>
  <c r="J116" i="4"/>
  <c r="G123" i="4"/>
  <c r="I123" i="4" s="1"/>
  <c r="G128" i="4"/>
  <c r="I128" i="4" s="1"/>
  <c r="Q131" i="4"/>
  <c r="S131" i="4" s="1"/>
  <c r="W131" i="4" s="1"/>
  <c r="G133" i="4"/>
  <c r="H133" i="4" s="1"/>
  <c r="Q134" i="4"/>
  <c r="S134" i="4" s="1"/>
  <c r="W134" i="4" s="1"/>
  <c r="I134" i="4"/>
  <c r="H136" i="4"/>
  <c r="Q136" i="4"/>
  <c r="S136" i="4" s="1"/>
  <c r="R141" i="4"/>
  <c r="G146" i="4"/>
  <c r="I146" i="4" s="1"/>
  <c r="J149" i="4"/>
  <c r="G151" i="4"/>
  <c r="H154" i="4"/>
  <c r="Q154" i="4"/>
  <c r="S154" i="4" s="1"/>
  <c r="W154" i="4" s="1"/>
  <c r="G169" i="4"/>
  <c r="I169" i="4" s="1"/>
  <c r="R172" i="4"/>
  <c r="H178" i="4"/>
  <c r="R179" i="4"/>
  <c r="R180" i="4"/>
  <c r="I184" i="4"/>
  <c r="S185" i="4"/>
  <c r="R187" i="4"/>
  <c r="R188" i="4"/>
  <c r="I192" i="4"/>
  <c r="R195" i="4"/>
  <c r="R196" i="4"/>
  <c r="I200" i="4"/>
  <c r="K200" i="4" s="1"/>
  <c r="R203" i="4"/>
  <c r="R209" i="4"/>
  <c r="I211" i="4"/>
  <c r="Q219" i="4"/>
  <c r="S219" i="4" s="1"/>
  <c r="I227" i="4"/>
  <c r="Q241" i="4"/>
  <c r="S241" i="4" s="1"/>
  <c r="W241" i="4" s="1"/>
  <c r="I241" i="4"/>
  <c r="H241" i="4"/>
  <c r="J248" i="4"/>
  <c r="G248" i="4"/>
  <c r="I248" i="4" s="1"/>
  <c r="R254" i="4"/>
  <c r="K264" i="4"/>
  <c r="J264" i="4"/>
  <c r="P264" i="4"/>
  <c r="W264" i="4"/>
  <c r="O264" i="4"/>
  <c r="G264" i="4"/>
  <c r="V264" i="4"/>
  <c r="U264" i="4"/>
  <c r="M264" i="4"/>
  <c r="N269" i="4"/>
  <c r="R270" i="4"/>
  <c r="V277" i="4"/>
  <c r="P293" i="4"/>
  <c r="W293" i="4"/>
  <c r="O293" i="4"/>
  <c r="G293" i="4"/>
  <c r="U293" i="4"/>
  <c r="M293" i="4"/>
  <c r="T293" i="4"/>
  <c r="K293" i="4"/>
  <c r="J293" i="4"/>
  <c r="Q302" i="4"/>
  <c r="I302" i="4"/>
  <c r="H302" i="4"/>
  <c r="S302" i="4"/>
  <c r="P309" i="4"/>
  <c r="W309" i="4"/>
  <c r="O309" i="4"/>
  <c r="G309" i="4"/>
  <c r="U309" i="4"/>
  <c r="M309" i="4"/>
  <c r="T309" i="4"/>
  <c r="K309" i="4"/>
  <c r="J309" i="4"/>
  <c r="K320" i="4"/>
  <c r="J320" i="4"/>
  <c r="P320" i="4"/>
  <c r="W320" i="4"/>
  <c r="O320" i="4"/>
  <c r="G320" i="4"/>
  <c r="V320" i="4"/>
  <c r="U320" i="4"/>
  <c r="M320" i="4"/>
  <c r="P325" i="4"/>
  <c r="W325" i="4"/>
  <c r="O325" i="4"/>
  <c r="G325" i="4"/>
  <c r="V325" i="4"/>
  <c r="U325" i="4"/>
  <c r="M325" i="4"/>
  <c r="T325" i="4"/>
  <c r="K325" i="4"/>
  <c r="J325" i="4"/>
  <c r="N332" i="4"/>
  <c r="L332" i="4"/>
  <c r="Q334" i="4"/>
  <c r="I334" i="4"/>
  <c r="H334" i="4"/>
  <c r="S334" i="4"/>
  <c r="S364" i="4"/>
  <c r="I364" i="4"/>
  <c r="R364" i="4"/>
  <c r="H364" i="4"/>
  <c r="Q364" i="4"/>
  <c r="Q118" i="4"/>
  <c r="S118" i="4" s="1"/>
  <c r="W118" i="4" s="1"/>
  <c r="J16" i="4"/>
  <c r="R6" i="4"/>
  <c r="G19" i="4"/>
  <c r="G27" i="4"/>
  <c r="G35" i="4"/>
  <c r="W51" i="4"/>
  <c r="R54" i="4"/>
  <c r="G59" i="4"/>
  <c r="G2" i="4"/>
  <c r="G10" i="4"/>
  <c r="G18" i="4"/>
  <c r="G26" i="4"/>
  <c r="G34" i="4"/>
  <c r="I36" i="4"/>
  <c r="G42" i="4"/>
  <c r="G50" i="4"/>
  <c r="I52" i="4"/>
  <c r="G58" i="4"/>
  <c r="G66" i="4"/>
  <c r="G74" i="4"/>
  <c r="I76" i="4"/>
  <c r="I90" i="4"/>
  <c r="G97" i="4"/>
  <c r="J98" i="4"/>
  <c r="W99" i="4"/>
  <c r="I100" i="4"/>
  <c r="K100" i="4" s="1"/>
  <c r="W104" i="4"/>
  <c r="H105" i="4"/>
  <c r="G108" i="4"/>
  <c r="I108" i="4" s="1"/>
  <c r="J108" i="4"/>
  <c r="H110" i="4"/>
  <c r="R110" i="4"/>
  <c r="G115" i="4"/>
  <c r="G120" i="4"/>
  <c r="J121" i="4"/>
  <c r="G125" i="4"/>
  <c r="Q125" i="4"/>
  <c r="S125" i="4" s="1"/>
  <c r="Q126" i="4"/>
  <c r="S126" i="4" s="1"/>
  <c r="W126" i="4" s="1"/>
  <c r="H128" i="4"/>
  <c r="K128" i="4" s="1"/>
  <c r="Q128" i="4"/>
  <c r="S128" i="4" s="1"/>
  <c r="R133" i="4"/>
  <c r="R136" i="4"/>
  <c r="G138" i="4"/>
  <c r="J139" i="4"/>
  <c r="J141" i="4"/>
  <c r="G143" i="4"/>
  <c r="J144" i="4"/>
  <c r="I154" i="4"/>
  <c r="H156" i="4"/>
  <c r="G161" i="4"/>
  <c r="J162" i="4"/>
  <c r="I164" i="4"/>
  <c r="K170" i="4"/>
  <c r="G172" i="4"/>
  <c r="I172" i="4" s="1"/>
  <c r="J172" i="4"/>
  <c r="W173" i="4"/>
  <c r="H174" i="4"/>
  <c r="R174" i="4"/>
  <c r="I178" i="4"/>
  <c r="G179" i="4"/>
  <c r="I179" i="4" s="1"/>
  <c r="J183" i="4"/>
  <c r="G183" i="4"/>
  <c r="J184" i="4"/>
  <c r="G187" i="4"/>
  <c r="I187" i="4" s="1"/>
  <c r="S188" i="4"/>
  <c r="J191" i="4"/>
  <c r="G191" i="4"/>
  <c r="J192" i="4"/>
  <c r="G195" i="4"/>
  <c r="I195" i="4" s="1"/>
  <c r="S196" i="4"/>
  <c r="J199" i="4"/>
  <c r="G199" i="4"/>
  <c r="J200" i="4"/>
  <c r="G203" i="4"/>
  <c r="I203" i="4" s="1"/>
  <c r="J211" i="4"/>
  <c r="Q212" i="4"/>
  <c r="S212" i="4" s="1"/>
  <c r="W212" i="4" s="1"/>
  <c r="R219" i="4"/>
  <c r="G224" i="4"/>
  <c r="I224" i="4" s="1"/>
  <c r="H225" i="4"/>
  <c r="J227" i="4"/>
  <c r="Q228" i="4"/>
  <c r="S228" i="4" s="1"/>
  <c r="W228" i="4" s="1"/>
  <c r="R230" i="4"/>
  <c r="R238" i="4"/>
  <c r="Q246" i="4"/>
  <c r="S246" i="4" s="1"/>
  <c r="W246" i="4" s="1"/>
  <c r="I246" i="4"/>
  <c r="H246" i="4"/>
  <c r="G253" i="4"/>
  <c r="J253" i="4"/>
  <c r="Q262" i="4"/>
  <c r="I262" i="4"/>
  <c r="H262" i="4"/>
  <c r="S262" i="4"/>
  <c r="T264" i="4"/>
  <c r="N268" i="4"/>
  <c r="L268" i="4"/>
  <c r="P269" i="4"/>
  <c r="W269" i="4"/>
  <c r="O269" i="4"/>
  <c r="G269" i="4"/>
  <c r="U269" i="4"/>
  <c r="M269" i="4"/>
  <c r="T269" i="4"/>
  <c r="K269" i="4"/>
  <c r="J269" i="4"/>
  <c r="K280" i="4"/>
  <c r="J280" i="4"/>
  <c r="P280" i="4"/>
  <c r="W280" i="4"/>
  <c r="O280" i="4"/>
  <c r="G280" i="4"/>
  <c r="V280" i="4"/>
  <c r="U280" i="4"/>
  <c r="M280" i="4"/>
  <c r="S289" i="4"/>
  <c r="Q289" i="4"/>
  <c r="I289" i="4"/>
  <c r="H289" i="4"/>
  <c r="N292" i="4"/>
  <c r="L292" i="4"/>
  <c r="R297" i="4"/>
  <c r="N308" i="4"/>
  <c r="L308" i="4"/>
  <c r="R313" i="4"/>
  <c r="Q318" i="4"/>
  <c r="I318" i="4"/>
  <c r="H318" i="4"/>
  <c r="S318" i="4"/>
  <c r="T320" i="4"/>
  <c r="N325" i="4"/>
  <c r="L325" i="4"/>
  <c r="L425" i="4"/>
  <c r="N425" i="4"/>
  <c r="L465" i="4"/>
  <c r="N465" i="4"/>
  <c r="V467" i="4"/>
  <c r="U467" i="4"/>
  <c r="M467" i="4"/>
  <c r="K467" i="4"/>
  <c r="J467" i="4"/>
  <c r="P467" i="4"/>
  <c r="S473" i="4"/>
  <c r="Q473" i="4"/>
  <c r="I473" i="4"/>
  <c r="H473" i="4"/>
  <c r="N476" i="4"/>
  <c r="L476" i="4"/>
  <c r="N479" i="4"/>
  <c r="L479" i="4"/>
  <c r="P525" i="4"/>
  <c r="W525" i="4"/>
  <c r="O525" i="4"/>
  <c r="G525" i="4"/>
  <c r="V525" i="4"/>
  <c r="U525" i="4"/>
  <c r="M525" i="4"/>
  <c r="T525" i="4"/>
  <c r="K525" i="4"/>
  <c r="J525" i="4"/>
  <c r="P533" i="4"/>
  <c r="W533" i="4"/>
  <c r="O533" i="4"/>
  <c r="G533" i="4"/>
  <c r="V533" i="4"/>
  <c r="U533" i="4"/>
  <c r="M533" i="4"/>
  <c r="T533" i="4"/>
  <c r="K533" i="4"/>
  <c r="J533" i="4"/>
  <c r="P541" i="4"/>
  <c r="W541" i="4"/>
  <c r="O541" i="4"/>
  <c r="G541" i="4"/>
  <c r="V541" i="4"/>
  <c r="U541" i="4"/>
  <c r="M541" i="4"/>
  <c r="T541" i="4"/>
  <c r="K541" i="4"/>
  <c r="J541" i="4"/>
  <c r="P549" i="4"/>
  <c r="W549" i="4"/>
  <c r="O549" i="4"/>
  <c r="G549" i="4"/>
  <c r="V549" i="4"/>
  <c r="U549" i="4"/>
  <c r="M549" i="4"/>
  <c r="T549" i="4"/>
  <c r="K549" i="4"/>
  <c r="J549" i="4"/>
  <c r="P557" i="4"/>
  <c r="W557" i="4"/>
  <c r="O557" i="4"/>
  <c r="G557" i="4"/>
  <c r="V557" i="4"/>
  <c r="U557" i="4"/>
  <c r="M557" i="4"/>
  <c r="T557" i="4"/>
  <c r="K557" i="4"/>
  <c r="J557" i="4"/>
  <c r="P565" i="4"/>
  <c r="W565" i="4"/>
  <c r="O565" i="4"/>
  <c r="G565" i="4"/>
  <c r="V565" i="4"/>
  <c r="U565" i="4"/>
  <c r="M565" i="4"/>
  <c r="T565" i="4"/>
  <c r="K565" i="4"/>
  <c r="J565" i="4"/>
  <c r="N572" i="4"/>
  <c r="L572" i="4"/>
  <c r="N573" i="4"/>
  <c r="L573" i="4"/>
  <c r="N589" i="4"/>
  <c r="L589" i="4"/>
  <c r="N613" i="4"/>
  <c r="L613" i="4"/>
  <c r="N1330" i="4"/>
  <c r="L1330" i="4"/>
  <c r="R181" i="4"/>
  <c r="W181" i="4" s="1"/>
  <c r="R189" i="4"/>
  <c r="R197" i="4"/>
  <c r="W197" i="4" s="1"/>
  <c r="R205" i="4"/>
  <c r="W205" i="4" s="1"/>
  <c r="R213" i="4"/>
  <c r="W213" i="4" s="1"/>
  <c r="R221" i="4"/>
  <c r="R229" i="4"/>
  <c r="G234" i="4"/>
  <c r="H235" i="4"/>
  <c r="Q236" i="4"/>
  <c r="S236" i="4" s="1"/>
  <c r="W236" i="4" s="1"/>
  <c r="R237" i="4"/>
  <c r="W237" i="4" s="1"/>
  <c r="G242" i="4"/>
  <c r="W242" i="4"/>
  <c r="H243" i="4"/>
  <c r="Q244" i="4"/>
  <c r="S244" i="4" s="1"/>
  <c r="R245" i="4"/>
  <c r="G250" i="4"/>
  <c r="H251" i="4"/>
  <c r="Q252" i="4"/>
  <c r="S252" i="4" s="1"/>
  <c r="W252" i="4" s="1"/>
  <c r="R253" i="4"/>
  <c r="G258" i="4"/>
  <c r="I258" i="4" s="1"/>
  <c r="Q260" i="4"/>
  <c r="S260" i="4" s="1"/>
  <c r="W260" i="4" s="1"/>
  <c r="R261" i="4"/>
  <c r="T263" i="4"/>
  <c r="G266" i="4"/>
  <c r="O266" i="4"/>
  <c r="W266" i="4"/>
  <c r="H267" i="4"/>
  <c r="P267" i="4"/>
  <c r="I268" i="4"/>
  <c r="Q268" i="4"/>
  <c r="R269" i="4"/>
  <c r="T271" i="4"/>
  <c r="G274" i="4"/>
  <c r="O274" i="4"/>
  <c r="W274" i="4"/>
  <c r="H275" i="4"/>
  <c r="P275" i="4"/>
  <c r="I276" i="4"/>
  <c r="Q276" i="4"/>
  <c r="R277" i="4"/>
  <c r="T279" i="4"/>
  <c r="G282" i="4"/>
  <c r="O282" i="4"/>
  <c r="W282" i="4"/>
  <c r="H283" i="4"/>
  <c r="P283" i="4"/>
  <c r="I284" i="4"/>
  <c r="Q284" i="4"/>
  <c r="R285" i="4"/>
  <c r="T287" i="4"/>
  <c r="G290" i="4"/>
  <c r="O290" i="4"/>
  <c r="W290" i="4"/>
  <c r="H291" i="4"/>
  <c r="P291" i="4"/>
  <c r="I292" i="4"/>
  <c r="Q292" i="4"/>
  <c r="R293" i="4"/>
  <c r="T295" i="4"/>
  <c r="V297" i="4"/>
  <c r="G298" i="4"/>
  <c r="O298" i="4"/>
  <c r="W298" i="4"/>
  <c r="H299" i="4"/>
  <c r="P299" i="4"/>
  <c r="I300" i="4"/>
  <c r="Q300" i="4"/>
  <c r="R301" i="4"/>
  <c r="T303" i="4"/>
  <c r="V305" i="4"/>
  <c r="G306" i="4"/>
  <c r="O306" i="4"/>
  <c r="W306" i="4"/>
  <c r="H307" i="4"/>
  <c r="P307" i="4"/>
  <c r="I308" i="4"/>
  <c r="Q308" i="4"/>
  <c r="R309" i="4"/>
  <c r="T311" i="4"/>
  <c r="V313" i="4"/>
  <c r="G314" i="4"/>
  <c r="O314" i="4"/>
  <c r="W314" i="4"/>
  <c r="H315" i="4"/>
  <c r="P315" i="4"/>
  <c r="I316" i="4"/>
  <c r="Q316" i="4"/>
  <c r="R317" i="4"/>
  <c r="T319" i="4"/>
  <c r="V321" i="4"/>
  <c r="G322" i="4"/>
  <c r="O322" i="4"/>
  <c r="W322" i="4"/>
  <c r="H323" i="4"/>
  <c r="P323" i="4"/>
  <c r="I324" i="4"/>
  <c r="Q324" i="4"/>
  <c r="R325" i="4"/>
  <c r="T327" i="4"/>
  <c r="N329" i="4"/>
  <c r="V329" i="4"/>
  <c r="G330" i="4"/>
  <c r="O330" i="4"/>
  <c r="W330" i="4"/>
  <c r="H331" i="4"/>
  <c r="P331" i="4"/>
  <c r="I332" i="4"/>
  <c r="Q332" i="4"/>
  <c r="R333" i="4"/>
  <c r="T335" i="4"/>
  <c r="N337" i="4"/>
  <c r="V337" i="4"/>
  <c r="G338" i="4"/>
  <c r="O338" i="4"/>
  <c r="W338" i="4"/>
  <c r="H339" i="4"/>
  <c r="R339" i="4"/>
  <c r="H342" i="4"/>
  <c r="H345" i="4"/>
  <c r="H348" i="4"/>
  <c r="Q350" i="4"/>
  <c r="I350" i="4"/>
  <c r="Q353" i="4"/>
  <c r="I353" i="4"/>
  <c r="M355" i="4"/>
  <c r="W356" i="4"/>
  <c r="O356" i="4"/>
  <c r="G356" i="4"/>
  <c r="T356" i="4"/>
  <c r="J356" i="4"/>
  <c r="U356" i="4"/>
  <c r="R357" i="4"/>
  <c r="J359" i="4"/>
  <c r="W359" i="4"/>
  <c r="O359" i="4"/>
  <c r="G359" i="4"/>
  <c r="K359" i="4"/>
  <c r="U359" i="4"/>
  <c r="G360" i="4"/>
  <c r="U362" i="4"/>
  <c r="M362" i="4"/>
  <c r="J362" i="4"/>
  <c r="T362" i="4"/>
  <c r="P365" i="4"/>
  <c r="U365" i="4"/>
  <c r="M365" i="4"/>
  <c r="J365" i="4"/>
  <c r="T365" i="4"/>
  <c r="K368" i="4"/>
  <c r="P368" i="4"/>
  <c r="J368" i="4"/>
  <c r="U368" i="4"/>
  <c r="L370" i="4"/>
  <c r="H371" i="4"/>
  <c r="R371" i="4"/>
  <c r="H374" i="4"/>
  <c r="H377" i="4"/>
  <c r="H380" i="4"/>
  <c r="Q382" i="4"/>
  <c r="I382" i="4"/>
  <c r="Q385" i="4"/>
  <c r="I385" i="4"/>
  <c r="W388" i="4"/>
  <c r="O388" i="4"/>
  <c r="G388" i="4"/>
  <c r="T388" i="4"/>
  <c r="J388" i="4"/>
  <c r="U388" i="4"/>
  <c r="R389" i="4"/>
  <c r="J391" i="4"/>
  <c r="W391" i="4"/>
  <c r="O391" i="4"/>
  <c r="G391" i="4"/>
  <c r="K391" i="4"/>
  <c r="U391" i="4"/>
  <c r="G392" i="4"/>
  <c r="U394" i="4"/>
  <c r="M394" i="4"/>
  <c r="J394" i="4"/>
  <c r="T394" i="4"/>
  <c r="P397" i="4"/>
  <c r="U397" i="4"/>
  <c r="M397" i="4"/>
  <c r="J397" i="4"/>
  <c r="T397" i="4"/>
  <c r="K400" i="4"/>
  <c r="P400" i="4"/>
  <c r="J400" i="4"/>
  <c r="U400" i="4"/>
  <c r="H403" i="4"/>
  <c r="R403" i="4"/>
  <c r="H406" i="4"/>
  <c r="S409" i="4"/>
  <c r="Q409" i="4"/>
  <c r="I409" i="4"/>
  <c r="G411" i="4"/>
  <c r="R411" i="4"/>
  <c r="N415" i="4"/>
  <c r="G418" i="4"/>
  <c r="K424" i="4"/>
  <c r="J424" i="4"/>
  <c r="P424" i="4"/>
  <c r="W424" i="4"/>
  <c r="P437" i="4"/>
  <c r="W437" i="4"/>
  <c r="O437" i="4"/>
  <c r="G437" i="4"/>
  <c r="U437" i="4"/>
  <c r="M437" i="4"/>
  <c r="J437" i="4"/>
  <c r="L437" i="4"/>
  <c r="K440" i="4"/>
  <c r="J440" i="4"/>
  <c r="P440" i="4"/>
  <c r="U440" i="4"/>
  <c r="M440" i="4"/>
  <c r="S441" i="4"/>
  <c r="Q441" i="4"/>
  <c r="I441" i="4"/>
  <c r="U442" i="4"/>
  <c r="M442" i="4"/>
  <c r="T442" i="4"/>
  <c r="J442" i="4"/>
  <c r="W442" i="4"/>
  <c r="O442" i="4"/>
  <c r="G442" i="4"/>
  <c r="K442" i="4"/>
  <c r="Q462" i="4"/>
  <c r="I462" i="4"/>
  <c r="H462" i="4"/>
  <c r="S462" i="4"/>
  <c r="O467" i="4"/>
  <c r="P469" i="4"/>
  <c r="W469" i="4"/>
  <c r="O469" i="4"/>
  <c r="G469" i="4"/>
  <c r="U469" i="4"/>
  <c r="M469" i="4"/>
  <c r="T469" i="4"/>
  <c r="K469" i="4"/>
  <c r="J469" i="4"/>
  <c r="P485" i="4"/>
  <c r="W485" i="4"/>
  <c r="O485" i="4"/>
  <c r="G485" i="4"/>
  <c r="V485" i="4"/>
  <c r="U485" i="4"/>
  <c r="M485" i="4"/>
  <c r="T485" i="4"/>
  <c r="K485" i="4"/>
  <c r="J485" i="4"/>
  <c r="P493" i="4"/>
  <c r="W493" i="4"/>
  <c r="O493" i="4"/>
  <c r="G493" i="4"/>
  <c r="V493" i="4"/>
  <c r="U493" i="4"/>
  <c r="M493" i="4"/>
  <c r="T493" i="4"/>
  <c r="K493" i="4"/>
  <c r="J493" i="4"/>
  <c r="P501" i="4"/>
  <c r="W501" i="4"/>
  <c r="O501" i="4"/>
  <c r="G501" i="4"/>
  <c r="V501" i="4"/>
  <c r="U501" i="4"/>
  <c r="M501" i="4"/>
  <c r="T501" i="4"/>
  <c r="K501" i="4"/>
  <c r="J501" i="4"/>
  <c r="P509" i="4"/>
  <c r="W509" i="4"/>
  <c r="O509" i="4"/>
  <c r="G509" i="4"/>
  <c r="V509" i="4"/>
  <c r="U509" i="4"/>
  <c r="M509" i="4"/>
  <c r="T509" i="4"/>
  <c r="K509" i="4"/>
  <c r="J509" i="4"/>
  <c r="P517" i="4"/>
  <c r="W517" i="4"/>
  <c r="O517" i="4"/>
  <c r="G517" i="4"/>
  <c r="V517" i="4"/>
  <c r="U517" i="4"/>
  <c r="M517" i="4"/>
  <c r="T517" i="4"/>
  <c r="K517" i="4"/>
  <c r="J517" i="4"/>
  <c r="N524" i="4"/>
  <c r="L524" i="4"/>
  <c r="N525" i="4"/>
  <c r="L525" i="4"/>
  <c r="N533" i="4"/>
  <c r="L533" i="4"/>
  <c r="N540" i="4"/>
  <c r="L540" i="4"/>
  <c r="N541" i="4"/>
  <c r="L541" i="4"/>
  <c r="N548" i="4"/>
  <c r="L548" i="4"/>
  <c r="N549" i="4"/>
  <c r="L549" i="4"/>
  <c r="N556" i="4"/>
  <c r="L556" i="4"/>
  <c r="N557" i="4"/>
  <c r="L557" i="4"/>
  <c r="N564" i="4"/>
  <c r="L564" i="4"/>
  <c r="N565" i="4"/>
  <c r="L565" i="4"/>
  <c r="Q574" i="4"/>
  <c r="I574" i="4"/>
  <c r="H574" i="4"/>
  <c r="S574" i="4"/>
  <c r="N588" i="4"/>
  <c r="L588" i="4"/>
  <c r="Q590" i="4"/>
  <c r="I590" i="4"/>
  <c r="H590" i="4"/>
  <c r="S590" i="4"/>
  <c r="S615" i="4"/>
  <c r="I615" i="4"/>
  <c r="R615" i="4"/>
  <c r="H615" i="4"/>
  <c r="Q615" i="4"/>
  <c r="N688" i="4"/>
  <c r="L688" i="4"/>
  <c r="N733" i="4"/>
  <c r="L733" i="4"/>
  <c r="K741" i="4"/>
  <c r="P741" i="4"/>
  <c r="G741" i="4"/>
  <c r="O741" i="4"/>
  <c r="W741" i="4"/>
  <c r="V741" i="4"/>
  <c r="M741" i="4"/>
  <c r="U741" i="4"/>
  <c r="T741" i="4"/>
  <c r="J741" i="4"/>
  <c r="N951" i="4"/>
  <c r="L951" i="4"/>
  <c r="I235" i="4"/>
  <c r="Q235" i="4"/>
  <c r="S235" i="4" s="1"/>
  <c r="I243" i="4"/>
  <c r="Q243" i="4"/>
  <c r="S243" i="4" s="1"/>
  <c r="R244" i="4"/>
  <c r="I251" i="4"/>
  <c r="Q251" i="4"/>
  <c r="S251" i="4" s="1"/>
  <c r="I259" i="4"/>
  <c r="Q259" i="4"/>
  <c r="S259" i="4" s="1"/>
  <c r="P266" i="4"/>
  <c r="I267" i="4"/>
  <c r="Q267" i="4"/>
  <c r="R276" i="4"/>
  <c r="R284" i="4"/>
  <c r="R292" i="4"/>
  <c r="R300" i="4"/>
  <c r="R308" i="4"/>
  <c r="R316" i="4"/>
  <c r="R324" i="4"/>
  <c r="R332" i="4"/>
  <c r="P338" i="4"/>
  <c r="V339" i="4"/>
  <c r="K339" i="4"/>
  <c r="I339" i="4"/>
  <c r="T339" i="4"/>
  <c r="Q340" i="4"/>
  <c r="Q349" i="4"/>
  <c r="Q352" i="4"/>
  <c r="O355" i="4"/>
  <c r="S368" i="4"/>
  <c r="H368" i="4"/>
  <c r="V371" i="4"/>
  <c r="K371" i="4"/>
  <c r="I371" i="4"/>
  <c r="T371" i="4"/>
  <c r="Q372" i="4"/>
  <c r="Q381" i="4"/>
  <c r="Q384" i="4"/>
  <c r="S400" i="4"/>
  <c r="H400" i="4"/>
  <c r="V403" i="4"/>
  <c r="K403" i="4"/>
  <c r="I403" i="4"/>
  <c r="T403" i="4"/>
  <c r="U410" i="4"/>
  <c r="M410" i="4"/>
  <c r="T410" i="4"/>
  <c r="J410" i="4"/>
  <c r="W410" i="4"/>
  <c r="L412" i="4"/>
  <c r="S417" i="4"/>
  <c r="Q417" i="4"/>
  <c r="I417" i="4"/>
  <c r="K432" i="4"/>
  <c r="J432" i="4"/>
  <c r="P432" i="4"/>
  <c r="W432" i="4"/>
  <c r="L449" i="4"/>
  <c r="N449" i="4"/>
  <c r="V451" i="4"/>
  <c r="U451" i="4"/>
  <c r="M451" i="4"/>
  <c r="K451" i="4"/>
  <c r="P451" i="4"/>
  <c r="J451" i="4"/>
  <c r="Q452" i="4"/>
  <c r="I452" i="4"/>
  <c r="N460" i="4"/>
  <c r="L460" i="4"/>
  <c r="P461" i="4"/>
  <c r="W461" i="4"/>
  <c r="O461" i="4"/>
  <c r="G461" i="4"/>
  <c r="U461" i="4"/>
  <c r="M461" i="4"/>
  <c r="J461" i="4"/>
  <c r="L461" i="4"/>
  <c r="K464" i="4"/>
  <c r="J464" i="4"/>
  <c r="P464" i="4"/>
  <c r="U464" i="4"/>
  <c r="M464" i="4"/>
  <c r="S465" i="4"/>
  <c r="Q465" i="4"/>
  <c r="I465" i="4"/>
  <c r="Q478" i="4"/>
  <c r="I478" i="4"/>
  <c r="H478" i="4"/>
  <c r="S478" i="4"/>
  <c r="K480" i="4"/>
  <c r="J480" i="4"/>
  <c r="P480" i="4"/>
  <c r="W480" i="4"/>
  <c r="O480" i="4"/>
  <c r="G480" i="4"/>
  <c r="V480" i="4"/>
  <c r="U480" i="4"/>
  <c r="M480" i="4"/>
  <c r="N485" i="4"/>
  <c r="L485" i="4"/>
  <c r="N493" i="4"/>
  <c r="L493" i="4"/>
  <c r="N501" i="4"/>
  <c r="L501" i="4"/>
  <c r="N509" i="4"/>
  <c r="L509" i="4"/>
  <c r="N517" i="4"/>
  <c r="L517" i="4"/>
  <c r="Q526" i="4"/>
  <c r="I526" i="4"/>
  <c r="H526" i="4"/>
  <c r="S526" i="4"/>
  <c r="Q534" i="4"/>
  <c r="I534" i="4"/>
  <c r="H534" i="4"/>
  <c r="S534" i="4"/>
  <c r="Q542" i="4"/>
  <c r="I542" i="4"/>
  <c r="H542" i="4"/>
  <c r="S542" i="4"/>
  <c r="Q550" i="4"/>
  <c r="I550" i="4"/>
  <c r="H550" i="4"/>
  <c r="S550" i="4"/>
  <c r="Q558" i="4"/>
  <c r="I558" i="4"/>
  <c r="H558" i="4"/>
  <c r="S558" i="4"/>
  <c r="Q566" i="4"/>
  <c r="I566" i="4"/>
  <c r="H566" i="4"/>
  <c r="S566" i="4"/>
  <c r="P597" i="4"/>
  <c r="W597" i="4"/>
  <c r="O597" i="4"/>
  <c r="G597" i="4"/>
  <c r="V597" i="4"/>
  <c r="U597" i="4"/>
  <c r="M597" i="4"/>
  <c r="T597" i="4"/>
  <c r="K597" i="4"/>
  <c r="J597" i="4"/>
  <c r="R235" i="4"/>
  <c r="R243" i="4"/>
  <c r="R251" i="4"/>
  <c r="R259" i="4"/>
  <c r="R267" i="4"/>
  <c r="J275" i="4"/>
  <c r="R275" i="4"/>
  <c r="J283" i="4"/>
  <c r="R283" i="4"/>
  <c r="J291" i="4"/>
  <c r="R291" i="4"/>
  <c r="J299" i="4"/>
  <c r="R299" i="4"/>
  <c r="J307" i="4"/>
  <c r="R307" i="4"/>
  <c r="J315" i="4"/>
  <c r="R315" i="4"/>
  <c r="J323" i="4"/>
  <c r="R323" i="4"/>
  <c r="J331" i="4"/>
  <c r="R331" i="4"/>
  <c r="Q342" i="4"/>
  <c r="I342" i="4"/>
  <c r="Q345" i="4"/>
  <c r="I345" i="4"/>
  <c r="W348" i="4"/>
  <c r="O348" i="4"/>
  <c r="G348" i="4"/>
  <c r="T348" i="4"/>
  <c r="J348" i="4"/>
  <c r="U348" i="4"/>
  <c r="J351" i="4"/>
  <c r="W351" i="4"/>
  <c r="O351" i="4"/>
  <c r="G351" i="4"/>
  <c r="K351" i="4"/>
  <c r="U351" i="4"/>
  <c r="U354" i="4"/>
  <c r="M354" i="4"/>
  <c r="J354" i="4"/>
  <c r="T354" i="4"/>
  <c r="P357" i="4"/>
  <c r="U357" i="4"/>
  <c r="M357" i="4"/>
  <c r="J357" i="4"/>
  <c r="T357" i="4"/>
  <c r="K360" i="4"/>
  <c r="P360" i="4"/>
  <c r="J360" i="4"/>
  <c r="U360" i="4"/>
  <c r="Q374" i="4"/>
  <c r="I374" i="4"/>
  <c r="Q377" i="4"/>
  <c r="I377" i="4"/>
  <c r="W380" i="4"/>
  <c r="O380" i="4"/>
  <c r="G380" i="4"/>
  <c r="T380" i="4"/>
  <c r="J380" i="4"/>
  <c r="U380" i="4"/>
  <c r="J383" i="4"/>
  <c r="W383" i="4"/>
  <c r="O383" i="4"/>
  <c r="G383" i="4"/>
  <c r="K383" i="4"/>
  <c r="U383" i="4"/>
  <c r="U386" i="4"/>
  <c r="M386" i="4"/>
  <c r="J386" i="4"/>
  <c r="T386" i="4"/>
  <c r="P389" i="4"/>
  <c r="U389" i="4"/>
  <c r="M389" i="4"/>
  <c r="J389" i="4"/>
  <c r="T389" i="4"/>
  <c r="K392" i="4"/>
  <c r="P392" i="4"/>
  <c r="J392" i="4"/>
  <c r="U392" i="4"/>
  <c r="Q406" i="4"/>
  <c r="I406" i="4"/>
  <c r="V411" i="4"/>
  <c r="U411" i="4"/>
  <c r="M411" i="4"/>
  <c r="K411" i="4"/>
  <c r="W411" i="4"/>
  <c r="U418" i="4"/>
  <c r="M418" i="4"/>
  <c r="T418" i="4"/>
  <c r="J418" i="4"/>
  <c r="W418" i="4"/>
  <c r="N420" i="4"/>
  <c r="L420" i="4"/>
  <c r="S425" i="4"/>
  <c r="Q425" i="4"/>
  <c r="I425" i="4"/>
  <c r="Q446" i="4"/>
  <c r="I446" i="4"/>
  <c r="H446" i="4"/>
  <c r="S446" i="4"/>
  <c r="S451" i="4"/>
  <c r="H451" i="4"/>
  <c r="N466" i="4"/>
  <c r="T467" i="4"/>
  <c r="N468" i="4"/>
  <c r="L468" i="4"/>
  <c r="N471" i="4"/>
  <c r="L471" i="4"/>
  <c r="R473" i="4"/>
  <c r="N484" i="4"/>
  <c r="L484" i="4"/>
  <c r="Q486" i="4"/>
  <c r="I486" i="4"/>
  <c r="H486" i="4"/>
  <c r="S486" i="4"/>
  <c r="N492" i="4"/>
  <c r="L492" i="4"/>
  <c r="Q494" i="4"/>
  <c r="I494" i="4"/>
  <c r="H494" i="4"/>
  <c r="S494" i="4"/>
  <c r="Q502" i="4"/>
  <c r="I502" i="4"/>
  <c r="H502" i="4"/>
  <c r="S502" i="4"/>
  <c r="N508" i="4"/>
  <c r="L508" i="4"/>
  <c r="Q510" i="4"/>
  <c r="I510" i="4"/>
  <c r="H510" i="4"/>
  <c r="S510" i="4"/>
  <c r="N516" i="4"/>
  <c r="L516" i="4"/>
  <c r="Q518" i="4"/>
  <c r="I518" i="4"/>
  <c r="H518" i="4"/>
  <c r="S518" i="4"/>
  <c r="N597" i="4"/>
  <c r="L597" i="4"/>
  <c r="S627" i="4"/>
  <c r="H627" i="4"/>
  <c r="I627" i="4"/>
  <c r="R627" i="4"/>
  <c r="Q627" i="4"/>
  <c r="V662" i="4"/>
  <c r="U662" i="4"/>
  <c r="M662" i="4"/>
  <c r="K662" i="4"/>
  <c r="J662" i="4"/>
  <c r="P662" i="4"/>
  <c r="G662" i="4"/>
  <c r="W662" i="4"/>
  <c r="T662" i="4"/>
  <c r="O662" i="4"/>
  <c r="I900" i="4"/>
  <c r="S900" i="4"/>
  <c r="H900" i="4"/>
  <c r="R900" i="4"/>
  <c r="Q900" i="4"/>
  <c r="G207" i="4"/>
  <c r="W207" i="4"/>
  <c r="G215" i="4"/>
  <c r="W215" i="4"/>
  <c r="H216" i="4"/>
  <c r="G223" i="4"/>
  <c r="H224" i="4"/>
  <c r="G231" i="4"/>
  <c r="H232" i="4"/>
  <c r="J234" i="4"/>
  <c r="G239" i="4"/>
  <c r="J242" i="4"/>
  <c r="G247" i="4"/>
  <c r="W247" i="4"/>
  <c r="J250" i="4"/>
  <c r="G255" i="4"/>
  <c r="J258" i="4"/>
  <c r="G263" i="4"/>
  <c r="O263" i="4"/>
  <c r="W263" i="4"/>
  <c r="H264" i="4"/>
  <c r="J266" i="4"/>
  <c r="K267" i="4"/>
  <c r="T268" i="4"/>
  <c r="G271" i="4"/>
  <c r="O271" i="4"/>
  <c r="W271" i="4"/>
  <c r="H272" i="4"/>
  <c r="J274" i="4"/>
  <c r="K275" i="4"/>
  <c r="T276" i="4"/>
  <c r="G279" i="4"/>
  <c r="O279" i="4"/>
  <c r="W279" i="4"/>
  <c r="H280" i="4"/>
  <c r="J282" i="4"/>
  <c r="K283" i="4"/>
  <c r="T284" i="4"/>
  <c r="G287" i="4"/>
  <c r="O287" i="4"/>
  <c r="W287" i="4"/>
  <c r="H288" i="4"/>
  <c r="J290" i="4"/>
  <c r="K291" i="4"/>
  <c r="T292" i="4"/>
  <c r="G295" i="4"/>
  <c r="O295" i="4"/>
  <c r="W295" i="4"/>
  <c r="H296" i="4"/>
  <c r="J298" i="4"/>
  <c r="K299" i="4"/>
  <c r="T300" i="4"/>
  <c r="G303" i="4"/>
  <c r="O303" i="4"/>
  <c r="W303" i="4"/>
  <c r="H304" i="4"/>
  <c r="J306" i="4"/>
  <c r="K307" i="4"/>
  <c r="T308" i="4"/>
  <c r="G311" i="4"/>
  <c r="O311" i="4"/>
  <c r="W311" i="4"/>
  <c r="H312" i="4"/>
  <c r="J314" i="4"/>
  <c r="K315" i="4"/>
  <c r="G319" i="4"/>
  <c r="O319" i="4"/>
  <c r="W319" i="4"/>
  <c r="H320" i="4"/>
  <c r="J322" i="4"/>
  <c r="K323" i="4"/>
  <c r="G327" i="4"/>
  <c r="O327" i="4"/>
  <c r="W327" i="4"/>
  <c r="H328" i="4"/>
  <c r="J330" i="4"/>
  <c r="R330" i="4"/>
  <c r="K331" i="4"/>
  <c r="G335" i="4"/>
  <c r="O335" i="4"/>
  <c r="W335" i="4"/>
  <c r="H336" i="4"/>
  <c r="J338" i="4"/>
  <c r="R338" i="4"/>
  <c r="W339" i="4"/>
  <c r="I340" i="4"/>
  <c r="K348" i="4"/>
  <c r="V348" i="4"/>
  <c r="I349" i="4"/>
  <c r="S349" i="4"/>
  <c r="V351" i="4"/>
  <c r="K354" i="4"/>
  <c r="V354" i="4"/>
  <c r="K357" i="4"/>
  <c r="V357" i="4"/>
  <c r="S360" i="4"/>
  <c r="H360" i="4"/>
  <c r="V360" i="4"/>
  <c r="V363" i="4"/>
  <c r="K363" i="4"/>
  <c r="T363" i="4"/>
  <c r="W371" i="4"/>
  <c r="I372" i="4"/>
  <c r="K380" i="4"/>
  <c r="V380" i="4"/>
  <c r="I381" i="4"/>
  <c r="S381" i="4"/>
  <c r="V383" i="4"/>
  <c r="K386" i="4"/>
  <c r="V386" i="4"/>
  <c r="K389" i="4"/>
  <c r="V389" i="4"/>
  <c r="S392" i="4"/>
  <c r="H392" i="4"/>
  <c r="V392" i="4"/>
  <c r="V395" i="4"/>
  <c r="K395" i="4"/>
  <c r="T395" i="4"/>
  <c r="W403" i="4"/>
  <c r="J411" i="4"/>
  <c r="W412" i="4"/>
  <c r="O412" i="4"/>
  <c r="G412" i="4"/>
  <c r="V412" i="4"/>
  <c r="T412" i="4"/>
  <c r="J412" i="4"/>
  <c r="P413" i="4"/>
  <c r="W413" i="4"/>
  <c r="O413" i="4"/>
  <c r="G413" i="4"/>
  <c r="U413" i="4"/>
  <c r="M413" i="4"/>
  <c r="K413" i="4"/>
  <c r="K418" i="4"/>
  <c r="V419" i="4"/>
  <c r="U419" i="4"/>
  <c r="M419" i="4"/>
  <c r="K419" i="4"/>
  <c r="W419" i="4"/>
  <c r="U426" i="4"/>
  <c r="M426" i="4"/>
  <c r="T426" i="4"/>
  <c r="J426" i="4"/>
  <c r="W426" i="4"/>
  <c r="S433" i="4"/>
  <c r="Q433" i="4"/>
  <c r="I433" i="4"/>
  <c r="V435" i="4"/>
  <c r="U435" i="4"/>
  <c r="M435" i="4"/>
  <c r="K435" i="4"/>
  <c r="P435" i="4"/>
  <c r="J435" i="4"/>
  <c r="Q436" i="4"/>
  <c r="I436" i="4"/>
  <c r="N444" i="4"/>
  <c r="L444" i="4"/>
  <c r="P445" i="4"/>
  <c r="W445" i="4"/>
  <c r="O445" i="4"/>
  <c r="G445" i="4"/>
  <c r="U445" i="4"/>
  <c r="M445" i="4"/>
  <c r="J445" i="4"/>
  <c r="K448" i="4"/>
  <c r="J448" i="4"/>
  <c r="P448" i="4"/>
  <c r="U448" i="4"/>
  <c r="M448" i="4"/>
  <c r="S449" i="4"/>
  <c r="Q449" i="4"/>
  <c r="I449" i="4"/>
  <c r="U450" i="4"/>
  <c r="M450" i="4"/>
  <c r="T450" i="4"/>
  <c r="J450" i="4"/>
  <c r="W450" i="4"/>
  <c r="O450" i="4"/>
  <c r="G450" i="4"/>
  <c r="K450" i="4"/>
  <c r="O451" i="4"/>
  <c r="R452" i="4"/>
  <c r="O464" i="4"/>
  <c r="W467" i="4"/>
  <c r="R590" i="4"/>
  <c r="N596" i="4"/>
  <c r="L596" i="4"/>
  <c r="Q598" i="4"/>
  <c r="I598" i="4"/>
  <c r="H598" i="4"/>
  <c r="S598" i="4"/>
  <c r="M324" i="4"/>
  <c r="U324" i="4"/>
  <c r="P327" i="4"/>
  <c r="I328" i="4"/>
  <c r="Q328" i="4"/>
  <c r="J329" i="4"/>
  <c r="K330" i="4"/>
  <c r="T331" i="4"/>
  <c r="M332" i="4"/>
  <c r="U332" i="4"/>
  <c r="P335" i="4"/>
  <c r="I336" i="4"/>
  <c r="Q336" i="4"/>
  <c r="J337" i="4"/>
  <c r="K338" i="4"/>
  <c r="M339" i="4"/>
  <c r="W340" i="4"/>
  <c r="O340" i="4"/>
  <c r="G340" i="4"/>
  <c r="T340" i="4"/>
  <c r="J340" i="4"/>
  <c r="U340" i="4"/>
  <c r="J343" i="4"/>
  <c r="W343" i="4"/>
  <c r="O343" i="4"/>
  <c r="G343" i="4"/>
  <c r="K343" i="4"/>
  <c r="U343" i="4"/>
  <c r="U346" i="4"/>
  <c r="M346" i="4"/>
  <c r="J346" i="4"/>
  <c r="T346" i="4"/>
  <c r="M348" i="4"/>
  <c r="P349" i="4"/>
  <c r="U349" i="4"/>
  <c r="M349" i="4"/>
  <c r="J349" i="4"/>
  <c r="T349" i="4"/>
  <c r="M351" i="4"/>
  <c r="K352" i="4"/>
  <c r="P352" i="4"/>
  <c r="J352" i="4"/>
  <c r="U352" i="4"/>
  <c r="W354" i="4"/>
  <c r="P356" i="4"/>
  <c r="W357" i="4"/>
  <c r="P359" i="4"/>
  <c r="M360" i="4"/>
  <c r="W360" i="4"/>
  <c r="O362" i="4"/>
  <c r="J363" i="4"/>
  <c r="U363" i="4"/>
  <c r="O365" i="4"/>
  <c r="Q366" i="4"/>
  <c r="I366" i="4"/>
  <c r="O368" i="4"/>
  <c r="Q369" i="4"/>
  <c r="I369" i="4"/>
  <c r="M371" i="4"/>
  <c r="W372" i="4"/>
  <c r="O372" i="4"/>
  <c r="G372" i="4"/>
  <c r="T372" i="4"/>
  <c r="J372" i="4"/>
  <c r="U372" i="4"/>
  <c r="J375" i="4"/>
  <c r="W375" i="4"/>
  <c r="O375" i="4"/>
  <c r="G375" i="4"/>
  <c r="K375" i="4"/>
  <c r="U375" i="4"/>
  <c r="U378" i="4"/>
  <c r="M378" i="4"/>
  <c r="J378" i="4"/>
  <c r="T378" i="4"/>
  <c r="M380" i="4"/>
  <c r="P381" i="4"/>
  <c r="U381" i="4"/>
  <c r="M381" i="4"/>
  <c r="J381" i="4"/>
  <c r="T381" i="4"/>
  <c r="M383" i="4"/>
  <c r="K384" i="4"/>
  <c r="P384" i="4"/>
  <c r="J384" i="4"/>
  <c r="U384" i="4"/>
  <c r="W386" i="4"/>
  <c r="P388" i="4"/>
  <c r="L389" i="4"/>
  <c r="W389" i="4"/>
  <c r="P391" i="4"/>
  <c r="M392" i="4"/>
  <c r="W392" i="4"/>
  <c r="O394" i="4"/>
  <c r="J395" i="4"/>
  <c r="U395" i="4"/>
  <c r="O397" i="4"/>
  <c r="Q398" i="4"/>
  <c r="I398" i="4"/>
  <c r="O400" i="4"/>
  <c r="Q401" i="4"/>
  <c r="I401" i="4"/>
  <c r="M403" i="4"/>
  <c r="W404" i="4"/>
  <c r="O404" i="4"/>
  <c r="G404" i="4"/>
  <c r="T404" i="4"/>
  <c r="J404" i="4"/>
  <c r="U404" i="4"/>
  <c r="O410" i="4"/>
  <c r="K412" i="4"/>
  <c r="Q414" i="4"/>
  <c r="I414" i="4"/>
  <c r="H414" i="4"/>
  <c r="J419" i="4"/>
  <c r="W420" i="4"/>
  <c r="O420" i="4"/>
  <c r="G420" i="4"/>
  <c r="V420" i="4"/>
  <c r="T420" i="4"/>
  <c r="J420" i="4"/>
  <c r="P421" i="4"/>
  <c r="W421" i="4"/>
  <c r="O421" i="4"/>
  <c r="G421" i="4"/>
  <c r="U421" i="4"/>
  <c r="M421" i="4"/>
  <c r="K421" i="4"/>
  <c r="K426" i="4"/>
  <c r="V427" i="4"/>
  <c r="U427" i="4"/>
  <c r="M427" i="4"/>
  <c r="K427" i="4"/>
  <c r="I427" i="4"/>
  <c r="W427" i="4"/>
  <c r="J429" i="4"/>
  <c r="O432" i="4"/>
  <c r="U434" i="4"/>
  <c r="M434" i="4"/>
  <c r="T434" i="4"/>
  <c r="J434" i="4"/>
  <c r="W434" i="4"/>
  <c r="O434" i="4"/>
  <c r="S435" i="4"/>
  <c r="H435" i="4"/>
  <c r="T437" i="4"/>
  <c r="T440" i="4"/>
  <c r="R441" i="4"/>
  <c r="G443" i="4"/>
  <c r="N447" i="4"/>
  <c r="N450" i="4"/>
  <c r="Q451" i="4"/>
  <c r="S452" i="4"/>
  <c r="L457" i="4"/>
  <c r="N457" i="4"/>
  <c r="V459" i="4"/>
  <c r="U459" i="4"/>
  <c r="M459" i="4"/>
  <c r="K459" i="4"/>
  <c r="P459" i="4"/>
  <c r="J459" i="4"/>
  <c r="Q460" i="4"/>
  <c r="I460" i="4"/>
  <c r="R462" i="4"/>
  <c r="Q470" i="4"/>
  <c r="I470" i="4"/>
  <c r="H470" i="4"/>
  <c r="S470" i="4"/>
  <c r="K472" i="4"/>
  <c r="J472" i="4"/>
  <c r="P472" i="4"/>
  <c r="W472" i="4"/>
  <c r="O472" i="4"/>
  <c r="G472" i="4"/>
  <c r="V472" i="4"/>
  <c r="U472" i="4"/>
  <c r="M472" i="4"/>
  <c r="R478" i="4"/>
  <c r="S481" i="4"/>
  <c r="R481" i="4"/>
  <c r="Q481" i="4"/>
  <c r="I481" i="4"/>
  <c r="H481" i="4"/>
  <c r="R526" i="4"/>
  <c r="R534" i="4"/>
  <c r="R542" i="4"/>
  <c r="R550" i="4"/>
  <c r="R558" i="4"/>
  <c r="R566" i="4"/>
  <c r="P581" i="4"/>
  <c r="W581" i="4"/>
  <c r="O581" i="4"/>
  <c r="G581" i="4"/>
  <c r="V581" i="4"/>
  <c r="U581" i="4"/>
  <c r="M581" i="4"/>
  <c r="T581" i="4"/>
  <c r="K581" i="4"/>
  <c r="J581" i="4"/>
  <c r="H624" i="4"/>
  <c r="S624" i="4"/>
  <c r="I624" i="4"/>
  <c r="R624" i="4"/>
  <c r="Q624" i="4"/>
  <c r="V630" i="4"/>
  <c r="K630" i="4"/>
  <c r="G630" i="4"/>
  <c r="P630" i="4"/>
  <c r="O630" i="4"/>
  <c r="M630" i="4"/>
  <c r="W630" i="4"/>
  <c r="U630" i="4"/>
  <c r="J630" i="4"/>
  <c r="Q649" i="4"/>
  <c r="I649" i="4"/>
  <c r="H649" i="4"/>
  <c r="S649" i="4"/>
  <c r="R649" i="4"/>
  <c r="P680" i="4"/>
  <c r="W680" i="4"/>
  <c r="O680" i="4"/>
  <c r="G680" i="4"/>
  <c r="V680" i="4"/>
  <c r="U680" i="4"/>
  <c r="M680" i="4"/>
  <c r="T680" i="4"/>
  <c r="J680" i="4"/>
  <c r="K680" i="4"/>
  <c r="Q713" i="4"/>
  <c r="I713" i="4"/>
  <c r="H713" i="4"/>
  <c r="S713" i="4"/>
  <c r="R713" i="4"/>
  <c r="R208" i="4"/>
  <c r="W208" i="4" s="1"/>
  <c r="R216" i="4"/>
  <c r="R224" i="4"/>
  <c r="R232" i="4"/>
  <c r="R240" i="4"/>
  <c r="W240" i="4" s="1"/>
  <c r="R248" i="4"/>
  <c r="R256" i="4"/>
  <c r="R264" i="4"/>
  <c r="T266" i="4"/>
  <c r="M267" i="4"/>
  <c r="U267" i="4"/>
  <c r="R272" i="4"/>
  <c r="T274" i="4"/>
  <c r="M275" i="4"/>
  <c r="U275" i="4"/>
  <c r="R280" i="4"/>
  <c r="T282" i="4"/>
  <c r="M283" i="4"/>
  <c r="U283" i="4"/>
  <c r="R288" i="4"/>
  <c r="T290" i="4"/>
  <c r="M291" i="4"/>
  <c r="U291" i="4"/>
  <c r="R296" i="4"/>
  <c r="T298" i="4"/>
  <c r="M299" i="4"/>
  <c r="U299" i="4"/>
  <c r="R304" i="4"/>
  <c r="T306" i="4"/>
  <c r="M307" i="4"/>
  <c r="U307" i="4"/>
  <c r="R312" i="4"/>
  <c r="T314" i="4"/>
  <c r="M315" i="4"/>
  <c r="U315" i="4"/>
  <c r="R320" i="4"/>
  <c r="T322" i="4"/>
  <c r="M323" i="4"/>
  <c r="U323" i="4"/>
  <c r="R328" i="4"/>
  <c r="T330" i="4"/>
  <c r="M331" i="4"/>
  <c r="U331" i="4"/>
  <c r="R336" i="4"/>
  <c r="T338" i="4"/>
  <c r="S352" i="4"/>
  <c r="H352" i="4"/>
  <c r="V355" i="4"/>
  <c r="K355" i="4"/>
  <c r="T355" i="4"/>
  <c r="L363" i="4"/>
  <c r="L366" i="4"/>
  <c r="S384" i="4"/>
  <c r="H384" i="4"/>
  <c r="V387" i="4"/>
  <c r="K387" i="4"/>
  <c r="T387" i="4"/>
  <c r="Q388" i="4"/>
  <c r="P394" i="4"/>
  <c r="W395" i="4"/>
  <c r="Q397" i="4"/>
  <c r="L398" i="4"/>
  <c r="Q400" i="4"/>
  <c r="O403" i="4"/>
  <c r="R409" i="4"/>
  <c r="P410" i="4"/>
  <c r="O411" i="4"/>
  <c r="M412" i="4"/>
  <c r="O418" i="4"/>
  <c r="L419" i="4"/>
  <c r="L421" i="4"/>
  <c r="Q422" i="4"/>
  <c r="I422" i="4"/>
  <c r="H422" i="4"/>
  <c r="T424" i="4"/>
  <c r="W428" i="4"/>
  <c r="O428" i="4"/>
  <c r="G428" i="4"/>
  <c r="V428" i="4"/>
  <c r="T428" i="4"/>
  <c r="J428" i="4"/>
  <c r="P429" i="4"/>
  <c r="W429" i="4"/>
  <c r="O429" i="4"/>
  <c r="G429" i="4"/>
  <c r="U429" i="4"/>
  <c r="M429" i="4"/>
  <c r="K429" i="4"/>
  <c r="O435" i="4"/>
  <c r="R436" i="4"/>
  <c r="V437" i="4"/>
  <c r="V440" i="4"/>
  <c r="V442" i="4"/>
  <c r="O448" i="4"/>
  <c r="P450" i="4"/>
  <c r="R451" i="4"/>
  <c r="Q454" i="4"/>
  <c r="I454" i="4"/>
  <c r="H454" i="4"/>
  <c r="S454" i="4"/>
  <c r="S459" i="4"/>
  <c r="H459" i="4"/>
  <c r="T461" i="4"/>
  <c r="T464" i="4"/>
  <c r="R465" i="4"/>
  <c r="G467" i="4"/>
  <c r="S468" i="4"/>
  <c r="R468" i="4"/>
  <c r="Q468" i="4"/>
  <c r="I468" i="4"/>
  <c r="P477" i="4"/>
  <c r="W477" i="4"/>
  <c r="O477" i="4"/>
  <c r="G477" i="4"/>
  <c r="U477" i="4"/>
  <c r="M477" i="4"/>
  <c r="T477" i="4"/>
  <c r="K477" i="4"/>
  <c r="J477" i="4"/>
  <c r="R486" i="4"/>
  <c r="R494" i="4"/>
  <c r="R502" i="4"/>
  <c r="R510" i="4"/>
  <c r="R518" i="4"/>
  <c r="N580" i="4"/>
  <c r="L580" i="4"/>
  <c r="N581" i="4"/>
  <c r="L581" i="4"/>
  <c r="H656" i="4"/>
  <c r="I656" i="4"/>
  <c r="S656" i="4"/>
  <c r="R656" i="4"/>
  <c r="Q656" i="4"/>
  <c r="N663" i="4"/>
  <c r="L663" i="4"/>
  <c r="L767" i="4"/>
  <c r="N767" i="4"/>
  <c r="G180" i="4"/>
  <c r="H180" i="4" s="1"/>
  <c r="G188" i="4"/>
  <c r="H188" i="4" s="1"/>
  <c r="G196" i="4"/>
  <c r="H196" i="4" s="1"/>
  <c r="G204" i="4"/>
  <c r="H204" i="4" s="1"/>
  <c r="G212" i="4"/>
  <c r="H212" i="4" s="1"/>
  <c r="G220" i="4"/>
  <c r="H220" i="4" s="1"/>
  <c r="G228" i="4"/>
  <c r="H228" i="4" s="1"/>
  <c r="G236" i="4"/>
  <c r="H236" i="4" s="1"/>
  <c r="G244" i="4"/>
  <c r="H244" i="4" s="1"/>
  <c r="G252" i="4"/>
  <c r="H252" i="4" s="1"/>
  <c r="G260" i="4"/>
  <c r="H260" i="4" s="1"/>
  <c r="M266" i="4"/>
  <c r="G268" i="4"/>
  <c r="O268" i="4"/>
  <c r="M274" i="4"/>
  <c r="G276" i="4"/>
  <c r="O276" i="4"/>
  <c r="M282" i="4"/>
  <c r="G284" i="4"/>
  <c r="O284" i="4"/>
  <c r="M290" i="4"/>
  <c r="G292" i="4"/>
  <c r="O292" i="4"/>
  <c r="M298" i="4"/>
  <c r="G300" i="4"/>
  <c r="O300" i="4"/>
  <c r="M306" i="4"/>
  <c r="G308" i="4"/>
  <c r="O308" i="4"/>
  <c r="M314" i="4"/>
  <c r="G316" i="4"/>
  <c r="O316" i="4"/>
  <c r="M322" i="4"/>
  <c r="G324" i="4"/>
  <c r="O324" i="4"/>
  <c r="M330" i="4"/>
  <c r="G332" i="4"/>
  <c r="O332" i="4"/>
  <c r="M338" i="4"/>
  <c r="P339" i="4"/>
  <c r="M340" i="4"/>
  <c r="P341" i="4"/>
  <c r="U341" i="4"/>
  <c r="M341" i="4"/>
  <c r="J341" i="4"/>
  <c r="T341" i="4"/>
  <c r="M343" i="4"/>
  <c r="K344" i="4"/>
  <c r="P344" i="4"/>
  <c r="J344" i="4"/>
  <c r="U344" i="4"/>
  <c r="W346" i="4"/>
  <c r="H347" i="4"/>
  <c r="R347" i="4"/>
  <c r="P348" i="4"/>
  <c r="W349" i="4"/>
  <c r="H350" i="4"/>
  <c r="S350" i="4"/>
  <c r="P351" i="4"/>
  <c r="M352" i="4"/>
  <c r="W352" i="4"/>
  <c r="H353" i="4"/>
  <c r="S353" i="4"/>
  <c r="O354" i="4"/>
  <c r="J355" i="4"/>
  <c r="U355" i="4"/>
  <c r="H356" i="4"/>
  <c r="O357" i="4"/>
  <c r="Q358" i="4"/>
  <c r="I358" i="4"/>
  <c r="O360" i="4"/>
  <c r="Q361" i="4"/>
  <c r="I361" i="4"/>
  <c r="G362" i="4"/>
  <c r="M363" i="4"/>
  <c r="W364" i="4"/>
  <c r="O364" i="4"/>
  <c r="G364" i="4"/>
  <c r="T364" i="4"/>
  <c r="J364" i="4"/>
  <c r="U364" i="4"/>
  <c r="G365" i="4"/>
  <c r="R365" i="4"/>
  <c r="J367" i="4"/>
  <c r="W367" i="4"/>
  <c r="O367" i="4"/>
  <c r="G367" i="4"/>
  <c r="K367" i="4"/>
  <c r="U367" i="4"/>
  <c r="G368" i="4"/>
  <c r="R368" i="4"/>
  <c r="N369" i="4"/>
  <c r="U370" i="4"/>
  <c r="M370" i="4"/>
  <c r="J370" i="4"/>
  <c r="T370" i="4"/>
  <c r="P371" i="4"/>
  <c r="M372" i="4"/>
  <c r="P373" i="4"/>
  <c r="U373" i="4"/>
  <c r="M373" i="4"/>
  <c r="J373" i="4"/>
  <c r="T373" i="4"/>
  <c r="M375" i="4"/>
  <c r="K376" i="4"/>
  <c r="P376" i="4"/>
  <c r="J376" i="4"/>
  <c r="U376" i="4"/>
  <c r="W378" i="4"/>
  <c r="H379" i="4"/>
  <c r="R379" i="4"/>
  <c r="P380" i="4"/>
  <c r="W381" i="4"/>
  <c r="H382" i="4"/>
  <c r="S382" i="4"/>
  <c r="P383" i="4"/>
  <c r="M384" i="4"/>
  <c r="W384" i="4"/>
  <c r="H385" i="4"/>
  <c r="S385" i="4"/>
  <c r="O386" i="4"/>
  <c r="J387" i="4"/>
  <c r="U387" i="4"/>
  <c r="H388" i="4"/>
  <c r="O389" i="4"/>
  <c r="Q390" i="4"/>
  <c r="I390" i="4"/>
  <c r="O392" i="4"/>
  <c r="Q393" i="4"/>
  <c r="I393" i="4"/>
  <c r="G394" i="4"/>
  <c r="M395" i="4"/>
  <c r="W396" i="4"/>
  <c r="O396" i="4"/>
  <c r="G396" i="4"/>
  <c r="T396" i="4"/>
  <c r="J396" i="4"/>
  <c r="U396" i="4"/>
  <c r="G397" i="4"/>
  <c r="R397" i="4"/>
  <c r="J399" i="4"/>
  <c r="W399" i="4"/>
  <c r="O399" i="4"/>
  <c r="G399" i="4"/>
  <c r="K399" i="4"/>
  <c r="U399" i="4"/>
  <c r="G400" i="4"/>
  <c r="R400" i="4"/>
  <c r="N401" i="4"/>
  <c r="U402" i="4"/>
  <c r="M402" i="4"/>
  <c r="J402" i="4"/>
  <c r="T402" i="4"/>
  <c r="P403" i="4"/>
  <c r="M404" i="4"/>
  <c r="P405" i="4"/>
  <c r="U405" i="4"/>
  <c r="M405" i="4"/>
  <c r="J405" i="4"/>
  <c r="T405" i="4"/>
  <c r="K408" i="4"/>
  <c r="J408" i="4"/>
  <c r="P408" i="4"/>
  <c r="W408" i="4"/>
  <c r="H409" i="4"/>
  <c r="P411" i="4"/>
  <c r="P412" i="4"/>
  <c r="Q413" i="4"/>
  <c r="R417" i="4"/>
  <c r="P418" i="4"/>
  <c r="O419" i="4"/>
  <c r="M420" i="4"/>
  <c r="G424" i="4"/>
  <c r="U424" i="4"/>
  <c r="O426" i="4"/>
  <c r="L427" i="4"/>
  <c r="K428" i="4"/>
  <c r="Q430" i="4"/>
  <c r="I430" i="4"/>
  <c r="H430" i="4"/>
  <c r="T432" i="4"/>
  <c r="N434" i="4"/>
  <c r="Q435" i="4"/>
  <c r="S436" i="4"/>
  <c r="G440" i="4"/>
  <c r="W440" i="4"/>
  <c r="H441" i="4"/>
  <c r="V443" i="4"/>
  <c r="U443" i="4"/>
  <c r="M443" i="4"/>
  <c r="K443" i="4"/>
  <c r="P443" i="4"/>
  <c r="J443" i="4"/>
  <c r="Q444" i="4"/>
  <c r="I444" i="4"/>
  <c r="R446" i="4"/>
  <c r="T451" i="4"/>
  <c r="H452" i="4"/>
  <c r="P453" i="4"/>
  <c r="W453" i="4"/>
  <c r="O453" i="4"/>
  <c r="G453" i="4"/>
  <c r="U453" i="4"/>
  <c r="M453" i="4"/>
  <c r="J453" i="4"/>
  <c r="K456" i="4"/>
  <c r="J456" i="4"/>
  <c r="P456" i="4"/>
  <c r="U456" i="4"/>
  <c r="M456" i="4"/>
  <c r="S457" i="4"/>
  <c r="Q457" i="4"/>
  <c r="I457" i="4"/>
  <c r="U458" i="4"/>
  <c r="M458" i="4"/>
  <c r="T458" i="4"/>
  <c r="J458" i="4"/>
  <c r="W458" i="4"/>
  <c r="O458" i="4"/>
  <c r="G458" i="4"/>
  <c r="K458" i="4"/>
  <c r="O459" i="4"/>
  <c r="R460" i="4"/>
  <c r="V461" i="4"/>
  <c r="V464" i="4"/>
  <c r="P573" i="4"/>
  <c r="W573" i="4"/>
  <c r="O573" i="4"/>
  <c r="G573" i="4"/>
  <c r="V573" i="4"/>
  <c r="U573" i="4"/>
  <c r="M573" i="4"/>
  <c r="T573" i="4"/>
  <c r="K573" i="4"/>
  <c r="J573" i="4"/>
  <c r="Q582" i="4"/>
  <c r="I582" i="4"/>
  <c r="H582" i="4"/>
  <c r="S582" i="4"/>
  <c r="P589" i="4"/>
  <c r="W589" i="4"/>
  <c r="O589" i="4"/>
  <c r="G589" i="4"/>
  <c r="V589" i="4"/>
  <c r="U589" i="4"/>
  <c r="M589" i="4"/>
  <c r="T589" i="4"/>
  <c r="K589" i="4"/>
  <c r="J589" i="4"/>
  <c r="R598" i="4"/>
  <c r="S652" i="4"/>
  <c r="Q652" i="4"/>
  <c r="I652" i="4"/>
  <c r="H652" i="4"/>
  <c r="R652" i="4"/>
  <c r="S758" i="4"/>
  <c r="I758" i="4"/>
  <c r="R758" i="4"/>
  <c r="H758" i="4"/>
  <c r="Q758" i="4"/>
  <c r="R437" i="4"/>
  <c r="R445" i="4"/>
  <c r="R453" i="4"/>
  <c r="R461" i="4"/>
  <c r="G466" i="4"/>
  <c r="O466" i="4"/>
  <c r="W466" i="4"/>
  <c r="H467" i="4"/>
  <c r="R469" i="4"/>
  <c r="G474" i="4"/>
  <c r="O474" i="4"/>
  <c r="W474" i="4"/>
  <c r="H475" i="4"/>
  <c r="P475" i="4"/>
  <c r="I476" i="4"/>
  <c r="Q476" i="4"/>
  <c r="R477" i="4"/>
  <c r="G482" i="4"/>
  <c r="O482" i="4"/>
  <c r="W482" i="4"/>
  <c r="H483" i="4"/>
  <c r="P483" i="4"/>
  <c r="I484" i="4"/>
  <c r="Q484" i="4"/>
  <c r="R485" i="4"/>
  <c r="L487" i="4"/>
  <c r="M488" i="4"/>
  <c r="U488" i="4"/>
  <c r="G490" i="4"/>
  <c r="O490" i="4"/>
  <c r="W490" i="4"/>
  <c r="H491" i="4"/>
  <c r="P491" i="4"/>
  <c r="I492" i="4"/>
  <c r="Q492" i="4"/>
  <c r="R493" i="4"/>
  <c r="L495" i="4"/>
  <c r="M496" i="4"/>
  <c r="U496" i="4"/>
  <c r="G498" i="4"/>
  <c r="O498" i="4"/>
  <c r="W498" i="4"/>
  <c r="H499" i="4"/>
  <c r="P499" i="4"/>
  <c r="I500" i="4"/>
  <c r="Q500" i="4"/>
  <c r="R501" i="4"/>
  <c r="L503" i="4"/>
  <c r="M504" i="4"/>
  <c r="U504" i="4"/>
  <c r="G506" i="4"/>
  <c r="O506" i="4"/>
  <c r="W506" i="4"/>
  <c r="H507" i="4"/>
  <c r="P507" i="4"/>
  <c r="I508" i="4"/>
  <c r="Q508" i="4"/>
  <c r="R509" i="4"/>
  <c r="M512" i="4"/>
  <c r="U512" i="4"/>
  <c r="G514" i="4"/>
  <c r="O514" i="4"/>
  <c r="W514" i="4"/>
  <c r="H515" i="4"/>
  <c r="P515" i="4"/>
  <c r="I516" i="4"/>
  <c r="Q516" i="4"/>
  <c r="R517" i="4"/>
  <c r="L519" i="4"/>
  <c r="M520" i="4"/>
  <c r="U520" i="4"/>
  <c r="G522" i="4"/>
  <c r="O522" i="4"/>
  <c r="W522" i="4"/>
  <c r="H523" i="4"/>
  <c r="P523" i="4"/>
  <c r="I524" i="4"/>
  <c r="Q524" i="4"/>
  <c r="R525" i="4"/>
  <c r="L527" i="4"/>
  <c r="M528" i="4"/>
  <c r="U528" i="4"/>
  <c r="G530" i="4"/>
  <c r="O530" i="4"/>
  <c r="W530" i="4"/>
  <c r="H531" i="4"/>
  <c r="P531" i="4"/>
  <c r="I532" i="4"/>
  <c r="Q532" i="4"/>
  <c r="R533" i="4"/>
  <c r="M536" i="4"/>
  <c r="U536" i="4"/>
  <c r="G538" i="4"/>
  <c r="O538" i="4"/>
  <c r="W538" i="4"/>
  <c r="H539" i="4"/>
  <c r="P539" i="4"/>
  <c r="I540" i="4"/>
  <c r="Q540" i="4"/>
  <c r="R541" i="4"/>
  <c r="L543" i="4"/>
  <c r="M544" i="4"/>
  <c r="U544" i="4"/>
  <c r="G546" i="4"/>
  <c r="O546" i="4"/>
  <c r="W546" i="4"/>
  <c r="H547" i="4"/>
  <c r="P547" i="4"/>
  <c r="I548" i="4"/>
  <c r="Q548" i="4"/>
  <c r="R549" i="4"/>
  <c r="L551" i="4"/>
  <c r="M552" i="4"/>
  <c r="U552" i="4"/>
  <c r="G554" i="4"/>
  <c r="O554" i="4"/>
  <c r="W554" i="4"/>
  <c r="H555" i="4"/>
  <c r="P555" i="4"/>
  <c r="I556" i="4"/>
  <c r="Q556" i="4"/>
  <c r="R557" i="4"/>
  <c r="L559" i="4"/>
  <c r="M560" i="4"/>
  <c r="U560" i="4"/>
  <c r="G562" i="4"/>
  <c r="O562" i="4"/>
  <c r="W562" i="4"/>
  <c r="H563" i="4"/>
  <c r="P563" i="4"/>
  <c r="I564" i="4"/>
  <c r="Q564" i="4"/>
  <c r="R565" i="4"/>
  <c r="L567" i="4"/>
  <c r="M568" i="4"/>
  <c r="U568" i="4"/>
  <c r="G570" i="4"/>
  <c r="O570" i="4"/>
  <c r="W570" i="4"/>
  <c r="H571" i="4"/>
  <c r="P571" i="4"/>
  <c r="I572" i="4"/>
  <c r="Q572" i="4"/>
  <c r="R573" i="4"/>
  <c r="M576" i="4"/>
  <c r="U576" i="4"/>
  <c r="G578" i="4"/>
  <c r="O578" i="4"/>
  <c r="W578" i="4"/>
  <c r="H579" i="4"/>
  <c r="P579" i="4"/>
  <c r="I580" i="4"/>
  <c r="Q580" i="4"/>
  <c r="R581" i="4"/>
  <c r="M584" i="4"/>
  <c r="U584" i="4"/>
  <c r="N585" i="4"/>
  <c r="G586" i="4"/>
  <c r="O586" i="4"/>
  <c r="W586" i="4"/>
  <c r="H587" i="4"/>
  <c r="P587" i="4"/>
  <c r="I588" i="4"/>
  <c r="Q588" i="4"/>
  <c r="R589" i="4"/>
  <c r="M592" i="4"/>
  <c r="U592" i="4"/>
  <c r="N593" i="4"/>
  <c r="G594" i="4"/>
  <c r="O594" i="4"/>
  <c r="W594" i="4"/>
  <c r="H595" i="4"/>
  <c r="P595" i="4"/>
  <c r="I596" i="4"/>
  <c r="Q596" i="4"/>
  <c r="R597" i="4"/>
  <c r="M600" i="4"/>
  <c r="U600" i="4"/>
  <c r="N601" i="4"/>
  <c r="O603" i="4"/>
  <c r="Q604" i="4"/>
  <c r="I604" i="4"/>
  <c r="W607" i="4"/>
  <c r="O607" i="4"/>
  <c r="G607" i="4"/>
  <c r="T607" i="4"/>
  <c r="J607" i="4"/>
  <c r="U607" i="4"/>
  <c r="J610" i="4"/>
  <c r="W610" i="4"/>
  <c r="O610" i="4"/>
  <c r="G610" i="4"/>
  <c r="K610" i="4"/>
  <c r="U610" i="4"/>
  <c r="G611" i="4"/>
  <c r="U613" i="4"/>
  <c r="M613" i="4"/>
  <c r="J613" i="4"/>
  <c r="T613" i="4"/>
  <c r="P616" i="4"/>
  <c r="U616" i="4"/>
  <c r="M616" i="4"/>
  <c r="J616" i="4"/>
  <c r="T616" i="4"/>
  <c r="K619" i="4"/>
  <c r="P619" i="4"/>
  <c r="J619" i="4"/>
  <c r="U619" i="4"/>
  <c r="H622" i="4"/>
  <c r="R622" i="4"/>
  <c r="H625" i="4"/>
  <c r="P626" i="4"/>
  <c r="H628" i="4"/>
  <c r="Q633" i="4"/>
  <c r="I633" i="4"/>
  <c r="O635" i="4"/>
  <c r="Q636" i="4"/>
  <c r="I636" i="4"/>
  <c r="W639" i="4"/>
  <c r="O639" i="4"/>
  <c r="G639" i="4"/>
  <c r="V639" i="4"/>
  <c r="T639" i="4"/>
  <c r="J639" i="4"/>
  <c r="U639" i="4"/>
  <c r="J640" i="4"/>
  <c r="N647" i="4"/>
  <c r="L647" i="4"/>
  <c r="P648" i="4"/>
  <c r="W648" i="4"/>
  <c r="O648" i="4"/>
  <c r="G648" i="4"/>
  <c r="U648" i="4"/>
  <c r="M648" i="4"/>
  <c r="T648" i="4"/>
  <c r="K648" i="4"/>
  <c r="K651" i="4"/>
  <c r="J651" i="4"/>
  <c r="P651" i="4"/>
  <c r="W651" i="4"/>
  <c r="O651" i="4"/>
  <c r="G651" i="4"/>
  <c r="M651" i="4"/>
  <c r="W655" i="4"/>
  <c r="O655" i="4"/>
  <c r="G655" i="4"/>
  <c r="V655" i="4"/>
  <c r="T655" i="4"/>
  <c r="K655" i="4"/>
  <c r="J655" i="4"/>
  <c r="N680" i="4"/>
  <c r="L680" i="4"/>
  <c r="Q689" i="4"/>
  <c r="I689" i="4"/>
  <c r="H689" i="4"/>
  <c r="S689" i="4"/>
  <c r="P704" i="4"/>
  <c r="W704" i="4"/>
  <c r="O704" i="4"/>
  <c r="G704" i="4"/>
  <c r="V704" i="4"/>
  <c r="U704" i="4"/>
  <c r="M704" i="4"/>
  <c r="T704" i="4"/>
  <c r="K704" i="4"/>
  <c r="J704" i="4"/>
  <c r="Q731" i="4"/>
  <c r="I731" i="4"/>
  <c r="S731" i="4"/>
  <c r="R731" i="4"/>
  <c r="H731" i="4"/>
  <c r="L751" i="4"/>
  <c r="N751" i="4"/>
  <c r="Q795" i="4"/>
  <c r="I795" i="4"/>
  <c r="H795" i="4"/>
  <c r="S795" i="4"/>
  <c r="R795" i="4"/>
  <c r="R476" i="4"/>
  <c r="R484" i="4"/>
  <c r="V488" i="4"/>
  <c r="R492" i="4"/>
  <c r="V496" i="4"/>
  <c r="R500" i="4"/>
  <c r="V504" i="4"/>
  <c r="R508" i="4"/>
  <c r="V512" i="4"/>
  <c r="R516" i="4"/>
  <c r="V520" i="4"/>
  <c r="P522" i="4"/>
  <c r="I523" i="4"/>
  <c r="Q523" i="4"/>
  <c r="V528" i="4"/>
  <c r="P530" i="4"/>
  <c r="I531" i="4"/>
  <c r="Q531" i="4"/>
  <c r="V536" i="4"/>
  <c r="P538" i="4"/>
  <c r="I539" i="4"/>
  <c r="Q539" i="4"/>
  <c r="V544" i="4"/>
  <c r="P546" i="4"/>
  <c r="I547" i="4"/>
  <c r="Q547" i="4"/>
  <c r="V552" i="4"/>
  <c r="P554" i="4"/>
  <c r="I555" i="4"/>
  <c r="Q555" i="4"/>
  <c r="V560" i="4"/>
  <c r="P562" i="4"/>
  <c r="I563" i="4"/>
  <c r="Q563" i="4"/>
  <c r="V568" i="4"/>
  <c r="P570" i="4"/>
  <c r="I571" i="4"/>
  <c r="Q571" i="4"/>
  <c r="V576" i="4"/>
  <c r="P578" i="4"/>
  <c r="I579" i="4"/>
  <c r="Q579" i="4"/>
  <c r="V584" i="4"/>
  <c r="P586" i="4"/>
  <c r="I587" i="4"/>
  <c r="Q587" i="4"/>
  <c r="R588" i="4"/>
  <c r="P594" i="4"/>
  <c r="I595" i="4"/>
  <c r="Q595" i="4"/>
  <c r="R596" i="4"/>
  <c r="S619" i="4"/>
  <c r="H619" i="4"/>
  <c r="V622" i="4"/>
  <c r="K622" i="4"/>
  <c r="I622" i="4"/>
  <c r="T622" i="4"/>
  <c r="P640" i="4"/>
  <c r="W640" i="4"/>
  <c r="O640" i="4"/>
  <c r="G640" i="4"/>
  <c r="U640" i="4"/>
  <c r="M640" i="4"/>
  <c r="K640" i="4"/>
  <c r="N648" i="4"/>
  <c r="V654" i="4"/>
  <c r="U654" i="4"/>
  <c r="M654" i="4"/>
  <c r="K654" i="4"/>
  <c r="J654" i="4"/>
  <c r="M655" i="4"/>
  <c r="P664" i="4"/>
  <c r="W664" i="4"/>
  <c r="O664" i="4"/>
  <c r="G664" i="4"/>
  <c r="U664" i="4"/>
  <c r="M664" i="4"/>
  <c r="T664" i="4"/>
  <c r="J664" i="4"/>
  <c r="N664" i="4"/>
  <c r="S671" i="4"/>
  <c r="Q671" i="4"/>
  <c r="I671" i="4"/>
  <c r="Q673" i="4"/>
  <c r="I673" i="4"/>
  <c r="H673" i="4"/>
  <c r="S673" i="4"/>
  <c r="N679" i="4"/>
  <c r="L679" i="4"/>
  <c r="N704" i="4"/>
  <c r="L704" i="4"/>
  <c r="U743" i="4"/>
  <c r="M743" i="4"/>
  <c r="T743" i="4"/>
  <c r="G743" i="4"/>
  <c r="P743" i="4"/>
  <c r="O743" i="4"/>
  <c r="W743" i="4"/>
  <c r="K743" i="4"/>
  <c r="V743" i="4"/>
  <c r="J743" i="4"/>
  <c r="Q771" i="4"/>
  <c r="I771" i="4"/>
  <c r="H771" i="4"/>
  <c r="S771" i="4"/>
  <c r="R771" i="4"/>
  <c r="K840" i="4"/>
  <c r="P840" i="4"/>
  <c r="G840" i="4"/>
  <c r="O840" i="4"/>
  <c r="W840" i="4"/>
  <c r="V840" i="4"/>
  <c r="M840" i="4"/>
  <c r="U840" i="4"/>
  <c r="J840" i="4"/>
  <c r="T840" i="4"/>
  <c r="N855" i="4"/>
  <c r="L855" i="4"/>
  <c r="R467" i="4"/>
  <c r="J475" i="4"/>
  <c r="R475" i="4"/>
  <c r="J483" i="4"/>
  <c r="R483" i="4"/>
  <c r="G488" i="4"/>
  <c r="O488" i="4"/>
  <c r="W488" i="4"/>
  <c r="H489" i="4"/>
  <c r="J491" i="4"/>
  <c r="R491" i="4"/>
  <c r="G496" i="4"/>
  <c r="O496" i="4"/>
  <c r="W496" i="4"/>
  <c r="H497" i="4"/>
  <c r="J499" i="4"/>
  <c r="R499" i="4"/>
  <c r="G504" i="4"/>
  <c r="O504" i="4"/>
  <c r="W504" i="4"/>
  <c r="H505" i="4"/>
  <c r="J507" i="4"/>
  <c r="R507" i="4"/>
  <c r="G512" i="4"/>
  <c r="O512" i="4"/>
  <c r="W512" i="4"/>
  <c r="H513" i="4"/>
  <c r="J515" i="4"/>
  <c r="R515" i="4"/>
  <c r="G520" i="4"/>
  <c r="O520" i="4"/>
  <c r="W520" i="4"/>
  <c r="H521" i="4"/>
  <c r="R523" i="4"/>
  <c r="G528" i="4"/>
  <c r="O528" i="4"/>
  <c r="W528" i="4"/>
  <c r="H529" i="4"/>
  <c r="R531" i="4"/>
  <c r="G536" i="4"/>
  <c r="O536" i="4"/>
  <c r="W536" i="4"/>
  <c r="H537" i="4"/>
  <c r="R539" i="4"/>
  <c r="G544" i="4"/>
  <c r="O544" i="4"/>
  <c r="W544" i="4"/>
  <c r="H545" i="4"/>
  <c r="R547" i="4"/>
  <c r="G552" i="4"/>
  <c r="O552" i="4"/>
  <c r="W552" i="4"/>
  <c r="H553" i="4"/>
  <c r="R555" i="4"/>
  <c r="G560" i="4"/>
  <c r="O560" i="4"/>
  <c r="W560" i="4"/>
  <c r="H561" i="4"/>
  <c r="R563" i="4"/>
  <c r="G568" i="4"/>
  <c r="O568" i="4"/>
  <c r="W568" i="4"/>
  <c r="H569" i="4"/>
  <c r="R571" i="4"/>
  <c r="G576" i="4"/>
  <c r="O576" i="4"/>
  <c r="W576" i="4"/>
  <c r="R579" i="4"/>
  <c r="R587" i="4"/>
  <c r="R595" i="4"/>
  <c r="J602" i="4"/>
  <c r="W602" i="4"/>
  <c r="O602" i="4"/>
  <c r="G602" i="4"/>
  <c r="K602" i="4"/>
  <c r="U602" i="4"/>
  <c r="U605" i="4"/>
  <c r="M605" i="4"/>
  <c r="J605" i="4"/>
  <c r="T605" i="4"/>
  <c r="P608" i="4"/>
  <c r="U608" i="4"/>
  <c r="M608" i="4"/>
  <c r="J608" i="4"/>
  <c r="T608" i="4"/>
  <c r="K611" i="4"/>
  <c r="P611" i="4"/>
  <c r="J611" i="4"/>
  <c r="U611" i="4"/>
  <c r="Q625" i="4"/>
  <c r="I625" i="4"/>
  <c r="Q628" i="4"/>
  <c r="I628" i="4"/>
  <c r="W631" i="4"/>
  <c r="O631" i="4"/>
  <c r="G631" i="4"/>
  <c r="T631" i="4"/>
  <c r="J631" i="4"/>
  <c r="U631" i="4"/>
  <c r="J634" i="4"/>
  <c r="W634" i="4"/>
  <c r="O634" i="4"/>
  <c r="G634" i="4"/>
  <c r="K634" i="4"/>
  <c r="U634" i="4"/>
  <c r="U637" i="4"/>
  <c r="M637" i="4"/>
  <c r="J637" i="4"/>
  <c r="T637" i="4"/>
  <c r="L640" i="4"/>
  <c r="Q641" i="4"/>
  <c r="I641" i="4"/>
  <c r="H641" i="4"/>
  <c r="S644" i="4"/>
  <c r="Q644" i="4"/>
  <c r="I644" i="4"/>
  <c r="H644" i="4"/>
  <c r="W647" i="4"/>
  <c r="O647" i="4"/>
  <c r="G647" i="4"/>
  <c r="V647" i="4"/>
  <c r="T647" i="4"/>
  <c r="K647" i="4"/>
  <c r="J647" i="4"/>
  <c r="S668" i="4"/>
  <c r="Q668" i="4"/>
  <c r="I668" i="4"/>
  <c r="H668" i="4"/>
  <c r="V670" i="4"/>
  <c r="U670" i="4"/>
  <c r="M670" i="4"/>
  <c r="K670" i="4"/>
  <c r="J670" i="4"/>
  <c r="P670" i="4"/>
  <c r="Q681" i="4"/>
  <c r="I681" i="4"/>
  <c r="H681" i="4"/>
  <c r="S681" i="4"/>
  <c r="Q705" i="4"/>
  <c r="I705" i="4"/>
  <c r="H705" i="4"/>
  <c r="S705" i="4"/>
  <c r="P720" i="4"/>
  <c r="W720" i="4"/>
  <c r="O720" i="4"/>
  <c r="G720" i="4"/>
  <c r="V720" i="4"/>
  <c r="U720" i="4"/>
  <c r="M720" i="4"/>
  <c r="T720" i="4"/>
  <c r="K720" i="4"/>
  <c r="J720" i="4"/>
  <c r="H853" i="4"/>
  <c r="S853" i="4"/>
  <c r="R853" i="4"/>
  <c r="I853" i="4"/>
  <c r="Q853" i="4"/>
  <c r="G407" i="4"/>
  <c r="O407" i="4"/>
  <c r="W407" i="4"/>
  <c r="H408" i="4"/>
  <c r="G415" i="4"/>
  <c r="O415" i="4"/>
  <c r="W415" i="4"/>
  <c r="H416" i="4"/>
  <c r="G423" i="4"/>
  <c r="O423" i="4"/>
  <c r="W423" i="4"/>
  <c r="H424" i="4"/>
  <c r="G431" i="4"/>
  <c r="O431" i="4"/>
  <c r="W431" i="4"/>
  <c r="H432" i="4"/>
  <c r="T436" i="4"/>
  <c r="G439" i="4"/>
  <c r="O439" i="4"/>
  <c r="W439" i="4"/>
  <c r="H440" i="4"/>
  <c r="T444" i="4"/>
  <c r="G447" i="4"/>
  <c r="O447" i="4"/>
  <c r="W447" i="4"/>
  <c r="H448" i="4"/>
  <c r="T452" i="4"/>
  <c r="G455" i="4"/>
  <c r="O455" i="4"/>
  <c r="W455" i="4"/>
  <c r="H456" i="4"/>
  <c r="T460" i="4"/>
  <c r="G463" i="4"/>
  <c r="O463" i="4"/>
  <c r="W463" i="4"/>
  <c r="H464" i="4"/>
  <c r="J466" i="4"/>
  <c r="T468" i="4"/>
  <c r="G471" i="4"/>
  <c r="O471" i="4"/>
  <c r="W471" i="4"/>
  <c r="H472" i="4"/>
  <c r="J474" i="4"/>
  <c r="K475" i="4"/>
  <c r="T476" i="4"/>
  <c r="G479" i="4"/>
  <c r="O479" i="4"/>
  <c r="W479" i="4"/>
  <c r="H480" i="4"/>
  <c r="J482" i="4"/>
  <c r="K483" i="4"/>
  <c r="T484" i="4"/>
  <c r="G487" i="4"/>
  <c r="O487" i="4"/>
  <c r="W487" i="4"/>
  <c r="H488" i="4"/>
  <c r="P488" i="4"/>
  <c r="I489" i="4"/>
  <c r="Q489" i="4"/>
  <c r="J490" i="4"/>
  <c r="K491" i="4"/>
  <c r="T492" i="4"/>
  <c r="G495" i="4"/>
  <c r="O495" i="4"/>
  <c r="W495" i="4"/>
  <c r="H496" i="4"/>
  <c r="P496" i="4"/>
  <c r="I497" i="4"/>
  <c r="Q497" i="4"/>
  <c r="J498" i="4"/>
  <c r="K499" i="4"/>
  <c r="T500" i="4"/>
  <c r="G503" i="4"/>
  <c r="O503" i="4"/>
  <c r="W503" i="4"/>
  <c r="H504" i="4"/>
  <c r="P504" i="4"/>
  <c r="I505" i="4"/>
  <c r="Q505" i="4"/>
  <c r="J506" i="4"/>
  <c r="K507" i="4"/>
  <c r="T508" i="4"/>
  <c r="G511" i="4"/>
  <c r="O511" i="4"/>
  <c r="W511" i="4"/>
  <c r="H512" i="4"/>
  <c r="P512" i="4"/>
  <c r="I513" i="4"/>
  <c r="Q513" i="4"/>
  <c r="J514" i="4"/>
  <c r="K515" i="4"/>
  <c r="T516" i="4"/>
  <c r="G519" i="4"/>
  <c r="O519" i="4"/>
  <c r="W519" i="4"/>
  <c r="H520" i="4"/>
  <c r="P520" i="4"/>
  <c r="I521" i="4"/>
  <c r="Q521" i="4"/>
  <c r="J522" i="4"/>
  <c r="K523" i="4"/>
  <c r="T524" i="4"/>
  <c r="G527" i="4"/>
  <c r="O527" i="4"/>
  <c r="W527" i="4"/>
  <c r="H528" i="4"/>
  <c r="P528" i="4"/>
  <c r="I529" i="4"/>
  <c r="Q529" i="4"/>
  <c r="J530" i="4"/>
  <c r="K531" i="4"/>
  <c r="T532" i="4"/>
  <c r="G535" i="4"/>
  <c r="O535" i="4"/>
  <c r="W535" i="4"/>
  <c r="H536" i="4"/>
  <c r="P536" i="4"/>
  <c r="I537" i="4"/>
  <c r="Q537" i="4"/>
  <c r="J538" i="4"/>
  <c r="K539" i="4"/>
  <c r="T540" i="4"/>
  <c r="G543" i="4"/>
  <c r="O543" i="4"/>
  <c r="W543" i="4"/>
  <c r="H544" i="4"/>
  <c r="P544" i="4"/>
  <c r="I545" i="4"/>
  <c r="Q545" i="4"/>
  <c r="J546" i="4"/>
  <c r="K547" i="4"/>
  <c r="T548" i="4"/>
  <c r="G551" i="4"/>
  <c r="O551" i="4"/>
  <c r="W551" i="4"/>
  <c r="H552" i="4"/>
  <c r="P552" i="4"/>
  <c r="I553" i="4"/>
  <c r="Q553" i="4"/>
  <c r="J554" i="4"/>
  <c r="K555" i="4"/>
  <c r="T556" i="4"/>
  <c r="G559" i="4"/>
  <c r="O559" i="4"/>
  <c r="W559" i="4"/>
  <c r="H560" i="4"/>
  <c r="P560" i="4"/>
  <c r="I561" i="4"/>
  <c r="Q561" i="4"/>
  <c r="J562" i="4"/>
  <c r="K563" i="4"/>
  <c r="T564" i="4"/>
  <c r="G567" i="4"/>
  <c r="O567" i="4"/>
  <c r="W567" i="4"/>
  <c r="H568" i="4"/>
  <c r="P568" i="4"/>
  <c r="I569" i="4"/>
  <c r="Q569" i="4"/>
  <c r="J570" i="4"/>
  <c r="K571" i="4"/>
  <c r="T572" i="4"/>
  <c r="G575" i="4"/>
  <c r="O575" i="4"/>
  <c r="W575" i="4"/>
  <c r="H576" i="4"/>
  <c r="P576" i="4"/>
  <c r="I577" i="4"/>
  <c r="Q577" i="4"/>
  <c r="J578" i="4"/>
  <c r="K579" i="4"/>
  <c r="T580" i="4"/>
  <c r="G583" i="4"/>
  <c r="O583" i="4"/>
  <c r="W583" i="4"/>
  <c r="H584" i="4"/>
  <c r="P584" i="4"/>
  <c r="I585" i="4"/>
  <c r="Q585" i="4"/>
  <c r="J586" i="4"/>
  <c r="K587" i="4"/>
  <c r="T588" i="4"/>
  <c r="G591" i="4"/>
  <c r="O591" i="4"/>
  <c r="W591" i="4"/>
  <c r="H592" i="4"/>
  <c r="P592" i="4"/>
  <c r="I593" i="4"/>
  <c r="Q593" i="4"/>
  <c r="J594" i="4"/>
  <c r="K595" i="4"/>
  <c r="T596" i="4"/>
  <c r="G599" i="4"/>
  <c r="O599" i="4"/>
  <c r="W599" i="4"/>
  <c r="H600" i="4"/>
  <c r="P600" i="4"/>
  <c r="I601" i="4"/>
  <c r="Q601" i="4"/>
  <c r="L602" i="4"/>
  <c r="V602" i="4"/>
  <c r="K605" i="4"/>
  <c r="V605" i="4"/>
  <c r="Q606" i="4"/>
  <c r="K608" i="4"/>
  <c r="V608" i="4"/>
  <c r="S611" i="4"/>
  <c r="H611" i="4"/>
  <c r="V611" i="4"/>
  <c r="V614" i="4"/>
  <c r="K614" i="4"/>
  <c r="I614" i="4"/>
  <c r="T614" i="4"/>
  <c r="W622" i="4"/>
  <c r="I623" i="4"/>
  <c r="K631" i="4"/>
  <c r="V631" i="4"/>
  <c r="I632" i="4"/>
  <c r="S632" i="4"/>
  <c r="L634" i="4"/>
  <c r="V634" i="4"/>
  <c r="K637" i="4"/>
  <c r="V637" i="4"/>
  <c r="Q638" i="4"/>
  <c r="K643" i="4"/>
  <c r="J643" i="4"/>
  <c r="P643" i="4"/>
  <c r="W643" i="4"/>
  <c r="O643" i="4"/>
  <c r="G643" i="4"/>
  <c r="M643" i="4"/>
  <c r="V646" i="4"/>
  <c r="U646" i="4"/>
  <c r="M646" i="4"/>
  <c r="K646" i="4"/>
  <c r="J646" i="4"/>
  <c r="M647" i="4"/>
  <c r="R648" i="4"/>
  <c r="T651" i="4"/>
  <c r="O654" i="4"/>
  <c r="Q655" i="4"/>
  <c r="N669" i="4"/>
  <c r="R689" i="4"/>
  <c r="P696" i="4"/>
  <c r="W696" i="4"/>
  <c r="O696" i="4"/>
  <c r="G696" i="4"/>
  <c r="V696" i="4"/>
  <c r="U696" i="4"/>
  <c r="M696" i="4"/>
  <c r="T696" i="4"/>
  <c r="K696" i="4"/>
  <c r="J696" i="4"/>
  <c r="N720" i="4"/>
  <c r="L720" i="4"/>
  <c r="R726" i="4"/>
  <c r="I726" i="4"/>
  <c r="Q726" i="4"/>
  <c r="H726" i="4"/>
  <c r="W761" i="4"/>
  <c r="O761" i="4"/>
  <c r="G761" i="4"/>
  <c r="V761" i="4"/>
  <c r="P761" i="4"/>
  <c r="M761" i="4"/>
  <c r="U761" i="4"/>
  <c r="K761" i="4"/>
  <c r="T761" i="4"/>
  <c r="S775" i="4"/>
  <c r="H775" i="4"/>
  <c r="I775" i="4"/>
  <c r="R775" i="4"/>
  <c r="Q775" i="4"/>
  <c r="S823" i="4"/>
  <c r="R823" i="4"/>
  <c r="Q823" i="4"/>
  <c r="I823" i="4"/>
  <c r="H823" i="4"/>
  <c r="V1051" i="4"/>
  <c r="U1051" i="4"/>
  <c r="M1051" i="4"/>
  <c r="G1051" i="4"/>
  <c r="P1051" i="4"/>
  <c r="O1051" i="4"/>
  <c r="J1051" i="4"/>
  <c r="W1051" i="4"/>
  <c r="K1051" i="4"/>
  <c r="T1051" i="4"/>
  <c r="R489" i="4"/>
  <c r="R497" i="4"/>
  <c r="R505" i="4"/>
  <c r="R513" i="4"/>
  <c r="R521" i="4"/>
  <c r="R529" i="4"/>
  <c r="R537" i="4"/>
  <c r="R545" i="4"/>
  <c r="R553" i="4"/>
  <c r="R561" i="4"/>
  <c r="R569" i="4"/>
  <c r="R577" i="4"/>
  <c r="K578" i="4"/>
  <c r="T579" i="4"/>
  <c r="R585" i="4"/>
  <c r="K586" i="4"/>
  <c r="T587" i="4"/>
  <c r="R593" i="4"/>
  <c r="K594" i="4"/>
  <c r="T595" i="4"/>
  <c r="R601" i="4"/>
  <c r="M602" i="4"/>
  <c r="K603" i="4"/>
  <c r="P603" i="4"/>
  <c r="J603" i="4"/>
  <c r="U603" i="4"/>
  <c r="L605" i="4"/>
  <c r="W605" i="4"/>
  <c r="W608" i="4"/>
  <c r="M611" i="4"/>
  <c r="W611" i="4"/>
  <c r="Q617" i="4"/>
  <c r="I617" i="4"/>
  <c r="Q620" i="4"/>
  <c r="I620" i="4"/>
  <c r="M622" i="4"/>
  <c r="W623" i="4"/>
  <c r="O623" i="4"/>
  <c r="G623" i="4"/>
  <c r="T623" i="4"/>
  <c r="J623" i="4"/>
  <c r="U623" i="4"/>
  <c r="J626" i="4"/>
  <c r="W626" i="4"/>
  <c r="O626" i="4"/>
  <c r="G626" i="4"/>
  <c r="K626" i="4"/>
  <c r="U626" i="4"/>
  <c r="U629" i="4"/>
  <c r="M629" i="4"/>
  <c r="J629" i="4"/>
  <c r="T629" i="4"/>
  <c r="M631" i="4"/>
  <c r="P632" i="4"/>
  <c r="U632" i="4"/>
  <c r="M632" i="4"/>
  <c r="J632" i="4"/>
  <c r="T632" i="4"/>
  <c r="M634" i="4"/>
  <c r="K635" i="4"/>
  <c r="P635" i="4"/>
  <c r="J635" i="4"/>
  <c r="U635" i="4"/>
  <c r="L637" i="4"/>
  <c r="W637" i="4"/>
  <c r="Q640" i="4"/>
  <c r="L642" i="4"/>
  <c r="L646" i="4"/>
  <c r="P647" i="4"/>
  <c r="N666" i="4"/>
  <c r="L666" i="4"/>
  <c r="O670" i="4"/>
  <c r="P672" i="4"/>
  <c r="W672" i="4"/>
  <c r="O672" i="4"/>
  <c r="G672" i="4"/>
  <c r="U672" i="4"/>
  <c r="M672" i="4"/>
  <c r="T672" i="4"/>
  <c r="J672" i="4"/>
  <c r="S679" i="4"/>
  <c r="Q679" i="4"/>
  <c r="I679" i="4"/>
  <c r="Q721" i="4"/>
  <c r="I721" i="4"/>
  <c r="H721" i="4"/>
  <c r="S721" i="4"/>
  <c r="V736" i="4"/>
  <c r="P736" i="4"/>
  <c r="G736" i="4"/>
  <c r="O736" i="4"/>
  <c r="W736" i="4"/>
  <c r="M736" i="4"/>
  <c r="U736" i="4"/>
  <c r="T736" i="4"/>
  <c r="K736" i="4"/>
  <c r="J736" i="4"/>
  <c r="S753" i="4"/>
  <c r="I753" i="4"/>
  <c r="R753" i="4"/>
  <c r="H753" i="4"/>
  <c r="Q753" i="4"/>
  <c r="T865" i="4"/>
  <c r="J865" i="4"/>
  <c r="G865" i="4"/>
  <c r="P865" i="4"/>
  <c r="O865" i="4"/>
  <c r="W865" i="4"/>
  <c r="M865" i="4"/>
  <c r="V865" i="4"/>
  <c r="U865" i="4"/>
  <c r="K865" i="4"/>
  <c r="R408" i="4"/>
  <c r="R416" i="4"/>
  <c r="R424" i="4"/>
  <c r="R432" i="4"/>
  <c r="V436" i="4"/>
  <c r="R440" i="4"/>
  <c r="V444" i="4"/>
  <c r="R448" i="4"/>
  <c r="V452" i="4"/>
  <c r="R456" i="4"/>
  <c r="V460" i="4"/>
  <c r="R464" i="4"/>
  <c r="T466" i="4"/>
  <c r="V468" i="4"/>
  <c r="R472" i="4"/>
  <c r="T474" i="4"/>
  <c r="M475" i="4"/>
  <c r="U475" i="4"/>
  <c r="V476" i="4"/>
  <c r="R480" i="4"/>
  <c r="T482" i="4"/>
  <c r="M483" i="4"/>
  <c r="U483" i="4"/>
  <c r="V484" i="4"/>
  <c r="J488" i="4"/>
  <c r="R488" i="4"/>
  <c r="T490" i="4"/>
  <c r="M491" i="4"/>
  <c r="U491" i="4"/>
  <c r="V492" i="4"/>
  <c r="J496" i="4"/>
  <c r="R496" i="4"/>
  <c r="T498" i="4"/>
  <c r="M499" i="4"/>
  <c r="U499" i="4"/>
  <c r="V500" i="4"/>
  <c r="J504" i="4"/>
  <c r="R504" i="4"/>
  <c r="T506" i="4"/>
  <c r="M507" i="4"/>
  <c r="U507" i="4"/>
  <c r="V508" i="4"/>
  <c r="J512" i="4"/>
  <c r="R512" i="4"/>
  <c r="T514" i="4"/>
  <c r="M515" i="4"/>
  <c r="U515" i="4"/>
  <c r="V516" i="4"/>
  <c r="J520" i="4"/>
  <c r="R520" i="4"/>
  <c r="T522" i="4"/>
  <c r="M523" i="4"/>
  <c r="U523" i="4"/>
  <c r="V524" i="4"/>
  <c r="J528" i="4"/>
  <c r="R528" i="4"/>
  <c r="T530" i="4"/>
  <c r="M531" i="4"/>
  <c r="U531" i="4"/>
  <c r="V532" i="4"/>
  <c r="J536" i="4"/>
  <c r="R536" i="4"/>
  <c r="T538" i="4"/>
  <c r="M539" i="4"/>
  <c r="U539" i="4"/>
  <c r="V540" i="4"/>
  <c r="J544" i="4"/>
  <c r="R544" i="4"/>
  <c r="T546" i="4"/>
  <c r="M547" i="4"/>
  <c r="U547" i="4"/>
  <c r="V548" i="4"/>
  <c r="J552" i="4"/>
  <c r="R552" i="4"/>
  <c r="T554" i="4"/>
  <c r="M555" i="4"/>
  <c r="U555" i="4"/>
  <c r="V556" i="4"/>
  <c r="J560" i="4"/>
  <c r="R560" i="4"/>
  <c r="T562" i="4"/>
  <c r="M563" i="4"/>
  <c r="U563" i="4"/>
  <c r="V564" i="4"/>
  <c r="J568" i="4"/>
  <c r="R568" i="4"/>
  <c r="T570" i="4"/>
  <c r="M571" i="4"/>
  <c r="U571" i="4"/>
  <c r="V572" i="4"/>
  <c r="J576" i="4"/>
  <c r="R576" i="4"/>
  <c r="T578" i="4"/>
  <c r="M579" i="4"/>
  <c r="U579" i="4"/>
  <c r="V580" i="4"/>
  <c r="J584" i="4"/>
  <c r="R584" i="4"/>
  <c r="T586" i="4"/>
  <c r="M587" i="4"/>
  <c r="U587" i="4"/>
  <c r="V588" i="4"/>
  <c r="J592" i="4"/>
  <c r="R592" i="4"/>
  <c r="T594" i="4"/>
  <c r="M595" i="4"/>
  <c r="U595" i="4"/>
  <c r="V596" i="4"/>
  <c r="J600" i="4"/>
  <c r="R600" i="4"/>
  <c r="S603" i="4"/>
  <c r="H603" i="4"/>
  <c r="V603" i="4"/>
  <c r="R604" i="4"/>
  <c r="V606" i="4"/>
  <c r="K606" i="4"/>
  <c r="T606" i="4"/>
  <c r="Q607" i="4"/>
  <c r="P613" i="4"/>
  <c r="L614" i="4"/>
  <c r="Q616" i="4"/>
  <c r="L617" i="4"/>
  <c r="Q619" i="4"/>
  <c r="O622" i="4"/>
  <c r="K623" i="4"/>
  <c r="V623" i="4"/>
  <c r="V626" i="4"/>
  <c r="K629" i="4"/>
  <c r="V629" i="4"/>
  <c r="Q630" i="4"/>
  <c r="N631" i="4"/>
  <c r="K632" i="4"/>
  <c r="V632" i="4"/>
  <c r="R633" i="4"/>
  <c r="S635" i="4"/>
  <c r="H635" i="4"/>
  <c r="V635" i="4"/>
  <c r="R636" i="4"/>
  <c r="V638" i="4"/>
  <c r="K638" i="4"/>
  <c r="T638" i="4"/>
  <c r="Q639" i="4"/>
  <c r="R640" i="4"/>
  <c r="V648" i="4"/>
  <c r="V651" i="4"/>
  <c r="U655" i="4"/>
  <c r="Q657" i="4"/>
  <c r="I657" i="4"/>
  <c r="H657" i="4"/>
  <c r="S660" i="4"/>
  <c r="Q660" i="4"/>
  <c r="I660" i="4"/>
  <c r="H660" i="4"/>
  <c r="K667" i="4"/>
  <c r="J667" i="4"/>
  <c r="P667" i="4"/>
  <c r="W667" i="4"/>
  <c r="O667" i="4"/>
  <c r="G667" i="4"/>
  <c r="U667" i="4"/>
  <c r="M667" i="4"/>
  <c r="R668" i="4"/>
  <c r="R673" i="4"/>
  <c r="R679" i="4"/>
  <c r="Q697" i="4"/>
  <c r="I697" i="4"/>
  <c r="H697" i="4"/>
  <c r="S697" i="4"/>
  <c r="R705" i="4"/>
  <c r="P712" i="4"/>
  <c r="W712" i="4"/>
  <c r="O712" i="4"/>
  <c r="G712" i="4"/>
  <c r="V712" i="4"/>
  <c r="U712" i="4"/>
  <c r="M712" i="4"/>
  <c r="T712" i="4"/>
  <c r="K712" i="4"/>
  <c r="J712" i="4"/>
  <c r="N719" i="4"/>
  <c r="L719" i="4"/>
  <c r="G436" i="4"/>
  <c r="O436" i="4"/>
  <c r="G444" i="4"/>
  <c r="O444" i="4"/>
  <c r="G452" i="4"/>
  <c r="O452" i="4"/>
  <c r="G460" i="4"/>
  <c r="O460" i="4"/>
  <c r="M466" i="4"/>
  <c r="G468" i="4"/>
  <c r="O468" i="4"/>
  <c r="M474" i="4"/>
  <c r="G476" i="4"/>
  <c r="O476" i="4"/>
  <c r="M482" i="4"/>
  <c r="G484" i="4"/>
  <c r="O484" i="4"/>
  <c r="M490" i="4"/>
  <c r="G492" i="4"/>
  <c r="O492" i="4"/>
  <c r="M498" i="4"/>
  <c r="G500" i="4"/>
  <c r="O500" i="4"/>
  <c r="M506" i="4"/>
  <c r="G508" i="4"/>
  <c r="O508" i="4"/>
  <c r="M514" i="4"/>
  <c r="G516" i="4"/>
  <c r="O516" i="4"/>
  <c r="M522" i="4"/>
  <c r="G524" i="4"/>
  <c r="O524" i="4"/>
  <c r="M530" i="4"/>
  <c r="G532" i="4"/>
  <c r="O532" i="4"/>
  <c r="M538" i="4"/>
  <c r="G540" i="4"/>
  <c r="O540" i="4"/>
  <c r="M546" i="4"/>
  <c r="G548" i="4"/>
  <c r="O548" i="4"/>
  <c r="M554" i="4"/>
  <c r="G556" i="4"/>
  <c r="O556" i="4"/>
  <c r="M562" i="4"/>
  <c r="G564" i="4"/>
  <c r="O564" i="4"/>
  <c r="M570" i="4"/>
  <c r="G572" i="4"/>
  <c r="O572" i="4"/>
  <c r="M578" i="4"/>
  <c r="G580" i="4"/>
  <c r="O580" i="4"/>
  <c r="M586" i="4"/>
  <c r="G588" i="4"/>
  <c r="O588" i="4"/>
  <c r="M594" i="4"/>
  <c r="G596" i="4"/>
  <c r="O596" i="4"/>
  <c r="P602" i="4"/>
  <c r="M603" i="4"/>
  <c r="W603" i="4"/>
  <c r="H604" i="4"/>
  <c r="S604" i="4"/>
  <c r="O605" i="4"/>
  <c r="J606" i="4"/>
  <c r="U606" i="4"/>
  <c r="H607" i="4"/>
  <c r="O608" i="4"/>
  <c r="Q609" i="4"/>
  <c r="I609" i="4"/>
  <c r="O611" i="4"/>
  <c r="Q612" i="4"/>
  <c r="I612" i="4"/>
  <c r="G613" i="4"/>
  <c r="W615" i="4"/>
  <c r="O615" i="4"/>
  <c r="G615" i="4"/>
  <c r="T615" i="4"/>
  <c r="J615" i="4"/>
  <c r="U615" i="4"/>
  <c r="G616" i="4"/>
  <c r="R616" i="4"/>
  <c r="J618" i="4"/>
  <c r="W618" i="4"/>
  <c r="O618" i="4"/>
  <c r="G618" i="4"/>
  <c r="K618" i="4"/>
  <c r="U618" i="4"/>
  <c r="G619" i="4"/>
  <c r="R619" i="4"/>
  <c r="N620" i="4"/>
  <c r="U621" i="4"/>
  <c r="M621" i="4"/>
  <c r="J621" i="4"/>
  <c r="T621" i="4"/>
  <c r="P622" i="4"/>
  <c r="M623" i="4"/>
  <c r="P624" i="4"/>
  <c r="U624" i="4"/>
  <c r="M624" i="4"/>
  <c r="J624" i="4"/>
  <c r="T624" i="4"/>
  <c r="M626" i="4"/>
  <c r="K627" i="4"/>
  <c r="P627" i="4"/>
  <c r="J627" i="4"/>
  <c r="U627" i="4"/>
  <c r="W629" i="4"/>
  <c r="H630" i="4"/>
  <c r="R630" i="4"/>
  <c r="P631" i="4"/>
  <c r="W632" i="4"/>
  <c r="H633" i="4"/>
  <c r="S633" i="4"/>
  <c r="P634" i="4"/>
  <c r="M635" i="4"/>
  <c r="W635" i="4"/>
  <c r="H636" i="4"/>
  <c r="S636" i="4"/>
  <c r="O637" i="4"/>
  <c r="J638" i="4"/>
  <c r="U638" i="4"/>
  <c r="H639" i="4"/>
  <c r="S640" i="4"/>
  <c r="R641" i="4"/>
  <c r="R644" i="4"/>
  <c r="I648" i="4"/>
  <c r="T654" i="4"/>
  <c r="H655" i="4"/>
  <c r="P656" i="4"/>
  <c r="W656" i="4"/>
  <c r="O656" i="4"/>
  <c r="G656" i="4"/>
  <c r="U656" i="4"/>
  <c r="M656" i="4"/>
  <c r="T656" i="4"/>
  <c r="K656" i="4"/>
  <c r="K659" i="4"/>
  <c r="J659" i="4"/>
  <c r="P659" i="4"/>
  <c r="W659" i="4"/>
  <c r="O659" i="4"/>
  <c r="G659" i="4"/>
  <c r="M659" i="4"/>
  <c r="S663" i="4"/>
  <c r="Q663" i="4"/>
  <c r="I663" i="4"/>
  <c r="Q665" i="4"/>
  <c r="I665" i="4"/>
  <c r="H665" i="4"/>
  <c r="S665" i="4"/>
  <c r="T670" i="4"/>
  <c r="H671" i="4"/>
  <c r="V678" i="4"/>
  <c r="U678" i="4"/>
  <c r="M678" i="4"/>
  <c r="T678" i="4"/>
  <c r="K678" i="4"/>
  <c r="J678" i="4"/>
  <c r="P678" i="4"/>
  <c r="R681" i="4"/>
  <c r="P688" i="4"/>
  <c r="W688" i="4"/>
  <c r="O688" i="4"/>
  <c r="G688" i="4"/>
  <c r="V688" i="4"/>
  <c r="U688" i="4"/>
  <c r="M688" i="4"/>
  <c r="T688" i="4"/>
  <c r="K688" i="4"/>
  <c r="J688" i="4"/>
  <c r="N695" i="4"/>
  <c r="L695" i="4"/>
  <c r="N712" i="4"/>
  <c r="L712" i="4"/>
  <c r="P746" i="4"/>
  <c r="W746" i="4"/>
  <c r="O746" i="4"/>
  <c r="G746" i="4"/>
  <c r="T746" i="4"/>
  <c r="J746" i="4"/>
  <c r="M746" i="4"/>
  <c r="V746" i="4"/>
  <c r="U746" i="4"/>
  <c r="T766" i="4"/>
  <c r="K766" i="4"/>
  <c r="J766" i="4"/>
  <c r="V766" i="4"/>
  <c r="U766" i="4"/>
  <c r="G766" i="4"/>
  <c r="P766" i="4"/>
  <c r="O766" i="4"/>
  <c r="M766" i="4"/>
  <c r="N781" i="4"/>
  <c r="L781" i="4"/>
  <c r="V974" i="4"/>
  <c r="U974" i="4"/>
  <c r="M974" i="4"/>
  <c r="T974" i="4"/>
  <c r="K974" i="4"/>
  <c r="J974" i="4"/>
  <c r="W974" i="4"/>
  <c r="P974" i="4"/>
  <c r="O974" i="4"/>
  <c r="G974" i="4"/>
  <c r="R664" i="4"/>
  <c r="R672" i="4"/>
  <c r="M675" i="4"/>
  <c r="U675" i="4"/>
  <c r="R680" i="4"/>
  <c r="L682" i="4"/>
  <c r="M683" i="4"/>
  <c r="U683" i="4"/>
  <c r="P686" i="4"/>
  <c r="I687" i="4"/>
  <c r="Q687" i="4"/>
  <c r="R688" i="4"/>
  <c r="L690" i="4"/>
  <c r="M691" i="4"/>
  <c r="U691" i="4"/>
  <c r="P694" i="4"/>
  <c r="I695" i="4"/>
  <c r="Q695" i="4"/>
  <c r="R696" i="4"/>
  <c r="L698" i="4"/>
  <c r="M699" i="4"/>
  <c r="U699" i="4"/>
  <c r="P702" i="4"/>
  <c r="I703" i="4"/>
  <c r="Q703" i="4"/>
  <c r="R704" i="4"/>
  <c r="L706" i="4"/>
  <c r="M707" i="4"/>
  <c r="U707" i="4"/>
  <c r="P710" i="4"/>
  <c r="I711" i="4"/>
  <c r="Q711" i="4"/>
  <c r="R712" i="4"/>
  <c r="M715" i="4"/>
  <c r="U715" i="4"/>
  <c r="P718" i="4"/>
  <c r="I719" i="4"/>
  <c r="Q719" i="4"/>
  <c r="R720" i="4"/>
  <c r="L722" i="4"/>
  <c r="M723" i="4"/>
  <c r="U723" i="4"/>
  <c r="I728" i="4"/>
  <c r="R728" i="4"/>
  <c r="I733" i="4"/>
  <c r="R733" i="4"/>
  <c r="S736" i="4"/>
  <c r="J738" i="4"/>
  <c r="S738" i="4"/>
  <c r="O742" i="4"/>
  <c r="L746" i="4"/>
  <c r="N750" i="4"/>
  <c r="U751" i="4"/>
  <c r="M751" i="4"/>
  <c r="T751" i="4"/>
  <c r="I751" i="4"/>
  <c r="S751" i="4"/>
  <c r="P754" i="4"/>
  <c r="W754" i="4"/>
  <c r="O754" i="4"/>
  <c r="G754" i="4"/>
  <c r="K754" i="4"/>
  <c r="U754" i="4"/>
  <c r="O760" i="4"/>
  <c r="J762" i="4"/>
  <c r="U767" i="4"/>
  <c r="M767" i="4"/>
  <c r="T767" i="4"/>
  <c r="K767" i="4"/>
  <c r="I767" i="4"/>
  <c r="W767" i="4"/>
  <c r="H768" i="4"/>
  <c r="S768" i="4"/>
  <c r="P770" i="4"/>
  <c r="W770" i="4"/>
  <c r="O770" i="4"/>
  <c r="G770" i="4"/>
  <c r="V770" i="4"/>
  <c r="K770" i="4"/>
  <c r="T774" i="4"/>
  <c r="K774" i="4"/>
  <c r="J774" i="4"/>
  <c r="W774" i="4"/>
  <c r="O774" i="4"/>
  <c r="G774" i="4"/>
  <c r="M774" i="4"/>
  <c r="U783" i="4"/>
  <c r="M783" i="4"/>
  <c r="T783" i="4"/>
  <c r="K783" i="4"/>
  <c r="P783" i="4"/>
  <c r="J783" i="4"/>
  <c r="Q784" i="4"/>
  <c r="I784" i="4"/>
  <c r="T798" i="4"/>
  <c r="K798" i="4"/>
  <c r="J798" i="4"/>
  <c r="P798" i="4"/>
  <c r="W798" i="4"/>
  <c r="O798" i="4"/>
  <c r="G798" i="4"/>
  <c r="M798" i="4"/>
  <c r="W801" i="4"/>
  <c r="O801" i="4"/>
  <c r="G801" i="4"/>
  <c r="V801" i="4"/>
  <c r="U801" i="4"/>
  <c r="M801" i="4"/>
  <c r="K801" i="4"/>
  <c r="J801" i="4"/>
  <c r="P810" i="4"/>
  <c r="W810" i="4"/>
  <c r="O810" i="4"/>
  <c r="G810" i="4"/>
  <c r="V810" i="4"/>
  <c r="T810" i="4"/>
  <c r="K810" i="4"/>
  <c r="M810" i="4"/>
  <c r="Q819" i="4"/>
  <c r="I819" i="4"/>
  <c r="H819" i="4"/>
  <c r="W825" i="4"/>
  <c r="O825" i="4"/>
  <c r="G825" i="4"/>
  <c r="V825" i="4"/>
  <c r="U825" i="4"/>
  <c r="M825" i="4"/>
  <c r="T825" i="4"/>
  <c r="K825" i="4"/>
  <c r="J825" i="4"/>
  <c r="P825" i="4"/>
  <c r="P834" i="4"/>
  <c r="W834" i="4"/>
  <c r="O834" i="4"/>
  <c r="G834" i="4"/>
  <c r="V834" i="4"/>
  <c r="U834" i="4"/>
  <c r="M834" i="4"/>
  <c r="T834" i="4"/>
  <c r="K834" i="4"/>
  <c r="S840" i="4"/>
  <c r="Q840" i="4"/>
  <c r="H840" i="4"/>
  <c r="R843" i="4"/>
  <c r="I843" i="4"/>
  <c r="Q843" i="4"/>
  <c r="H843" i="4"/>
  <c r="U858" i="4"/>
  <c r="M858" i="4"/>
  <c r="P858" i="4"/>
  <c r="G858" i="4"/>
  <c r="O858" i="4"/>
  <c r="W858" i="4"/>
  <c r="V858" i="4"/>
  <c r="K858" i="4"/>
  <c r="S860" i="4"/>
  <c r="I860" i="4"/>
  <c r="R860" i="4"/>
  <c r="H860" i="4"/>
  <c r="Q860" i="4"/>
  <c r="J863" i="4"/>
  <c r="P863" i="4"/>
  <c r="G863" i="4"/>
  <c r="O863" i="4"/>
  <c r="W863" i="4"/>
  <c r="M863" i="4"/>
  <c r="V863" i="4"/>
  <c r="U863" i="4"/>
  <c r="K863" i="4"/>
  <c r="L882" i="4"/>
  <c r="N882" i="4"/>
  <c r="S890" i="4"/>
  <c r="I890" i="4"/>
  <c r="H890" i="4"/>
  <c r="R890" i="4"/>
  <c r="Q890" i="4"/>
  <c r="Q969" i="4"/>
  <c r="I969" i="4"/>
  <c r="H969" i="4"/>
  <c r="S969" i="4"/>
  <c r="R969" i="4"/>
  <c r="R1051" i="4"/>
  <c r="H1051" i="4"/>
  <c r="Q1051" i="4"/>
  <c r="I1051" i="4"/>
  <c r="S1051" i="4"/>
  <c r="R687" i="4"/>
  <c r="R695" i="4"/>
  <c r="R703" i="4"/>
  <c r="R711" i="4"/>
  <c r="R719" i="4"/>
  <c r="J730" i="4"/>
  <c r="L754" i="4"/>
  <c r="U759" i="4"/>
  <c r="M759" i="4"/>
  <c r="T759" i="4"/>
  <c r="P762" i="4"/>
  <c r="W762" i="4"/>
  <c r="O762" i="4"/>
  <c r="G762" i="4"/>
  <c r="K762" i="4"/>
  <c r="U762" i="4"/>
  <c r="V768" i="4"/>
  <c r="U768" i="4"/>
  <c r="M768" i="4"/>
  <c r="T768" i="4"/>
  <c r="W768" i="4"/>
  <c r="H770" i="4"/>
  <c r="S770" i="4"/>
  <c r="Q779" i="4"/>
  <c r="I779" i="4"/>
  <c r="H779" i="4"/>
  <c r="S783" i="4"/>
  <c r="H783" i="4"/>
  <c r="S807" i="4"/>
  <c r="Q807" i="4"/>
  <c r="I807" i="4"/>
  <c r="H807" i="4"/>
  <c r="H810" i="4"/>
  <c r="S810" i="4"/>
  <c r="Q810" i="4"/>
  <c r="T822" i="4"/>
  <c r="K822" i="4"/>
  <c r="J822" i="4"/>
  <c r="P822" i="4"/>
  <c r="W822" i="4"/>
  <c r="O822" i="4"/>
  <c r="G822" i="4"/>
  <c r="M822" i="4"/>
  <c r="N824" i="4"/>
  <c r="L824" i="4"/>
  <c r="H834" i="4"/>
  <c r="S834" i="4"/>
  <c r="R834" i="4"/>
  <c r="N852" i="4"/>
  <c r="L852" i="4"/>
  <c r="J855" i="4"/>
  <c r="P855" i="4"/>
  <c r="G855" i="4"/>
  <c r="O855" i="4"/>
  <c r="W855" i="4"/>
  <c r="V855" i="4"/>
  <c r="M855" i="4"/>
  <c r="U855" i="4"/>
  <c r="T855" i="4"/>
  <c r="K855" i="4"/>
  <c r="S858" i="4"/>
  <c r="Q858" i="4"/>
  <c r="H858" i="4"/>
  <c r="P861" i="4"/>
  <c r="V861" i="4"/>
  <c r="G861" i="4"/>
  <c r="O861" i="4"/>
  <c r="M861" i="4"/>
  <c r="W861" i="4"/>
  <c r="U861" i="4"/>
  <c r="K861" i="4"/>
  <c r="W868" i="4"/>
  <c r="O868" i="4"/>
  <c r="G868" i="4"/>
  <c r="U868" i="4"/>
  <c r="M868" i="4"/>
  <c r="P868" i="4"/>
  <c r="V868" i="4"/>
  <c r="K868" i="4"/>
  <c r="H901" i="4"/>
  <c r="I901" i="4"/>
  <c r="S901" i="4"/>
  <c r="R901" i="4"/>
  <c r="Q901" i="4"/>
  <c r="P905" i="4"/>
  <c r="U905" i="4"/>
  <c r="M905" i="4"/>
  <c r="O905" i="4"/>
  <c r="W905" i="4"/>
  <c r="V905" i="4"/>
  <c r="G905" i="4"/>
  <c r="T905" i="4"/>
  <c r="Q922" i="4"/>
  <c r="I922" i="4"/>
  <c r="R922" i="4"/>
  <c r="H922" i="4"/>
  <c r="S922" i="4"/>
  <c r="P984" i="4"/>
  <c r="W984" i="4"/>
  <c r="O984" i="4"/>
  <c r="G984" i="4"/>
  <c r="V984" i="4"/>
  <c r="U984" i="4"/>
  <c r="M984" i="4"/>
  <c r="T984" i="4"/>
  <c r="K984" i="4"/>
  <c r="J984" i="4"/>
  <c r="W1149" i="4"/>
  <c r="O1149" i="4"/>
  <c r="G1149" i="4"/>
  <c r="V1149" i="4"/>
  <c r="U1149" i="4"/>
  <c r="M1149" i="4"/>
  <c r="J1149" i="4"/>
  <c r="P1149" i="4"/>
  <c r="T1149" i="4"/>
  <c r="K1149" i="4"/>
  <c r="V642" i="4"/>
  <c r="R646" i="4"/>
  <c r="V650" i="4"/>
  <c r="R654" i="4"/>
  <c r="V658" i="4"/>
  <c r="R662" i="4"/>
  <c r="K663" i="4"/>
  <c r="V666" i="4"/>
  <c r="R670" i="4"/>
  <c r="K671" i="4"/>
  <c r="G675" i="4"/>
  <c r="O675" i="4"/>
  <c r="W675" i="4"/>
  <c r="H676" i="4"/>
  <c r="R678" i="4"/>
  <c r="K679" i="4"/>
  <c r="G683" i="4"/>
  <c r="O683" i="4"/>
  <c r="W683" i="4"/>
  <c r="H684" i="4"/>
  <c r="J686" i="4"/>
  <c r="R686" i="4"/>
  <c r="K687" i="4"/>
  <c r="G691" i="4"/>
  <c r="O691" i="4"/>
  <c r="W691" i="4"/>
  <c r="H692" i="4"/>
  <c r="J694" i="4"/>
  <c r="R694" i="4"/>
  <c r="K695" i="4"/>
  <c r="G699" i="4"/>
  <c r="O699" i="4"/>
  <c r="W699" i="4"/>
  <c r="H700" i="4"/>
  <c r="J702" i="4"/>
  <c r="R702" i="4"/>
  <c r="K703" i="4"/>
  <c r="G707" i="4"/>
  <c r="O707" i="4"/>
  <c r="W707" i="4"/>
  <c r="H708" i="4"/>
  <c r="J710" i="4"/>
  <c r="R710" i="4"/>
  <c r="K711" i="4"/>
  <c r="G715" i="4"/>
  <c r="O715" i="4"/>
  <c r="W715" i="4"/>
  <c r="H716" i="4"/>
  <c r="J718" i="4"/>
  <c r="R718" i="4"/>
  <c r="K719" i="4"/>
  <c r="G723" i="4"/>
  <c r="O723" i="4"/>
  <c r="W723" i="4"/>
  <c r="H724" i="4"/>
  <c r="J725" i="4"/>
  <c r="T725" i="4"/>
  <c r="H727" i="4"/>
  <c r="Q727" i="4"/>
  <c r="K728" i="4"/>
  <c r="T728" i="4"/>
  <c r="K730" i="4"/>
  <c r="T730" i="4"/>
  <c r="U733" i="4"/>
  <c r="U735" i="4"/>
  <c r="M735" i="4"/>
  <c r="L738" i="4"/>
  <c r="U738" i="4"/>
  <c r="V744" i="4"/>
  <c r="U744" i="4"/>
  <c r="M744" i="4"/>
  <c r="Q747" i="4"/>
  <c r="I747" i="4"/>
  <c r="H747" i="4"/>
  <c r="K749" i="4"/>
  <c r="J749" i="4"/>
  <c r="U749" i="4"/>
  <c r="K751" i="4"/>
  <c r="W751" i="4"/>
  <c r="H752" i="4"/>
  <c r="R752" i="4"/>
  <c r="M754" i="4"/>
  <c r="J759" i="4"/>
  <c r="V759" i="4"/>
  <c r="V762" i="4"/>
  <c r="J768" i="4"/>
  <c r="W769" i="4"/>
  <c r="O769" i="4"/>
  <c r="G769" i="4"/>
  <c r="V769" i="4"/>
  <c r="U769" i="4"/>
  <c r="M769" i="4"/>
  <c r="J769" i="4"/>
  <c r="K769" i="4"/>
  <c r="Q770" i="4"/>
  <c r="P774" i="4"/>
  <c r="P778" i="4"/>
  <c r="W778" i="4"/>
  <c r="O778" i="4"/>
  <c r="G778" i="4"/>
  <c r="V778" i="4"/>
  <c r="K778" i="4"/>
  <c r="T782" i="4"/>
  <c r="K782" i="4"/>
  <c r="J782" i="4"/>
  <c r="W782" i="4"/>
  <c r="O782" i="4"/>
  <c r="G782" i="4"/>
  <c r="M782" i="4"/>
  <c r="P794" i="4"/>
  <c r="W794" i="4"/>
  <c r="O794" i="4"/>
  <c r="G794" i="4"/>
  <c r="V794" i="4"/>
  <c r="T794" i="4"/>
  <c r="K794" i="4"/>
  <c r="M794" i="4"/>
  <c r="Q803" i="4"/>
  <c r="I803" i="4"/>
  <c r="H803" i="4"/>
  <c r="R807" i="4"/>
  <c r="R810" i="4"/>
  <c r="S848" i="4"/>
  <c r="R848" i="4"/>
  <c r="I848" i="4"/>
  <c r="Q848" i="4"/>
  <c r="H848" i="4"/>
  <c r="T868" i="4"/>
  <c r="U882" i="4"/>
  <c r="M882" i="4"/>
  <c r="T882" i="4"/>
  <c r="K882" i="4"/>
  <c r="G882" i="4"/>
  <c r="P882" i="4"/>
  <c r="O882" i="4"/>
  <c r="J882" i="4"/>
  <c r="V882" i="4"/>
  <c r="H905" i="4"/>
  <c r="I905" i="4"/>
  <c r="S905" i="4"/>
  <c r="R905" i="4"/>
  <c r="Q905" i="4"/>
  <c r="L920" i="4"/>
  <c r="N920" i="4"/>
  <c r="L925" i="4"/>
  <c r="N925" i="4"/>
  <c r="Q933" i="4"/>
  <c r="I933" i="4"/>
  <c r="S933" i="4"/>
  <c r="H933" i="4"/>
  <c r="R933" i="4"/>
  <c r="H984" i="4"/>
  <c r="I984" i="4"/>
  <c r="S984" i="4"/>
  <c r="R984" i="4"/>
  <c r="N1007" i="4"/>
  <c r="L1007" i="4"/>
  <c r="H1037" i="4"/>
  <c r="S1037" i="4"/>
  <c r="I1037" i="4"/>
  <c r="R1037" i="4"/>
  <c r="Q1037" i="4"/>
  <c r="Q1135" i="4"/>
  <c r="I1135" i="4"/>
  <c r="S1135" i="4"/>
  <c r="H1135" i="4"/>
  <c r="R1135" i="4"/>
  <c r="G642" i="4"/>
  <c r="O642" i="4"/>
  <c r="W642" i="4"/>
  <c r="H643" i="4"/>
  <c r="J645" i="4"/>
  <c r="G650" i="4"/>
  <c r="O650" i="4"/>
  <c r="W650" i="4"/>
  <c r="H651" i="4"/>
  <c r="J653" i="4"/>
  <c r="G658" i="4"/>
  <c r="O658" i="4"/>
  <c r="W658" i="4"/>
  <c r="H659" i="4"/>
  <c r="J661" i="4"/>
  <c r="T663" i="4"/>
  <c r="G666" i="4"/>
  <c r="O666" i="4"/>
  <c r="W666" i="4"/>
  <c r="H667" i="4"/>
  <c r="J669" i="4"/>
  <c r="T671" i="4"/>
  <c r="G674" i="4"/>
  <c r="O674" i="4"/>
  <c r="W674" i="4"/>
  <c r="H675" i="4"/>
  <c r="P675" i="4"/>
  <c r="I676" i="4"/>
  <c r="Q676" i="4"/>
  <c r="J677" i="4"/>
  <c r="T679" i="4"/>
  <c r="G682" i="4"/>
  <c r="O682" i="4"/>
  <c r="W682" i="4"/>
  <c r="H683" i="4"/>
  <c r="P683" i="4"/>
  <c r="I684" i="4"/>
  <c r="Q684" i="4"/>
  <c r="J685" i="4"/>
  <c r="K686" i="4"/>
  <c r="T687" i="4"/>
  <c r="G690" i="4"/>
  <c r="O690" i="4"/>
  <c r="W690" i="4"/>
  <c r="H691" i="4"/>
  <c r="P691" i="4"/>
  <c r="I692" i="4"/>
  <c r="Q692" i="4"/>
  <c r="J693" i="4"/>
  <c r="K694" i="4"/>
  <c r="T695" i="4"/>
  <c r="G698" i="4"/>
  <c r="O698" i="4"/>
  <c r="W698" i="4"/>
  <c r="H699" i="4"/>
  <c r="P699" i="4"/>
  <c r="I700" i="4"/>
  <c r="Q700" i="4"/>
  <c r="J701" i="4"/>
  <c r="K702" i="4"/>
  <c r="T703" i="4"/>
  <c r="G706" i="4"/>
  <c r="O706" i="4"/>
  <c r="W706" i="4"/>
  <c r="H707" i="4"/>
  <c r="P707" i="4"/>
  <c r="I708" i="4"/>
  <c r="Q708" i="4"/>
  <c r="J709" i="4"/>
  <c r="K710" i="4"/>
  <c r="T711" i="4"/>
  <c r="G714" i="4"/>
  <c r="O714" i="4"/>
  <c r="W714" i="4"/>
  <c r="H715" i="4"/>
  <c r="P715" i="4"/>
  <c r="I716" i="4"/>
  <c r="Q716" i="4"/>
  <c r="J717" i="4"/>
  <c r="K718" i="4"/>
  <c r="T719" i="4"/>
  <c r="G722" i="4"/>
  <c r="O722" i="4"/>
  <c r="W722" i="4"/>
  <c r="H723" i="4"/>
  <c r="P723" i="4"/>
  <c r="I724" i="4"/>
  <c r="Q724" i="4"/>
  <c r="L725" i="4"/>
  <c r="U725" i="4"/>
  <c r="U727" i="4"/>
  <c r="M727" i="4"/>
  <c r="I727" i="4"/>
  <c r="R727" i="4"/>
  <c r="U728" i="4"/>
  <c r="L730" i="4"/>
  <c r="U730" i="4"/>
  <c r="M733" i="4"/>
  <c r="V733" i="4"/>
  <c r="G734" i="4"/>
  <c r="P734" i="4"/>
  <c r="J735" i="4"/>
  <c r="I737" i="4"/>
  <c r="M738" i="4"/>
  <c r="V738" i="4"/>
  <c r="K740" i="4"/>
  <c r="T740" i="4"/>
  <c r="H742" i="4"/>
  <c r="R742" i="4"/>
  <c r="J744" i="4"/>
  <c r="T744" i="4"/>
  <c r="Q746" i="4"/>
  <c r="L749" i="4"/>
  <c r="V749" i="4"/>
  <c r="V752" i="4"/>
  <c r="U752" i="4"/>
  <c r="M752" i="4"/>
  <c r="I752" i="4"/>
  <c r="Q755" i="4"/>
  <c r="I755" i="4"/>
  <c r="H755" i="4"/>
  <c r="K757" i="4"/>
  <c r="J757" i="4"/>
  <c r="U757" i="4"/>
  <c r="K759" i="4"/>
  <c r="W759" i="4"/>
  <c r="H760" i="4"/>
  <c r="M762" i="4"/>
  <c r="O767" i="4"/>
  <c r="K768" i="4"/>
  <c r="L769" i="4"/>
  <c r="R770" i="4"/>
  <c r="H778" i="4"/>
  <c r="S778" i="4"/>
  <c r="M778" i="4"/>
  <c r="N782" i="4"/>
  <c r="Q783" i="4"/>
  <c r="R784" i="4"/>
  <c r="Q787" i="4"/>
  <c r="I787" i="4"/>
  <c r="H787" i="4"/>
  <c r="L789" i="4"/>
  <c r="S791" i="4"/>
  <c r="Q791" i="4"/>
  <c r="I791" i="4"/>
  <c r="H791" i="4"/>
  <c r="H794" i="4"/>
  <c r="S794" i="4"/>
  <c r="Q794" i="4"/>
  <c r="U798" i="4"/>
  <c r="T806" i="4"/>
  <c r="K806" i="4"/>
  <c r="J806" i="4"/>
  <c r="P806" i="4"/>
  <c r="W806" i="4"/>
  <c r="O806" i="4"/>
  <c r="G806" i="4"/>
  <c r="M806" i="4"/>
  <c r="W809" i="4"/>
  <c r="O809" i="4"/>
  <c r="G809" i="4"/>
  <c r="V809" i="4"/>
  <c r="U809" i="4"/>
  <c r="M809" i="4"/>
  <c r="K809" i="4"/>
  <c r="J809" i="4"/>
  <c r="L809" i="4"/>
  <c r="U810" i="4"/>
  <c r="P818" i="4"/>
  <c r="W818" i="4"/>
  <c r="O818" i="4"/>
  <c r="G818" i="4"/>
  <c r="V818" i="4"/>
  <c r="T818" i="4"/>
  <c r="K818" i="4"/>
  <c r="M818" i="4"/>
  <c r="P826" i="4"/>
  <c r="W826" i="4"/>
  <c r="O826" i="4"/>
  <c r="G826" i="4"/>
  <c r="V826" i="4"/>
  <c r="U826" i="4"/>
  <c r="M826" i="4"/>
  <c r="T826" i="4"/>
  <c r="K826" i="4"/>
  <c r="Q835" i="4"/>
  <c r="I835" i="4"/>
  <c r="H835" i="4"/>
  <c r="S843" i="4"/>
  <c r="T861" i="4"/>
  <c r="L873" i="4"/>
  <c r="N873" i="4"/>
  <c r="W882" i="4"/>
  <c r="V891" i="4"/>
  <c r="U891" i="4"/>
  <c r="M891" i="4"/>
  <c r="T891" i="4"/>
  <c r="G891" i="4"/>
  <c r="P891" i="4"/>
  <c r="O891" i="4"/>
  <c r="K891" i="4"/>
  <c r="W891" i="4"/>
  <c r="N896" i="4"/>
  <c r="L896" i="4"/>
  <c r="N914" i="4"/>
  <c r="L914" i="4"/>
  <c r="R676" i="4"/>
  <c r="R684" i="4"/>
  <c r="T686" i="4"/>
  <c r="R692" i="4"/>
  <c r="T694" i="4"/>
  <c r="R700" i="4"/>
  <c r="T702" i="4"/>
  <c r="R708" i="4"/>
  <c r="T710" i="4"/>
  <c r="R716" i="4"/>
  <c r="T718" i="4"/>
  <c r="S724" i="4"/>
  <c r="M725" i="4"/>
  <c r="V725" i="4"/>
  <c r="M730" i="4"/>
  <c r="V730" i="4"/>
  <c r="W737" i="4"/>
  <c r="O737" i="4"/>
  <c r="G737" i="4"/>
  <c r="J737" i="4"/>
  <c r="L740" i="4"/>
  <c r="T742" i="4"/>
  <c r="K742" i="4"/>
  <c r="U742" i="4"/>
  <c r="Q754" i="4"/>
  <c r="V760" i="4"/>
  <c r="U760" i="4"/>
  <c r="M760" i="4"/>
  <c r="Q763" i="4"/>
  <c r="I763" i="4"/>
  <c r="H763" i="4"/>
  <c r="O768" i="4"/>
  <c r="N776" i="4"/>
  <c r="L776" i="4"/>
  <c r="W777" i="4"/>
  <c r="O777" i="4"/>
  <c r="G777" i="4"/>
  <c r="V777" i="4"/>
  <c r="U777" i="4"/>
  <c r="M777" i="4"/>
  <c r="J777" i="4"/>
  <c r="K777" i="4"/>
  <c r="P782" i="4"/>
  <c r="R783" i="4"/>
  <c r="S784" i="4"/>
  <c r="P786" i="4"/>
  <c r="W786" i="4"/>
  <c r="O786" i="4"/>
  <c r="G786" i="4"/>
  <c r="V786" i="4"/>
  <c r="K786" i="4"/>
  <c r="T790" i="4"/>
  <c r="K790" i="4"/>
  <c r="J790" i="4"/>
  <c r="W790" i="4"/>
  <c r="O790" i="4"/>
  <c r="G790" i="4"/>
  <c r="M790" i="4"/>
  <c r="V798" i="4"/>
  <c r="T801" i="4"/>
  <c r="N808" i="4"/>
  <c r="L808" i="4"/>
  <c r="S815" i="4"/>
  <c r="Q815" i="4"/>
  <c r="I815" i="4"/>
  <c r="H815" i="4"/>
  <c r="H818" i="4"/>
  <c r="S818" i="4"/>
  <c r="Q818" i="4"/>
  <c r="R819" i="4"/>
  <c r="U822" i="4"/>
  <c r="H826" i="4"/>
  <c r="S826" i="4"/>
  <c r="R826" i="4"/>
  <c r="P845" i="4"/>
  <c r="G845" i="4"/>
  <c r="O845" i="4"/>
  <c r="W845" i="4"/>
  <c r="V845" i="4"/>
  <c r="M845" i="4"/>
  <c r="U845" i="4"/>
  <c r="N850" i="4"/>
  <c r="L850" i="4"/>
  <c r="S891" i="4"/>
  <c r="H891" i="4"/>
  <c r="R891" i="4"/>
  <c r="Q891" i="4"/>
  <c r="W892" i="4"/>
  <c r="O892" i="4"/>
  <c r="G892" i="4"/>
  <c r="V892" i="4"/>
  <c r="U892" i="4"/>
  <c r="M892" i="4"/>
  <c r="P892" i="4"/>
  <c r="K892" i="4"/>
  <c r="T892" i="4"/>
  <c r="Q902" i="4"/>
  <c r="I902" i="4"/>
  <c r="H902" i="4"/>
  <c r="S902" i="4"/>
  <c r="R902" i="4"/>
  <c r="L1092" i="4"/>
  <c r="R643" i="4"/>
  <c r="T645" i="4"/>
  <c r="R651" i="4"/>
  <c r="R659" i="4"/>
  <c r="V663" i="4"/>
  <c r="R667" i="4"/>
  <c r="T669" i="4"/>
  <c r="V671" i="4"/>
  <c r="J675" i="4"/>
  <c r="R675" i="4"/>
  <c r="T677" i="4"/>
  <c r="V679" i="4"/>
  <c r="J683" i="4"/>
  <c r="R683" i="4"/>
  <c r="T685" i="4"/>
  <c r="M686" i="4"/>
  <c r="U686" i="4"/>
  <c r="V687" i="4"/>
  <c r="J691" i="4"/>
  <c r="R691" i="4"/>
  <c r="T693" i="4"/>
  <c r="M694" i="4"/>
  <c r="U694" i="4"/>
  <c r="V695" i="4"/>
  <c r="J699" i="4"/>
  <c r="R699" i="4"/>
  <c r="T701" i="4"/>
  <c r="M702" i="4"/>
  <c r="U702" i="4"/>
  <c r="V703" i="4"/>
  <c r="J707" i="4"/>
  <c r="R707" i="4"/>
  <c r="T709" i="4"/>
  <c r="M710" i="4"/>
  <c r="U710" i="4"/>
  <c r="V711" i="4"/>
  <c r="J715" i="4"/>
  <c r="R715" i="4"/>
  <c r="T717" i="4"/>
  <c r="M718" i="4"/>
  <c r="U718" i="4"/>
  <c r="V719" i="4"/>
  <c r="J723" i="4"/>
  <c r="R723" i="4"/>
  <c r="W725" i="4"/>
  <c r="O728" i="4"/>
  <c r="W729" i="4"/>
  <c r="O729" i="4"/>
  <c r="G729" i="4"/>
  <c r="J729" i="4"/>
  <c r="W730" i="4"/>
  <c r="O733" i="4"/>
  <c r="L735" i="4"/>
  <c r="V735" i="4"/>
  <c r="K737" i="4"/>
  <c r="T737" i="4"/>
  <c r="O738" i="4"/>
  <c r="M740" i="4"/>
  <c r="V740" i="4"/>
  <c r="J742" i="4"/>
  <c r="V742" i="4"/>
  <c r="Q743" i="4"/>
  <c r="L744" i="4"/>
  <c r="W745" i="4"/>
  <c r="O745" i="4"/>
  <c r="G745" i="4"/>
  <c r="V745" i="4"/>
  <c r="J745" i="4"/>
  <c r="T745" i="4"/>
  <c r="I746" i="4"/>
  <c r="S746" i="4"/>
  <c r="T750" i="4"/>
  <c r="K750" i="4"/>
  <c r="U750" i="4"/>
  <c r="P751" i="4"/>
  <c r="R754" i="4"/>
  <c r="O759" i="4"/>
  <c r="J760" i="4"/>
  <c r="T760" i="4"/>
  <c r="H761" i="4"/>
  <c r="R761" i="4"/>
  <c r="Q762" i="4"/>
  <c r="Q767" i="4"/>
  <c r="P768" i="4"/>
  <c r="U770" i="4"/>
  <c r="V774" i="4"/>
  <c r="L777" i="4"/>
  <c r="R779" i="4"/>
  <c r="V783" i="4"/>
  <c r="H786" i="4"/>
  <c r="S786" i="4"/>
  <c r="N790" i="4"/>
  <c r="W793" i="4"/>
  <c r="O793" i="4"/>
  <c r="G793" i="4"/>
  <c r="V793" i="4"/>
  <c r="U793" i="4"/>
  <c r="M793" i="4"/>
  <c r="K793" i="4"/>
  <c r="J793" i="4"/>
  <c r="U794" i="4"/>
  <c r="P802" i="4"/>
  <c r="W802" i="4"/>
  <c r="O802" i="4"/>
  <c r="G802" i="4"/>
  <c r="V802" i="4"/>
  <c r="T802" i="4"/>
  <c r="K802" i="4"/>
  <c r="M802" i="4"/>
  <c r="Q811" i="4"/>
  <c r="I811" i="4"/>
  <c r="H811" i="4"/>
  <c r="R815" i="4"/>
  <c r="R818" i="4"/>
  <c r="S819" i="4"/>
  <c r="V822" i="4"/>
  <c r="W833" i="4"/>
  <c r="O833" i="4"/>
  <c r="G833" i="4"/>
  <c r="V833" i="4"/>
  <c r="U833" i="4"/>
  <c r="M833" i="4"/>
  <c r="T833" i="4"/>
  <c r="K833" i="4"/>
  <c r="J833" i="4"/>
  <c r="P833" i="4"/>
  <c r="I840" i="4"/>
  <c r="H845" i="4"/>
  <c r="R845" i="4"/>
  <c r="I845" i="4"/>
  <c r="Q845" i="4"/>
  <c r="T845" i="4"/>
  <c r="T873" i="4"/>
  <c r="K873" i="4"/>
  <c r="J873" i="4"/>
  <c r="G873" i="4"/>
  <c r="P873" i="4"/>
  <c r="O873" i="4"/>
  <c r="W873" i="4"/>
  <c r="M873" i="4"/>
  <c r="P893" i="4"/>
  <c r="W893" i="4"/>
  <c r="O893" i="4"/>
  <c r="G893" i="4"/>
  <c r="V893" i="4"/>
  <c r="T893" i="4"/>
  <c r="M893" i="4"/>
  <c r="Q954" i="4"/>
  <c r="I954" i="4"/>
  <c r="R954" i="4"/>
  <c r="H954" i="4"/>
  <c r="S954" i="4"/>
  <c r="L957" i="4"/>
  <c r="N957" i="4"/>
  <c r="W1028" i="4"/>
  <c r="O1028" i="4"/>
  <c r="G1028" i="4"/>
  <c r="V1028" i="4"/>
  <c r="P1028" i="4"/>
  <c r="M1028" i="4"/>
  <c r="J1028" i="4"/>
  <c r="U1028" i="4"/>
  <c r="K1028" i="4"/>
  <c r="K1064" i="4"/>
  <c r="J1064" i="4"/>
  <c r="W1064" i="4"/>
  <c r="O1064" i="4"/>
  <c r="G1064" i="4"/>
  <c r="T1064" i="4"/>
  <c r="P1064" i="4"/>
  <c r="M1064" i="4"/>
  <c r="V1064" i="4"/>
  <c r="U1064" i="4"/>
  <c r="M645" i="4"/>
  <c r="M653" i="4"/>
  <c r="M661" i="4"/>
  <c r="G663" i="4"/>
  <c r="O663" i="4"/>
  <c r="M669" i="4"/>
  <c r="G671" i="4"/>
  <c r="O671" i="4"/>
  <c r="M677" i="4"/>
  <c r="G679" i="4"/>
  <c r="O679" i="4"/>
  <c r="M685" i="4"/>
  <c r="G687" i="4"/>
  <c r="O687" i="4"/>
  <c r="M693" i="4"/>
  <c r="G695" i="4"/>
  <c r="O695" i="4"/>
  <c r="M701" i="4"/>
  <c r="G703" i="4"/>
  <c r="O703" i="4"/>
  <c r="M709" i="4"/>
  <c r="G711" i="4"/>
  <c r="O711" i="4"/>
  <c r="M717" i="4"/>
  <c r="G719" i="4"/>
  <c r="O719" i="4"/>
  <c r="O725" i="4"/>
  <c r="V727" i="4"/>
  <c r="G728" i="4"/>
  <c r="P728" i="4"/>
  <c r="K729" i="4"/>
  <c r="T729" i="4"/>
  <c r="O730" i="4"/>
  <c r="M732" i="4"/>
  <c r="V732" i="4"/>
  <c r="G733" i="4"/>
  <c r="P733" i="4"/>
  <c r="J734" i="4"/>
  <c r="W735" i="4"/>
  <c r="H736" i="4"/>
  <c r="U737" i="4"/>
  <c r="G738" i="4"/>
  <c r="Q738" i="4"/>
  <c r="Q739" i="4"/>
  <c r="I739" i="4"/>
  <c r="W740" i="4"/>
  <c r="H741" i="4"/>
  <c r="Q741" i="4"/>
  <c r="M742" i="4"/>
  <c r="W742" i="4"/>
  <c r="H743" i="4"/>
  <c r="O744" i="4"/>
  <c r="K745" i="4"/>
  <c r="U745" i="4"/>
  <c r="O749" i="4"/>
  <c r="J750" i="4"/>
  <c r="V750" i="4"/>
  <c r="G751" i="4"/>
  <c r="W753" i="4"/>
  <c r="O753" i="4"/>
  <c r="G753" i="4"/>
  <c r="V753" i="4"/>
  <c r="J753" i="4"/>
  <c r="T753" i="4"/>
  <c r="I754" i="4"/>
  <c r="S754" i="4"/>
  <c r="T758" i="4"/>
  <c r="K758" i="4"/>
  <c r="U758" i="4"/>
  <c r="P759" i="4"/>
  <c r="K760" i="4"/>
  <c r="W760" i="4"/>
  <c r="I761" i="4"/>
  <c r="R762" i="4"/>
  <c r="G767" i="4"/>
  <c r="R767" i="4"/>
  <c r="S769" i="4"/>
  <c r="I770" i="4"/>
  <c r="U775" i="4"/>
  <c r="M775" i="4"/>
  <c r="T775" i="4"/>
  <c r="K775" i="4"/>
  <c r="P775" i="4"/>
  <c r="J775" i="4"/>
  <c r="Q776" i="4"/>
  <c r="I776" i="4"/>
  <c r="P777" i="4"/>
  <c r="T778" i="4"/>
  <c r="S779" i="4"/>
  <c r="U782" i="4"/>
  <c r="G783" i="4"/>
  <c r="W783" i="4"/>
  <c r="H784" i="4"/>
  <c r="W785" i="4"/>
  <c r="O785" i="4"/>
  <c r="G785" i="4"/>
  <c r="V785" i="4"/>
  <c r="U785" i="4"/>
  <c r="M785" i="4"/>
  <c r="J785" i="4"/>
  <c r="K785" i="4"/>
  <c r="Q786" i="4"/>
  <c r="P790" i="4"/>
  <c r="P793" i="4"/>
  <c r="S799" i="4"/>
  <c r="Q799" i="4"/>
  <c r="I799" i="4"/>
  <c r="H799" i="4"/>
  <c r="H802" i="4"/>
  <c r="S802" i="4"/>
  <c r="Q802" i="4"/>
  <c r="R803" i="4"/>
  <c r="U806" i="4"/>
  <c r="I810" i="4"/>
  <c r="T814" i="4"/>
  <c r="K814" i="4"/>
  <c r="J814" i="4"/>
  <c r="P814" i="4"/>
  <c r="W814" i="4"/>
  <c r="O814" i="4"/>
  <c r="G814" i="4"/>
  <c r="M814" i="4"/>
  <c r="W817" i="4"/>
  <c r="O817" i="4"/>
  <c r="G817" i="4"/>
  <c r="V817" i="4"/>
  <c r="U817" i="4"/>
  <c r="M817" i="4"/>
  <c r="K817" i="4"/>
  <c r="J817" i="4"/>
  <c r="L817" i="4"/>
  <c r="U818" i="4"/>
  <c r="N825" i="4"/>
  <c r="L825" i="4"/>
  <c r="Q827" i="4"/>
  <c r="I827" i="4"/>
  <c r="H827" i="4"/>
  <c r="N832" i="4"/>
  <c r="L832" i="4"/>
  <c r="I834" i="4"/>
  <c r="R835" i="4"/>
  <c r="U850" i="4"/>
  <c r="M850" i="4"/>
  <c r="P850" i="4"/>
  <c r="G850" i="4"/>
  <c r="O850" i="4"/>
  <c r="W850" i="4"/>
  <c r="V850" i="4"/>
  <c r="T850" i="4"/>
  <c r="K850" i="4"/>
  <c r="J850" i="4"/>
  <c r="I858" i="4"/>
  <c r="N884" i="4"/>
  <c r="L884" i="4"/>
  <c r="U893" i="4"/>
  <c r="W991" i="4"/>
  <c r="O991" i="4"/>
  <c r="G991" i="4"/>
  <c r="V991" i="4"/>
  <c r="U991" i="4"/>
  <c r="M991" i="4"/>
  <c r="T991" i="4"/>
  <c r="K991" i="4"/>
  <c r="P991" i="4"/>
  <c r="J991" i="4"/>
  <c r="P791" i="4"/>
  <c r="I792" i="4"/>
  <c r="Q792" i="4"/>
  <c r="P799" i="4"/>
  <c r="I800" i="4"/>
  <c r="Q800" i="4"/>
  <c r="P807" i="4"/>
  <c r="I808" i="4"/>
  <c r="Q808" i="4"/>
  <c r="P815" i="4"/>
  <c r="I816" i="4"/>
  <c r="Q816" i="4"/>
  <c r="P823" i="4"/>
  <c r="I824" i="4"/>
  <c r="Q824" i="4"/>
  <c r="G830" i="4"/>
  <c r="O830" i="4"/>
  <c r="W830" i="4"/>
  <c r="H831" i="4"/>
  <c r="P831" i="4"/>
  <c r="I832" i="4"/>
  <c r="Q832" i="4"/>
  <c r="G838" i="4"/>
  <c r="O838" i="4"/>
  <c r="W838" i="4"/>
  <c r="U842" i="4"/>
  <c r="M842" i="4"/>
  <c r="I842" i="4"/>
  <c r="R842" i="4"/>
  <c r="G849" i="4"/>
  <c r="P849" i="4"/>
  <c r="I852" i="4"/>
  <c r="R852" i="4"/>
  <c r="H857" i="4"/>
  <c r="Q857" i="4"/>
  <c r="H866" i="4"/>
  <c r="R866" i="4"/>
  <c r="I869" i="4"/>
  <c r="S869" i="4"/>
  <c r="H874" i="4"/>
  <c r="V883" i="4"/>
  <c r="U883" i="4"/>
  <c r="M883" i="4"/>
  <c r="T883" i="4"/>
  <c r="I883" i="4"/>
  <c r="W883" i="4"/>
  <c r="I884" i="4"/>
  <c r="J885" i="4"/>
  <c r="L893" i="4"/>
  <c r="Q894" i="4"/>
  <c r="I894" i="4"/>
  <c r="H894" i="4"/>
  <c r="J907" i="4"/>
  <c r="W907" i="4"/>
  <c r="O907" i="4"/>
  <c r="G907" i="4"/>
  <c r="P907" i="4"/>
  <c r="K907" i="4"/>
  <c r="V907" i="4"/>
  <c r="V910" i="4"/>
  <c r="S927" i="4"/>
  <c r="I927" i="4"/>
  <c r="R927" i="4"/>
  <c r="H927" i="4"/>
  <c r="Q927" i="4"/>
  <c r="V942" i="4"/>
  <c r="J945" i="4"/>
  <c r="K948" i="4"/>
  <c r="P948" i="4"/>
  <c r="T948" i="4"/>
  <c r="G948" i="4"/>
  <c r="O948" i="4"/>
  <c r="M948" i="4"/>
  <c r="V951" i="4"/>
  <c r="K951" i="4"/>
  <c r="G951" i="4"/>
  <c r="P951" i="4"/>
  <c r="O951" i="4"/>
  <c r="M951" i="4"/>
  <c r="W951" i="4"/>
  <c r="J951" i="4"/>
  <c r="S959" i="4"/>
  <c r="I959" i="4"/>
  <c r="H959" i="4"/>
  <c r="R959" i="4"/>
  <c r="Q959" i="4"/>
  <c r="J961" i="4"/>
  <c r="L989" i="4"/>
  <c r="N989" i="4"/>
  <c r="S999" i="4"/>
  <c r="I999" i="4"/>
  <c r="H999" i="4"/>
  <c r="S1028" i="4"/>
  <c r="I1028" i="4"/>
  <c r="R1028" i="4"/>
  <c r="H1028" i="4"/>
  <c r="Q1028" i="4"/>
  <c r="N1087" i="4"/>
  <c r="L1087" i="4"/>
  <c r="L1106" i="4"/>
  <c r="N1106" i="4"/>
  <c r="V1107" i="4"/>
  <c r="U1107" i="4"/>
  <c r="M1107" i="4"/>
  <c r="K1107" i="4"/>
  <c r="J1107" i="4"/>
  <c r="P1107" i="4"/>
  <c r="W1107" i="4"/>
  <c r="G1107" i="4"/>
  <c r="T1107" i="4"/>
  <c r="O1107" i="4"/>
  <c r="Q1110" i="4"/>
  <c r="I1110" i="4"/>
  <c r="H1110" i="4"/>
  <c r="S1110" i="4"/>
  <c r="R1110" i="4"/>
  <c r="K1112" i="4"/>
  <c r="J1112" i="4"/>
  <c r="P1112" i="4"/>
  <c r="W1112" i="4"/>
  <c r="O1112" i="4"/>
  <c r="G1112" i="4"/>
  <c r="U1112" i="4"/>
  <c r="M1112" i="4"/>
  <c r="V1112" i="4"/>
  <c r="T1112" i="4"/>
  <c r="P1117" i="4"/>
  <c r="W1117" i="4"/>
  <c r="O1117" i="4"/>
  <c r="G1117" i="4"/>
  <c r="U1117" i="4"/>
  <c r="M1117" i="4"/>
  <c r="T1117" i="4"/>
  <c r="J1117" i="4"/>
  <c r="K1117" i="4"/>
  <c r="V1117" i="4"/>
  <c r="S1265" i="4"/>
  <c r="I1265" i="4"/>
  <c r="H1265" i="4"/>
  <c r="R1265" i="4"/>
  <c r="Q1265" i="4"/>
  <c r="W1273" i="4"/>
  <c r="O1273" i="4"/>
  <c r="G1273" i="4"/>
  <c r="V1273" i="4"/>
  <c r="U1273" i="4"/>
  <c r="M1273" i="4"/>
  <c r="T1273" i="4"/>
  <c r="K1273" i="4"/>
  <c r="P1273" i="4"/>
  <c r="J1273" i="4"/>
  <c r="S1420" i="4"/>
  <c r="I1420" i="4"/>
  <c r="H1420" i="4"/>
  <c r="R1420" i="4"/>
  <c r="Q1420" i="4"/>
  <c r="P830" i="4"/>
  <c r="I831" i="4"/>
  <c r="Q831" i="4"/>
  <c r="P838" i="4"/>
  <c r="W852" i="4"/>
  <c r="O852" i="4"/>
  <c r="G852" i="4"/>
  <c r="J852" i="4"/>
  <c r="I857" i="4"/>
  <c r="R857" i="4"/>
  <c r="N859" i="4"/>
  <c r="L859" i="4"/>
  <c r="U866" i="4"/>
  <c r="M866" i="4"/>
  <c r="K866" i="4"/>
  <c r="I866" i="4"/>
  <c r="T866" i="4"/>
  <c r="P869" i="4"/>
  <c r="V869" i="4"/>
  <c r="J869" i="4"/>
  <c r="T869" i="4"/>
  <c r="J871" i="4"/>
  <c r="P871" i="4"/>
  <c r="T871" i="4"/>
  <c r="U874" i="4"/>
  <c r="M874" i="4"/>
  <c r="T874" i="4"/>
  <c r="K874" i="4"/>
  <c r="I874" i="4"/>
  <c r="W874" i="4"/>
  <c r="N875" i="4"/>
  <c r="L875" i="4"/>
  <c r="W884" i="4"/>
  <c r="O884" i="4"/>
  <c r="G884" i="4"/>
  <c r="V884" i="4"/>
  <c r="U884" i="4"/>
  <c r="M884" i="4"/>
  <c r="J884" i="4"/>
  <c r="P885" i="4"/>
  <c r="W885" i="4"/>
  <c r="O885" i="4"/>
  <c r="G885" i="4"/>
  <c r="V885" i="4"/>
  <c r="K885" i="4"/>
  <c r="T897" i="4"/>
  <c r="K897" i="4"/>
  <c r="J897" i="4"/>
  <c r="V897" i="4"/>
  <c r="K908" i="4"/>
  <c r="P908" i="4"/>
  <c r="O908" i="4"/>
  <c r="W908" i="4"/>
  <c r="M908" i="4"/>
  <c r="J908" i="4"/>
  <c r="N911" i="4"/>
  <c r="L911" i="4"/>
  <c r="N926" i="4"/>
  <c r="L926" i="4"/>
  <c r="L928" i="4"/>
  <c r="N928" i="4"/>
  <c r="W936" i="4"/>
  <c r="O936" i="4"/>
  <c r="G936" i="4"/>
  <c r="T936" i="4"/>
  <c r="P936" i="4"/>
  <c r="M936" i="4"/>
  <c r="N943" i="4"/>
  <c r="L943" i="4"/>
  <c r="S948" i="4"/>
  <c r="H948" i="4"/>
  <c r="I948" i="4"/>
  <c r="R948" i="4"/>
  <c r="Q948" i="4"/>
  <c r="S951" i="4"/>
  <c r="Q951" i="4"/>
  <c r="R951" i="4"/>
  <c r="W960" i="4"/>
  <c r="O960" i="4"/>
  <c r="G960" i="4"/>
  <c r="U960" i="4"/>
  <c r="M960" i="4"/>
  <c r="T960" i="4"/>
  <c r="V960" i="4"/>
  <c r="P960" i="4"/>
  <c r="N967" i="4"/>
  <c r="L967" i="4"/>
  <c r="W975" i="4"/>
  <c r="O975" i="4"/>
  <c r="G975" i="4"/>
  <c r="V975" i="4"/>
  <c r="U975" i="4"/>
  <c r="M975" i="4"/>
  <c r="T975" i="4"/>
  <c r="K975" i="4"/>
  <c r="Q1001" i="4"/>
  <c r="I1001" i="4"/>
  <c r="H1001" i="4"/>
  <c r="S1001" i="4"/>
  <c r="J1015" i="4"/>
  <c r="P1015" i="4"/>
  <c r="G1015" i="4"/>
  <c r="O1015" i="4"/>
  <c r="W1015" i="4"/>
  <c r="V1015" i="4"/>
  <c r="M1015" i="4"/>
  <c r="U1015" i="4"/>
  <c r="T1015" i="4"/>
  <c r="K1015" i="4"/>
  <c r="N1023" i="4"/>
  <c r="L1023" i="4"/>
  <c r="L1074" i="4"/>
  <c r="N1074" i="4"/>
  <c r="R831" i="4"/>
  <c r="W844" i="4"/>
  <c r="O844" i="4"/>
  <c r="G844" i="4"/>
  <c r="J844" i="4"/>
  <c r="V859" i="4"/>
  <c r="T859" i="4"/>
  <c r="V875" i="4"/>
  <c r="U875" i="4"/>
  <c r="M875" i="4"/>
  <c r="T875" i="4"/>
  <c r="W875" i="4"/>
  <c r="L885" i="4"/>
  <c r="Q886" i="4"/>
  <c r="I886" i="4"/>
  <c r="H886" i="4"/>
  <c r="S908" i="4"/>
  <c r="H908" i="4"/>
  <c r="Q908" i="4"/>
  <c r="U910" i="4"/>
  <c r="M910" i="4"/>
  <c r="J910" i="4"/>
  <c r="G910" i="4"/>
  <c r="P910" i="4"/>
  <c r="O910" i="4"/>
  <c r="K910" i="4"/>
  <c r="V911" i="4"/>
  <c r="K911" i="4"/>
  <c r="O911" i="4"/>
  <c r="M911" i="4"/>
  <c r="W911" i="4"/>
  <c r="U911" i="4"/>
  <c r="J911" i="4"/>
  <c r="K916" i="4"/>
  <c r="P916" i="4"/>
  <c r="T916" i="4"/>
  <c r="G916" i="4"/>
  <c r="O916" i="4"/>
  <c r="M916" i="4"/>
  <c r="Q925" i="4"/>
  <c r="I925" i="4"/>
  <c r="R925" i="4"/>
  <c r="S936" i="4"/>
  <c r="I936" i="4"/>
  <c r="R936" i="4"/>
  <c r="H936" i="4"/>
  <c r="Q936" i="4"/>
  <c r="U942" i="4"/>
  <c r="M942" i="4"/>
  <c r="J942" i="4"/>
  <c r="G942" i="4"/>
  <c r="P942" i="4"/>
  <c r="O942" i="4"/>
  <c r="K942" i="4"/>
  <c r="P945" i="4"/>
  <c r="U945" i="4"/>
  <c r="M945" i="4"/>
  <c r="G945" i="4"/>
  <c r="O945" i="4"/>
  <c r="L952" i="4"/>
  <c r="N952" i="4"/>
  <c r="Q957" i="4"/>
  <c r="I957" i="4"/>
  <c r="R957" i="4"/>
  <c r="I960" i="4"/>
  <c r="S960" i="4"/>
  <c r="H960" i="4"/>
  <c r="R960" i="4"/>
  <c r="Q960" i="4"/>
  <c r="P961" i="4"/>
  <c r="V961" i="4"/>
  <c r="U961" i="4"/>
  <c r="M961" i="4"/>
  <c r="T961" i="4"/>
  <c r="G961" i="4"/>
  <c r="O961" i="4"/>
  <c r="W967" i="4"/>
  <c r="V967" i="4"/>
  <c r="T967" i="4"/>
  <c r="K967" i="4"/>
  <c r="P967" i="4"/>
  <c r="O967" i="4"/>
  <c r="M967" i="4"/>
  <c r="J967" i="4"/>
  <c r="S975" i="4"/>
  <c r="I975" i="4"/>
  <c r="H975" i="4"/>
  <c r="R975" i="4"/>
  <c r="N998" i="4"/>
  <c r="L998" i="4"/>
  <c r="P1008" i="4"/>
  <c r="W1008" i="4"/>
  <c r="O1008" i="4"/>
  <c r="G1008" i="4"/>
  <c r="V1008" i="4"/>
  <c r="U1008" i="4"/>
  <c r="M1008" i="4"/>
  <c r="T1008" i="4"/>
  <c r="J1008" i="4"/>
  <c r="V1043" i="4"/>
  <c r="U1043" i="4"/>
  <c r="M1043" i="4"/>
  <c r="G1043" i="4"/>
  <c r="P1043" i="4"/>
  <c r="O1043" i="4"/>
  <c r="W1043" i="4"/>
  <c r="K1043" i="4"/>
  <c r="T1043" i="4"/>
  <c r="K1096" i="4"/>
  <c r="J1096" i="4"/>
  <c r="P1096" i="4"/>
  <c r="W1096" i="4"/>
  <c r="O1096" i="4"/>
  <c r="G1096" i="4"/>
  <c r="U1096" i="4"/>
  <c r="M1096" i="4"/>
  <c r="V1096" i="4"/>
  <c r="T1096" i="4"/>
  <c r="R766" i="4"/>
  <c r="R774" i="4"/>
  <c r="T776" i="4"/>
  <c r="R782" i="4"/>
  <c r="T784" i="4"/>
  <c r="R790" i="4"/>
  <c r="K791" i="4"/>
  <c r="T792" i="4"/>
  <c r="R798" i="4"/>
  <c r="K799" i="4"/>
  <c r="T800" i="4"/>
  <c r="R806" i="4"/>
  <c r="K807" i="4"/>
  <c r="T808" i="4"/>
  <c r="R814" i="4"/>
  <c r="K815" i="4"/>
  <c r="T816" i="4"/>
  <c r="R822" i="4"/>
  <c r="K823" i="4"/>
  <c r="T824" i="4"/>
  <c r="J830" i="4"/>
  <c r="R830" i="4"/>
  <c r="K831" i="4"/>
  <c r="T832" i="4"/>
  <c r="J838" i="4"/>
  <c r="R838" i="4"/>
  <c r="L839" i="4"/>
  <c r="U839" i="4"/>
  <c r="V842" i="4"/>
  <c r="K844" i="4"/>
  <c r="T844" i="4"/>
  <c r="M847" i="4"/>
  <c r="V847" i="4"/>
  <c r="J849" i="4"/>
  <c r="U852" i="4"/>
  <c r="Q854" i="4"/>
  <c r="I854" i="4"/>
  <c r="K857" i="4"/>
  <c r="U857" i="4"/>
  <c r="J859" i="4"/>
  <c r="U859" i="4"/>
  <c r="Q862" i="4"/>
  <c r="I862" i="4"/>
  <c r="W866" i="4"/>
  <c r="N867" i="4"/>
  <c r="L867" i="4"/>
  <c r="L869" i="4"/>
  <c r="W869" i="4"/>
  <c r="V871" i="4"/>
  <c r="J875" i="4"/>
  <c r="W876" i="4"/>
  <c r="O876" i="4"/>
  <c r="G876" i="4"/>
  <c r="V876" i="4"/>
  <c r="U876" i="4"/>
  <c r="M876" i="4"/>
  <c r="J876" i="4"/>
  <c r="P877" i="4"/>
  <c r="W877" i="4"/>
  <c r="O877" i="4"/>
  <c r="G877" i="4"/>
  <c r="V877" i="4"/>
  <c r="K877" i="4"/>
  <c r="O883" i="4"/>
  <c r="M885" i="4"/>
  <c r="T889" i="4"/>
  <c r="K889" i="4"/>
  <c r="J889" i="4"/>
  <c r="V889" i="4"/>
  <c r="Q892" i="4"/>
  <c r="R893" i="4"/>
  <c r="N897" i="4"/>
  <c r="U898" i="4"/>
  <c r="M898" i="4"/>
  <c r="T898" i="4"/>
  <c r="K898" i="4"/>
  <c r="W898" i="4"/>
  <c r="N899" i="4"/>
  <c r="L899" i="4"/>
  <c r="R908" i="4"/>
  <c r="P911" i="4"/>
  <c r="P913" i="4"/>
  <c r="U913" i="4"/>
  <c r="M913" i="4"/>
  <c r="G913" i="4"/>
  <c r="O913" i="4"/>
  <c r="S916" i="4"/>
  <c r="H916" i="4"/>
  <c r="I916" i="4"/>
  <c r="R916" i="4"/>
  <c r="Q916" i="4"/>
  <c r="V919" i="4"/>
  <c r="K919" i="4"/>
  <c r="G919" i="4"/>
  <c r="P919" i="4"/>
  <c r="O919" i="4"/>
  <c r="M919" i="4"/>
  <c r="J919" i="4"/>
  <c r="W928" i="4"/>
  <c r="O928" i="4"/>
  <c r="G928" i="4"/>
  <c r="T928" i="4"/>
  <c r="P928" i="4"/>
  <c r="M928" i="4"/>
  <c r="V928" i="4"/>
  <c r="K928" i="4"/>
  <c r="J928" i="4"/>
  <c r="V936" i="4"/>
  <c r="J939" i="4"/>
  <c r="W939" i="4"/>
  <c r="O939" i="4"/>
  <c r="G939" i="4"/>
  <c r="T939" i="4"/>
  <c r="P939" i="4"/>
  <c r="K939" i="4"/>
  <c r="K940" i="4"/>
  <c r="P940" i="4"/>
  <c r="O940" i="4"/>
  <c r="W940" i="4"/>
  <c r="M940" i="4"/>
  <c r="V940" i="4"/>
  <c r="J940" i="4"/>
  <c r="H945" i="4"/>
  <c r="S945" i="4"/>
  <c r="I945" i="4"/>
  <c r="R945" i="4"/>
  <c r="Q945" i="4"/>
  <c r="T945" i="4"/>
  <c r="W948" i="4"/>
  <c r="L949" i="4"/>
  <c r="N949" i="4"/>
  <c r="U951" i="4"/>
  <c r="H961" i="4"/>
  <c r="I961" i="4"/>
  <c r="S961" i="4"/>
  <c r="R961" i="4"/>
  <c r="Q961" i="4"/>
  <c r="W961" i="4"/>
  <c r="N962" i="4"/>
  <c r="L962" i="4"/>
  <c r="H1008" i="4"/>
  <c r="I1008" i="4"/>
  <c r="S1008" i="4"/>
  <c r="L1013" i="4"/>
  <c r="N1013" i="4"/>
  <c r="W1020" i="4"/>
  <c r="O1020" i="4"/>
  <c r="G1020" i="4"/>
  <c r="V1020" i="4"/>
  <c r="P1020" i="4"/>
  <c r="M1020" i="4"/>
  <c r="U1020" i="4"/>
  <c r="K1020" i="4"/>
  <c r="T1020" i="4"/>
  <c r="J1020" i="4"/>
  <c r="U1034" i="4"/>
  <c r="M1034" i="4"/>
  <c r="T1034" i="4"/>
  <c r="G1034" i="4"/>
  <c r="P1034" i="4"/>
  <c r="O1034" i="4"/>
  <c r="J1034" i="4"/>
  <c r="W1034" i="4"/>
  <c r="V1034" i="4"/>
  <c r="Q1043" i="4"/>
  <c r="I1043" i="4"/>
  <c r="H1043" i="4"/>
  <c r="L1066" i="4"/>
  <c r="N1066" i="4"/>
  <c r="N1084" i="4"/>
  <c r="L1084" i="4"/>
  <c r="H1093" i="4"/>
  <c r="I1093" i="4"/>
  <c r="S1093" i="4"/>
  <c r="R1093" i="4"/>
  <c r="Q1093" i="4"/>
  <c r="N1169" i="4"/>
  <c r="L1169" i="4"/>
  <c r="R749" i="4"/>
  <c r="R757" i="4"/>
  <c r="J765" i="4"/>
  <c r="R765" i="4"/>
  <c r="J773" i="4"/>
  <c r="R773" i="4"/>
  <c r="M776" i="4"/>
  <c r="U776" i="4"/>
  <c r="J781" i="4"/>
  <c r="R781" i="4"/>
  <c r="M784" i="4"/>
  <c r="U784" i="4"/>
  <c r="J789" i="4"/>
  <c r="R789" i="4"/>
  <c r="T791" i="4"/>
  <c r="M792" i="4"/>
  <c r="U792" i="4"/>
  <c r="J797" i="4"/>
  <c r="R797" i="4"/>
  <c r="T799" i="4"/>
  <c r="M800" i="4"/>
  <c r="U800" i="4"/>
  <c r="J805" i="4"/>
  <c r="R805" i="4"/>
  <c r="T807" i="4"/>
  <c r="M808" i="4"/>
  <c r="U808" i="4"/>
  <c r="J813" i="4"/>
  <c r="R813" i="4"/>
  <c r="T815" i="4"/>
  <c r="M816" i="4"/>
  <c r="U816" i="4"/>
  <c r="J821" i="4"/>
  <c r="R821" i="4"/>
  <c r="T823" i="4"/>
  <c r="M824" i="4"/>
  <c r="U824" i="4"/>
  <c r="J829" i="4"/>
  <c r="R829" i="4"/>
  <c r="K830" i="4"/>
  <c r="T831" i="4"/>
  <c r="M832" i="4"/>
  <c r="U832" i="4"/>
  <c r="J837" i="4"/>
  <c r="R837" i="4"/>
  <c r="K838" i="4"/>
  <c r="M839" i="4"/>
  <c r="V839" i="4"/>
  <c r="J841" i="4"/>
  <c r="W842" i="4"/>
  <c r="U844" i="4"/>
  <c r="Q846" i="4"/>
  <c r="I846" i="4"/>
  <c r="W847" i="4"/>
  <c r="K849" i="4"/>
  <c r="U849" i="4"/>
  <c r="M852" i="4"/>
  <c r="V852" i="4"/>
  <c r="M857" i="4"/>
  <c r="V857" i="4"/>
  <c r="K859" i="4"/>
  <c r="W859" i="4"/>
  <c r="Q861" i="4"/>
  <c r="S864" i="4"/>
  <c r="Q864" i="4"/>
  <c r="I864" i="4"/>
  <c r="V867" i="4"/>
  <c r="T867" i="4"/>
  <c r="Q868" i="4"/>
  <c r="M869" i="4"/>
  <c r="M871" i="4"/>
  <c r="W871" i="4"/>
  <c r="O874" i="4"/>
  <c r="K875" i="4"/>
  <c r="K876" i="4"/>
  <c r="L877" i="4"/>
  <c r="Q878" i="4"/>
  <c r="I878" i="4"/>
  <c r="H878" i="4"/>
  <c r="Q882" i="4"/>
  <c r="P883" i="4"/>
  <c r="P884" i="4"/>
  <c r="Q885" i="4"/>
  <c r="M889" i="4"/>
  <c r="W889" i="4"/>
  <c r="R892" i="4"/>
  <c r="S893" i="4"/>
  <c r="O897" i="4"/>
  <c r="J898" i="4"/>
  <c r="V899" i="4"/>
  <c r="U899" i="4"/>
  <c r="M899" i="4"/>
  <c r="T899" i="4"/>
  <c r="W899" i="4"/>
  <c r="T908" i="4"/>
  <c r="H913" i="4"/>
  <c r="S913" i="4"/>
  <c r="I913" i="4"/>
  <c r="R913" i="4"/>
  <c r="Q913" i="4"/>
  <c r="U916" i="4"/>
  <c r="S919" i="4"/>
  <c r="Q919" i="4"/>
  <c r="L919" i="4"/>
  <c r="J931" i="4"/>
  <c r="W931" i="4"/>
  <c r="O931" i="4"/>
  <c r="G931" i="4"/>
  <c r="P931" i="4"/>
  <c r="M931" i="4"/>
  <c r="V931" i="4"/>
  <c r="K931" i="4"/>
  <c r="N934" i="4"/>
  <c r="L934" i="4"/>
  <c r="P937" i="4"/>
  <c r="U937" i="4"/>
  <c r="M937" i="4"/>
  <c r="O937" i="4"/>
  <c r="W937" i="4"/>
  <c r="V937" i="4"/>
  <c r="K937" i="4"/>
  <c r="J937" i="4"/>
  <c r="V945" i="4"/>
  <c r="U966" i="4"/>
  <c r="M966" i="4"/>
  <c r="K966" i="4"/>
  <c r="J966" i="4"/>
  <c r="T966" i="4"/>
  <c r="G966" i="4"/>
  <c r="P966" i="4"/>
  <c r="O966" i="4"/>
  <c r="U967" i="4"/>
  <c r="Q977" i="4"/>
  <c r="I977" i="4"/>
  <c r="H977" i="4"/>
  <c r="R977" i="4"/>
  <c r="N991" i="4"/>
  <c r="L991" i="4"/>
  <c r="V998" i="4"/>
  <c r="U998" i="4"/>
  <c r="M998" i="4"/>
  <c r="T998" i="4"/>
  <c r="K998" i="4"/>
  <c r="J998" i="4"/>
  <c r="G998" i="4"/>
  <c r="W998" i="4"/>
  <c r="P998" i="4"/>
  <c r="O998" i="4"/>
  <c r="N1014" i="4"/>
  <c r="L1014" i="4"/>
  <c r="R1034" i="4"/>
  <c r="H1034" i="4"/>
  <c r="Q1034" i="4"/>
  <c r="I1034" i="4"/>
  <c r="S1140" i="4"/>
  <c r="I1140" i="4"/>
  <c r="R1140" i="4"/>
  <c r="H1140" i="4"/>
  <c r="Q1140" i="4"/>
  <c r="H1166" i="4"/>
  <c r="S1166" i="4"/>
  <c r="Q1166" i="4"/>
  <c r="I1166" i="4"/>
  <c r="M791" i="4"/>
  <c r="M799" i="4"/>
  <c r="M807" i="4"/>
  <c r="M815" i="4"/>
  <c r="M823" i="4"/>
  <c r="M831" i="4"/>
  <c r="W839" i="4"/>
  <c r="K841" i="4"/>
  <c r="U841" i="4"/>
  <c r="O842" i="4"/>
  <c r="M844" i="4"/>
  <c r="V844" i="4"/>
  <c r="O847" i="4"/>
  <c r="M849" i="4"/>
  <c r="V849" i="4"/>
  <c r="J851" i="4"/>
  <c r="J853" i="4"/>
  <c r="J856" i="4"/>
  <c r="T856" i="4"/>
  <c r="W857" i="4"/>
  <c r="M859" i="4"/>
  <c r="W860" i="4"/>
  <c r="O860" i="4"/>
  <c r="G860" i="4"/>
  <c r="U860" i="4"/>
  <c r="M860" i="4"/>
  <c r="J860" i="4"/>
  <c r="T860" i="4"/>
  <c r="R861" i="4"/>
  <c r="O866" i="4"/>
  <c r="J867" i="4"/>
  <c r="U867" i="4"/>
  <c r="H868" i="4"/>
  <c r="O869" i="4"/>
  <c r="Q870" i="4"/>
  <c r="I870" i="4"/>
  <c r="P874" i="4"/>
  <c r="O875" i="4"/>
  <c r="L876" i="4"/>
  <c r="M877" i="4"/>
  <c r="T881" i="4"/>
  <c r="K881" i="4"/>
  <c r="J881" i="4"/>
  <c r="V881" i="4"/>
  <c r="R882" i="4"/>
  <c r="R885" i="4"/>
  <c r="N889" i="4"/>
  <c r="U890" i="4"/>
  <c r="M890" i="4"/>
  <c r="T890" i="4"/>
  <c r="K890" i="4"/>
  <c r="W890" i="4"/>
  <c r="H892" i="4"/>
  <c r="I893" i="4"/>
  <c r="R894" i="4"/>
  <c r="P897" i="4"/>
  <c r="N898" i="4"/>
  <c r="J899" i="4"/>
  <c r="W900" i="4"/>
  <c r="O900" i="4"/>
  <c r="G900" i="4"/>
  <c r="V900" i="4"/>
  <c r="U900" i="4"/>
  <c r="M900" i="4"/>
  <c r="J900" i="4"/>
  <c r="P901" i="4"/>
  <c r="W901" i="4"/>
  <c r="O901" i="4"/>
  <c r="G901" i="4"/>
  <c r="V901" i="4"/>
  <c r="K901" i="4"/>
  <c r="U908" i="4"/>
  <c r="T913" i="4"/>
  <c r="V916" i="4"/>
  <c r="R919" i="4"/>
  <c r="N923" i="4"/>
  <c r="L923" i="4"/>
  <c r="Q930" i="4"/>
  <c r="I930" i="4"/>
  <c r="S930" i="4"/>
  <c r="H930" i="4"/>
  <c r="R930" i="4"/>
  <c r="U934" i="4"/>
  <c r="M934" i="4"/>
  <c r="J934" i="4"/>
  <c r="P934" i="4"/>
  <c r="O934" i="4"/>
  <c r="W934" i="4"/>
  <c r="V934" i="4"/>
  <c r="K934" i="4"/>
  <c r="M939" i="4"/>
  <c r="T940" i="4"/>
  <c r="W945" i="4"/>
  <c r="N946" i="4"/>
  <c r="L946" i="4"/>
  <c r="Q962" i="4"/>
  <c r="I962" i="4"/>
  <c r="R962" i="4"/>
  <c r="P968" i="4"/>
  <c r="W968" i="4"/>
  <c r="O968" i="4"/>
  <c r="G968" i="4"/>
  <c r="U968" i="4"/>
  <c r="M968" i="4"/>
  <c r="T968" i="4"/>
  <c r="V968" i="4"/>
  <c r="K968" i="4"/>
  <c r="N974" i="4"/>
  <c r="L974" i="4"/>
  <c r="S977" i="4"/>
  <c r="L1041" i="4"/>
  <c r="N1041" i="4"/>
  <c r="Q1126" i="4"/>
  <c r="I1126" i="4"/>
  <c r="H1126" i="4"/>
  <c r="S1126" i="4"/>
  <c r="R1126" i="4"/>
  <c r="K1128" i="4"/>
  <c r="J1128" i="4"/>
  <c r="P1128" i="4"/>
  <c r="W1128" i="4"/>
  <c r="O1128" i="4"/>
  <c r="G1128" i="4"/>
  <c r="U1128" i="4"/>
  <c r="M1128" i="4"/>
  <c r="V1128" i="4"/>
  <c r="T1128" i="4"/>
  <c r="S1133" i="4"/>
  <c r="I1133" i="4"/>
  <c r="Q1133" i="4"/>
  <c r="H1133" i="4"/>
  <c r="Q1151" i="4"/>
  <c r="I1151" i="4"/>
  <c r="H1151" i="4"/>
  <c r="R1151" i="4"/>
  <c r="S1151" i="4"/>
  <c r="S940" i="4"/>
  <c r="H940" i="4"/>
  <c r="V943" i="4"/>
  <c r="K943" i="4"/>
  <c r="T943" i="4"/>
  <c r="N983" i="4"/>
  <c r="L983" i="4"/>
  <c r="N990" i="4"/>
  <c r="L990" i="4"/>
  <c r="Q993" i="4"/>
  <c r="I993" i="4"/>
  <c r="H993" i="4"/>
  <c r="R993" i="4"/>
  <c r="P1000" i="4"/>
  <c r="W1000" i="4"/>
  <c r="O1000" i="4"/>
  <c r="G1000" i="4"/>
  <c r="V1000" i="4"/>
  <c r="U1000" i="4"/>
  <c r="M1000" i="4"/>
  <c r="T1000" i="4"/>
  <c r="K1000" i="4"/>
  <c r="V1014" i="4"/>
  <c r="U1014" i="4"/>
  <c r="M1014" i="4"/>
  <c r="T1014" i="4"/>
  <c r="K1014" i="4"/>
  <c r="J1014" i="4"/>
  <c r="N1072" i="4"/>
  <c r="L1072" i="4"/>
  <c r="W1091" i="4"/>
  <c r="P1101" i="4"/>
  <c r="W1101" i="4"/>
  <c r="O1101" i="4"/>
  <c r="G1101" i="4"/>
  <c r="U1101" i="4"/>
  <c r="M1101" i="4"/>
  <c r="T1101" i="4"/>
  <c r="J1101" i="4"/>
  <c r="K1101" i="4"/>
  <c r="V1101" i="4"/>
  <c r="S1124" i="4"/>
  <c r="Q1124" i="4"/>
  <c r="I1124" i="4"/>
  <c r="H1124" i="4"/>
  <c r="R1124" i="4"/>
  <c r="S1145" i="4"/>
  <c r="Q1145" i="4"/>
  <c r="I1145" i="4"/>
  <c r="R1145" i="4"/>
  <c r="H1145" i="4"/>
  <c r="I872" i="4"/>
  <c r="Q872" i="4"/>
  <c r="P879" i="4"/>
  <c r="I880" i="4"/>
  <c r="Q880" i="4"/>
  <c r="P887" i="4"/>
  <c r="I888" i="4"/>
  <c r="Q888" i="4"/>
  <c r="P895" i="4"/>
  <c r="I896" i="4"/>
  <c r="Q896" i="4"/>
  <c r="P903" i="4"/>
  <c r="I904" i="4"/>
  <c r="Q904" i="4"/>
  <c r="H912" i="4"/>
  <c r="R912" i="4"/>
  <c r="Q914" i="4"/>
  <c r="I914" i="4"/>
  <c r="Q917" i="4"/>
  <c r="I917" i="4"/>
  <c r="W920" i="4"/>
  <c r="O920" i="4"/>
  <c r="G920" i="4"/>
  <c r="T920" i="4"/>
  <c r="J920" i="4"/>
  <c r="U920" i="4"/>
  <c r="R921" i="4"/>
  <c r="J923" i="4"/>
  <c r="W923" i="4"/>
  <c r="O923" i="4"/>
  <c r="G923" i="4"/>
  <c r="K923" i="4"/>
  <c r="U923" i="4"/>
  <c r="R924" i="4"/>
  <c r="U926" i="4"/>
  <c r="M926" i="4"/>
  <c r="J926" i="4"/>
  <c r="T926" i="4"/>
  <c r="P927" i="4"/>
  <c r="P929" i="4"/>
  <c r="U929" i="4"/>
  <c r="M929" i="4"/>
  <c r="J929" i="4"/>
  <c r="T929" i="4"/>
  <c r="K932" i="4"/>
  <c r="P932" i="4"/>
  <c r="J932" i="4"/>
  <c r="U932" i="4"/>
  <c r="L937" i="4"/>
  <c r="J943" i="4"/>
  <c r="U943" i="4"/>
  <c r="H944" i="4"/>
  <c r="R944" i="4"/>
  <c r="Q946" i="4"/>
  <c r="I946" i="4"/>
  <c r="Q949" i="4"/>
  <c r="I949" i="4"/>
  <c r="W952" i="4"/>
  <c r="O952" i="4"/>
  <c r="G952" i="4"/>
  <c r="T952" i="4"/>
  <c r="J952" i="4"/>
  <c r="U952" i="4"/>
  <c r="R953" i="4"/>
  <c r="J955" i="4"/>
  <c r="W955" i="4"/>
  <c r="O955" i="4"/>
  <c r="G955" i="4"/>
  <c r="K955" i="4"/>
  <c r="U955" i="4"/>
  <c r="R956" i="4"/>
  <c r="U958" i="4"/>
  <c r="M958" i="4"/>
  <c r="J958" i="4"/>
  <c r="T958" i="4"/>
  <c r="J963" i="4"/>
  <c r="P963" i="4"/>
  <c r="W963" i="4"/>
  <c r="O963" i="4"/>
  <c r="G963" i="4"/>
  <c r="K963" i="4"/>
  <c r="V963" i="4"/>
  <c r="Q968" i="4"/>
  <c r="P976" i="4"/>
  <c r="W976" i="4"/>
  <c r="O976" i="4"/>
  <c r="G976" i="4"/>
  <c r="V976" i="4"/>
  <c r="U976" i="4"/>
  <c r="M976" i="4"/>
  <c r="T976" i="4"/>
  <c r="K976" i="4"/>
  <c r="W982" i="4"/>
  <c r="V990" i="4"/>
  <c r="U990" i="4"/>
  <c r="M990" i="4"/>
  <c r="T990" i="4"/>
  <c r="K990" i="4"/>
  <c r="J990" i="4"/>
  <c r="Q991" i="4"/>
  <c r="I992" i="4"/>
  <c r="S993" i="4"/>
  <c r="N1000" i="4"/>
  <c r="L1000" i="4"/>
  <c r="Q1000" i="4"/>
  <c r="W1007" i="4"/>
  <c r="O1007" i="4"/>
  <c r="G1007" i="4"/>
  <c r="V1007" i="4"/>
  <c r="U1007" i="4"/>
  <c r="M1007" i="4"/>
  <c r="T1007" i="4"/>
  <c r="K1007" i="4"/>
  <c r="J1007" i="4"/>
  <c r="O1014" i="4"/>
  <c r="H1017" i="4"/>
  <c r="S1025" i="4"/>
  <c r="I1025" i="4"/>
  <c r="R1025" i="4"/>
  <c r="H1025" i="4"/>
  <c r="Q1025" i="4"/>
  <c r="P1029" i="4"/>
  <c r="W1029" i="4"/>
  <c r="O1029" i="4"/>
  <c r="G1029" i="4"/>
  <c r="M1029" i="4"/>
  <c r="V1029" i="4"/>
  <c r="K1029" i="4"/>
  <c r="N1047" i="4"/>
  <c r="L1047" i="4"/>
  <c r="L1049" i="4"/>
  <c r="N1049" i="4"/>
  <c r="N1055" i="4"/>
  <c r="L1055" i="4"/>
  <c r="T1057" i="4"/>
  <c r="K1057" i="4"/>
  <c r="G1057" i="4"/>
  <c r="P1057" i="4"/>
  <c r="O1057" i="4"/>
  <c r="M1057" i="4"/>
  <c r="Q1086" i="4"/>
  <c r="I1086" i="4"/>
  <c r="H1086" i="4"/>
  <c r="S1086" i="4"/>
  <c r="R1086" i="4"/>
  <c r="W1092" i="4"/>
  <c r="O1092" i="4"/>
  <c r="G1092" i="4"/>
  <c r="V1092" i="4"/>
  <c r="T1092" i="4"/>
  <c r="K1092" i="4"/>
  <c r="U1092" i="4"/>
  <c r="P1092" i="4"/>
  <c r="M1092" i="4"/>
  <c r="J1092" i="4"/>
  <c r="S1108" i="4"/>
  <c r="Q1108" i="4"/>
  <c r="I1108" i="4"/>
  <c r="H1108" i="4"/>
  <c r="R1108" i="4"/>
  <c r="S1129" i="4"/>
  <c r="Q1129" i="4"/>
  <c r="I1129" i="4"/>
  <c r="H1129" i="4"/>
  <c r="N1132" i="4"/>
  <c r="L1132" i="4"/>
  <c r="L1143" i="4"/>
  <c r="N1143" i="4"/>
  <c r="R872" i="4"/>
  <c r="R880" i="4"/>
  <c r="R888" i="4"/>
  <c r="R896" i="4"/>
  <c r="R904" i="4"/>
  <c r="I912" i="4"/>
  <c r="I921" i="4"/>
  <c r="S921" i="4"/>
  <c r="V923" i="4"/>
  <c r="K926" i="4"/>
  <c r="V926" i="4"/>
  <c r="K929" i="4"/>
  <c r="V929" i="4"/>
  <c r="S932" i="4"/>
  <c r="H932" i="4"/>
  <c r="V932" i="4"/>
  <c r="V935" i="4"/>
  <c r="K935" i="4"/>
  <c r="T935" i="4"/>
  <c r="W943" i="4"/>
  <c r="I944" i="4"/>
  <c r="K952" i="4"/>
  <c r="V952" i="4"/>
  <c r="I953" i="4"/>
  <c r="S953" i="4"/>
  <c r="V955" i="4"/>
  <c r="K958" i="4"/>
  <c r="V958" i="4"/>
  <c r="G959" i="4"/>
  <c r="R968" i="4"/>
  <c r="N976" i="4"/>
  <c r="L976" i="4"/>
  <c r="Q976" i="4"/>
  <c r="W983" i="4"/>
  <c r="O983" i="4"/>
  <c r="G983" i="4"/>
  <c r="V983" i="4"/>
  <c r="U983" i="4"/>
  <c r="M983" i="4"/>
  <c r="T983" i="4"/>
  <c r="K983" i="4"/>
  <c r="J983" i="4"/>
  <c r="O990" i="4"/>
  <c r="R991" i="4"/>
  <c r="R1000" i="4"/>
  <c r="N1006" i="4"/>
  <c r="L1006" i="4"/>
  <c r="P1007" i="4"/>
  <c r="Q1009" i="4"/>
  <c r="I1009" i="4"/>
  <c r="H1009" i="4"/>
  <c r="R1009" i="4"/>
  <c r="P1014" i="4"/>
  <c r="L1026" i="4"/>
  <c r="N1026" i="4"/>
  <c r="N1032" i="4"/>
  <c r="L1032" i="4"/>
  <c r="K1040" i="4"/>
  <c r="J1040" i="4"/>
  <c r="T1040" i="4"/>
  <c r="G1040" i="4"/>
  <c r="P1040" i="4"/>
  <c r="O1040" i="4"/>
  <c r="T1049" i="4"/>
  <c r="K1049" i="4"/>
  <c r="P1049" i="4"/>
  <c r="O1049" i="4"/>
  <c r="W1049" i="4"/>
  <c r="M1049" i="4"/>
  <c r="V1049" i="4"/>
  <c r="J1049" i="4"/>
  <c r="Q1054" i="4"/>
  <c r="I1054" i="4"/>
  <c r="H1054" i="4"/>
  <c r="S1054" i="4"/>
  <c r="R1054" i="4"/>
  <c r="S1057" i="4"/>
  <c r="R1057" i="4"/>
  <c r="H1057" i="4"/>
  <c r="Q1057" i="4"/>
  <c r="U1057" i="4"/>
  <c r="W1060" i="4"/>
  <c r="O1060" i="4"/>
  <c r="G1060" i="4"/>
  <c r="V1060" i="4"/>
  <c r="P1060" i="4"/>
  <c r="M1060" i="4"/>
  <c r="K1060" i="4"/>
  <c r="S1113" i="4"/>
  <c r="Q1113" i="4"/>
  <c r="I1113" i="4"/>
  <c r="H1113" i="4"/>
  <c r="N1116" i="4"/>
  <c r="L1116" i="4"/>
  <c r="R1129" i="4"/>
  <c r="T1162" i="4"/>
  <c r="K1162" i="4"/>
  <c r="J1162" i="4"/>
  <c r="W1162" i="4"/>
  <c r="O1162" i="4"/>
  <c r="G1162" i="4"/>
  <c r="U1162" i="4"/>
  <c r="P1162" i="4"/>
  <c r="V1162" i="4"/>
  <c r="M1162" i="4"/>
  <c r="Q1183" i="4"/>
  <c r="I1183" i="4"/>
  <c r="H1183" i="4"/>
  <c r="S1183" i="4"/>
  <c r="R1183" i="4"/>
  <c r="H1198" i="4"/>
  <c r="S1198" i="4"/>
  <c r="Q1198" i="4"/>
  <c r="I1198" i="4"/>
  <c r="Q1199" i="4"/>
  <c r="I1199" i="4"/>
  <c r="H1199" i="4"/>
  <c r="S1199" i="4"/>
  <c r="R1199" i="4"/>
  <c r="P1226" i="4"/>
  <c r="W1226" i="4"/>
  <c r="O1226" i="4"/>
  <c r="G1226" i="4"/>
  <c r="V1226" i="4"/>
  <c r="U1226" i="4"/>
  <c r="J1226" i="4"/>
  <c r="T1226" i="4"/>
  <c r="M1226" i="4"/>
  <c r="K904" i="4"/>
  <c r="Q906" i="4"/>
  <c r="I906" i="4"/>
  <c r="Q909" i="4"/>
  <c r="I909" i="4"/>
  <c r="W912" i="4"/>
  <c r="O912" i="4"/>
  <c r="G912" i="4"/>
  <c r="T912" i="4"/>
  <c r="J912" i="4"/>
  <c r="U912" i="4"/>
  <c r="J915" i="4"/>
  <c r="W915" i="4"/>
  <c r="O915" i="4"/>
  <c r="G915" i="4"/>
  <c r="K915" i="4"/>
  <c r="U915" i="4"/>
  <c r="U918" i="4"/>
  <c r="M918" i="4"/>
  <c r="J918" i="4"/>
  <c r="T918" i="4"/>
  <c r="M920" i="4"/>
  <c r="P921" i="4"/>
  <c r="U921" i="4"/>
  <c r="M921" i="4"/>
  <c r="J921" i="4"/>
  <c r="T921" i="4"/>
  <c r="M923" i="4"/>
  <c r="K924" i="4"/>
  <c r="P924" i="4"/>
  <c r="J924" i="4"/>
  <c r="U924" i="4"/>
  <c r="W926" i="4"/>
  <c r="W929" i="4"/>
  <c r="M932" i="4"/>
  <c r="W932" i="4"/>
  <c r="J935" i="4"/>
  <c r="U935" i="4"/>
  <c r="Q938" i="4"/>
  <c r="I938" i="4"/>
  <c r="Q941" i="4"/>
  <c r="I941" i="4"/>
  <c r="M943" i="4"/>
  <c r="W944" i="4"/>
  <c r="O944" i="4"/>
  <c r="G944" i="4"/>
  <c r="T944" i="4"/>
  <c r="J944" i="4"/>
  <c r="U944" i="4"/>
  <c r="J947" i="4"/>
  <c r="W947" i="4"/>
  <c r="O947" i="4"/>
  <c r="G947" i="4"/>
  <c r="K947" i="4"/>
  <c r="U947" i="4"/>
  <c r="U950" i="4"/>
  <c r="M950" i="4"/>
  <c r="J950" i="4"/>
  <c r="T950" i="4"/>
  <c r="M952" i="4"/>
  <c r="P953" i="4"/>
  <c r="U953" i="4"/>
  <c r="M953" i="4"/>
  <c r="J953" i="4"/>
  <c r="T953" i="4"/>
  <c r="M955" i="4"/>
  <c r="K956" i="4"/>
  <c r="P956" i="4"/>
  <c r="J956" i="4"/>
  <c r="U956" i="4"/>
  <c r="L958" i="4"/>
  <c r="W958" i="4"/>
  <c r="M963" i="4"/>
  <c r="S964" i="4"/>
  <c r="Q964" i="4"/>
  <c r="I964" i="4"/>
  <c r="H964" i="4"/>
  <c r="S968" i="4"/>
  <c r="R976" i="4"/>
  <c r="N982" i="4"/>
  <c r="L982" i="4"/>
  <c r="P983" i="4"/>
  <c r="Q985" i="4"/>
  <c r="I985" i="4"/>
  <c r="H985" i="4"/>
  <c r="R985" i="4"/>
  <c r="P990" i="4"/>
  <c r="P992" i="4"/>
  <c r="W992" i="4"/>
  <c r="O992" i="4"/>
  <c r="G992" i="4"/>
  <c r="V992" i="4"/>
  <c r="U992" i="4"/>
  <c r="M992" i="4"/>
  <c r="T992" i="4"/>
  <c r="K992" i="4"/>
  <c r="S1000" i="4"/>
  <c r="V1006" i="4"/>
  <c r="U1006" i="4"/>
  <c r="M1006" i="4"/>
  <c r="T1006" i="4"/>
  <c r="K1006" i="4"/>
  <c r="J1006" i="4"/>
  <c r="Q1007" i="4"/>
  <c r="S1009" i="4"/>
  <c r="T1017" i="4"/>
  <c r="K1017" i="4"/>
  <c r="G1017" i="4"/>
  <c r="P1017" i="4"/>
  <c r="O1017" i="4"/>
  <c r="W1017" i="4"/>
  <c r="M1017" i="4"/>
  <c r="J1017" i="4"/>
  <c r="U1026" i="4"/>
  <c r="M1026" i="4"/>
  <c r="T1026" i="4"/>
  <c r="P1026" i="4"/>
  <c r="O1026" i="4"/>
  <c r="W1026" i="4"/>
  <c r="K1026" i="4"/>
  <c r="V1026" i="4"/>
  <c r="J1026" i="4"/>
  <c r="K1032" i="4"/>
  <c r="J1032" i="4"/>
  <c r="P1032" i="4"/>
  <c r="O1032" i="4"/>
  <c r="W1032" i="4"/>
  <c r="M1032" i="4"/>
  <c r="V1032" i="4"/>
  <c r="M1040" i="4"/>
  <c r="Q1046" i="4"/>
  <c r="I1046" i="4"/>
  <c r="H1046" i="4"/>
  <c r="S1046" i="4"/>
  <c r="R1046" i="4"/>
  <c r="V1057" i="4"/>
  <c r="R1060" i="4"/>
  <c r="H1060" i="4"/>
  <c r="Q1060" i="4"/>
  <c r="S1060" i="4"/>
  <c r="T1065" i="4"/>
  <c r="K1065" i="4"/>
  <c r="P1065" i="4"/>
  <c r="O1065" i="4"/>
  <c r="M1065" i="4"/>
  <c r="J1065" i="4"/>
  <c r="N1091" i="4"/>
  <c r="L1091" i="4"/>
  <c r="S1097" i="4"/>
  <c r="Q1097" i="4"/>
  <c r="I1097" i="4"/>
  <c r="H1097" i="4"/>
  <c r="N1100" i="4"/>
  <c r="L1100" i="4"/>
  <c r="R1113" i="4"/>
  <c r="N1127" i="4"/>
  <c r="L1127" i="4"/>
  <c r="H1190" i="4"/>
  <c r="S1190" i="4"/>
  <c r="I1190" i="4"/>
  <c r="Q1190" i="4"/>
  <c r="R1190" i="4"/>
  <c r="S924" i="4"/>
  <c r="H924" i="4"/>
  <c r="V927" i="4"/>
  <c r="K927" i="4"/>
  <c r="T927" i="4"/>
  <c r="Q937" i="4"/>
  <c r="Q940" i="4"/>
  <c r="O943" i="4"/>
  <c r="S956" i="4"/>
  <c r="H956" i="4"/>
  <c r="V959" i="4"/>
  <c r="T959" i="4"/>
  <c r="K959" i="4"/>
  <c r="W959" i="4"/>
  <c r="Q967" i="4"/>
  <c r="V982" i="4"/>
  <c r="U982" i="4"/>
  <c r="M982" i="4"/>
  <c r="T982" i="4"/>
  <c r="K982" i="4"/>
  <c r="J982" i="4"/>
  <c r="N992" i="4"/>
  <c r="L992" i="4"/>
  <c r="Q992" i="4"/>
  <c r="W999" i="4"/>
  <c r="O999" i="4"/>
  <c r="G999" i="4"/>
  <c r="V999" i="4"/>
  <c r="U999" i="4"/>
  <c r="M999" i="4"/>
  <c r="T999" i="4"/>
  <c r="K999" i="4"/>
  <c r="J999" i="4"/>
  <c r="N1005" i="4"/>
  <c r="N1015" i="4"/>
  <c r="L1015" i="4"/>
  <c r="S1017" i="4"/>
  <c r="Q1017" i="4"/>
  <c r="R1017" i="4"/>
  <c r="S1019" i="4"/>
  <c r="I1019" i="4"/>
  <c r="R1019" i="4"/>
  <c r="H1019" i="4"/>
  <c r="Q1019" i="4"/>
  <c r="N1020" i="4"/>
  <c r="L1020" i="4"/>
  <c r="P1037" i="4"/>
  <c r="W1037" i="4"/>
  <c r="O1037" i="4"/>
  <c r="G1037" i="4"/>
  <c r="T1037" i="4"/>
  <c r="J1037" i="4"/>
  <c r="M1037" i="4"/>
  <c r="L1058" i="4"/>
  <c r="N1058" i="4"/>
  <c r="P1085" i="4"/>
  <c r="W1085" i="4"/>
  <c r="O1085" i="4"/>
  <c r="G1085" i="4"/>
  <c r="U1085" i="4"/>
  <c r="M1085" i="4"/>
  <c r="T1085" i="4"/>
  <c r="V1085" i="4"/>
  <c r="K1085" i="4"/>
  <c r="L1090" i="4"/>
  <c r="N1090" i="4"/>
  <c r="V1091" i="4"/>
  <c r="U1091" i="4"/>
  <c r="M1091" i="4"/>
  <c r="K1091" i="4"/>
  <c r="J1091" i="4"/>
  <c r="P1091" i="4"/>
  <c r="O1091" i="4"/>
  <c r="P1093" i="4"/>
  <c r="W1093" i="4"/>
  <c r="O1093" i="4"/>
  <c r="G1093" i="4"/>
  <c r="U1093" i="4"/>
  <c r="M1093" i="4"/>
  <c r="T1093" i="4"/>
  <c r="J1093" i="4"/>
  <c r="V1093" i="4"/>
  <c r="N1111" i="4"/>
  <c r="L1111" i="4"/>
  <c r="L1122" i="4"/>
  <c r="N1122" i="4"/>
  <c r="V1123" i="4"/>
  <c r="U1123" i="4"/>
  <c r="M1123" i="4"/>
  <c r="K1123" i="4"/>
  <c r="J1123" i="4"/>
  <c r="P1123" i="4"/>
  <c r="W1123" i="4"/>
  <c r="G1123" i="4"/>
  <c r="T1123" i="4"/>
  <c r="O1123" i="4"/>
  <c r="P964" i="4"/>
  <c r="I965" i="4"/>
  <c r="Q965" i="4"/>
  <c r="M969" i="4"/>
  <c r="U969" i="4"/>
  <c r="G971" i="4"/>
  <c r="O971" i="4"/>
  <c r="W971" i="4"/>
  <c r="H972" i="4"/>
  <c r="P972" i="4"/>
  <c r="I973" i="4"/>
  <c r="Q973" i="4"/>
  <c r="M977" i="4"/>
  <c r="U977" i="4"/>
  <c r="G979" i="4"/>
  <c r="O979" i="4"/>
  <c r="W979" i="4"/>
  <c r="H980" i="4"/>
  <c r="P980" i="4"/>
  <c r="I981" i="4"/>
  <c r="Q981" i="4"/>
  <c r="M985" i="4"/>
  <c r="U985" i="4"/>
  <c r="G987" i="4"/>
  <c r="O987" i="4"/>
  <c r="W987" i="4"/>
  <c r="H988" i="4"/>
  <c r="P988" i="4"/>
  <c r="I989" i="4"/>
  <c r="Q989" i="4"/>
  <c r="M993" i="4"/>
  <c r="U993" i="4"/>
  <c r="G995" i="4"/>
  <c r="O995" i="4"/>
  <c r="W995" i="4"/>
  <c r="H996" i="4"/>
  <c r="P996" i="4"/>
  <c r="I997" i="4"/>
  <c r="Q997" i="4"/>
  <c r="M1001" i="4"/>
  <c r="U1001" i="4"/>
  <c r="G1003" i="4"/>
  <c r="O1003" i="4"/>
  <c r="W1003" i="4"/>
  <c r="H1004" i="4"/>
  <c r="P1004" i="4"/>
  <c r="I1005" i="4"/>
  <c r="Q1005" i="4"/>
  <c r="M1009" i="4"/>
  <c r="U1009" i="4"/>
  <c r="G1011" i="4"/>
  <c r="O1011" i="4"/>
  <c r="W1011" i="4"/>
  <c r="H1012" i="4"/>
  <c r="P1012" i="4"/>
  <c r="I1013" i="4"/>
  <c r="Q1013" i="4"/>
  <c r="H1018" i="4"/>
  <c r="R1018" i="4"/>
  <c r="O1019" i="4"/>
  <c r="J1021" i="4"/>
  <c r="R1022" i="4"/>
  <c r="O1025" i="4"/>
  <c r="Q1033" i="4"/>
  <c r="V1035" i="4"/>
  <c r="U1035" i="4"/>
  <c r="M1035" i="4"/>
  <c r="I1035" i="4"/>
  <c r="Q1036" i="4"/>
  <c r="Q1038" i="4"/>
  <c r="I1038" i="4"/>
  <c r="H1038" i="4"/>
  <c r="T1041" i="4"/>
  <c r="K1041" i="4"/>
  <c r="I1041" i="4"/>
  <c r="U1041" i="4"/>
  <c r="I1044" i="4"/>
  <c r="R1045" i="4"/>
  <c r="O1048" i="4"/>
  <c r="W1052" i="4"/>
  <c r="O1052" i="4"/>
  <c r="G1052" i="4"/>
  <c r="V1052" i="4"/>
  <c r="J1052" i="4"/>
  <c r="T1052" i="4"/>
  <c r="I1053" i="4"/>
  <c r="S1053" i="4"/>
  <c r="G1056" i="4"/>
  <c r="U1058" i="4"/>
  <c r="M1058" i="4"/>
  <c r="T1058" i="4"/>
  <c r="I1058" i="4"/>
  <c r="P1061" i="4"/>
  <c r="W1061" i="4"/>
  <c r="O1061" i="4"/>
  <c r="G1061" i="4"/>
  <c r="T1061" i="4"/>
  <c r="K1061" i="4"/>
  <c r="V1061" i="4"/>
  <c r="S1065" i="4"/>
  <c r="H1065" i="4"/>
  <c r="T1068" i="4"/>
  <c r="U1069" i="4"/>
  <c r="K1072" i="4"/>
  <c r="J1072" i="4"/>
  <c r="W1072" i="4"/>
  <c r="O1072" i="4"/>
  <c r="G1072" i="4"/>
  <c r="T1073" i="4"/>
  <c r="K1073" i="4"/>
  <c r="P1073" i="4"/>
  <c r="J1073" i="4"/>
  <c r="W1073" i="4"/>
  <c r="G1075" i="4"/>
  <c r="Q1078" i="4"/>
  <c r="I1078" i="4"/>
  <c r="H1078" i="4"/>
  <c r="I1084" i="4"/>
  <c r="N1085" i="4"/>
  <c r="G1099" i="4"/>
  <c r="G1115" i="4"/>
  <c r="G1131" i="4"/>
  <c r="N1181" i="4"/>
  <c r="L1181" i="4"/>
  <c r="W1225" i="4"/>
  <c r="O1225" i="4"/>
  <c r="G1225" i="4"/>
  <c r="V1225" i="4"/>
  <c r="U1225" i="4"/>
  <c r="M1225" i="4"/>
  <c r="T1225" i="4"/>
  <c r="P1225" i="4"/>
  <c r="K1225" i="4"/>
  <c r="P1258" i="4"/>
  <c r="W1258" i="4"/>
  <c r="O1258" i="4"/>
  <c r="G1258" i="4"/>
  <c r="V1258" i="4"/>
  <c r="U1258" i="4"/>
  <c r="M1258" i="4"/>
  <c r="T1258" i="4"/>
  <c r="K1258" i="4"/>
  <c r="V1296" i="4"/>
  <c r="U1296" i="4"/>
  <c r="M1296" i="4"/>
  <c r="T1296" i="4"/>
  <c r="K1296" i="4"/>
  <c r="J1296" i="4"/>
  <c r="P1296" i="4"/>
  <c r="G1296" i="4"/>
  <c r="W1296" i="4"/>
  <c r="O1296" i="4"/>
  <c r="V969" i="4"/>
  <c r="P971" i="4"/>
  <c r="I972" i="4"/>
  <c r="Q972" i="4"/>
  <c r="V977" i="4"/>
  <c r="P979" i="4"/>
  <c r="I980" i="4"/>
  <c r="Q980" i="4"/>
  <c r="V985" i="4"/>
  <c r="P987" i="4"/>
  <c r="I988" i="4"/>
  <c r="Q988" i="4"/>
  <c r="V993" i="4"/>
  <c r="P995" i="4"/>
  <c r="I996" i="4"/>
  <c r="Q996" i="4"/>
  <c r="V1001" i="4"/>
  <c r="P1003" i="4"/>
  <c r="I1004" i="4"/>
  <c r="Q1004" i="4"/>
  <c r="V1009" i="4"/>
  <c r="P1011" i="4"/>
  <c r="I1012" i="4"/>
  <c r="Q1012" i="4"/>
  <c r="U1018" i="4"/>
  <c r="M1018" i="4"/>
  <c r="T1018" i="4"/>
  <c r="I1018" i="4"/>
  <c r="P1019" i="4"/>
  <c r="P1021" i="4"/>
  <c r="W1021" i="4"/>
  <c r="O1021" i="4"/>
  <c r="G1021" i="4"/>
  <c r="K1021" i="4"/>
  <c r="U1021" i="4"/>
  <c r="K1024" i="4"/>
  <c r="J1024" i="4"/>
  <c r="U1024" i="4"/>
  <c r="P1025" i="4"/>
  <c r="H1036" i="4"/>
  <c r="R1036" i="4"/>
  <c r="Q1042" i="4"/>
  <c r="W1044" i="4"/>
  <c r="O1044" i="4"/>
  <c r="G1044" i="4"/>
  <c r="V1044" i="4"/>
  <c r="J1044" i="4"/>
  <c r="T1044" i="4"/>
  <c r="I1045" i="4"/>
  <c r="S1045" i="4"/>
  <c r="P1048" i="4"/>
  <c r="J1053" i="4"/>
  <c r="Q1059" i="4"/>
  <c r="L1061" i="4"/>
  <c r="Q1066" i="4"/>
  <c r="I1066" i="4"/>
  <c r="V1067" i="4"/>
  <c r="U1067" i="4"/>
  <c r="M1067" i="4"/>
  <c r="J1067" i="4"/>
  <c r="W1067" i="4"/>
  <c r="J1069" i="4"/>
  <c r="S1073" i="4"/>
  <c r="H1073" i="4"/>
  <c r="H1076" i="4"/>
  <c r="P1077" i="4"/>
  <c r="W1077" i="4"/>
  <c r="O1077" i="4"/>
  <c r="G1077" i="4"/>
  <c r="U1077" i="4"/>
  <c r="M1077" i="4"/>
  <c r="T1077" i="4"/>
  <c r="K1077" i="4"/>
  <c r="V1083" i="4"/>
  <c r="U1083" i="4"/>
  <c r="M1083" i="4"/>
  <c r="K1083" i="4"/>
  <c r="J1083" i="4"/>
  <c r="W1084" i="4"/>
  <c r="O1084" i="4"/>
  <c r="G1084" i="4"/>
  <c r="V1084" i="4"/>
  <c r="T1084" i="4"/>
  <c r="K1084" i="4"/>
  <c r="J1084" i="4"/>
  <c r="K1088" i="4"/>
  <c r="J1088" i="4"/>
  <c r="P1088" i="4"/>
  <c r="W1088" i="4"/>
  <c r="O1088" i="4"/>
  <c r="G1088" i="4"/>
  <c r="S1089" i="4"/>
  <c r="Q1089" i="4"/>
  <c r="I1089" i="4"/>
  <c r="H1089" i="4"/>
  <c r="N1103" i="4"/>
  <c r="L1103" i="4"/>
  <c r="S1105" i="4"/>
  <c r="Q1105" i="4"/>
  <c r="I1105" i="4"/>
  <c r="H1105" i="4"/>
  <c r="P1109" i="4"/>
  <c r="W1109" i="4"/>
  <c r="O1109" i="4"/>
  <c r="G1109" i="4"/>
  <c r="U1109" i="4"/>
  <c r="M1109" i="4"/>
  <c r="T1109" i="4"/>
  <c r="J1109" i="4"/>
  <c r="N1109" i="4"/>
  <c r="S1121" i="4"/>
  <c r="Q1121" i="4"/>
  <c r="I1121" i="4"/>
  <c r="H1121" i="4"/>
  <c r="P1125" i="4"/>
  <c r="W1125" i="4"/>
  <c r="O1125" i="4"/>
  <c r="G1125" i="4"/>
  <c r="U1125" i="4"/>
  <c r="M1125" i="4"/>
  <c r="T1125" i="4"/>
  <c r="J1125" i="4"/>
  <c r="N1125" i="4"/>
  <c r="L1137" i="4"/>
  <c r="N1137" i="4"/>
  <c r="L1138" i="4"/>
  <c r="N1138" i="4"/>
  <c r="S1139" i="4"/>
  <c r="I1139" i="4"/>
  <c r="R1139" i="4"/>
  <c r="H1139" i="4"/>
  <c r="H1142" i="4"/>
  <c r="S1142" i="4"/>
  <c r="I1142" i="4"/>
  <c r="Q1142" i="4"/>
  <c r="R1142" i="4"/>
  <c r="J1144" i="4"/>
  <c r="P1144" i="4"/>
  <c r="U1144" i="4"/>
  <c r="M1144" i="4"/>
  <c r="V1144" i="4"/>
  <c r="T1144" i="4"/>
  <c r="G1144" i="4"/>
  <c r="O1144" i="4"/>
  <c r="Q1148" i="4"/>
  <c r="I1148" i="4"/>
  <c r="H1148" i="4"/>
  <c r="R1148" i="4"/>
  <c r="N1221" i="4"/>
  <c r="L1221" i="4"/>
  <c r="P1338" i="4"/>
  <c r="W1338" i="4"/>
  <c r="O1338" i="4"/>
  <c r="G1338" i="4"/>
  <c r="V1338" i="4"/>
  <c r="U1338" i="4"/>
  <c r="M1338" i="4"/>
  <c r="T1338" i="4"/>
  <c r="J1338" i="4"/>
  <c r="K1338" i="4"/>
  <c r="R972" i="4"/>
  <c r="G977" i="4"/>
  <c r="O977" i="4"/>
  <c r="W977" i="4"/>
  <c r="H978" i="4"/>
  <c r="R980" i="4"/>
  <c r="G985" i="4"/>
  <c r="O985" i="4"/>
  <c r="W985" i="4"/>
  <c r="H986" i="4"/>
  <c r="R988" i="4"/>
  <c r="G993" i="4"/>
  <c r="O993" i="4"/>
  <c r="W993" i="4"/>
  <c r="H994" i="4"/>
  <c r="R996" i="4"/>
  <c r="G1001" i="4"/>
  <c r="O1001" i="4"/>
  <c r="W1001" i="4"/>
  <c r="H1002" i="4"/>
  <c r="R1004" i="4"/>
  <c r="G1009" i="4"/>
  <c r="O1009" i="4"/>
  <c r="W1009" i="4"/>
  <c r="H1010" i="4"/>
  <c r="R1012" i="4"/>
  <c r="V1027" i="4"/>
  <c r="U1027" i="4"/>
  <c r="M1027" i="4"/>
  <c r="Q1030" i="4"/>
  <c r="I1030" i="4"/>
  <c r="H1030" i="4"/>
  <c r="T1033" i="4"/>
  <c r="K1033" i="4"/>
  <c r="U1033" i="4"/>
  <c r="I1036" i="4"/>
  <c r="H1042" i="4"/>
  <c r="R1042" i="4"/>
  <c r="G1048" i="4"/>
  <c r="U1050" i="4"/>
  <c r="M1050" i="4"/>
  <c r="T1050" i="4"/>
  <c r="P1053" i="4"/>
  <c r="W1053" i="4"/>
  <c r="O1053" i="4"/>
  <c r="G1053" i="4"/>
  <c r="K1053" i="4"/>
  <c r="U1053" i="4"/>
  <c r="K1056" i="4"/>
  <c r="J1056" i="4"/>
  <c r="U1056" i="4"/>
  <c r="H1059" i="4"/>
  <c r="R1059" i="4"/>
  <c r="Q1062" i="4"/>
  <c r="I1062" i="4"/>
  <c r="H1062" i="4"/>
  <c r="W1068" i="4"/>
  <c r="O1068" i="4"/>
  <c r="G1068" i="4"/>
  <c r="V1068" i="4"/>
  <c r="K1068" i="4"/>
  <c r="J1068" i="4"/>
  <c r="P1069" i="4"/>
  <c r="W1069" i="4"/>
  <c r="O1069" i="4"/>
  <c r="G1069" i="4"/>
  <c r="T1069" i="4"/>
  <c r="K1069" i="4"/>
  <c r="Q1074" i="4"/>
  <c r="I1074" i="4"/>
  <c r="V1075" i="4"/>
  <c r="U1075" i="4"/>
  <c r="M1075" i="4"/>
  <c r="J1075" i="4"/>
  <c r="W1075" i="4"/>
  <c r="I1076" i="4"/>
  <c r="N1077" i="4"/>
  <c r="V1099" i="4"/>
  <c r="U1099" i="4"/>
  <c r="M1099" i="4"/>
  <c r="K1099" i="4"/>
  <c r="J1099" i="4"/>
  <c r="P1099" i="4"/>
  <c r="S1100" i="4"/>
  <c r="Q1100" i="4"/>
  <c r="I1100" i="4"/>
  <c r="Q1102" i="4"/>
  <c r="I1102" i="4"/>
  <c r="H1102" i="4"/>
  <c r="S1102" i="4"/>
  <c r="V1115" i="4"/>
  <c r="U1115" i="4"/>
  <c r="M1115" i="4"/>
  <c r="K1115" i="4"/>
  <c r="J1115" i="4"/>
  <c r="P1115" i="4"/>
  <c r="S1116" i="4"/>
  <c r="Q1116" i="4"/>
  <c r="I1116" i="4"/>
  <c r="Q1118" i="4"/>
  <c r="I1118" i="4"/>
  <c r="H1118" i="4"/>
  <c r="S1118" i="4"/>
  <c r="V1131" i="4"/>
  <c r="U1131" i="4"/>
  <c r="M1131" i="4"/>
  <c r="K1131" i="4"/>
  <c r="J1131" i="4"/>
  <c r="P1131" i="4"/>
  <c r="Q1132" i="4"/>
  <c r="S1132" i="4"/>
  <c r="I1132" i="4"/>
  <c r="R1132" i="4"/>
  <c r="S1163" i="4"/>
  <c r="H1163" i="4"/>
  <c r="Q1163" i="4"/>
  <c r="P1174" i="4"/>
  <c r="W1174" i="4"/>
  <c r="O1174" i="4"/>
  <c r="G1174" i="4"/>
  <c r="V1174" i="4"/>
  <c r="T1174" i="4"/>
  <c r="K1174" i="4"/>
  <c r="J1174" i="4"/>
  <c r="U1174" i="4"/>
  <c r="T1178" i="4"/>
  <c r="K1178" i="4"/>
  <c r="J1178" i="4"/>
  <c r="P1178" i="4"/>
  <c r="W1178" i="4"/>
  <c r="O1178" i="4"/>
  <c r="G1178" i="4"/>
  <c r="U1178" i="4"/>
  <c r="M1178" i="4"/>
  <c r="N1188" i="4"/>
  <c r="L1188" i="4"/>
  <c r="N1197" i="4"/>
  <c r="L1197" i="4"/>
  <c r="N1202" i="4"/>
  <c r="Q1291" i="4"/>
  <c r="I1291" i="4"/>
  <c r="H1291" i="4"/>
  <c r="S1291" i="4"/>
  <c r="R1291" i="4"/>
  <c r="L1295" i="4"/>
  <c r="N1295" i="4"/>
  <c r="S1337" i="4"/>
  <c r="Q1337" i="4"/>
  <c r="I1337" i="4"/>
  <c r="H1337" i="4"/>
  <c r="R1337" i="4"/>
  <c r="I970" i="4"/>
  <c r="Q970" i="4"/>
  <c r="J971" i="4"/>
  <c r="I978" i="4"/>
  <c r="Q978" i="4"/>
  <c r="I986" i="4"/>
  <c r="Q986" i="4"/>
  <c r="I994" i="4"/>
  <c r="Q994" i="4"/>
  <c r="I1002" i="4"/>
  <c r="Q1002" i="4"/>
  <c r="I1010" i="4"/>
  <c r="Q1010" i="4"/>
  <c r="K1016" i="4"/>
  <c r="J1016" i="4"/>
  <c r="U1016" i="4"/>
  <c r="K1018" i="4"/>
  <c r="W1018" i="4"/>
  <c r="M1021" i="4"/>
  <c r="M1024" i="4"/>
  <c r="W1024" i="4"/>
  <c r="J1027" i="4"/>
  <c r="T1027" i="4"/>
  <c r="Q1029" i="4"/>
  <c r="J1033" i="4"/>
  <c r="V1033" i="4"/>
  <c r="W1036" i="4"/>
  <c r="O1036" i="4"/>
  <c r="G1036" i="4"/>
  <c r="V1036" i="4"/>
  <c r="J1036" i="4"/>
  <c r="T1036" i="4"/>
  <c r="U1042" i="4"/>
  <c r="M1042" i="4"/>
  <c r="T1042" i="4"/>
  <c r="I1042" i="4"/>
  <c r="P1045" i="4"/>
  <c r="W1045" i="4"/>
  <c r="O1045" i="4"/>
  <c r="G1045" i="4"/>
  <c r="K1045" i="4"/>
  <c r="U1045" i="4"/>
  <c r="J1050" i="4"/>
  <c r="V1050" i="4"/>
  <c r="M1052" i="4"/>
  <c r="V1053" i="4"/>
  <c r="V1056" i="4"/>
  <c r="V1059" i="4"/>
  <c r="U1059" i="4"/>
  <c r="M1059" i="4"/>
  <c r="I1059" i="4"/>
  <c r="Q1065" i="4"/>
  <c r="L1067" i="4"/>
  <c r="L1068" i="4"/>
  <c r="M1069" i="4"/>
  <c r="Q1070" i="4"/>
  <c r="I1070" i="4"/>
  <c r="H1070" i="4"/>
  <c r="P1072" i="4"/>
  <c r="O1073" i="4"/>
  <c r="K1075" i="4"/>
  <c r="W1076" i="4"/>
  <c r="O1076" i="4"/>
  <c r="G1076" i="4"/>
  <c r="V1076" i="4"/>
  <c r="T1076" i="4"/>
  <c r="K1076" i="4"/>
  <c r="J1076" i="4"/>
  <c r="Q1077" i="4"/>
  <c r="R1078" i="4"/>
  <c r="K1080" i="4"/>
  <c r="J1080" i="4"/>
  <c r="P1080" i="4"/>
  <c r="W1080" i="4"/>
  <c r="O1080" i="4"/>
  <c r="G1080" i="4"/>
  <c r="S1081" i="4"/>
  <c r="Q1081" i="4"/>
  <c r="I1081" i="4"/>
  <c r="H1081" i="4"/>
  <c r="N1082" i="4"/>
  <c r="O1083" i="4"/>
  <c r="P1084" i="4"/>
  <c r="R1089" i="4"/>
  <c r="R1100" i="4"/>
  <c r="K1104" i="4"/>
  <c r="J1104" i="4"/>
  <c r="P1104" i="4"/>
  <c r="W1104" i="4"/>
  <c r="O1104" i="4"/>
  <c r="G1104" i="4"/>
  <c r="U1104" i="4"/>
  <c r="M1104" i="4"/>
  <c r="R1116" i="4"/>
  <c r="K1120" i="4"/>
  <c r="J1120" i="4"/>
  <c r="P1120" i="4"/>
  <c r="W1120" i="4"/>
  <c r="O1120" i="4"/>
  <c r="G1120" i="4"/>
  <c r="U1120" i="4"/>
  <c r="M1120" i="4"/>
  <c r="W1141" i="4"/>
  <c r="O1141" i="4"/>
  <c r="G1141" i="4"/>
  <c r="U1141" i="4"/>
  <c r="M1141" i="4"/>
  <c r="P1141" i="4"/>
  <c r="V1141" i="4"/>
  <c r="K1141" i="4"/>
  <c r="J1141" i="4"/>
  <c r="H1158" i="4"/>
  <c r="S1158" i="4"/>
  <c r="I1158" i="4"/>
  <c r="R1158" i="4"/>
  <c r="Q1158" i="4"/>
  <c r="L1162" i="4"/>
  <c r="N1162" i="4"/>
  <c r="Q1175" i="4"/>
  <c r="I1175" i="4"/>
  <c r="H1175" i="4"/>
  <c r="R1175" i="4"/>
  <c r="V1019" i="4"/>
  <c r="U1019" i="4"/>
  <c r="M1019" i="4"/>
  <c r="Q1022" i="4"/>
  <c r="I1022" i="4"/>
  <c r="H1022" i="4"/>
  <c r="T1025" i="4"/>
  <c r="K1025" i="4"/>
  <c r="U1025" i="4"/>
  <c r="K1048" i="4"/>
  <c r="J1048" i="4"/>
  <c r="U1048" i="4"/>
  <c r="Q1094" i="4"/>
  <c r="I1094" i="4"/>
  <c r="H1094" i="4"/>
  <c r="Q1143" i="4"/>
  <c r="I1143" i="4"/>
  <c r="S1143" i="4"/>
  <c r="R1143" i="4"/>
  <c r="Q1159" i="4"/>
  <c r="I1159" i="4"/>
  <c r="H1159" i="4"/>
  <c r="S1159" i="4"/>
  <c r="P1182" i="4"/>
  <c r="W1182" i="4"/>
  <c r="O1182" i="4"/>
  <c r="G1182" i="4"/>
  <c r="V1182" i="4"/>
  <c r="U1182" i="4"/>
  <c r="M1182" i="4"/>
  <c r="T1182" i="4"/>
  <c r="K1182" i="4"/>
  <c r="J1182" i="4"/>
  <c r="N1232" i="4"/>
  <c r="L1232" i="4"/>
  <c r="R1101" i="4"/>
  <c r="R1109" i="4"/>
  <c r="R1117" i="4"/>
  <c r="R1125" i="4"/>
  <c r="V1132" i="4"/>
  <c r="T1132" i="4"/>
  <c r="T1138" i="4"/>
  <c r="J1138" i="4"/>
  <c r="U1138" i="4"/>
  <c r="N1156" i="4"/>
  <c r="L1156" i="4"/>
  <c r="P1158" i="4"/>
  <c r="W1158" i="4"/>
  <c r="O1158" i="4"/>
  <c r="G1158" i="4"/>
  <c r="V1158" i="4"/>
  <c r="K1158" i="4"/>
  <c r="U1163" i="4"/>
  <c r="M1163" i="4"/>
  <c r="T1163" i="4"/>
  <c r="K1163" i="4"/>
  <c r="P1163" i="4"/>
  <c r="J1163" i="4"/>
  <c r="Q1164" i="4"/>
  <c r="I1164" i="4"/>
  <c r="W1165" i="4"/>
  <c r="O1165" i="4"/>
  <c r="G1165" i="4"/>
  <c r="V1165" i="4"/>
  <c r="U1165" i="4"/>
  <c r="M1165" i="4"/>
  <c r="J1165" i="4"/>
  <c r="K1165" i="4"/>
  <c r="H1174" i="4"/>
  <c r="S1174" i="4"/>
  <c r="Q1174" i="4"/>
  <c r="P1190" i="4"/>
  <c r="W1190" i="4"/>
  <c r="O1190" i="4"/>
  <c r="G1190" i="4"/>
  <c r="V1190" i="4"/>
  <c r="U1190" i="4"/>
  <c r="M1190" i="4"/>
  <c r="T1190" i="4"/>
  <c r="K1190" i="4"/>
  <c r="K1213" i="4"/>
  <c r="J1213" i="4"/>
  <c r="G1213" i="4"/>
  <c r="P1213" i="4"/>
  <c r="O1213" i="4"/>
  <c r="W1213" i="4"/>
  <c r="V1213" i="4"/>
  <c r="M1213" i="4"/>
  <c r="U1213" i="4"/>
  <c r="I1224" i="4"/>
  <c r="S1224" i="4"/>
  <c r="H1224" i="4"/>
  <c r="R1224" i="4"/>
  <c r="Q1224" i="4"/>
  <c r="T1246" i="4"/>
  <c r="K1246" i="4"/>
  <c r="J1246" i="4"/>
  <c r="P1246" i="4"/>
  <c r="W1246" i="4"/>
  <c r="V1246" i="4"/>
  <c r="G1246" i="4"/>
  <c r="U1246" i="4"/>
  <c r="O1246" i="4"/>
  <c r="M1246" i="4"/>
  <c r="N1321" i="4"/>
  <c r="L1321" i="4"/>
  <c r="P1081" i="4"/>
  <c r="I1082" i="4"/>
  <c r="Q1082" i="4"/>
  <c r="P1089" i="4"/>
  <c r="I1090" i="4"/>
  <c r="Q1090" i="4"/>
  <c r="P1097" i="4"/>
  <c r="I1098" i="4"/>
  <c r="Q1098" i="4"/>
  <c r="K1100" i="4"/>
  <c r="P1105" i="4"/>
  <c r="I1106" i="4"/>
  <c r="Q1106" i="4"/>
  <c r="K1108" i="4"/>
  <c r="P1113" i="4"/>
  <c r="I1114" i="4"/>
  <c r="Q1114" i="4"/>
  <c r="K1116" i="4"/>
  <c r="P1121" i="4"/>
  <c r="I1122" i="4"/>
  <c r="Q1122" i="4"/>
  <c r="K1124" i="4"/>
  <c r="P1129" i="4"/>
  <c r="I1130" i="4"/>
  <c r="Q1130" i="4"/>
  <c r="K1132" i="4"/>
  <c r="W1132" i="4"/>
  <c r="J1136" i="4"/>
  <c r="P1136" i="4"/>
  <c r="K1136" i="4"/>
  <c r="U1136" i="4"/>
  <c r="M1138" i="4"/>
  <c r="W1138" i="4"/>
  <c r="T1146" i="4"/>
  <c r="J1146" i="4"/>
  <c r="W1146" i="4"/>
  <c r="O1146" i="4"/>
  <c r="G1146" i="4"/>
  <c r="K1146" i="4"/>
  <c r="U1147" i="4"/>
  <c r="M1147" i="4"/>
  <c r="K1147" i="4"/>
  <c r="P1147" i="4"/>
  <c r="J1147" i="4"/>
  <c r="W1147" i="4"/>
  <c r="P1150" i="4"/>
  <c r="W1150" i="4"/>
  <c r="O1150" i="4"/>
  <c r="G1150" i="4"/>
  <c r="V1150" i="4"/>
  <c r="K1150" i="4"/>
  <c r="U1155" i="4"/>
  <c r="M1155" i="4"/>
  <c r="T1155" i="4"/>
  <c r="K1155" i="4"/>
  <c r="P1155" i="4"/>
  <c r="J1155" i="4"/>
  <c r="Q1156" i="4"/>
  <c r="I1156" i="4"/>
  <c r="W1157" i="4"/>
  <c r="O1157" i="4"/>
  <c r="G1157" i="4"/>
  <c r="V1157" i="4"/>
  <c r="U1157" i="4"/>
  <c r="M1157" i="4"/>
  <c r="J1157" i="4"/>
  <c r="K1157" i="4"/>
  <c r="O1163" i="4"/>
  <c r="P1165" i="4"/>
  <c r="W1173" i="4"/>
  <c r="O1173" i="4"/>
  <c r="G1173" i="4"/>
  <c r="V1173" i="4"/>
  <c r="U1173" i="4"/>
  <c r="M1173" i="4"/>
  <c r="K1173" i="4"/>
  <c r="J1173" i="4"/>
  <c r="L1173" i="4"/>
  <c r="H1182" i="4"/>
  <c r="S1182" i="4"/>
  <c r="R1182" i="4"/>
  <c r="T1213" i="4"/>
  <c r="I1225" i="4"/>
  <c r="S1225" i="4"/>
  <c r="H1225" i="4"/>
  <c r="R1225" i="4"/>
  <c r="Q1225" i="4"/>
  <c r="H1226" i="4"/>
  <c r="I1226" i="4"/>
  <c r="S1226" i="4"/>
  <c r="R1226" i="4"/>
  <c r="Q1226" i="4"/>
  <c r="Q1227" i="4"/>
  <c r="I1227" i="4"/>
  <c r="H1227" i="4"/>
  <c r="S1227" i="4"/>
  <c r="R1227" i="4"/>
  <c r="U1231" i="4"/>
  <c r="M1231" i="4"/>
  <c r="T1231" i="4"/>
  <c r="K1231" i="4"/>
  <c r="V1231" i="4"/>
  <c r="G1231" i="4"/>
  <c r="P1231" i="4"/>
  <c r="O1231" i="4"/>
  <c r="W1231" i="4"/>
  <c r="N1264" i="4"/>
  <c r="L1264" i="4"/>
  <c r="T1100" i="4"/>
  <c r="T1108" i="4"/>
  <c r="T1116" i="4"/>
  <c r="T1124" i="4"/>
  <c r="M1132" i="4"/>
  <c r="W1133" i="4"/>
  <c r="O1133" i="4"/>
  <c r="G1133" i="4"/>
  <c r="U1133" i="4"/>
  <c r="M1133" i="4"/>
  <c r="J1133" i="4"/>
  <c r="T1133" i="4"/>
  <c r="U1139" i="4"/>
  <c r="M1139" i="4"/>
  <c r="K1139" i="4"/>
  <c r="T1139" i="4"/>
  <c r="P1142" i="4"/>
  <c r="V1142" i="4"/>
  <c r="J1142" i="4"/>
  <c r="T1142" i="4"/>
  <c r="S1147" i="4"/>
  <c r="H1147" i="4"/>
  <c r="H1150" i="4"/>
  <c r="S1150" i="4"/>
  <c r="L1153" i="4"/>
  <c r="T1154" i="4"/>
  <c r="K1154" i="4"/>
  <c r="J1154" i="4"/>
  <c r="W1154" i="4"/>
  <c r="O1154" i="4"/>
  <c r="G1154" i="4"/>
  <c r="M1154" i="4"/>
  <c r="S1155" i="4"/>
  <c r="H1155" i="4"/>
  <c r="L1157" i="4"/>
  <c r="N1189" i="4"/>
  <c r="L1189" i="4"/>
  <c r="Q1191" i="4"/>
  <c r="I1191" i="4"/>
  <c r="H1191" i="4"/>
  <c r="W1197" i="4"/>
  <c r="O1197" i="4"/>
  <c r="G1197" i="4"/>
  <c r="V1197" i="4"/>
  <c r="U1197" i="4"/>
  <c r="M1197" i="4"/>
  <c r="T1197" i="4"/>
  <c r="K1197" i="4"/>
  <c r="J1197" i="4"/>
  <c r="P1197" i="4"/>
  <c r="R1208" i="4"/>
  <c r="I1208" i="4"/>
  <c r="Q1208" i="4"/>
  <c r="H1208" i="4"/>
  <c r="S1208" i="4"/>
  <c r="P1210" i="4"/>
  <c r="W1210" i="4"/>
  <c r="O1210" i="4"/>
  <c r="G1210" i="4"/>
  <c r="T1210" i="4"/>
  <c r="J1210" i="4"/>
  <c r="M1210" i="4"/>
  <c r="U1210" i="4"/>
  <c r="S1231" i="4"/>
  <c r="H1231" i="4"/>
  <c r="R1231" i="4"/>
  <c r="Q1231" i="4"/>
  <c r="V1232" i="4"/>
  <c r="U1232" i="4"/>
  <c r="M1232" i="4"/>
  <c r="T1232" i="4"/>
  <c r="G1232" i="4"/>
  <c r="P1232" i="4"/>
  <c r="O1232" i="4"/>
  <c r="K1232" i="4"/>
  <c r="J1232" i="4"/>
  <c r="N1289" i="4"/>
  <c r="L1289" i="4"/>
  <c r="S1305" i="4"/>
  <c r="Q1305" i="4"/>
  <c r="I1305" i="4"/>
  <c r="H1305" i="4"/>
  <c r="P1306" i="4"/>
  <c r="W1306" i="4"/>
  <c r="O1306" i="4"/>
  <c r="G1306" i="4"/>
  <c r="V1306" i="4"/>
  <c r="U1306" i="4"/>
  <c r="M1306" i="4"/>
  <c r="T1306" i="4"/>
  <c r="J1306" i="4"/>
  <c r="U1370" i="4"/>
  <c r="M1370" i="4"/>
  <c r="K1370" i="4"/>
  <c r="T1370" i="4"/>
  <c r="P1370" i="4"/>
  <c r="O1370" i="4"/>
  <c r="W1370" i="4"/>
  <c r="G1370" i="4"/>
  <c r="N1196" i="4"/>
  <c r="L1196" i="4"/>
  <c r="L1207" i="4"/>
  <c r="N1207" i="4"/>
  <c r="H1210" i="4"/>
  <c r="S1210" i="4"/>
  <c r="I1210" i="4"/>
  <c r="R1210" i="4"/>
  <c r="Q1210" i="4"/>
  <c r="V1210" i="4"/>
  <c r="U1215" i="4"/>
  <c r="M1215" i="4"/>
  <c r="T1215" i="4"/>
  <c r="G1215" i="4"/>
  <c r="P1215" i="4"/>
  <c r="O1215" i="4"/>
  <c r="W1215" i="4"/>
  <c r="K1215" i="4"/>
  <c r="P1218" i="4"/>
  <c r="W1218" i="4"/>
  <c r="O1218" i="4"/>
  <c r="G1218" i="4"/>
  <c r="T1218" i="4"/>
  <c r="J1218" i="4"/>
  <c r="M1218" i="4"/>
  <c r="U1218" i="4"/>
  <c r="N1233" i="4"/>
  <c r="L1233" i="4"/>
  <c r="S1247" i="4"/>
  <c r="Q1247" i="4"/>
  <c r="I1247" i="4"/>
  <c r="H1247" i="4"/>
  <c r="R1247" i="4"/>
  <c r="L1255" i="4"/>
  <c r="N1255" i="4"/>
  <c r="V1264" i="4"/>
  <c r="U1264" i="4"/>
  <c r="M1264" i="4"/>
  <c r="T1264" i="4"/>
  <c r="K1264" i="4"/>
  <c r="J1264" i="4"/>
  <c r="G1264" i="4"/>
  <c r="W1264" i="4"/>
  <c r="P1264" i="4"/>
  <c r="O1264" i="4"/>
  <c r="N1298" i="4"/>
  <c r="L1298" i="4"/>
  <c r="V1328" i="4"/>
  <c r="U1328" i="4"/>
  <c r="M1328" i="4"/>
  <c r="T1328" i="4"/>
  <c r="K1328" i="4"/>
  <c r="J1328" i="4"/>
  <c r="P1328" i="4"/>
  <c r="G1328" i="4"/>
  <c r="W1328" i="4"/>
  <c r="O1328" i="4"/>
  <c r="R1016" i="4"/>
  <c r="I1023" i="4"/>
  <c r="Q1023" i="4"/>
  <c r="R1024" i="4"/>
  <c r="I1031" i="4"/>
  <c r="Q1031" i="4"/>
  <c r="R1032" i="4"/>
  <c r="I1039" i="4"/>
  <c r="Q1039" i="4"/>
  <c r="R1040" i="4"/>
  <c r="Q1047" i="4"/>
  <c r="R1048" i="4"/>
  <c r="I1055" i="4"/>
  <c r="Q1055" i="4"/>
  <c r="R1056" i="4"/>
  <c r="Q1063" i="4"/>
  <c r="R1064" i="4"/>
  <c r="T1066" i="4"/>
  <c r="Q1071" i="4"/>
  <c r="R1072" i="4"/>
  <c r="T1074" i="4"/>
  <c r="I1079" i="4"/>
  <c r="Q1079" i="4"/>
  <c r="R1080" i="4"/>
  <c r="K1081" i="4"/>
  <c r="T1082" i="4"/>
  <c r="I1087" i="4"/>
  <c r="Q1087" i="4"/>
  <c r="R1088" i="4"/>
  <c r="K1089" i="4"/>
  <c r="T1090" i="4"/>
  <c r="I1095" i="4"/>
  <c r="Q1095" i="4"/>
  <c r="R1096" i="4"/>
  <c r="K1097" i="4"/>
  <c r="T1098" i="4"/>
  <c r="V1100" i="4"/>
  <c r="I1103" i="4"/>
  <c r="Q1103" i="4"/>
  <c r="R1104" i="4"/>
  <c r="K1105" i="4"/>
  <c r="T1106" i="4"/>
  <c r="V1108" i="4"/>
  <c r="I1111" i="4"/>
  <c r="Q1111" i="4"/>
  <c r="R1112" i="4"/>
  <c r="K1113" i="4"/>
  <c r="T1114" i="4"/>
  <c r="V1116" i="4"/>
  <c r="I1119" i="4"/>
  <c r="Q1119" i="4"/>
  <c r="R1120" i="4"/>
  <c r="K1121" i="4"/>
  <c r="T1122" i="4"/>
  <c r="V1124" i="4"/>
  <c r="I1127" i="4"/>
  <c r="Q1127" i="4"/>
  <c r="R1128" i="4"/>
  <c r="K1129" i="4"/>
  <c r="T1130" i="4"/>
  <c r="P1132" i="4"/>
  <c r="P1134" i="4"/>
  <c r="V1134" i="4"/>
  <c r="J1134" i="4"/>
  <c r="T1134" i="4"/>
  <c r="P1138" i="4"/>
  <c r="W1139" i="4"/>
  <c r="W1142" i="4"/>
  <c r="P1146" i="4"/>
  <c r="O1147" i="4"/>
  <c r="L1149" i="4"/>
  <c r="R1150" i="4"/>
  <c r="P1154" i="4"/>
  <c r="Q1155" i="4"/>
  <c r="U1158" i="4"/>
  <c r="V1163" i="4"/>
  <c r="S1164" i="4"/>
  <c r="T1165" i="4"/>
  <c r="Q1167" i="4"/>
  <c r="I1167" i="4"/>
  <c r="H1167" i="4"/>
  <c r="U1171" i="4"/>
  <c r="M1171" i="4"/>
  <c r="T1171" i="4"/>
  <c r="K1171" i="4"/>
  <c r="P1171" i="4"/>
  <c r="I1174" i="4"/>
  <c r="W1189" i="4"/>
  <c r="O1189" i="4"/>
  <c r="G1189" i="4"/>
  <c r="V1189" i="4"/>
  <c r="U1189" i="4"/>
  <c r="M1189" i="4"/>
  <c r="T1189" i="4"/>
  <c r="K1189" i="4"/>
  <c r="J1189" i="4"/>
  <c r="P1189" i="4"/>
  <c r="S1191" i="4"/>
  <c r="J1205" i="4"/>
  <c r="P1205" i="4"/>
  <c r="G1205" i="4"/>
  <c r="O1205" i="4"/>
  <c r="W1205" i="4"/>
  <c r="V1205" i="4"/>
  <c r="M1205" i="4"/>
  <c r="U1205" i="4"/>
  <c r="K1205" i="4"/>
  <c r="R1215" i="4"/>
  <c r="H1215" i="4"/>
  <c r="Q1215" i="4"/>
  <c r="V1215" i="4"/>
  <c r="H1218" i="4"/>
  <c r="S1218" i="4"/>
  <c r="I1218" i="4"/>
  <c r="R1218" i="4"/>
  <c r="Q1218" i="4"/>
  <c r="V1218" i="4"/>
  <c r="W1232" i="4"/>
  <c r="M1066" i="4"/>
  <c r="M1074" i="4"/>
  <c r="M1082" i="4"/>
  <c r="M1090" i="4"/>
  <c r="M1098" i="4"/>
  <c r="G1100" i="4"/>
  <c r="O1100" i="4"/>
  <c r="M1106" i="4"/>
  <c r="G1108" i="4"/>
  <c r="O1108" i="4"/>
  <c r="M1114" i="4"/>
  <c r="G1116" i="4"/>
  <c r="O1116" i="4"/>
  <c r="M1122" i="4"/>
  <c r="G1124" i="4"/>
  <c r="O1124" i="4"/>
  <c r="M1130" i="4"/>
  <c r="G1132" i="4"/>
  <c r="K1134" i="4"/>
  <c r="U1134" i="4"/>
  <c r="O1136" i="4"/>
  <c r="S1137" i="4"/>
  <c r="Q1137" i="4"/>
  <c r="I1137" i="4"/>
  <c r="G1138" i="4"/>
  <c r="V1140" i="4"/>
  <c r="T1140" i="4"/>
  <c r="M1142" i="4"/>
  <c r="Q1147" i="4"/>
  <c r="T1150" i="4"/>
  <c r="R1155" i="4"/>
  <c r="R1156" i="4"/>
  <c r="G1163" i="4"/>
  <c r="W1163" i="4"/>
  <c r="H1164" i="4"/>
  <c r="P1166" i="4"/>
  <c r="W1166" i="4"/>
  <c r="O1166" i="4"/>
  <c r="G1166" i="4"/>
  <c r="V1166" i="4"/>
  <c r="K1166" i="4"/>
  <c r="T1170" i="4"/>
  <c r="K1170" i="4"/>
  <c r="J1170" i="4"/>
  <c r="W1170" i="4"/>
  <c r="O1170" i="4"/>
  <c r="G1170" i="4"/>
  <c r="M1170" i="4"/>
  <c r="S1171" i="4"/>
  <c r="Q1171" i="4"/>
  <c r="I1171" i="4"/>
  <c r="H1171" i="4"/>
  <c r="O1171" i="4"/>
  <c r="T1173" i="4"/>
  <c r="W1181" i="4"/>
  <c r="O1181" i="4"/>
  <c r="G1181" i="4"/>
  <c r="V1181" i="4"/>
  <c r="U1181" i="4"/>
  <c r="M1181" i="4"/>
  <c r="T1181" i="4"/>
  <c r="K1181" i="4"/>
  <c r="J1181" i="4"/>
  <c r="P1181" i="4"/>
  <c r="P1198" i="4"/>
  <c r="W1198" i="4"/>
  <c r="O1198" i="4"/>
  <c r="G1198" i="4"/>
  <c r="V1198" i="4"/>
  <c r="U1198" i="4"/>
  <c r="M1198" i="4"/>
  <c r="T1198" i="4"/>
  <c r="K1198" i="4"/>
  <c r="N1213" i="4"/>
  <c r="L1213" i="4"/>
  <c r="Q1267" i="4"/>
  <c r="I1267" i="4"/>
  <c r="H1267" i="4"/>
  <c r="S1267" i="4"/>
  <c r="R1267" i="4"/>
  <c r="Q1323" i="4"/>
  <c r="I1323" i="4"/>
  <c r="H1323" i="4"/>
  <c r="S1323" i="4"/>
  <c r="R1323" i="4"/>
  <c r="L1327" i="4"/>
  <c r="N1327" i="4"/>
  <c r="Q1347" i="4"/>
  <c r="I1347" i="4"/>
  <c r="H1347" i="4"/>
  <c r="S1347" i="4"/>
  <c r="M1152" i="4"/>
  <c r="U1152" i="4"/>
  <c r="M1160" i="4"/>
  <c r="U1160" i="4"/>
  <c r="M1168" i="4"/>
  <c r="U1168" i="4"/>
  <c r="I1172" i="4"/>
  <c r="Q1172" i="4"/>
  <c r="M1176" i="4"/>
  <c r="U1176" i="4"/>
  <c r="H1179" i="4"/>
  <c r="P1179" i="4"/>
  <c r="I1180" i="4"/>
  <c r="Q1180" i="4"/>
  <c r="M1184" i="4"/>
  <c r="U1184" i="4"/>
  <c r="G1186" i="4"/>
  <c r="O1186" i="4"/>
  <c r="W1186" i="4"/>
  <c r="H1187" i="4"/>
  <c r="P1187" i="4"/>
  <c r="I1188" i="4"/>
  <c r="Q1188" i="4"/>
  <c r="M1192" i="4"/>
  <c r="U1192" i="4"/>
  <c r="G1194" i="4"/>
  <c r="O1194" i="4"/>
  <c r="W1194" i="4"/>
  <c r="H1195" i="4"/>
  <c r="P1195" i="4"/>
  <c r="I1196" i="4"/>
  <c r="Q1196" i="4"/>
  <c r="M1200" i="4"/>
  <c r="U1200" i="4"/>
  <c r="W1202" i="4"/>
  <c r="O1202" i="4"/>
  <c r="G1202" i="4"/>
  <c r="J1202" i="4"/>
  <c r="W1203" i="4"/>
  <c r="H1204" i="4"/>
  <c r="R1204" i="4"/>
  <c r="I1207" i="4"/>
  <c r="R1207" i="4"/>
  <c r="G1209" i="4"/>
  <c r="H1216" i="4"/>
  <c r="R1216" i="4"/>
  <c r="P1223" i="4"/>
  <c r="W1233" i="4"/>
  <c r="O1233" i="4"/>
  <c r="G1233" i="4"/>
  <c r="V1233" i="4"/>
  <c r="U1233" i="4"/>
  <c r="M1233" i="4"/>
  <c r="J1233" i="4"/>
  <c r="P1234" i="4"/>
  <c r="W1234" i="4"/>
  <c r="O1234" i="4"/>
  <c r="G1234" i="4"/>
  <c r="V1234" i="4"/>
  <c r="K1234" i="4"/>
  <c r="T1238" i="4"/>
  <c r="K1238" i="4"/>
  <c r="J1238" i="4"/>
  <c r="W1238" i="4"/>
  <c r="H1239" i="4"/>
  <c r="Q1243" i="4"/>
  <c r="I1243" i="4"/>
  <c r="H1243" i="4"/>
  <c r="N1258" i="4"/>
  <c r="L1258" i="4"/>
  <c r="Q1258" i="4"/>
  <c r="N1272" i="4"/>
  <c r="L1272" i="4"/>
  <c r="Q1275" i="4"/>
  <c r="I1275" i="4"/>
  <c r="H1275" i="4"/>
  <c r="S1281" i="4"/>
  <c r="Q1281" i="4"/>
  <c r="I1281" i="4"/>
  <c r="R1281" i="4"/>
  <c r="Q1299" i="4"/>
  <c r="I1299" i="4"/>
  <c r="H1299" i="4"/>
  <c r="S1299" i="4"/>
  <c r="V1304" i="4"/>
  <c r="U1304" i="4"/>
  <c r="M1304" i="4"/>
  <c r="T1304" i="4"/>
  <c r="K1304" i="4"/>
  <c r="J1304" i="4"/>
  <c r="P1304" i="4"/>
  <c r="N1306" i="4"/>
  <c r="L1306" i="4"/>
  <c r="S1313" i="4"/>
  <c r="Q1313" i="4"/>
  <c r="I1313" i="4"/>
  <c r="R1313" i="4"/>
  <c r="Q1331" i="4"/>
  <c r="I1331" i="4"/>
  <c r="H1331" i="4"/>
  <c r="S1331" i="4"/>
  <c r="V1336" i="4"/>
  <c r="U1336" i="4"/>
  <c r="M1336" i="4"/>
  <c r="T1336" i="4"/>
  <c r="K1336" i="4"/>
  <c r="J1336" i="4"/>
  <c r="P1336" i="4"/>
  <c r="N1338" i="4"/>
  <c r="L1338" i="4"/>
  <c r="S1345" i="4"/>
  <c r="Q1345" i="4"/>
  <c r="I1345" i="4"/>
  <c r="R1345" i="4"/>
  <c r="S1362" i="4"/>
  <c r="H1362" i="4"/>
  <c r="R1362" i="4"/>
  <c r="Q1362" i="4"/>
  <c r="N1374" i="4"/>
  <c r="L1374" i="4"/>
  <c r="N1379" i="4"/>
  <c r="L1379" i="4"/>
  <c r="I1179" i="4"/>
  <c r="Q1179" i="4"/>
  <c r="P1186" i="4"/>
  <c r="I1187" i="4"/>
  <c r="Q1187" i="4"/>
  <c r="P1194" i="4"/>
  <c r="I1195" i="4"/>
  <c r="Q1195" i="4"/>
  <c r="Q1211" i="4"/>
  <c r="I1211" i="4"/>
  <c r="H1211" i="4"/>
  <c r="V1216" i="4"/>
  <c r="U1216" i="4"/>
  <c r="M1216" i="4"/>
  <c r="I1216" i="4"/>
  <c r="Q1219" i="4"/>
  <c r="I1219" i="4"/>
  <c r="H1219" i="4"/>
  <c r="L1234" i="4"/>
  <c r="Q1235" i="4"/>
  <c r="I1235" i="4"/>
  <c r="H1235" i="4"/>
  <c r="U1239" i="4"/>
  <c r="M1239" i="4"/>
  <c r="T1239" i="4"/>
  <c r="K1239" i="4"/>
  <c r="I1239" i="4"/>
  <c r="W1239" i="4"/>
  <c r="N1240" i="4"/>
  <c r="L1240" i="4"/>
  <c r="P1242" i="4"/>
  <c r="W1242" i="4"/>
  <c r="O1242" i="4"/>
  <c r="G1242" i="4"/>
  <c r="V1242" i="4"/>
  <c r="T1242" i="4"/>
  <c r="K1242" i="4"/>
  <c r="Q1251" i="4"/>
  <c r="I1251" i="4"/>
  <c r="H1251" i="4"/>
  <c r="P1266" i="4"/>
  <c r="W1266" i="4"/>
  <c r="O1266" i="4"/>
  <c r="G1266" i="4"/>
  <c r="V1266" i="4"/>
  <c r="U1266" i="4"/>
  <c r="M1266" i="4"/>
  <c r="T1266" i="4"/>
  <c r="K1266" i="4"/>
  <c r="V1272" i="4"/>
  <c r="U1272" i="4"/>
  <c r="M1272" i="4"/>
  <c r="T1272" i="4"/>
  <c r="K1272" i="4"/>
  <c r="J1272" i="4"/>
  <c r="P1282" i="4"/>
  <c r="W1282" i="4"/>
  <c r="O1282" i="4"/>
  <c r="G1282" i="4"/>
  <c r="V1282" i="4"/>
  <c r="U1282" i="4"/>
  <c r="M1282" i="4"/>
  <c r="T1282" i="4"/>
  <c r="J1282" i="4"/>
  <c r="N1297" i="4"/>
  <c r="L1297" i="4"/>
  <c r="P1314" i="4"/>
  <c r="W1314" i="4"/>
  <c r="O1314" i="4"/>
  <c r="G1314" i="4"/>
  <c r="V1314" i="4"/>
  <c r="U1314" i="4"/>
  <c r="M1314" i="4"/>
  <c r="T1314" i="4"/>
  <c r="J1314" i="4"/>
  <c r="N1329" i="4"/>
  <c r="L1329" i="4"/>
  <c r="P1346" i="4"/>
  <c r="W1346" i="4"/>
  <c r="O1346" i="4"/>
  <c r="G1346" i="4"/>
  <c r="V1346" i="4"/>
  <c r="U1346" i="4"/>
  <c r="M1346" i="4"/>
  <c r="T1346" i="4"/>
  <c r="J1346" i="4"/>
  <c r="K1346" i="4"/>
  <c r="K1354" i="4"/>
  <c r="P1354" i="4"/>
  <c r="G1354" i="4"/>
  <c r="O1354" i="4"/>
  <c r="W1354" i="4"/>
  <c r="V1354" i="4"/>
  <c r="M1354" i="4"/>
  <c r="T1354" i="4"/>
  <c r="J1354" i="4"/>
  <c r="T1363" i="4"/>
  <c r="J1363" i="4"/>
  <c r="O1363" i="4"/>
  <c r="P1363" i="4"/>
  <c r="M1363" i="4"/>
  <c r="W1363" i="4"/>
  <c r="K1363" i="4"/>
  <c r="U1363" i="4"/>
  <c r="L1369" i="4"/>
  <c r="N1369" i="4"/>
  <c r="N1371" i="4"/>
  <c r="L1371" i="4"/>
  <c r="P1373" i="4"/>
  <c r="V1373" i="4"/>
  <c r="M1373" i="4"/>
  <c r="T1373" i="4"/>
  <c r="O1373" i="4"/>
  <c r="W1373" i="4"/>
  <c r="J1373" i="4"/>
  <c r="U1373" i="4"/>
  <c r="V1403" i="4"/>
  <c r="U1403" i="4"/>
  <c r="M1403" i="4"/>
  <c r="T1403" i="4"/>
  <c r="G1403" i="4"/>
  <c r="P1403" i="4"/>
  <c r="O1403" i="4"/>
  <c r="K1403" i="4"/>
  <c r="W1403" i="4"/>
  <c r="L1410" i="4"/>
  <c r="N1410" i="4"/>
  <c r="R1179" i="4"/>
  <c r="R1187" i="4"/>
  <c r="R1195" i="4"/>
  <c r="Q1204" i="4"/>
  <c r="I1204" i="4"/>
  <c r="W1209" i="4"/>
  <c r="V1209" i="4"/>
  <c r="V1240" i="4"/>
  <c r="U1240" i="4"/>
  <c r="M1240" i="4"/>
  <c r="T1240" i="4"/>
  <c r="W1240" i="4"/>
  <c r="N1242" i="4"/>
  <c r="L1242" i="4"/>
  <c r="P1250" i="4"/>
  <c r="W1250" i="4"/>
  <c r="O1250" i="4"/>
  <c r="G1250" i="4"/>
  <c r="V1250" i="4"/>
  <c r="T1250" i="4"/>
  <c r="K1250" i="4"/>
  <c r="N1266" i="4"/>
  <c r="L1266" i="4"/>
  <c r="Q1266" i="4"/>
  <c r="O1272" i="4"/>
  <c r="V1280" i="4"/>
  <c r="U1280" i="4"/>
  <c r="M1280" i="4"/>
  <c r="T1280" i="4"/>
  <c r="K1280" i="4"/>
  <c r="J1280" i="4"/>
  <c r="P1280" i="4"/>
  <c r="N1282" i="4"/>
  <c r="L1282" i="4"/>
  <c r="S1289" i="4"/>
  <c r="Q1289" i="4"/>
  <c r="I1289" i="4"/>
  <c r="R1289" i="4"/>
  <c r="Q1307" i="4"/>
  <c r="I1307" i="4"/>
  <c r="H1307" i="4"/>
  <c r="S1307" i="4"/>
  <c r="V1312" i="4"/>
  <c r="U1312" i="4"/>
  <c r="M1312" i="4"/>
  <c r="T1312" i="4"/>
  <c r="K1312" i="4"/>
  <c r="J1312" i="4"/>
  <c r="P1312" i="4"/>
  <c r="N1314" i="4"/>
  <c r="L1314" i="4"/>
  <c r="S1321" i="4"/>
  <c r="Q1321" i="4"/>
  <c r="I1321" i="4"/>
  <c r="R1321" i="4"/>
  <c r="Q1339" i="4"/>
  <c r="I1339" i="4"/>
  <c r="H1339" i="4"/>
  <c r="S1339" i="4"/>
  <c r="V1344" i="4"/>
  <c r="U1344" i="4"/>
  <c r="M1344" i="4"/>
  <c r="T1344" i="4"/>
  <c r="K1344" i="4"/>
  <c r="J1344" i="4"/>
  <c r="P1344" i="4"/>
  <c r="N1353" i="4"/>
  <c r="L1353" i="4"/>
  <c r="R1380" i="4"/>
  <c r="H1380" i="4"/>
  <c r="I1380" i="4"/>
  <c r="S1380" i="4"/>
  <c r="Q1380" i="4"/>
  <c r="T1393" i="4"/>
  <c r="J1393" i="4"/>
  <c r="G1393" i="4"/>
  <c r="P1393" i="4"/>
  <c r="W1393" i="4"/>
  <c r="M1393" i="4"/>
  <c r="V1393" i="4"/>
  <c r="U1393" i="4"/>
  <c r="O1393" i="4"/>
  <c r="K1393" i="4"/>
  <c r="G1135" i="4"/>
  <c r="O1135" i="4"/>
  <c r="H1136" i="4"/>
  <c r="G1143" i="4"/>
  <c r="O1143" i="4"/>
  <c r="H1144" i="4"/>
  <c r="T1148" i="4"/>
  <c r="G1151" i="4"/>
  <c r="O1151" i="4"/>
  <c r="H1152" i="4"/>
  <c r="P1152" i="4"/>
  <c r="I1153" i="4"/>
  <c r="Q1153" i="4"/>
  <c r="T1156" i="4"/>
  <c r="G1159" i="4"/>
  <c r="O1159" i="4"/>
  <c r="P1160" i="4"/>
  <c r="I1161" i="4"/>
  <c r="Q1161" i="4"/>
  <c r="T1164" i="4"/>
  <c r="G1167" i="4"/>
  <c r="O1167" i="4"/>
  <c r="H1168" i="4"/>
  <c r="P1168" i="4"/>
  <c r="I1169" i="4"/>
  <c r="Q1169" i="4"/>
  <c r="T1172" i="4"/>
  <c r="G1175" i="4"/>
  <c r="O1175" i="4"/>
  <c r="H1176" i="4"/>
  <c r="P1176" i="4"/>
  <c r="I1177" i="4"/>
  <c r="Q1177" i="4"/>
  <c r="K1179" i="4"/>
  <c r="T1180" i="4"/>
  <c r="G1183" i="4"/>
  <c r="O1183" i="4"/>
  <c r="H1184" i="4"/>
  <c r="P1184" i="4"/>
  <c r="I1185" i="4"/>
  <c r="Q1185" i="4"/>
  <c r="J1186" i="4"/>
  <c r="K1187" i="4"/>
  <c r="T1188" i="4"/>
  <c r="G1191" i="4"/>
  <c r="O1191" i="4"/>
  <c r="H1192" i="4"/>
  <c r="P1192" i="4"/>
  <c r="I1193" i="4"/>
  <c r="Q1193" i="4"/>
  <c r="J1194" i="4"/>
  <c r="K1195" i="4"/>
  <c r="T1196" i="4"/>
  <c r="G1199" i="4"/>
  <c r="O1199" i="4"/>
  <c r="H1200" i="4"/>
  <c r="P1200" i="4"/>
  <c r="I1201" i="4"/>
  <c r="R1201" i="4"/>
  <c r="M1202" i="4"/>
  <c r="V1202" i="4"/>
  <c r="I1203" i="4"/>
  <c r="R1203" i="4"/>
  <c r="I1206" i="4"/>
  <c r="R1206" i="4"/>
  <c r="M1207" i="4"/>
  <c r="V1207" i="4"/>
  <c r="G1208" i="4"/>
  <c r="J1209" i="4"/>
  <c r="T1214" i="4"/>
  <c r="K1214" i="4"/>
  <c r="I1214" i="4"/>
  <c r="U1214" i="4"/>
  <c r="K1216" i="4"/>
  <c r="W1216" i="4"/>
  <c r="I1217" i="4"/>
  <c r="T1222" i="4"/>
  <c r="K1222" i="4"/>
  <c r="J1222" i="4"/>
  <c r="W1222" i="4"/>
  <c r="H1223" i="4"/>
  <c r="G1230" i="4"/>
  <c r="P1233" i="4"/>
  <c r="Q1234" i="4"/>
  <c r="R1235" i="4"/>
  <c r="O1238" i="4"/>
  <c r="J1240" i="4"/>
  <c r="W1241" i="4"/>
  <c r="O1241" i="4"/>
  <c r="G1241" i="4"/>
  <c r="V1241" i="4"/>
  <c r="U1241" i="4"/>
  <c r="M1241" i="4"/>
  <c r="K1241" i="4"/>
  <c r="J1241" i="4"/>
  <c r="Q1242" i="4"/>
  <c r="S1243" i="4"/>
  <c r="L1245" i="4"/>
  <c r="G1248" i="4"/>
  <c r="I1249" i="4"/>
  <c r="N1250" i="4"/>
  <c r="L1250" i="4"/>
  <c r="M1250" i="4"/>
  <c r="R1251" i="4"/>
  <c r="W1257" i="4"/>
  <c r="O1257" i="4"/>
  <c r="G1257" i="4"/>
  <c r="V1257" i="4"/>
  <c r="U1257" i="4"/>
  <c r="M1257" i="4"/>
  <c r="T1257" i="4"/>
  <c r="K1257" i="4"/>
  <c r="J1257" i="4"/>
  <c r="R1266" i="4"/>
  <c r="P1272" i="4"/>
  <c r="P1274" i="4"/>
  <c r="W1274" i="4"/>
  <c r="O1274" i="4"/>
  <c r="G1274" i="4"/>
  <c r="V1274" i="4"/>
  <c r="U1274" i="4"/>
  <c r="M1274" i="4"/>
  <c r="T1274" i="4"/>
  <c r="K1274" i="4"/>
  <c r="O1280" i="4"/>
  <c r="P1290" i="4"/>
  <c r="W1290" i="4"/>
  <c r="O1290" i="4"/>
  <c r="G1290" i="4"/>
  <c r="V1290" i="4"/>
  <c r="U1290" i="4"/>
  <c r="M1290" i="4"/>
  <c r="T1290" i="4"/>
  <c r="J1290" i="4"/>
  <c r="N1303" i="4"/>
  <c r="R1307" i="4"/>
  <c r="O1312" i="4"/>
  <c r="P1322" i="4"/>
  <c r="W1322" i="4"/>
  <c r="O1322" i="4"/>
  <c r="G1322" i="4"/>
  <c r="V1322" i="4"/>
  <c r="U1322" i="4"/>
  <c r="M1322" i="4"/>
  <c r="T1322" i="4"/>
  <c r="J1322" i="4"/>
  <c r="N1335" i="4"/>
  <c r="R1339" i="4"/>
  <c r="O1344" i="4"/>
  <c r="N1360" i="4"/>
  <c r="L1360" i="4"/>
  <c r="S1368" i="4"/>
  <c r="Q1368" i="4"/>
  <c r="I1368" i="4"/>
  <c r="H1368" i="4"/>
  <c r="R1368" i="4"/>
  <c r="T1369" i="4"/>
  <c r="J1369" i="4"/>
  <c r="W1369" i="4"/>
  <c r="M1369" i="4"/>
  <c r="G1369" i="4"/>
  <c r="P1369" i="4"/>
  <c r="O1369" i="4"/>
  <c r="V1369" i="4"/>
  <c r="K1369" i="4"/>
  <c r="R1153" i="4"/>
  <c r="R1161" i="4"/>
  <c r="R1169" i="4"/>
  <c r="R1177" i="4"/>
  <c r="T1179" i="4"/>
  <c r="R1185" i="4"/>
  <c r="K1186" i="4"/>
  <c r="T1187" i="4"/>
  <c r="R1193" i="4"/>
  <c r="K1194" i="4"/>
  <c r="T1195" i="4"/>
  <c r="M1196" i="4"/>
  <c r="U1196" i="4"/>
  <c r="J1203" i="4"/>
  <c r="W1207" i="4"/>
  <c r="K1209" i="4"/>
  <c r="T1209" i="4"/>
  <c r="W1217" i="4"/>
  <c r="O1217" i="4"/>
  <c r="G1217" i="4"/>
  <c r="V1217" i="4"/>
  <c r="J1217" i="4"/>
  <c r="T1217" i="4"/>
  <c r="U1223" i="4"/>
  <c r="M1223" i="4"/>
  <c r="T1223" i="4"/>
  <c r="K1223" i="4"/>
  <c r="W1223" i="4"/>
  <c r="Q1233" i="4"/>
  <c r="R1234" i="4"/>
  <c r="S1235" i="4"/>
  <c r="O1239" i="4"/>
  <c r="K1240" i="4"/>
  <c r="R1242" i="4"/>
  <c r="N1248" i="4"/>
  <c r="L1248" i="4"/>
  <c r="W1249" i="4"/>
  <c r="O1249" i="4"/>
  <c r="G1249" i="4"/>
  <c r="V1249" i="4"/>
  <c r="U1249" i="4"/>
  <c r="M1249" i="4"/>
  <c r="K1249" i="4"/>
  <c r="J1249" i="4"/>
  <c r="S1251" i="4"/>
  <c r="N1256" i="4"/>
  <c r="L1256" i="4"/>
  <c r="Q1259" i="4"/>
  <c r="I1259" i="4"/>
  <c r="H1259" i="4"/>
  <c r="S1266" i="4"/>
  <c r="N1271" i="4"/>
  <c r="N1274" i="4"/>
  <c r="L1274" i="4"/>
  <c r="Q1274" i="4"/>
  <c r="Q1283" i="4"/>
  <c r="I1283" i="4"/>
  <c r="H1283" i="4"/>
  <c r="S1283" i="4"/>
  <c r="V1288" i="4"/>
  <c r="U1288" i="4"/>
  <c r="M1288" i="4"/>
  <c r="T1288" i="4"/>
  <c r="K1288" i="4"/>
  <c r="J1288" i="4"/>
  <c r="P1288" i="4"/>
  <c r="N1290" i="4"/>
  <c r="L1290" i="4"/>
  <c r="S1297" i="4"/>
  <c r="Q1297" i="4"/>
  <c r="I1297" i="4"/>
  <c r="R1297" i="4"/>
  <c r="Q1315" i="4"/>
  <c r="I1315" i="4"/>
  <c r="H1315" i="4"/>
  <c r="S1315" i="4"/>
  <c r="V1320" i="4"/>
  <c r="U1320" i="4"/>
  <c r="M1320" i="4"/>
  <c r="T1320" i="4"/>
  <c r="K1320" i="4"/>
  <c r="J1320" i="4"/>
  <c r="P1320" i="4"/>
  <c r="N1322" i="4"/>
  <c r="L1322" i="4"/>
  <c r="S1329" i="4"/>
  <c r="Q1329" i="4"/>
  <c r="I1329" i="4"/>
  <c r="R1329" i="4"/>
  <c r="W1336" i="4"/>
  <c r="W1358" i="4"/>
  <c r="O1358" i="4"/>
  <c r="G1358" i="4"/>
  <c r="T1358" i="4"/>
  <c r="K1358" i="4"/>
  <c r="P1358" i="4"/>
  <c r="U1358" i="4"/>
  <c r="J1358" i="4"/>
  <c r="V1363" i="4"/>
  <c r="M1179" i="4"/>
  <c r="M1187" i="4"/>
  <c r="M1195" i="4"/>
  <c r="P1202" i="4"/>
  <c r="K1203" i="4"/>
  <c r="T1203" i="4"/>
  <c r="O1207" i="4"/>
  <c r="U1208" i="4"/>
  <c r="M1208" i="4"/>
  <c r="L1209" i="4"/>
  <c r="U1209" i="4"/>
  <c r="R1211" i="4"/>
  <c r="O1216" i="4"/>
  <c r="K1217" i="4"/>
  <c r="U1217" i="4"/>
  <c r="R1219" i="4"/>
  <c r="N1222" i="4"/>
  <c r="J1223" i="4"/>
  <c r="V1224" i="4"/>
  <c r="U1224" i="4"/>
  <c r="M1224" i="4"/>
  <c r="T1224" i="4"/>
  <c r="W1224" i="4"/>
  <c r="T1230" i="4"/>
  <c r="K1230" i="4"/>
  <c r="J1230" i="4"/>
  <c r="W1230" i="4"/>
  <c r="S1234" i="4"/>
  <c r="P1239" i="4"/>
  <c r="O1240" i="4"/>
  <c r="S1242" i="4"/>
  <c r="V1248" i="4"/>
  <c r="U1248" i="4"/>
  <c r="M1248" i="4"/>
  <c r="T1248" i="4"/>
  <c r="J1248" i="4"/>
  <c r="L1249" i="4"/>
  <c r="V1256" i="4"/>
  <c r="U1256" i="4"/>
  <c r="M1256" i="4"/>
  <c r="T1256" i="4"/>
  <c r="K1256" i="4"/>
  <c r="J1256" i="4"/>
  <c r="Q1257" i="4"/>
  <c r="I1258" i="4"/>
  <c r="R1259" i="4"/>
  <c r="W1265" i="4"/>
  <c r="O1265" i="4"/>
  <c r="G1265" i="4"/>
  <c r="V1265" i="4"/>
  <c r="U1265" i="4"/>
  <c r="M1265" i="4"/>
  <c r="T1265" i="4"/>
  <c r="K1265" i="4"/>
  <c r="J1265" i="4"/>
  <c r="H1273" i="4"/>
  <c r="R1274" i="4"/>
  <c r="N1279" i="4"/>
  <c r="H1281" i="4"/>
  <c r="R1283" i="4"/>
  <c r="O1288" i="4"/>
  <c r="P1298" i="4"/>
  <c r="W1298" i="4"/>
  <c r="O1298" i="4"/>
  <c r="G1298" i="4"/>
  <c r="V1298" i="4"/>
  <c r="U1298" i="4"/>
  <c r="M1298" i="4"/>
  <c r="T1298" i="4"/>
  <c r="J1298" i="4"/>
  <c r="N1311" i="4"/>
  <c r="H1313" i="4"/>
  <c r="R1315" i="4"/>
  <c r="O1320" i="4"/>
  <c r="P1330" i="4"/>
  <c r="W1330" i="4"/>
  <c r="O1330" i="4"/>
  <c r="G1330" i="4"/>
  <c r="V1330" i="4"/>
  <c r="U1330" i="4"/>
  <c r="M1330" i="4"/>
  <c r="T1330" i="4"/>
  <c r="J1330" i="4"/>
  <c r="N1343" i="4"/>
  <c r="H1345" i="4"/>
  <c r="H1351" i="4"/>
  <c r="Q1351" i="4"/>
  <c r="S1351" i="4"/>
  <c r="U1354" i="4"/>
  <c r="I1357" i="4"/>
  <c r="S1357" i="4"/>
  <c r="H1357" i="4"/>
  <c r="R1357" i="4"/>
  <c r="Q1357" i="4"/>
  <c r="I1362" i="4"/>
  <c r="W1372" i="4"/>
  <c r="O1372" i="4"/>
  <c r="G1372" i="4"/>
  <c r="U1372" i="4"/>
  <c r="M1372" i="4"/>
  <c r="V1372" i="4"/>
  <c r="K1372" i="4"/>
  <c r="P1372" i="4"/>
  <c r="T1372" i="4"/>
  <c r="J1372" i="4"/>
  <c r="R1282" i="4"/>
  <c r="R1290" i="4"/>
  <c r="R1298" i="4"/>
  <c r="R1306" i="4"/>
  <c r="R1314" i="4"/>
  <c r="R1322" i="4"/>
  <c r="R1330" i="4"/>
  <c r="R1338" i="4"/>
  <c r="K1347" i="4"/>
  <c r="N1350" i="4"/>
  <c r="J1351" i="4"/>
  <c r="G1353" i="4"/>
  <c r="P1353" i="4"/>
  <c r="M1357" i="4"/>
  <c r="P1359" i="4"/>
  <c r="O1359" i="4"/>
  <c r="T1359" i="4"/>
  <c r="K1359" i="4"/>
  <c r="J1359" i="4"/>
  <c r="V1359" i="4"/>
  <c r="K1362" i="4"/>
  <c r="P1362" i="4"/>
  <c r="G1362" i="4"/>
  <c r="U1362" i="4"/>
  <c r="J1362" i="4"/>
  <c r="W1362" i="4"/>
  <c r="T1375" i="4"/>
  <c r="S1378" i="4"/>
  <c r="I1378" i="4"/>
  <c r="V1379" i="4"/>
  <c r="T1379" i="4"/>
  <c r="P1379" i="4"/>
  <c r="U1379" i="4"/>
  <c r="J1379" i="4"/>
  <c r="W1380" i="4"/>
  <c r="O1380" i="4"/>
  <c r="G1380" i="4"/>
  <c r="U1380" i="4"/>
  <c r="M1380" i="4"/>
  <c r="K1380" i="4"/>
  <c r="L1381" i="4"/>
  <c r="J1383" i="4"/>
  <c r="P1383" i="4"/>
  <c r="W1383" i="4"/>
  <c r="M1383" i="4"/>
  <c r="U1383" i="4"/>
  <c r="H1387" i="4"/>
  <c r="S1388" i="4"/>
  <c r="I1388" i="4"/>
  <c r="Q1388" i="4"/>
  <c r="W1396" i="4"/>
  <c r="O1396" i="4"/>
  <c r="G1396" i="4"/>
  <c r="U1396" i="4"/>
  <c r="M1396" i="4"/>
  <c r="P1396" i="4"/>
  <c r="V1396" i="4"/>
  <c r="K1396" i="4"/>
  <c r="J1396" i="4"/>
  <c r="J1399" i="4"/>
  <c r="P1399" i="4"/>
  <c r="G1399" i="4"/>
  <c r="O1399" i="4"/>
  <c r="W1399" i="4"/>
  <c r="M1399" i="4"/>
  <c r="R1403" i="4"/>
  <c r="Q1403" i="4"/>
  <c r="S1403" i="4"/>
  <c r="L1404" i="4"/>
  <c r="L1418" i="4"/>
  <c r="N1418" i="4"/>
  <c r="W1420" i="4"/>
  <c r="O1420" i="4"/>
  <c r="G1420" i="4"/>
  <c r="V1420" i="4"/>
  <c r="U1420" i="4"/>
  <c r="M1420" i="4"/>
  <c r="K1420" i="4"/>
  <c r="T1420" i="4"/>
  <c r="P1420" i="4"/>
  <c r="N1435" i="4"/>
  <c r="L1435" i="4"/>
  <c r="P1437" i="4"/>
  <c r="W1437" i="4"/>
  <c r="O1437" i="4"/>
  <c r="G1437" i="4"/>
  <c r="V1437" i="4"/>
  <c r="U1437" i="4"/>
  <c r="M1437" i="4"/>
  <c r="T1437" i="4"/>
  <c r="K1437" i="4"/>
  <c r="Q1446" i="4"/>
  <c r="I1446" i="4"/>
  <c r="H1446" i="4"/>
  <c r="S1446" i="4"/>
  <c r="S1671" i="4"/>
  <c r="H1671" i="4"/>
  <c r="R1671" i="4"/>
  <c r="Q1671" i="4"/>
  <c r="I1671" i="4"/>
  <c r="P1254" i="4"/>
  <c r="I1255" i="4"/>
  <c r="Q1255" i="4"/>
  <c r="P1262" i="4"/>
  <c r="I1263" i="4"/>
  <c r="Q1263" i="4"/>
  <c r="P1270" i="4"/>
  <c r="I1271" i="4"/>
  <c r="Q1271" i="4"/>
  <c r="P1278" i="4"/>
  <c r="I1279" i="4"/>
  <c r="Q1279" i="4"/>
  <c r="K1281" i="4"/>
  <c r="P1286" i="4"/>
  <c r="I1287" i="4"/>
  <c r="Q1287" i="4"/>
  <c r="K1289" i="4"/>
  <c r="P1294" i="4"/>
  <c r="I1295" i="4"/>
  <c r="Q1295" i="4"/>
  <c r="K1297" i="4"/>
  <c r="P1302" i="4"/>
  <c r="I1303" i="4"/>
  <c r="Q1303" i="4"/>
  <c r="K1305" i="4"/>
  <c r="P1310" i="4"/>
  <c r="I1311" i="4"/>
  <c r="Q1311" i="4"/>
  <c r="K1313" i="4"/>
  <c r="P1318" i="4"/>
  <c r="I1319" i="4"/>
  <c r="Q1319" i="4"/>
  <c r="K1321" i="4"/>
  <c r="P1326" i="4"/>
  <c r="I1327" i="4"/>
  <c r="Q1327" i="4"/>
  <c r="K1329" i="4"/>
  <c r="P1334" i="4"/>
  <c r="I1335" i="4"/>
  <c r="Q1335" i="4"/>
  <c r="K1337" i="4"/>
  <c r="P1342" i="4"/>
  <c r="I1343" i="4"/>
  <c r="Q1343" i="4"/>
  <c r="K1345" i="4"/>
  <c r="S1370" i="4"/>
  <c r="R1370" i="4"/>
  <c r="H1370" i="4"/>
  <c r="S1371" i="4"/>
  <c r="I1371" i="4"/>
  <c r="H1373" i="4"/>
  <c r="S1373" i="4"/>
  <c r="I1373" i="4"/>
  <c r="Q1374" i="4"/>
  <c r="I1374" i="4"/>
  <c r="K1375" i="4"/>
  <c r="V1387" i="4"/>
  <c r="T1387" i="4"/>
  <c r="G1387" i="4"/>
  <c r="P1387" i="4"/>
  <c r="M1387" i="4"/>
  <c r="W1387" i="4"/>
  <c r="K1387" i="4"/>
  <c r="J1387" i="4"/>
  <c r="Q1390" i="4"/>
  <c r="I1390" i="4"/>
  <c r="S1390" i="4"/>
  <c r="H1390" i="4"/>
  <c r="R1390" i="4"/>
  <c r="Q1398" i="4"/>
  <c r="I1398" i="4"/>
  <c r="S1398" i="4"/>
  <c r="H1398" i="4"/>
  <c r="R1398" i="4"/>
  <c r="W1404" i="4"/>
  <c r="O1404" i="4"/>
  <c r="G1404" i="4"/>
  <c r="V1404" i="4"/>
  <c r="U1404" i="4"/>
  <c r="M1404" i="4"/>
  <c r="P1404" i="4"/>
  <c r="K1404" i="4"/>
  <c r="J1404" i="4"/>
  <c r="U1410" i="4"/>
  <c r="M1410" i="4"/>
  <c r="T1410" i="4"/>
  <c r="K1410" i="4"/>
  <c r="P1410" i="4"/>
  <c r="O1410" i="4"/>
  <c r="J1410" i="4"/>
  <c r="N1412" i="4"/>
  <c r="L1412" i="4"/>
  <c r="H1480" i="4"/>
  <c r="R1480" i="4"/>
  <c r="I1480" i="4"/>
  <c r="Q1480" i="4"/>
  <c r="S1480" i="4"/>
  <c r="R1255" i="4"/>
  <c r="R1263" i="4"/>
  <c r="R1271" i="4"/>
  <c r="R1279" i="4"/>
  <c r="T1281" i="4"/>
  <c r="R1287" i="4"/>
  <c r="T1289" i="4"/>
  <c r="R1295" i="4"/>
  <c r="T1297" i="4"/>
  <c r="R1303" i="4"/>
  <c r="T1305" i="4"/>
  <c r="R1311" i="4"/>
  <c r="T1313" i="4"/>
  <c r="R1319" i="4"/>
  <c r="T1321" i="4"/>
  <c r="R1327" i="4"/>
  <c r="T1329" i="4"/>
  <c r="R1335" i="4"/>
  <c r="T1337" i="4"/>
  <c r="R1343" i="4"/>
  <c r="T1345" i="4"/>
  <c r="W1350" i="4"/>
  <c r="O1350" i="4"/>
  <c r="L1355" i="4"/>
  <c r="N1355" i="4"/>
  <c r="Q1360" i="4"/>
  <c r="I1360" i="4"/>
  <c r="S1360" i="4"/>
  <c r="J1375" i="4"/>
  <c r="P1375" i="4"/>
  <c r="W1375" i="4"/>
  <c r="M1375" i="4"/>
  <c r="G1375" i="4"/>
  <c r="S1384" i="4"/>
  <c r="Q1384" i="4"/>
  <c r="I1384" i="4"/>
  <c r="H1384" i="4"/>
  <c r="S1395" i="4"/>
  <c r="I1395" i="4"/>
  <c r="R1395" i="4"/>
  <c r="H1395" i="4"/>
  <c r="Q1395" i="4"/>
  <c r="V1427" i="4"/>
  <c r="U1427" i="4"/>
  <c r="M1427" i="4"/>
  <c r="T1427" i="4"/>
  <c r="K1427" i="4"/>
  <c r="J1427" i="4"/>
  <c r="G1427" i="4"/>
  <c r="W1427" i="4"/>
  <c r="P1427" i="4"/>
  <c r="O1427" i="4"/>
  <c r="N1468" i="4"/>
  <c r="L1468" i="4"/>
  <c r="R1222" i="4"/>
  <c r="G1227" i="4"/>
  <c r="O1227" i="4"/>
  <c r="W1227" i="4"/>
  <c r="H1228" i="4"/>
  <c r="R1230" i="4"/>
  <c r="G1235" i="4"/>
  <c r="O1235" i="4"/>
  <c r="W1235" i="4"/>
  <c r="H1236" i="4"/>
  <c r="R1238" i="4"/>
  <c r="G1243" i="4"/>
  <c r="O1243" i="4"/>
  <c r="W1243" i="4"/>
  <c r="H1244" i="4"/>
  <c r="R1246" i="4"/>
  <c r="K1247" i="4"/>
  <c r="G1251" i="4"/>
  <c r="O1251" i="4"/>
  <c r="W1251" i="4"/>
  <c r="H1252" i="4"/>
  <c r="J1254" i="4"/>
  <c r="R1254" i="4"/>
  <c r="K1255" i="4"/>
  <c r="G1259" i="4"/>
  <c r="O1259" i="4"/>
  <c r="W1259" i="4"/>
  <c r="H1260" i="4"/>
  <c r="J1262" i="4"/>
  <c r="R1262" i="4"/>
  <c r="K1263" i="4"/>
  <c r="G1267" i="4"/>
  <c r="O1267" i="4"/>
  <c r="W1267" i="4"/>
  <c r="H1268" i="4"/>
  <c r="J1270" i="4"/>
  <c r="R1270" i="4"/>
  <c r="K1271" i="4"/>
  <c r="G1275" i="4"/>
  <c r="O1275" i="4"/>
  <c r="W1275" i="4"/>
  <c r="H1276" i="4"/>
  <c r="I1277" i="4"/>
  <c r="Q1277" i="4"/>
  <c r="J1278" i="4"/>
  <c r="K1279" i="4"/>
  <c r="L1280" i="4"/>
  <c r="M1281" i="4"/>
  <c r="U1281" i="4"/>
  <c r="G1283" i="4"/>
  <c r="O1283" i="4"/>
  <c r="W1283" i="4"/>
  <c r="H1284" i="4"/>
  <c r="I1285" i="4"/>
  <c r="Q1285" i="4"/>
  <c r="J1286" i="4"/>
  <c r="K1287" i="4"/>
  <c r="L1288" i="4"/>
  <c r="M1289" i="4"/>
  <c r="U1289" i="4"/>
  <c r="G1291" i="4"/>
  <c r="O1291" i="4"/>
  <c r="W1291" i="4"/>
  <c r="H1292" i="4"/>
  <c r="I1293" i="4"/>
  <c r="Q1293" i="4"/>
  <c r="J1294" i="4"/>
  <c r="K1295" i="4"/>
  <c r="M1297" i="4"/>
  <c r="U1297" i="4"/>
  <c r="G1299" i="4"/>
  <c r="O1299" i="4"/>
  <c r="W1299" i="4"/>
  <c r="H1300" i="4"/>
  <c r="I1301" i="4"/>
  <c r="Q1301" i="4"/>
  <c r="J1302" i="4"/>
  <c r="K1303" i="4"/>
  <c r="L1304" i="4"/>
  <c r="M1305" i="4"/>
  <c r="U1305" i="4"/>
  <c r="G1307" i="4"/>
  <c r="O1307" i="4"/>
  <c r="W1307" i="4"/>
  <c r="H1308" i="4"/>
  <c r="I1309" i="4"/>
  <c r="Q1309" i="4"/>
  <c r="J1310" i="4"/>
  <c r="K1311" i="4"/>
  <c r="L1312" i="4"/>
  <c r="M1313" i="4"/>
  <c r="U1313" i="4"/>
  <c r="G1315" i="4"/>
  <c r="O1315" i="4"/>
  <c r="W1315" i="4"/>
  <c r="H1316" i="4"/>
  <c r="I1317" i="4"/>
  <c r="Q1317" i="4"/>
  <c r="J1318" i="4"/>
  <c r="K1319" i="4"/>
  <c r="L1320" i="4"/>
  <c r="M1321" i="4"/>
  <c r="U1321" i="4"/>
  <c r="G1323" i="4"/>
  <c r="O1323" i="4"/>
  <c r="W1323" i="4"/>
  <c r="H1324" i="4"/>
  <c r="I1325" i="4"/>
  <c r="Q1325" i="4"/>
  <c r="J1326" i="4"/>
  <c r="K1327" i="4"/>
  <c r="L1328" i="4"/>
  <c r="M1329" i="4"/>
  <c r="U1329" i="4"/>
  <c r="G1331" i="4"/>
  <c r="O1331" i="4"/>
  <c r="W1331" i="4"/>
  <c r="H1332" i="4"/>
  <c r="I1333" i="4"/>
  <c r="Q1333" i="4"/>
  <c r="J1334" i="4"/>
  <c r="K1335" i="4"/>
  <c r="L1336" i="4"/>
  <c r="M1337" i="4"/>
  <c r="U1337" i="4"/>
  <c r="G1339" i="4"/>
  <c r="O1339" i="4"/>
  <c r="W1339" i="4"/>
  <c r="H1340" i="4"/>
  <c r="I1341" i="4"/>
  <c r="Q1341" i="4"/>
  <c r="J1342" i="4"/>
  <c r="K1343" i="4"/>
  <c r="L1344" i="4"/>
  <c r="M1345" i="4"/>
  <c r="U1345" i="4"/>
  <c r="G1347" i="4"/>
  <c r="O1347" i="4"/>
  <c r="W1347" i="4"/>
  <c r="H1348" i="4"/>
  <c r="I1349" i="4"/>
  <c r="Q1349" i="4"/>
  <c r="J1350" i="4"/>
  <c r="W1351" i="4"/>
  <c r="H1352" i="4"/>
  <c r="R1352" i="4"/>
  <c r="U1353" i="4"/>
  <c r="N1363" i="4"/>
  <c r="R1364" i="4"/>
  <c r="I1364" i="4"/>
  <c r="P1365" i="4"/>
  <c r="V1365" i="4"/>
  <c r="W1365" i="4"/>
  <c r="J1365" i="4"/>
  <c r="Q1373" i="4"/>
  <c r="S1376" i="4"/>
  <c r="Q1376" i="4"/>
  <c r="I1376" i="4"/>
  <c r="R1376" i="4"/>
  <c r="H1376" i="4"/>
  <c r="Q1378" i="4"/>
  <c r="R1381" i="4"/>
  <c r="O1383" i="4"/>
  <c r="U1386" i="4"/>
  <c r="M1386" i="4"/>
  <c r="K1386" i="4"/>
  <c r="V1386" i="4"/>
  <c r="J1386" i="4"/>
  <c r="T1386" i="4"/>
  <c r="G1386" i="4"/>
  <c r="P1386" i="4"/>
  <c r="R1387" i="4"/>
  <c r="U1399" i="4"/>
  <c r="T1409" i="4"/>
  <c r="K1409" i="4"/>
  <c r="J1409" i="4"/>
  <c r="U1409" i="4"/>
  <c r="G1409" i="4"/>
  <c r="P1409" i="4"/>
  <c r="O1409" i="4"/>
  <c r="M1409" i="4"/>
  <c r="V1410" i="4"/>
  <c r="T1417" i="4"/>
  <c r="K1417" i="4"/>
  <c r="J1417" i="4"/>
  <c r="P1417" i="4"/>
  <c r="U1417" i="4"/>
  <c r="G1417" i="4"/>
  <c r="O1417" i="4"/>
  <c r="M1417" i="4"/>
  <c r="N1419" i="4"/>
  <c r="L1419" i="4"/>
  <c r="N1444" i="4"/>
  <c r="L1444" i="4"/>
  <c r="N1545" i="4"/>
  <c r="L1545" i="4"/>
  <c r="I1212" i="4"/>
  <c r="Q1212" i="4"/>
  <c r="I1220" i="4"/>
  <c r="Q1220" i="4"/>
  <c r="J1221" i="4"/>
  <c r="I1228" i="4"/>
  <c r="Q1228" i="4"/>
  <c r="J1229" i="4"/>
  <c r="I1236" i="4"/>
  <c r="Q1236" i="4"/>
  <c r="I1244" i="4"/>
  <c r="Q1244" i="4"/>
  <c r="T1247" i="4"/>
  <c r="I1252" i="4"/>
  <c r="Q1252" i="4"/>
  <c r="K1254" i="4"/>
  <c r="T1255" i="4"/>
  <c r="I1260" i="4"/>
  <c r="Q1260" i="4"/>
  <c r="K1262" i="4"/>
  <c r="T1263" i="4"/>
  <c r="I1268" i="4"/>
  <c r="Q1268" i="4"/>
  <c r="K1270" i="4"/>
  <c r="T1271" i="4"/>
  <c r="I1276" i="4"/>
  <c r="Q1276" i="4"/>
  <c r="K1278" i="4"/>
  <c r="T1279" i="4"/>
  <c r="V1281" i="4"/>
  <c r="I1284" i="4"/>
  <c r="Q1284" i="4"/>
  <c r="K1286" i="4"/>
  <c r="T1287" i="4"/>
  <c r="V1289" i="4"/>
  <c r="I1292" i="4"/>
  <c r="Q1292" i="4"/>
  <c r="K1294" i="4"/>
  <c r="T1295" i="4"/>
  <c r="V1297" i="4"/>
  <c r="I1300" i="4"/>
  <c r="Q1300" i="4"/>
  <c r="K1302" i="4"/>
  <c r="T1303" i="4"/>
  <c r="V1305" i="4"/>
  <c r="I1308" i="4"/>
  <c r="Q1308" i="4"/>
  <c r="K1310" i="4"/>
  <c r="T1311" i="4"/>
  <c r="V1313" i="4"/>
  <c r="I1316" i="4"/>
  <c r="Q1316" i="4"/>
  <c r="K1318" i="4"/>
  <c r="T1319" i="4"/>
  <c r="V1321" i="4"/>
  <c r="I1324" i="4"/>
  <c r="Q1324" i="4"/>
  <c r="K1326" i="4"/>
  <c r="T1327" i="4"/>
  <c r="V1329" i="4"/>
  <c r="I1332" i="4"/>
  <c r="Q1332" i="4"/>
  <c r="K1334" i="4"/>
  <c r="T1335" i="4"/>
  <c r="V1337" i="4"/>
  <c r="I1340" i="4"/>
  <c r="Q1340" i="4"/>
  <c r="K1342" i="4"/>
  <c r="T1343" i="4"/>
  <c r="V1345" i="4"/>
  <c r="I1348" i="4"/>
  <c r="Q1348" i="4"/>
  <c r="K1350" i="4"/>
  <c r="T1350" i="4"/>
  <c r="O1351" i="4"/>
  <c r="M1353" i="4"/>
  <c r="V1353" i="4"/>
  <c r="R1355" i="4"/>
  <c r="I1355" i="4"/>
  <c r="U1356" i="4"/>
  <c r="M1356" i="4"/>
  <c r="V1356" i="4"/>
  <c r="J1356" i="4"/>
  <c r="W1356" i="4"/>
  <c r="J1361" i="4"/>
  <c r="V1361" i="4"/>
  <c r="M1361" i="4"/>
  <c r="T1361" i="4"/>
  <c r="L1364" i="4"/>
  <c r="R1365" i="4"/>
  <c r="H1365" i="4"/>
  <c r="Q1366" i="4"/>
  <c r="I1366" i="4"/>
  <c r="L1366" i="4"/>
  <c r="J1367" i="4"/>
  <c r="P1367" i="4"/>
  <c r="V1367" i="4"/>
  <c r="K1367" i="4"/>
  <c r="W1367" i="4"/>
  <c r="Q1370" i="4"/>
  <c r="Q1371" i="4"/>
  <c r="R1373" i="4"/>
  <c r="O1375" i="4"/>
  <c r="T1377" i="4"/>
  <c r="J1377" i="4"/>
  <c r="V1377" i="4"/>
  <c r="R1378" i="4"/>
  <c r="T1380" i="4"/>
  <c r="S1381" i="4"/>
  <c r="S1387" i="4"/>
  <c r="H1388" i="4"/>
  <c r="L1393" i="4"/>
  <c r="N1393" i="4"/>
  <c r="U1402" i="4"/>
  <c r="M1402" i="4"/>
  <c r="T1402" i="4"/>
  <c r="K1402" i="4"/>
  <c r="V1402" i="4"/>
  <c r="G1402" i="4"/>
  <c r="P1402" i="4"/>
  <c r="O1402" i="4"/>
  <c r="H1403" i="4"/>
  <c r="T1404" i="4"/>
  <c r="W1410" i="4"/>
  <c r="N1411" i="4"/>
  <c r="L1411" i="4"/>
  <c r="W1476" i="4"/>
  <c r="O1476" i="4"/>
  <c r="G1476" i="4"/>
  <c r="V1476" i="4"/>
  <c r="U1476" i="4"/>
  <c r="M1476" i="4"/>
  <c r="T1476" i="4"/>
  <c r="K1476" i="4"/>
  <c r="J1476" i="4"/>
  <c r="P1476" i="4"/>
  <c r="M1247" i="4"/>
  <c r="M1255" i="4"/>
  <c r="M1263" i="4"/>
  <c r="M1271" i="4"/>
  <c r="M1279" i="4"/>
  <c r="G1281" i="4"/>
  <c r="O1281" i="4"/>
  <c r="M1287" i="4"/>
  <c r="G1289" i="4"/>
  <c r="O1289" i="4"/>
  <c r="M1295" i="4"/>
  <c r="G1297" i="4"/>
  <c r="O1297" i="4"/>
  <c r="M1303" i="4"/>
  <c r="G1305" i="4"/>
  <c r="O1305" i="4"/>
  <c r="M1311" i="4"/>
  <c r="G1313" i="4"/>
  <c r="O1313" i="4"/>
  <c r="M1319" i="4"/>
  <c r="G1321" i="4"/>
  <c r="O1321" i="4"/>
  <c r="M1327" i="4"/>
  <c r="G1329" i="4"/>
  <c r="O1329" i="4"/>
  <c r="M1335" i="4"/>
  <c r="G1337" i="4"/>
  <c r="O1337" i="4"/>
  <c r="M1343" i="4"/>
  <c r="G1345" i="4"/>
  <c r="O1345" i="4"/>
  <c r="U1350" i="4"/>
  <c r="Q1352" i="4"/>
  <c r="I1352" i="4"/>
  <c r="W1353" i="4"/>
  <c r="Q1356" i="4"/>
  <c r="H1356" i="4"/>
  <c r="V1357" i="4"/>
  <c r="P1357" i="4"/>
  <c r="G1357" i="4"/>
  <c r="T1357" i="4"/>
  <c r="K1357" i="4"/>
  <c r="J1357" i="4"/>
  <c r="W1357" i="4"/>
  <c r="T1362" i="4"/>
  <c r="R1371" i="4"/>
  <c r="R1374" i="4"/>
  <c r="R1384" i="4"/>
  <c r="N1385" i="4"/>
  <c r="U1387" i="4"/>
  <c r="S1394" i="4"/>
  <c r="I1394" i="4"/>
  <c r="R1394" i="4"/>
  <c r="H1394" i="4"/>
  <c r="N1396" i="4"/>
  <c r="L1396" i="4"/>
  <c r="S1402" i="4"/>
  <c r="H1402" i="4"/>
  <c r="R1402" i="4"/>
  <c r="Q1402" i="4"/>
  <c r="P1405" i="4"/>
  <c r="W1405" i="4"/>
  <c r="O1405" i="4"/>
  <c r="G1405" i="4"/>
  <c r="V1405" i="4"/>
  <c r="M1405" i="4"/>
  <c r="K1405" i="4"/>
  <c r="V1419" i="4"/>
  <c r="U1419" i="4"/>
  <c r="M1419" i="4"/>
  <c r="T1419" i="4"/>
  <c r="J1419" i="4"/>
  <c r="W1419" i="4"/>
  <c r="G1419" i="4"/>
  <c r="P1419" i="4"/>
  <c r="O1419" i="4"/>
  <c r="K1419" i="4"/>
  <c r="N1451" i="4"/>
  <c r="L1451" i="4"/>
  <c r="P1453" i="4"/>
  <c r="W1453" i="4"/>
  <c r="O1453" i="4"/>
  <c r="G1453" i="4"/>
  <c r="V1453" i="4"/>
  <c r="U1453" i="4"/>
  <c r="M1453" i="4"/>
  <c r="T1453" i="4"/>
  <c r="K1453" i="4"/>
  <c r="Q1462" i="4"/>
  <c r="I1462" i="4"/>
  <c r="H1462" i="4"/>
  <c r="S1462" i="4"/>
  <c r="R1462" i="4"/>
  <c r="W1355" i="4"/>
  <c r="U1364" i="4"/>
  <c r="M1364" i="4"/>
  <c r="V1371" i="4"/>
  <c r="T1371" i="4"/>
  <c r="Q1382" i="4"/>
  <c r="I1382" i="4"/>
  <c r="T1385" i="4"/>
  <c r="J1385" i="4"/>
  <c r="U1385" i="4"/>
  <c r="J1391" i="4"/>
  <c r="P1391" i="4"/>
  <c r="K1391" i="4"/>
  <c r="U1391" i="4"/>
  <c r="I1397" i="4"/>
  <c r="S1397" i="4"/>
  <c r="L1405" i="4"/>
  <c r="Q1406" i="4"/>
  <c r="I1406" i="4"/>
  <c r="H1406" i="4"/>
  <c r="V1411" i="4"/>
  <c r="U1411" i="4"/>
  <c r="M1411" i="4"/>
  <c r="T1411" i="4"/>
  <c r="W1411" i="4"/>
  <c r="J1413" i="4"/>
  <c r="S1421" i="4"/>
  <c r="P1429" i="4"/>
  <c r="W1429" i="4"/>
  <c r="O1429" i="4"/>
  <c r="G1429" i="4"/>
  <c r="V1429" i="4"/>
  <c r="U1429" i="4"/>
  <c r="M1429" i="4"/>
  <c r="T1429" i="4"/>
  <c r="K1429" i="4"/>
  <c r="H1437" i="4"/>
  <c r="S1437" i="4"/>
  <c r="R1437" i="4"/>
  <c r="H1453" i="4"/>
  <c r="S1453" i="4"/>
  <c r="R1453" i="4"/>
  <c r="N1460" i="4"/>
  <c r="L1460" i="4"/>
  <c r="W1468" i="4"/>
  <c r="O1468" i="4"/>
  <c r="G1468" i="4"/>
  <c r="V1468" i="4"/>
  <c r="U1468" i="4"/>
  <c r="M1468" i="4"/>
  <c r="T1468" i="4"/>
  <c r="K1468" i="4"/>
  <c r="J1468" i="4"/>
  <c r="P1468" i="4"/>
  <c r="I1469" i="4"/>
  <c r="N1475" i="4"/>
  <c r="L1475" i="4"/>
  <c r="P1477" i="4"/>
  <c r="W1477" i="4"/>
  <c r="O1477" i="4"/>
  <c r="G1477" i="4"/>
  <c r="V1477" i="4"/>
  <c r="U1477" i="4"/>
  <c r="M1477" i="4"/>
  <c r="T1477" i="4"/>
  <c r="K1477" i="4"/>
  <c r="J1484" i="4"/>
  <c r="T1503" i="4"/>
  <c r="K1503" i="4"/>
  <c r="W1503" i="4"/>
  <c r="O1503" i="4"/>
  <c r="G1503" i="4"/>
  <c r="V1503" i="4"/>
  <c r="U1503" i="4"/>
  <c r="P1503" i="4"/>
  <c r="U1504" i="4"/>
  <c r="M1504" i="4"/>
  <c r="T1504" i="4"/>
  <c r="P1504" i="4"/>
  <c r="V1504" i="4"/>
  <c r="G1504" i="4"/>
  <c r="O1504" i="4"/>
  <c r="W1504" i="4"/>
  <c r="N1505" i="4"/>
  <c r="L1505" i="4"/>
  <c r="N1517" i="4"/>
  <c r="L1517" i="4"/>
  <c r="N1521" i="4"/>
  <c r="L1521" i="4"/>
  <c r="Q1579" i="4"/>
  <c r="I1579" i="4"/>
  <c r="H1579" i="4"/>
  <c r="S1579" i="4"/>
  <c r="Q1627" i="4"/>
  <c r="I1627" i="4"/>
  <c r="H1627" i="4"/>
  <c r="S1627" i="4"/>
  <c r="S1820" i="4"/>
  <c r="H1820" i="4"/>
  <c r="R1820" i="4"/>
  <c r="Q1820" i="4"/>
  <c r="I1820" i="4"/>
  <c r="N1823" i="4"/>
  <c r="L1823" i="4"/>
  <c r="W1388" i="4"/>
  <c r="O1388" i="4"/>
  <c r="G1388" i="4"/>
  <c r="U1388" i="4"/>
  <c r="M1388" i="4"/>
  <c r="J1388" i="4"/>
  <c r="T1388" i="4"/>
  <c r="U1394" i="4"/>
  <c r="M1394" i="4"/>
  <c r="K1394" i="4"/>
  <c r="T1394" i="4"/>
  <c r="P1397" i="4"/>
  <c r="V1397" i="4"/>
  <c r="J1397" i="4"/>
  <c r="T1397" i="4"/>
  <c r="W1412" i="4"/>
  <c r="O1412" i="4"/>
  <c r="G1412" i="4"/>
  <c r="V1412" i="4"/>
  <c r="U1412" i="4"/>
  <c r="M1412" i="4"/>
  <c r="J1412" i="4"/>
  <c r="P1413" i="4"/>
  <c r="W1413" i="4"/>
  <c r="O1413" i="4"/>
  <c r="G1413" i="4"/>
  <c r="V1413" i="4"/>
  <c r="K1413" i="4"/>
  <c r="S1418" i="4"/>
  <c r="Q1418" i="4"/>
  <c r="I1418" i="4"/>
  <c r="N1429" i="4"/>
  <c r="L1429" i="4"/>
  <c r="Q1429" i="4"/>
  <c r="W1444" i="4"/>
  <c r="O1444" i="4"/>
  <c r="G1444" i="4"/>
  <c r="V1444" i="4"/>
  <c r="U1444" i="4"/>
  <c r="M1444" i="4"/>
  <c r="T1444" i="4"/>
  <c r="K1444" i="4"/>
  <c r="J1444" i="4"/>
  <c r="P1444" i="4"/>
  <c r="H1477" i="4"/>
  <c r="S1477" i="4"/>
  <c r="R1477" i="4"/>
  <c r="N1482" i="4"/>
  <c r="L1482" i="4"/>
  <c r="S1503" i="4"/>
  <c r="I1503" i="4"/>
  <c r="H1503" i="4"/>
  <c r="R1503" i="4"/>
  <c r="Q1503" i="4"/>
  <c r="H1504" i="4"/>
  <c r="I1504" i="4"/>
  <c r="S1504" i="4"/>
  <c r="R1504" i="4"/>
  <c r="Q1504" i="4"/>
  <c r="N1553" i="4"/>
  <c r="L1553" i="4"/>
  <c r="S1569" i="4"/>
  <c r="Q1569" i="4"/>
  <c r="I1569" i="4"/>
  <c r="H1569" i="4"/>
  <c r="R1569" i="4"/>
  <c r="N1789" i="4"/>
  <c r="L1789" i="4"/>
  <c r="L1413" i="4"/>
  <c r="Q1414" i="4"/>
  <c r="I1414" i="4"/>
  <c r="H1414" i="4"/>
  <c r="I1421" i="4"/>
  <c r="H1428" i="4"/>
  <c r="Q1438" i="4"/>
  <c r="I1438" i="4"/>
  <c r="H1438" i="4"/>
  <c r="N1443" i="4"/>
  <c r="L1443" i="4"/>
  <c r="Q1454" i="4"/>
  <c r="I1454" i="4"/>
  <c r="H1454" i="4"/>
  <c r="W1460" i="4"/>
  <c r="O1460" i="4"/>
  <c r="G1460" i="4"/>
  <c r="V1460" i="4"/>
  <c r="U1460" i="4"/>
  <c r="M1460" i="4"/>
  <c r="T1460" i="4"/>
  <c r="K1460" i="4"/>
  <c r="J1460" i="4"/>
  <c r="P1460" i="4"/>
  <c r="I1461" i="4"/>
  <c r="N1467" i="4"/>
  <c r="L1467" i="4"/>
  <c r="P1469" i="4"/>
  <c r="W1469" i="4"/>
  <c r="O1469" i="4"/>
  <c r="G1469" i="4"/>
  <c r="V1469" i="4"/>
  <c r="U1469" i="4"/>
  <c r="M1469" i="4"/>
  <c r="T1469" i="4"/>
  <c r="K1469" i="4"/>
  <c r="P1484" i="4"/>
  <c r="T1484" i="4"/>
  <c r="G1484" i="4"/>
  <c r="O1484" i="4"/>
  <c r="W1484" i="4"/>
  <c r="M1484" i="4"/>
  <c r="U1484" i="4"/>
  <c r="N1498" i="4"/>
  <c r="L1498" i="4"/>
  <c r="N1577" i="4"/>
  <c r="L1577" i="4"/>
  <c r="H1602" i="4"/>
  <c r="S1602" i="4"/>
  <c r="R1602" i="4"/>
  <c r="Q1602" i="4"/>
  <c r="I1602" i="4"/>
  <c r="P1604" i="4"/>
  <c r="W1604" i="4"/>
  <c r="O1604" i="4"/>
  <c r="G1604" i="4"/>
  <c r="V1604" i="4"/>
  <c r="J1604" i="4"/>
  <c r="K1604" i="4"/>
  <c r="U1604" i="4"/>
  <c r="T1604" i="4"/>
  <c r="M1604" i="4"/>
  <c r="P1389" i="4"/>
  <c r="V1389" i="4"/>
  <c r="J1389" i="4"/>
  <c r="T1389" i="4"/>
  <c r="L1397" i="4"/>
  <c r="T1401" i="4"/>
  <c r="K1401" i="4"/>
  <c r="J1401" i="4"/>
  <c r="V1401" i="4"/>
  <c r="Q1422" i="4"/>
  <c r="I1422" i="4"/>
  <c r="H1422" i="4"/>
  <c r="I1428" i="4"/>
  <c r="N1436" i="4"/>
  <c r="L1436" i="4"/>
  <c r="R1438" i="4"/>
  <c r="P1445" i="4"/>
  <c r="W1445" i="4"/>
  <c r="O1445" i="4"/>
  <c r="G1445" i="4"/>
  <c r="V1445" i="4"/>
  <c r="U1445" i="4"/>
  <c r="M1445" i="4"/>
  <c r="T1445" i="4"/>
  <c r="K1445" i="4"/>
  <c r="N1452" i="4"/>
  <c r="L1452" i="4"/>
  <c r="R1454" i="4"/>
  <c r="H1469" i="4"/>
  <c r="S1469" i="4"/>
  <c r="R1469" i="4"/>
  <c r="R1478" i="4"/>
  <c r="I1478" i="4"/>
  <c r="Q1478" i="4"/>
  <c r="H1478" i="4"/>
  <c r="J1480" i="4"/>
  <c r="H1484" i="4"/>
  <c r="S1484" i="4"/>
  <c r="I1484" i="4"/>
  <c r="R1484" i="4"/>
  <c r="Q1484" i="4"/>
  <c r="V1484" i="4"/>
  <c r="N1509" i="4"/>
  <c r="L1509" i="4"/>
  <c r="T1592" i="4"/>
  <c r="K1592" i="4"/>
  <c r="V1592" i="4"/>
  <c r="P1592" i="4"/>
  <c r="O1592" i="4"/>
  <c r="M1592" i="4"/>
  <c r="J1592" i="4"/>
  <c r="U1592" i="4"/>
  <c r="G1592" i="4"/>
  <c r="W1592" i="4"/>
  <c r="W1364" i="4"/>
  <c r="O1371" i="4"/>
  <c r="N1377" i="4"/>
  <c r="U1378" i="4"/>
  <c r="M1378" i="4"/>
  <c r="K1378" i="4"/>
  <c r="T1378" i="4"/>
  <c r="P1381" i="4"/>
  <c r="V1381" i="4"/>
  <c r="J1381" i="4"/>
  <c r="T1381" i="4"/>
  <c r="R1382" i="4"/>
  <c r="O1385" i="4"/>
  <c r="K1389" i="4"/>
  <c r="U1389" i="4"/>
  <c r="O1391" i="4"/>
  <c r="S1392" i="4"/>
  <c r="Q1392" i="4"/>
  <c r="I1392" i="4"/>
  <c r="V1395" i="4"/>
  <c r="T1395" i="4"/>
  <c r="M1397" i="4"/>
  <c r="M1401" i="4"/>
  <c r="W1401" i="4"/>
  <c r="S1405" i="4"/>
  <c r="S1406" i="4"/>
  <c r="Q1410" i="4"/>
  <c r="P1411" i="4"/>
  <c r="P1412" i="4"/>
  <c r="Q1413" i="4"/>
  <c r="R1418" i="4"/>
  <c r="P1421" i="4"/>
  <c r="W1421" i="4"/>
  <c r="O1421" i="4"/>
  <c r="G1421" i="4"/>
  <c r="V1421" i="4"/>
  <c r="T1421" i="4"/>
  <c r="K1421" i="4"/>
  <c r="W1428" i="4"/>
  <c r="O1428" i="4"/>
  <c r="G1428" i="4"/>
  <c r="V1428" i="4"/>
  <c r="U1428" i="4"/>
  <c r="M1428" i="4"/>
  <c r="T1428" i="4"/>
  <c r="K1428" i="4"/>
  <c r="J1428" i="4"/>
  <c r="S1438" i="4"/>
  <c r="H1445" i="4"/>
  <c r="S1445" i="4"/>
  <c r="R1445" i="4"/>
  <c r="S1454" i="4"/>
  <c r="N1459" i="4"/>
  <c r="L1459" i="4"/>
  <c r="P1461" i="4"/>
  <c r="W1461" i="4"/>
  <c r="O1461" i="4"/>
  <c r="G1461" i="4"/>
  <c r="V1461" i="4"/>
  <c r="U1461" i="4"/>
  <c r="M1461" i="4"/>
  <c r="T1461" i="4"/>
  <c r="K1461" i="4"/>
  <c r="N1476" i="4"/>
  <c r="L1476" i="4"/>
  <c r="S1478" i="4"/>
  <c r="P1492" i="4"/>
  <c r="T1492" i="4"/>
  <c r="U1492" i="4"/>
  <c r="G1492" i="4"/>
  <c r="O1492" i="4"/>
  <c r="M1492" i="4"/>
  <c r="V1492" i="4"/>
  <c r="Q1497" i="4"/>
  <c r="I1497" i="4"/>
  <c r="S1497" i="4"/>
  <c r="H1497" i="4"/>
  <c r="R1497" i="4"/>
  <c r="N1529" i="4"/>
  <c r="L1529" i="4"/>
  <c r="N1561" i="4"/>
  <c r="L1561" i="4"/>
  <c r="P1562" i="4"/>
  <c r="W1562" i="4"/>
  <c r="O1562" i="4"/>
  <c r="G1562" i="4"/>
  <c r="V1562" i="4"/>
  <c r="U1562" i="4"/>
  <c r="M1562" i="4"/>
  <c r="T1562" i="4"/>
  <c r="J1562" i="4"/>
  <c r="K1562" i="4"/>
  <c r="L1575" i="4"/>
  <c r="N1575" i="4"/>
  <c r="Q1680" i="4"/>
  <c r="I1680" i="4"/>
  <c r="S1680" i="4"/>
  <c r="R1680" i="4"/>
  <c r="H1680" i="4"/>
  <c r="N1421" i="4"/>
  <c r="L1421" i="4"/>
  <c r="N1427" i="4"/>
  <c r="L1427" i="4"/>
  <c r="Q1430" i="4"/>
  <c r="I1430" i="4"/>
  <c r="H1430" i="4"/>
  <c r="W1436" i="4"/>
  <c r="O1436" i="4"/>
  <c r="G1436" i="4"/>
  <c r="V1436" i="4"/>
  <c r="U1436" i="4"/>
  <c r="M1436" i="4"/>
  <c r="T1436" i="4"/>
  <c r="K1436" i="4"/>
  <c r="J1436" i="4"/>
  <c r="P1436" i="4"/>
  <c r="W1452" i="4"/>
  <c r="O1452" i="4"/>
  <c r="G1452" i="4"/>
  <c r="V1452" i="4"/>
  <c r="U1452" i="4"/>
  <c r="M1452" i="4"/>
  <c r="T1452" i="4"/>
  <c r="K1452" i="4"/>
  <c r="J1452" i="4"/>
  <c r="P1452" i="4"/>
  <c r="H1461" i="4"/>
  <c r="S1461" i="4"/>
  <c r="R1461" i="4"/>
  <c r="Q1470" i="4"/>
  <c r="I1470" i="4"/>
  <c r="H1470" i="4"/>
  <c r="P1480" i="4"/>
  <c r="G1480" i="4"/>
  <c r="O1480" i="4"/>
  <c r="W1480" i="4"/>
  <c r="V1480" i="4"/>
  <c r="M1480" i="4"/>
  <c r="U1480" i="4"/>
  <c r="K1487" i="4"/>
  <c r="W1487" i="4"/>
  <c r="O1487" i="4"/>
  <c r="G1487" i="4"/>
  <c r="P1487" i="4"/>
  <c r="M1487" i="4"/>
  <c r="V1487" i="4"/>
  <c r="T1487" i="4"/>
  <c r="Q1492" i="4"/>
  <c r="H1492" i="4"/>
  <c r="I1492" i="4"/>
  <c r="S1492" i="4"/>
  <c r="R1492" i="4"/>
  <c r="N1493" i="4"/>
  <c r="L1493" i="4"/>
  <c r="N1513" i="4"/>
  <c r="L1513" i="4"/>
  <c r="T1534" i="4"/>
  <c r="K1534" i="4"/>
  <c r="J1534" i="4"/>
  <c r="P1534" i="4"/>
  <c r="V1534" i="4"/>
  <c r="W1534" i="4"/>
  <c r="G1534" i="4"/>
  <c r="U1534" i="4"/>
  <c r="O1534" i="4"/>
  <c r="M1534" i="4"/>
  <c r="N1537" i="4"/>
  <c r="L1537" i="4"/>
  <c r="R1436" i="4"/>
  <c r="R1444" i="4"/>
  <c r="R1452" i="4"/>
  <c r="R1460" i="4"/>
  <c r="R1468" i="4"/>
  <c r="R1476" i="4"/>
  <c r="V1482" i="4"/>
  <c r="J1482" i="4"/>
  <c r="Q1505" i="4"/>
  <c r="I1505" i="4"/>
  <c r="V1512" i="4"/>
  <c r="U1512" i="4"/>
  <c r="M1512" i="4"/>
  <c r="T1512" i="4"/>
  <c r="P1512" i="4"/>
  <c r="J1512" i="4"/>
  <c r="Q1513" i="4"/>
  <c r="I1513" i="4"/>
  <c r="V1520" i="4"/>
  <c r="U1520" i="4"/>
  <c r="M1520" i="4"/>
  <c r="T1520" i="4"/>
  <c r="P1520" i="4"/>
  <c r="J1520" i="4"/>
  <c r="Q1521" i="4"/>
  <c r="I1521" i="4"/>
  <c r="T1526" i="4"/>
  <c r="K1526" i="4"/>
  <c r="J1526" i="4"/>
  <c r="P1526" i="4"/>
  <c r="V1526" i="4"/>
  <c r="S1527" i="4"/>
  <c r="Q1527" i="4"/>
  <c r="I1527" i="4"/>
  <c r="Q1531" i="4"/>
  <c r="I1531" i="4"/>
  <c r="H1531" i="4"/>
  <c r="S1531" i="4"/>
  <c r="V1536" i="4"/>
  <c r="U1536" i="4"/>
  <c r="M1536" i="4"/>
  <c r="T1536" i="4"/>
  <c r="K1536" i="4"/>
  <c r="J1536" i="4"/>
  <c r="P1536" i="4"/>
  <c r="O1536" i="4"/>
  <c r="V1544" i="4"/>
  <c r="U1544" i="4"/>
  <c r="M1544" i="4"/>
  <c r="T1544" i="4"/>
  <c r="K1544" i="4"/>
  <c r="J1544" i="4"/>
  <c r="P1544" i="4"/>
  <c r="O1544" i="4"/>
  <c r="V1552" i="4"/>
  <c r="U1552" i="4"/>
  <c r="M1552" i="4"/>
  <c r="T1552" i="4"/>
  <c r="K1552" i="4"/>
  <c r="J1552" i="4"/>
  <c r="P1552" i="4"/>
  <c r="O1552" i="4"/>
  <c r="V1560" i="4"/>
  <c r="U1560" i="4"/>
  <c r="M1560" i="4"/>
  <c r="T1560" i="4"/>
  <c r="K1560" i="4"/>
  <c r="J1560" i="4"/>
  <c r="P1560" i="4"/>
  <c r="O1560" i="4"/>
  <c r="P1570" i="4"/>
  <c r="W1570" i="4"/>
  <c r="O1570" i="4"/>
  <c r="G1570" i="4"/>
  <c r="V1570" i="4"/>
  <c r="U1570" i="4"/>
  <c r="M1570" i="4"/>
  <c r="T1570" i="4"/>
  <c r="J1570" i="4"/>
  <c r="K1570" i="4"/>
  <c r="V1586" i="4"/>
  <c r="U1586" i="4"/>
  <c r="M1586" i="4"/>
  <c r="P1586" i="4"/>
  <c r="O1586" i="4"/>
  <c r="K1586" i="4"/>
  <c r="T1586" i="4"/>
  <c r="L1617" i="4"/>
  <c r="N1617" i="4"/>
  <c r="K1723" i="4"/>
  <c r="P1723" i="4"/>
  <c r="O1723" i="4"/>
  <c r="W1723" i="4"/>
  <c r="M1723" i="4"/>
  <c r="V1723" i="4"/>
  <c r="T1723" i="4"/>
  <c r="J1723" i="4"/>
  <c r="G1723" i="4"/>
  <c r="U1723" i="4"/>
  <c r="L1735" i="4"/>
  <c r="N1735" i="4"/>
  <c r="L1756" i="4"/>
  <c r="N1756" i="4"/>
  <c r="N1972" i="4"/>
  <c r="L1972" i="4"/>
  <c r="P1425" i="4"/>
  <c r="I1426" i="4"/>
  <c r="Q1426" i="4"/>
  <c r="P1433" i="4"/>
  <c r="I1434" i="4"/>
  <c r="Q1434" i="4"/>
  <c r="J1435" i="4"/>
  <c r="P1441" i="4"/>
  <c r="I1442" i="4"/>
  <c r="Q1442" i="4"/>
  <c r="J1443" i="4"/>
  <c r="P1449" i="4"/>
  <c r="I1450" i="4"/>
  <c r="Q1450" i="4"/>
  <c r="J1451" i="4"/>
  <c r="P1457" i="4"/>
  <c r="J1459" i="4"/>
  <c r="R1459" i="4"/>
  <c r="J1467" i="4"/>
  <c r="R1467" i="4"/>
  <c r="J1475" i="4"/>
  <c r="R1475" i="4"/>
  <c r="K1482" i="4"/>
  <c r="T1482" i="4"/>
  <c r="T1488" i="4"/>
  <c r="P1488" i="4"/>
  <c r="J1488" i="4"/>
  <c r="U1488" i="4"/>
  <c r="V1490" i="4"/>
  <c r="J1490" i="4"/>
  <c r="T1490" i="4"/>
  <c r="W1498" i="4"/>
  <c r="O1498" i="4"/>
  <c r="G1498" i="4"/>
  <c r="V1498" i="4"/>
  <c r="J1498" i="4"/>
  <c r="K1498" i="4"/>
  <c r="P1499" i="4"/>
  <c r="W1499" i="4"/>
  <c r="O1499" i="4"/>
  <c r="G1499" i="4"/>
  <c r="K1499" i="4"/>
  <c r="L1510" i="4"/>
  <c r="N1510" i="4"/>
  <c r="K1512" i="4"/>
  <c r="L1518" i="4"/>
  <c r="N1518" i="4"/>
  <c r="N1520" i="4"/>
  <c r="L1520" i="4"/>
  <c r="K1520" i="4"/>
  <c r="M1526" i="4"/>
  <c r="R1527" i="4"/>
  <c r="S1529" i="4"/>
  <c r="Q1529" i="4"/>
  <c r="I1529" i="4"/>
  <c r="P1530" i="4"/>
  <c r="W1530" i="4"/>
  <c r="O1530" i="4"/>
  <c r="G1530" i="4"/>
  <c r="V1530" i="4"/>
  <c r="T1530" i="4"/>
  <c r="J1530" i="4"/>
  <c r="K1530" i="4"/>
  <c r="R1531" i="4"/>
  <c r="Q1539" i="4"/>
  <c r="I1539" i="4"/>
  <c r="H1539" i="4"/>
  <c r="S1539" i="4"/>
  <c r="R1539" i="4"/>
  <c r="Q1547" i="4"/>
  <c r="I1547" i="4"/>
  <c r="H1547" i="4"/>
  <c r="S1547" i="4"/>
  <c r="R1547" i="4"/>
  <c r="Q1555" i="4"/>
  <c r="I1555" i="4"/>
  <c r="H1555" i="4"/>
  <c r="S1555" i="4"/>
  <c r="R1555" i="4"/>
  <c r="S1577" i="4"/>
  <c r="Q1577" i="4"/>
  <c r="I1577" i="4"/>
  <c r="L1718" i="4"/>
  <c r="N1718" i="4"/>
  <c r="R1426" i="4"/>
  <c r="R1434" i="4"/>
  <c r="K1435" i="4"/>
  <c r="R1442" i="4"/>
  <c r="K1443" i="4"/>
  <c r="R1450" i="4"/>
  <c r="K1451" i="4"/>
  <c r="J1458" i="4"/>
  <c r="R1458" i="4"/>
  <c r="K1459" i="4"/>
  <c r="J1466" i="4"/>
  <c r="R1466" i="4"/>
  <c r="K1467" i="4"/>
  <c r="J1474" i="4"/>
  <c r="R1474" i="4"/>
  <c r="K1475" i="4"/>
  <c r="W1479" i="4"/>
  <c r="O1479" i="4"/>
  <c r="G1479" i="4"/>
  <c r="J1479" i="4"/>
  <c r="U1482" i="4"/>
  <c r="Q1485" i="4"/>
  <c r="I1485" i="4"/>
  <c r="K1488" i="4"/>
  <c r="V1488" i="4"/>
  <c r="K1490" i="4"/>
  <c r="U1490" i="4"/>
  <c r="K1494" i="4"/>
  <c r="J1494" i="4"/>
  <c r="V1494" i="4"/>
  <c r="U1494" i="4"/>
  <c r="H1499" i="4"/>
  <c r="S1499" i="4"/>
  <c r="M1499" i="4"/>
  <c r="Q1500" i="4"/>
  <c r="I1500" i="4"/>
  <c r="H1500" i="4"/>
  <c r="G1502" i="4"/>
  <c r="T1510" i="4"/>
  <c r="K1510" i="4"/>
  <c r="J1510" i="4"/>
  <c r="V1510" i="4"/>
  <c r="U1511" i="4"/>
  <c r="M1511" i="4"/>
  <c r="T1511" i="4"/>
  <c r="K1511" i="4"/>
  <c r="W1511" i="4"/>
  <c r="O1511" i="4"/>
  <c r="G1511" i="4"/>
  <c r="J1511" i="4"/>
  <c r="O1512" i="4"/>
  <c r="T1518" i="4"/>
  <c r="K1518" i="4"/>
  <c r="J1518" i="4"/>
  <c r="V1518" i="4"/>
  <c r="U1519" i="4"/>
  <c r="M1519" i="4"/>
  <c r="T1519" i="4"/>
  <c r="K1519" i="4"/>
  <c r="W1519" i="4"/>
  <c r="O1519" i="4"/>
  <c r="G1519" i="4"/>
  <c r="J1519" i="4"/>
  <c r="O1520" i="4"/>
  <c r="Q1523" i="4"/>
  <c r="I1523" i="4"/>
  <c r="H1523" i="4"/>
  <c r="S1523" i="4"/>
  <c r="O1526" i="4"/>
  <c r="V1568" i="4"/>
  <c r="U1568" i="4"/>
  <c r="M1568" i="4"/>
  <c r="T1568" i="4"/>
  <c r="K1568" i="4"/>
  <c r="J1568" i="4"/>
  <c r="P1568" i="4"/>
  <c r="O1568" i="4"/>
  <c r="P1578" i="4"/>
  <c r="W1578" i="4"/>
  <c r="O1578" i="4"/>
  <c r="G1578" i="4"/>
  <c r="V1578" i="4"/>
  <c r="U1578" i="4"/>
  <c r="M1578" i="4"/>
  <c r="T1578" i="4"/>
  <c r="J1578" i="4"/>
  <c r="K1578" i="4"/>
  <c r="W1586" i="4"/>
  <c r="N1595" i="4"/>
  <c r="L1595" i="4"/>
  <c r="N1599" i="4"/>
  <c r="L1599" i="4"/>
  <c r="N1635" i="4"/>
  <c r="L1635" i="4"/>
  <c r="P1636" i="4"/>
  <c r="W1636" i="4"/>
  <c r="O1636" i="4"/>
  <c r="G1636" i="4"/>
  <c r="V1636" i="4"/>
  <c r="U1636" i="4"/>
  <c r="M1636" i="4"/>
  <c r="T1636" i="4"/>
  <c r="J1636" i="4"/>
  <c r="K1636" i="4"/>
  <c r="S1651" i="4"/>
  <c r="Q1651" i="4"/>
  <c r="I1651" i="4"/>
  <c r="H1651" i="4"/>
  <c r="R1651" i="4"/>
  <c r="R1657" i="4"/>
  <c r="S1657" i="4"/>
  <c r="I1657" i="4"/>
  <c r="H1657" i="4"/>
  <c r="N1662" i="4"/>
  <c r="L1662" i="4"/>
  <c r="G1366" i="4"/>
  <c r="O1366" i="4"/>
  <c r="H1367" i="4"/>
  <c r="G1374" i="4"/>
  <c r="O1374" i="4"/>
  <c r="H1375" i="4"/>
  <c r="G1382" i="4"/>
  <c r="O1382" i="4"/>
  <c r="G1390" i="4"/>
  <c r="O1390" i="4"/>
  <c r="H1391" i="4"/>
  <c r="G1398" i="4"/>
  <c r="O1398" i="4"/>
  <c r="H1399" i="4"/>
  <c r="I1400" i="4"/>
  <c r="Q1400" i="4"/>
  <c r="G1406" i="4"/>
  <c r="O1406" i="4"/>
  <c r="H1407" i="4"/>
  <c r="P1407" i="4"/>
  <c r="I1408" i="4"/>
  <c r="Q1408" i="4"/>
  <c r="G1414" i="4"/>
  <c r="O1414" i="4"/>
  <c r="H1415" i="4"/>
  <c r="P1415" i="4"/>
  <c r="I1416" i="4"/>
  <c r="Q1416" i="4"/>
  <c r="K1418" i="4"/>
  <c r="G1422" i="4"/>
  <c r="O1422" i="4"/>
  <c r="H1423" i="4"/>
  <c r="P1423" i="4"/>
  <c r="I1424" i="4"/>
  <c r="Q1424" i="4"/>
  <c r="J1425" i="4"/>
  <c r="K1426" i="4"/>
  <c r="G1430" i="4"/>
  <c r="O1430" i="4"/>
  <c r="H1431" i="4"/>
  <c r="P1431" i="4"/>
  <c r="I1432" i="4"/>
  <c r="Q1432" i="4"/>
  <c r="J1433" i="4"/>
  <c r="K1434" i="4"/>
  <c r="T1435" i="4"/>
  <c r="G1438" i="4"/>
  <c r="O1438" i="4"/>
  <c r="H1439" i="4"/>
  <c r="P1439" i="4"/>
  <c r="I1440" i="4"/>
  <c r="Q1440" i="4"/>
  <c r="J1441" i="4"/>
  <c r="K1442" i="4"/>
  <c r="T1443" i="4"/>
  <c r="G1446" i="4"/>
  <c r="O1446" i="4"/>
  <c r="H1447" i="4"/>
  <c r="P1447" i="4"/>
  <c r="I1448" i="4"/>
  <c r="Q1448" i="4"/>
  <c r="J1449" i="4"/>
  <c r="K1450" i="4"/>
  <c r="T1451" i="4"/>
  <c r="G1454" i="4"/>
  <c r="O1454" i="4"/>
  <c r="H1455" i="4"/>
  <c r="P1455" i="4"/>
  <c r="I1456" i="4"/>
  <c r="Q1456" i="4"/>
  <c r="J1457" i="4"/>
  <c r="K1458" i="4"/>
  <c r="T1459" i="4"/>
  <c r="G1462" i="4"/>
  <c r="O1462" i="4"/>
  <c r="H1463" i="4"/>
  <c r="P1463" i="4"/>
  <c r="I1464" i="4"/>
  <c r="Q1464" i="4"/>
  <c r="J1465" i="4"/>
  <c r="K1466" i="4"/>
  <c r="T1467" i="4"/>
  <c r="G1470" i="4"/>
  <c r="O1470" i="4"/>
  <c r="H1471" i="4"/>
  <c r="P1471" i="4"/>
  <c r="I1472" i="4"/>
  <c r="Q1472" i="4"/>
  <c r="J1473" i="4"/>
  <c r="K1474" i="4"/>
  <c r="T1475" i="4"/>
  <c r="G1478" i="4"/>
  <c r="P1478" i="4"/>
  <c r="K1479" i="4"/>
  <c r="T1479" i="4"/>
  <c r="M1482" i="4"/>
  <c r="W1482" i="4"/>
  <c r="I1483" i="4"/>
  <c r="L1485" i="4"/>
  <c r="M1488" i="4"/>
  <c r="W1488" i="4"/>
  <c r="H1489" i="4"/>
  <c r="L1490" i="4"/>
  <c r="W1490" i="4"/>
  <c r="I1491" i="4"/>
  <c r="L1494" i="4"/>
  <c r="W1494" i="4"/>
  <c r="I1495" i="4"/>
  <c r="I1496" i="4"/>
  <c r="M1498" i="4"/>
  <c r="P1506" i="4"/>
  <c r="W1506" i="4"/>
  <c r="O1506" i="4"/>
  <c r="G1506" i="4"/>
  <c r="V1506" i="4"/>
  <c r="J1506" i="4"/>
  <c r="K1506" i="4"/>
  <c r="Q1507" i="4"/>
  <c r="I1507" i="4"/>
  <c r="H1507" i="4"/>
  <c r="S1507" i="4"/>
  <c r="M1510" i="4"/>
  <c r="N1511" i="4"/>
  <c r="Q1512" i="4"/>
  <c r="P1514" i="4"/>
  <c r="W1514" i="4"/>
  <c r="O1514" i="4"/>
  <c r="G1514" i="4"/>
  <c r="V1514" i="4"/>
  <c r="J1514" i="4"/>
  <c r="K1514" i="4"/>
  <c r="Q1515" i="4"/>
  <c r="I1515" i="4"/>
  <c r="H1515" i="4"/>
  <c r="S1515" i="4"/>
  <c r="M1518" i="4"/>
  <c r="Q1520" i="4"/>
  <c r="P1522" i="4"/>
  <c r="W1522" i="4"/>
  <c r="O1522" i="4"/>
  <c r="G1522" i="4"/>
  <c r="V1522" i="4"/>
  <c r="T1522" i="4"/>
  <c r="J1522" i="4"/>
  <c r="K1522" i="4"/>
  <c r="R1523" i="4"/>
  <c r="V1528" i="4"/>
  <c r="U1528" i="4"/>
  <c r="M1528" i="4"/>
  <c r="T1528" i="4"/>
  <c r="J1528" i="4"/>
  <c r="P1528" i="4"/>
  <c r="K1528" i="4"/>
  <c r="M1530" i="4"/>
  <c r="W1536" i="4"/>
  <c r="W1544" i="4"/>
  <c r="W1552" i="4"/>
  <c r="W1560" i="4"/>
  <c r="Q1563" i="4"/>
  <c r="I1563" i="4"/>
  <c r="H1563" i="4"/>
  <c r="S1563" i="4"/>
  <c r="R1563" i="4"/>
  <c r="S1583" i="4"/>
  <c r="R1583" i="4"/>
  <c r="I1583" i="4"/>
  <c r="Q1583" i="4"/>
  <c r="H1583" i="4"/>
  <c r="U1585" i="4"/>
  <c r="M1585" i="4"/>
  <c r="T1585" i="4"/>
  <c r="W1585" i="4"/>
  <c r="G1585" i="4"/>
  <c r="P1585" i="4"/>
  <c r="O1585" i="4"/>
  <c r="V1585" i="4"/>
  <c r="J1585" i="4"/>
  <c r="K1585" i="4"/>
  <c r="V1618" i="4"/>
  <c r="U1618" i="4"/>
  <c r="M1618" i="4"/>
  <c r="T1618" i="4"/>
  <c r="K1618" i="4"/>
  <c r="P1618" i="4"/>
  <c r="G1618" i="4"/>
  <c r="W1618" i="4"/>
  <c r="O1618" i="4"/>
  <c r="N1649" i="4"/>
  <c r="S1687" i="4"/>
  <c r="H1687" i="4"/>
  <c r="I1687" i="4"/>
  <c r="Q1687" i="4"/>
  <c r="R1687" i="4"/>
  <c r="R1400" i="4"/>
  <c r="R1408" i="4"/>
  <c r="R1416" i="4"/>
  <c r="T1418" i="4"/>
  <c r="R1424" i="4"/>
  <c r="K1425" i="4"/>
  <c r="T1426" i="4"/>
  <c r="R1432" i="4"/>
  <c r="K1433" i="4"/>
  <c r="T1434" i="4"/>
  <c r="M1435" i="4"/>
  <c r="U1435" i="4"/>
  <c r="R1440" i="4"/>
  <c r="K1441" i="4"/>
  <c r="T1442" i="4"/>
  <c r="M1443" i="4"/>
  <c r="U1443" i="4"/>
  <c r="R1448" i="4"/>
  <c r="K1449" i="4"/>
  <c r="T1450" i="4"/>
  <c r="M1451" i="4"/>
  <c r="U1451" i="4"/>
  <c r="R1456" i="4"/>
  <c r="K1457" i="4"/>
  <c r="T1458" i="4"/>
  <c r="M1459" i="4"/>
  <c r="U1459" i="4"/>
  <c r="R1464" i="4"/>
  <c r="K1465" i="4"/>
  <c r="T1466" i="4"/>
  <c r="M1467" i="4"/>
  <c r="U1467" i="4"/>
  <c r="R1472" i="4"/>
  <c r="K1473" i="4"/>
  <c r="T1474" i="4"/>
  <c r="M1475" i="4"/>
  <c r="U1475" i="4"/>
  <c r="U1479" i="4"/>
  <c r="Q1481" i="4"/>
  <c r="I1481" i="4"/>
  <c r="W1483" i="4"/>
  <c r="O1483" i="4"/>
  <c r="G1483" i="4"/>
  <c r="K1483" i="4"/>
  <c r="J1483" i="4"/>
  <c r="U1483" i="4"/>
  <c r="J1486" i="4"/>
  <c r="V1486" i="4"/>
  <c r="T1486" i="4"/>
  <c r="Q1487" i="4"/>
  <c r="N1488" i="4"/>
  <c r="M1490" i="4"/>
  <c r="W1491" i="4"/>
  <c r="O1491" i="4"/>
  <c r="G1491" i="4"/>
  <c r="K1491" i="4"/>
  <c r="J1491" i="4"/>
  <c r="U1491" i="4"/>
  <c r="M1494" i="4"/>
  <c r="T1495" i="4"/>
  <c r="K1495" i="4"/>
  <c r="W1495" i="4"/>
  <c r="O1495" i="4"/>
  <c r="G1495" i="4"/>
  <c r="J1495" i="4"/>
  <c r="U1496" i="4"/>
  <c r="M1496" i="4"/>
  <c r="T1496" i="4"/>
  <c r="P1496" i="4"/>
  <c r="J1496" i="4"/>
  <c r="W1496" i="4"/>
  <c r="P1498" i="4"/>
  <c r="Q1499" i="4"/>
  <c r="K1502" i="4"/>
  <c r="J1502" i="4"/>
  <c r="V1502" i="4"/>
  <c r="U1502" i="4"/>
  <c r="O1510" i="4"/>
  <c r="R1512" i="4"/>
  <c r="O1518" i="4"/>
  <c r="P1519" i="4"/>
  <c r="R1520" i="4"/>
  <c r="P1538" i="4"/>
  <c r="W1538" i="4"/>
  <c r="O1538" i="4"/>
  <c r="G1538" i="4"/>
  <c r="V1538" i="4"/>
  <c r="U1538" i="4"/>
  <c r="M1538" i="4"/>
  <c r="T1538" i="4"/>
  <c r="J1538" i="4"/>
  <c r="K1538" i="4"/>
  <c r="P1546" i="4"/>
  <c r="W1546" i="4"/>
  <c r="O1546" i="4"/>
  <c r="G1546" i="4"/>
  <c r="V1546" i="4"/>
  <c r="U1546" i="4"/>
  <c r="M1546" i="4"/>
  <c r="T1546" i="4"/>
  <c r="J1546" i="4"/>
  <c r="K1546" i="4"/>
  <c r="P1554" i="4"/>
  <c r="W1554" i="4"/>
  <c r="O1554" i="4"/>
  <c r="G1554" i="4"/>
  <c r="V1554" i="4"/>
  <c r="U1554" i="4"/>
  <c r="M1554" i="4"/>
  <c r="T1554" i="4"/>
  <c r="J1554" i="4"/>
  <c r="K1554" i="4"/>
  <c r="V1576" i="4"/>
  <c r="U1576" i="4"/>
  <c r="M1576" i="4"/>
  <c r="T1576" i="4"/>
  <c r="K1576" i="4"/>
  <c r="J1576" i="4"/>
  <c r="P1576" i="4"/>
  <c r="O1576" i="4"/>
  <c r="J1582" i="4"/>
  <c r="O1582" i="4"/>
  <c r="W1582" i="4"/>
  <c r="V1582" i="4"/>
  <c r="M1582" i="4"/>
  <c r="U1582" i="4"/>
  <c r="T1582" i="4"/>
  <c r="K1582" i="4"/>
  <c r="N1587" i="4"/>
  <c r="L1587" i="4"/>
  <c r="P1612" i="4"/>
  <c r="W1612" i="4"/>
  <c r="O1612" i="4"/>
  <c r="G1612" i="4"/>
  <c r="V1612" i="4"/>
  <c r="U1612" i="4"/>
  <c r="M1612" i="4"/>
  <c r="J1612" i="4"/>
  <c r="T1612" i="4"/>
  <c r="K1612" i="4"/>
  <c r="V1626" i="4"/>
  <c r="U1626" i="4"/>
  <c r="M1626" i="4"/>
  <c r="T1626" i="4"/>
  <c r="K1626" i="4"/>
  <c r="P1626" i="4"/>
  <c r="W1626" i="4"/>
  <c r="O1626" i="4"/>
  <c r="P1681" i="4"/>
  <c r="W1681" i="4"/>
  <c r="O1681" i="4"/>
  <c r="G1681" i="4"/>
  <c r="V1681" i="4"/>
  <c r="U1681" i="4"/>
  <c r="M1681" i="4"/>
  <c r="J1681" i="4"/>
  <c r="T1681" i="4"/>
  <c r="K1681" i="4"/>
  <c r="M1418" i="4"/>
  <c r="M1426" i="4"/>
  <c r="M1434" i="4"/>
  <c r="M1442" i="4"/>
  <c r="M1450" i="4"/>
  <c r="M1458" i="4"/>
  <c r="M1466" i="4"/>
  <c r="M1474" i="4"/>
  <c r="M1479" i="4"/>
  <c r="V1479" i="4"/>
  <c r="O1482" i="4"/>
  <c r="V1483" i="4"/>
  <c r="K1486" i="4"/>
  <c r="U1486" i="4"/>
  <c r="H1487" i="4"/>
  <c r="R1487" i="4"/>
  <c r="O1488" i="4"/>
  <c r="Q1489" i="4"/>
  <c r="I1489" i="4"/>
  <c r="O1490" i="4"/>
  <c r="V1491" i="4"/>
  <c r="O1494" i="4"/>
  <c r="M1495" i="4"/>
  <c r="K1496" i="4"/>
  <c r="R1499" i="4"/>
  <c r="R1500" i="4"/>
  <c r="W1502" i="4"/>
  <c r="R1505" i="4"/>
  <c r="P1510" i="4"/>
  <c r="S1512" i="4"/>
  <c r="R1513" i="4"/>
  <c r="P1518" i="4"/>
  <c r="Q1519" i="4"/>
  <c r="S1520" i="4"/>
  <c r="R1521" i="4"/>
  <c r="M1522" i="4"/>
  <c r="U1526" i="4"/>
  <c r="H1527" i="4"/>
  <c r="R1529" i="4"/>
  <c r="S1537" i="4"/>
  <c r="Q1537" i="4"/>
  <c r="I1537" i="4"/>
  <c r="N1543" i="4"/>
  <c r="S1545" i="4"/>
  <c r="Q1545" i="4"/>
  <c r="I1545" i="4"/>
  <c r="N1551" i="4"/>
  <c r="S1553" i="4"/>
  <c r="Q1553" i="4"/>
  <c r="I1553" i="4"/>
  <c r="S1561" i="4"/>
  <c r="Q1561" i="4"/>
  <c r="I1561" i="4"/>
  <c r="W1568" i="4"/>
  <c r="Q1571" i="4"/>
  <c r="I1571" i="4"/>
  <c r="H1571" i="4"/>
  <c r="S1571" i="4"/>
  <c r="R1571" i="4"/>
  <c r="R1577" i="4"/>
  <c r="N1611" i="4"/>
  <c r="L1611" i="4"/>
  <c r="P1644" i="4"/>
  <c r="W1644" i="4"/>
  <c r="O1644" i="4"/>
  <c r="G1644" i="4"/>
  <c r="V1644" i="4"/>
  <c r="U1644" i="4"/>
  <c r="M1644" i="4"/>
  <c r="T1644" i="4"/>
  <c r="J1644" i="4"/>
  <c r="K1644" i="4"/>
  <c r="R1655" i="4"/>
  <c r="I1655" i="4"/>
  <c r="Q1655" i="4"/>
  <c r="H1655" i="4"/>
  <c r="S1655" i="4"/>
  <c r="L1685" i="4"/>
  <c r="N1685" i="4"/>
  <c r="M1485" i="4"/>
  <c r="M1493" i="4"/>
  <c r="T1500" i="4"/>
  <c r="M1501" i="4"/>
  <c r="K1507" i="4"/>
  <c r="T1508" i="4"/>
  <c r="M1509" i="4"/>
  <c r="K1515" i="4"/>
  <c r="T1516" i="4"/>
  <c r="M1517" i="4"/>
  <c r="K1523" i="4"/>
  <c r="T1524" i="4"/>
  <c r="M1525" i="4"/>
  <c r="N1526" i="4"/>
  <c r="G1527" i="4"/>
  <c r="O1527" i="4"/>
  <c r="W1527" i="4"/>
  <c r="H1528" i="4"/>
  <c r="K1531" i="4"/>
  <c r="T1532" i="4"/>
  <c r="M1533" i="4"/>
  <c r="N1534" i="4"/>
  <c r="G1535" i="4"/>
  <c r="O1535" i="4"/>
  <c r="W1535" i="4"/>
  <c r="H1536" i="4"/>
  <c r="K1539" i="4"/>
  <c r="T1540" i="4"/>
  <c r="M1541" i="4"/>
  <c r="N1542" i="4"/>
  <c r="V1542" i="4"/>
  <c r="G1543" i="4"/>
  <c r="O1543" i="4"/>
  <c r="W1543" i="4"/>
  <c r="H1544" i="4"/>
  <c r="K1547" i="4"/>
  <c r="T1548" i="4"/>
  <c r="M1549" i="4"/>
  <c r="V1550" i="4"/>
  <c r="G1551" i="4"/>
  <c r="O1551" i="4"/>
  <c r="W1551" i="4"/>
  <c r="H1552" i="4"/>
  <c r="K1555" i="4"/>
  <c r="T1556" i="4"/>
  <c r="M1557" i="4"/>
  <c r="N1558" i="4"/>
  <c r="V1558" i="4"/>
  <c r="G1559" i="4"/>
  <c r="O1559" i="4"/>
  <c r="W1559" i="4"/>
  <c r="H1560" i="4"/>
  <c r="K1563" i="4"/>
  <c r="T1564" i="4"/>
  <c r="M1565" i="4"/>
  <c r="N1566" i="4"/>
  <c r="V1566" i="4"/>
  <c r="G1567" i="4"/>
  <c r="O1567" i="4"/>
  <c r="W1567" i="4"/>
  <c r="H1568" i="4"/>
  <c r="K1571" i="4"/>
  <c r="T1572" i="4"/>
  <c r="M1573" i="4"/>
  <c r="N1574" i="4"/>
  <c r="V1574" i="4"/>
  <c r="G1575" i="4"/>
  <c r="O1575" i="4"/>
  <c r="W1575" i="4"/>
  <c r="H1576" i="4"/>
  <c r="K1579" i="4"/>
  <c r="T1580" i="4"/>
  <c r="N1581" i="4"/>
  <c r="U1583" i="4"/>
  <c r="O1584" i="4"/>
  <c r="I1586" i="4"/>
  <c r="K1591" i="4"/>
  <c r="J1591" i="4"/>
  <c r="U1591" i="4"/>
  <c r="M1591" i="4"/>
  <c r="W1591" i="4"/>
  <c r="H1592" i="4"/>
  <c r="H1593" i="4"/>
  <c r="S1593" i="4"/>
  <c r="S1594" i="4"/>
  <c r="T1596" i="4"/>
  <c r="H1601" i="4"/>
  <c r="V1602" i="4"/>
  <c r="U1602" i="4"/>
  <c r="M1602" i="4"/>
  <c r="T1602" i="4"/>
  <c r="P1602" i="4"/>
  <c r="J1602" i="4"/>
  <c r="Q1603" i="4"/>
  <c r="I1603" i="4"/>
  <c r="L1603" i="4"/>
  <c r="R1609" i="4"/>
  <c r="G1610" i="4"/>
  <c r="S1618" i="4"/>
  <c r="H1618" i="4"/>
  <c r="Q1621" i="4"/>
  <c r="I1621" i="4"/>
  <c r="H1621" i="4"/>
  <c r="S1621" i="4"/>
  <c r="Q1629" i="4"/>
  <c r="I1629" i="4"/>
  <c r="H1629" i="4"/>
  <c r="S1629" i="4"/>
  <c r="V1634" i="4"/>
  <c r="U1634" i="4"/>
  <c r="M1634" i="4"/>
  <c r="T1634" i="4"/>
  <c r="K1634" i="4"/>
  <c r="J1634" i="4"/>
  <c r="P1634" i="4"/>
  <c r="O1634" i="4"/>
  <c r="N1661" i="4"/>
  <c r="L1661" i="4"/>
  <c r="Q1706" i="4"/>
  <c r="I1706" i="4"/>
  <c r="H1706" i="4"/>
  <c r="S1706" i="4"/>
  <c r="I1535" i="4"/>
  <c r="Q1535" i="4"/>
  <c r="P1542" i="4"/>
  <c r="I1543" i="4"/>
  <c r="Q1543" i="4"/>
  <c r="P1550" i="4"/>
  <c r="I1551" i="4"/>
  <c r="Q1551" i="4"/>
  <c r="P1558" i="4"/>
  <c r="I1559" i="4"/>
  <c r="Q1559" i="4"/>
  <c r="P1566" i="4"/>
  <c r="I1567" i="4"/>
  <c r="Q1567" i="4"/>
  <c r="P1574" i="4"/>
  <c r="I1575" i="4"/>
  <c r="Q1575" i="4"/>
  <c r="P1588" i="4"/>
  <c r="W1588" i="4"/>
  <c r="O1588" i="4"/>
  <c r="G1588" i="4"/>
  <c r="J1588" i="4"/>
  <c r="L1588" i="4"/>
  <c r="U1593" i="4"/>
  <c r="M1593" i="4"/>
  <c r="T1593" i="4"/>
  <c r="W1593" i="4"/>
  <c r="O1593" i="4"/>
  <c r="G1593" i="4"/>
  <c r="J1593" i="4"/>
  <c r="V1594" i="4"/>
  <c r="U1594" i="4"/>
  <c r="M1594" i="4"/>
  <c r="P1594" i="4"/>
  <c r="J1594" i="4"/>
  <c r="W1594" i="4"/>
  <c r="K1596" i="4"/>
  <c r="L1600" i="4"/>
  <c r="U1601" i="4"/>
  <c r="M1601" i="4"/>
  <c r="T1601" i="4"/>
  <c r="K1601" i="4"/>
  <c r="W1601" i="4"/>
  <c r="O1601" i="4"/>
  <c r="G1601" i="4"/>
  <c r="J1601" i="4"/>
  <c r="V1610" i="4"/>
  <c r="U1610" i="4"/>
  <c r="M1610" i="4"/>
  <c r="T1610" i="4"/>
  <c r="P1610" i="4"/>
  <c r="J1610" i="4"/>
  <c r="Q1611" i="4"/>
  <c r="I1611" i="4"/>
  <c r="N1619" i="4"/>
  <c r="L1619" i="4"/>
  <c r="S1626" i="4"/>
  <c r="H1626" i="4"/>
  <c r="N1636" i="4"/>
  <c r="L1636" i="4"/>
  <c r="V1642" i="4"/>
  <c r="U1642" i="4"/>
  <c r="M1642" i="4"/>
  <c r="T1642" i="4"/>
  <c r="K1642" i="4"/>
  <c r="J1642" i="4"/>
  <c r="P1642" i="4"/>
  <c r="O1642" i="4"/>
  <c r="N1644" i="4"/>
  <c r="L1644" i="4"/>
  <c r="S1666" i="4"/>
  <c r="I1666" i="4"/>
  <c r="H1666" i="4"/>
  <c r="R1666" i="4"/>
  <c r="Q1666" i="4"/>
  <c r="R1535" i="4"/>
  <c r="R1543" i="4"/>
  <c r="R1551" i="4"/>
  <c r="R1559" i="4"/>
  <c r="R1567" i="4"/>
  <c r="R1575" i="4"/>
  <c r="Q1587" i="4"/>
  <c r="I1587" i="4"/>
  <c r="Q1589" i="4"/>
  <c r="I1589" i="4"/>
  <c r="H1589" i="4"/>
  <c r="S1589" i="4"/>
  <c r="P1596" i="4"/>
  <c r="W1596" i="4"/>
  <c r="O1596" i="4"/>
  <c r="G1596" i="4"/>
  <c r="J1596" i="4"/>
  <c r="T1600" i="4"/>
  <c r="K1600" i="4"/>
  <c r="J1600" i="4"/>
  <c r="V1600" i="4"/>
  <c r="N1610" i="4"/>
  <c r="L1610" i="4"/>
  <c r="L1616" i="4"/>
  <c r="N1616" i="4"/>
  <c r="U1617" i="4"/>
  <c r="M1617" i="4"/>
  <c r="T1617" i="4"/>
  <c r="K1617" i="4"/>
  <c r="J1617" i="4"/>
  <c r="W1617" i="4"/>
  <c r="O1617" i="4"/>
  <c r="G1617" i="4"/>
  <c r="P1620" i="4"/>
  <c r="W1620" i="4"/>
  <c r="O1620" i="4"/>
  <c r="G1620" i="4"/>
  <c r="V1620" i="4"/>
  <c r="U1620" i="4"/>
  <c r="M1620" i="4"/>
  <c r="J1620" i="4"/>
  <c r="N1643" i="4"/>
  <c r="L1643" i="4"/>
  <c r="I1493" i="4"/>
  <c r="Q1493" i="4"/>
  <c r="I1501" i="4"/>
  <c r="Q1501" i="4"/>
  <c r="G1507" i="4"/>
  <c r="O1507" i="4"/>
  <c r="W1507" i="4"/>
  <c r="H1508" i="4"/>
  <c r="I1509" i="4"/>
  <c r="Q1509" i="4"/>
  <c r="G1515" i="4"/>
  <c r="O1515" i="4"/>
  <c r="W1515" i="4"/>
  <c r="H1516" i="4"/>
  <c r="I1517" i="4"/>
  <c r="Q1517" i="4"/>
  <c r="G1523" i="4"/>
  <c r="O1523" i="4"/>
  <c r="W1523" i="4"/>
  <c r="H1524" i="4"/>
  <c r="I1525" i="4"/>
  <c r="Q1525" i="4"/>
  <c r="K1527" i="4"/>
  <c r="M1529" i="4"/>
  <c r="G1531" i="4"/>
  <c r="O1531" i="4"/>
  <c r="W1531" i="4"/>
  <c r="H1532" i="4"/>
  <c r="I1533" i="4"/>
  <c r="Q1533" i="4"/>
  <c r="K1535" i="4"/>
  <c r="M1537" i="4"/>
  <c r="G1539" i="4"/>
  <c r="O1539" i="4"/>
  <c r="W1539" i="4"/>
  <c r="H1540" i="4"/>
  <c r="I1541" i="4"/>
  <c r="Q1541" i="4"/>
  <c r="J1542" i="4"/>
  <c r="K1543" i="4"/>
  <c r="M1545" i="4"/>
  <c r="G1547" i="4"/>
  <c r="O1547" i="4"/>
  <c r="W1547" i="4"/>
  <c r="H1548" i="4"/>
  <c r="I1549" i="4"/>
  <c r="Q1549" i="4"/>
  <c r="J1550" i="4"/>
  <c r="K1551" i="4"/>
  <c r="M1553" i="4"/>
  <c r="G1555" i="4"/>
  <c r="O1555" i="4"/>
  <c r="W1555" i="4"/>
  <c r="H1556" i="4"/>
  <c r="I1557" i="4"/>
  <c r="Q1557" i="4"/>
  <c r="J1558" i="4"/>
  <c r="K1559" i="4"/>
  <c r="G1563" i="4"/>
  <c r="O1563" i="4"/>
  <c r="W1563" i="4"/>
  <c r="H1564" i="4"/>
  <c r="I1565" i="4"/>
  <c r="Q1565" i="4"/>
  <c r="J1566" i="4"/>
  <c r="K1567" i="4"/>
  <c r="G1571" i="4"/>
  <c r="O1571" i="4"/>
  <c r="W1571" i="4"/>
  <c r="H1572" i="4"/>
  <c r="I1573" i="4"/>
  <c r="Q1573" i="4"/>
  <c r="J1574" i="4"/>
  <c r="K1575" i="4"/>
  <c r="G1579" i="4"/>
  <c r="O1579" i="4"/>
  <c r="W1579" i="4"/>
  <c r="H1580" i="4"/>
  <c r="G1583" i="4"/>
  <c r="P1583" i="4"/>
  <c r="J1584" i="4"/>
  <c r="U1584" i="4"/>
  <c r="L1594" i="4"/>
  <c r="Q1595" i="4"/>
  <c r="I1595" i="4"/>
  <c r="M1596" i="4"/>
  <c r="Q1597" i="4"/>
  <c r="I1597" i="4"/>
  <c r="H1597" i="4"/>
  <c r="S1597" i="4"/>
  <c r="M1600" i="4"/>
  <c r="P1601" i="4"/>
  <c r="L1608" i="4"/>
  <c r="N1608" i="4"/>
  <c r="U1609" i="4"/>
  <c r="M1609" i="4"/>
  <c r="T1609" i="4"/>
  <c r="K1609" i="4"/>
  <c r="W1609" i="4"/>
  <c r="O1609" i="4"/>
  <c r="G1609" i="4"/>
  <c r="J1609" i="4"/>
  <c r="O1610" i="4"/>
  <c r="P1617" i="4"/>
  <c r="R1626" i="4"/>
  <c r="N1633" i="4"/>
  <c r="S1635" i="4"/>
  <c r="Q1635" i="4"/>
  <c r="I1635" i="4"/>
  <c r="Q1637" i="4"/>
  <c r="I1637" i="4"/>
  <c r="H1637" i="4"/>
  <c r="S1637" i="4"/>
  <c r="W1642" i="4"/>
  <c r="Q1645" i="4"/>
  <c r="I1645" i="4"/>
  <c r="H1645" i="4"/>
  <c r="S1645" i="4"/>
  <c r="Q1667" i="4"/>
  <c r="I1667" i="4"/>
  <c r="H1667" i="4"/>
  <c r="R1667" i="4"/>
  <c r="Q1682" i="4"/>
  <c r="I1682" i="4"/>
  <c r="H1682" i="4"/>
  <c r="S1682" i="4"/>
  <c r="Q1690" i="4"/>
  <c r="I1690" i="4"/>
  <c r="H1690" i="4"/>
  <c r="S1690" i="4"/>
  <c r="R1690" i="4"/>
  <c r="I1508" i="4"/>
  <c r="Q1508" i="4"/>
  <c r="I1516" i="4"/>
  <c r="Q1516" i="4"/>
  <c r="I1524" i="4"/>
  <c r="Q1524" i="4"/>
  <c r="T1527" i="4"/>
  <c r="I1532" i="4"/>
  <c r="Q1532" i="4"/>
  <c r="T1535" i="4"/>
  <c r="I1540" i="4"/>
  <c r="Q1540" i="4"/>
  <c r="K1542" i="4"/>
  <c r="T1543" i="4"/>
  <c r="I1548" i="4"/>
  <c r="Q1548" i="4"/>
  <c r="K1550" i="4"/>
  <c r="T1551" i="4"/>
  <c r="I1556" i="4"/>
  <c r="Q1556" i="4"/>
  <c r="K1558" i="4"/>
  <c r="T1559" i="4"/>
  <c r="I1564" i="4"/>
  <c r="Q1564" i="4"/>
  <c r="K1566" i="4"/>
  <c r="T1567" i="4"/>
  <c r="I1572" i="4"/>
  <c r="Q1572" i="4"/>
  <c r="K1574" i="4"/>
  <c r="T1575" i="4"/>
  <c r="I1580" i="4"/>
  <c r="Q1580" i="4"/>
  <c r="Q1581" i="4"/>
  <c r="I1581" i="4"/>
  <c r="K1584" i="4"/>
  <c r="V1584" i="4"/>
  <c r="Q1586" i="4"/>
  <c r="P1593" i="4"/>
  <c r="O1594" i="4"/>
  <c r="O1600" i="4"/>
  <c r="Q1601" i="4"/>
  <c r="L1607" i="4"/>
  <c r="T1608" i="4"/>
  <c r="K1608" i="4"/>
  <c r="J1608" i="4"/>
  <c r="V1608" i="4"/>
  <c r="N1609" i="4"/>
  <c r="Q1610" i="4"/>
  <c r="R1611" i="4"/>
  <c r="Q1619" i="4"/>
  <c r="I1619" i="4"/>
  <c r="U1625" i="4"/>
  <c r="M1625" i="4"/>
  <c r="T1625" i="4"/>
  <c r="K1625" i="4"/>
  <c r="J1625" i="4"/>
  <c r="W1625" i="4"/>
  <c r="O1625" i="4"/>
  <c r="G1625" i="4"/>
  <c r="N1625" i="4"/>
  <c r="P1628" i="4"/>
  <c r="W1628" i="4"/>
  <c r="O1628" i="4"/>
  <c r="G1628" i="4"/>
  <c r="V1628" i="4"/>
  <c r="U1628" i="4"/>
  <c r="M1628" i="4"/>
  <c r="T1628" i="4"/>
  <c r="J1628" i="4"/>
  <c r="V1650" i="4"/>
  <c r="U1650" i="4"/>
  <c r="M1650" i="4"/>
  <c r="T1650" i="4"/>
  <c r="K1650" i="4"/>
  <c r="J1650" i="4"/>
  <c r="P1650" i="4"/>
  <c r="O1650" i="4"/>
  <c r="S1667" i="4"/>
  <c r="H1674" i="4"/>
  <c r="S1674" i="4"/>
  <c r="I1674" i="4"/>
  <c r="Q1674" i="4"/>
  <c r="S1695" i="4"/>
  <c r="R1695" i="4"/>
  <c r="H1695" i="4"/>
  <c r="I1695" i="4"/>
  <c r="J1722" i="4"/>
  <c r="W1722" i="4"/>
  <c r="O1722" i="4"/>
  <c r="G1722" i="4"/>
  <c r="T1722" i="4"/>
  <c r="P1722" i="4"/>
  <c r="V1722" i="4"/>
  <c r="U1722" i="4"/>
  <c r="M1722" i="4"/>
  <c r="K1722" i="4"/>
  <c r="M1527" i="4"/>
  <c r="M1535" i="4"/>
  <c r="M1543" i="4"/>
  <c r="M1551" i="4"/>
  <c r="M1559" i="4"/>
  <c r="M1567" i="4"/>
  <c r="M1575" i="4"/>
  <c r="M1584" i="4"/>
  <c r="W1584" i="4"/>
  <c r="R1586" i="4"/>
  <c r="R1587" i="4"/>
  <c r="Q1592" i="4"/>
  <c r="Q1594" i="4"/>
  <c r="P1600" i="4"/>
  <c r="R1601" i="4"/>
  <c r="Q1605" i="4"/>
  <c r="I1605" i="4"/>
  <c r="H1605" i="4"/>
  <c r="S1605" i="4"/>
  <c r="R1610" i="4"/>
  <c r="S1611" i="4"/>
  <c r="Q1613" i="4"/>
  <c r="I1613" i="4"/>
  <c r="H1613" i="4"/>
  <c r="S1613" i="4"/>
  <c r="V1617" i="4"/>
  <c r="T1620" i="4"/>
  <c r="N1628" i="4"/>
  <c r="L1628" i="4"/>
  <c r="S1643" i="4"/>
  <c r="Q1643" i="4"/>
  <c r="I1643" i="4"/>
  <c r="K1654" i="4"/>
  <c r="O1654" i="4"/>
  <c r="W1654" i="4"/>
  <c r="V1654" i="4"/>
  <c r="M1654" i="4"/>
  <c r="U1654" i="4"/>
  <c r="T1654" i="4"/>
  <c r="J1654" i="4"/>
  <c r="P1654" i="4"/>
  <c r="N1696" i="4"/>
  <c r="L1696" i="4"/>
  <c r="R1588" i="4"/>
  <c r="T1590" i="4"/>
  <c r="R1596" i="4"/>
  <c r="M1599" i="4"/>
  <c r="U1599" i="4"/>
  <c r="R1604" i="4"/>
  <c r="M1607" i="4"/>
  <c r="U1607" i="4"/>
  <c r="R1612" i="4"/>
  <c r="M1615" i="4"/>
  <c r="U1615" i="4"/>
  <c r="V1616" i="4"/>
  <c r="R1620" i="4"/>
  <c r="M1623" i="4"/>
  <c r="U1623" i="4"/>
  <c r="V1624" i="4"/>
  <c r="R1628" i="4"/>
  <c r="M1631" i="4"/>
  <c r="U1631" i="4"/>
  <c r="V1632" i="4"/>
  <c r="G1633" i="4"/>
  <c r="O1633" i="4"/>
  <c r="W1633" i="4"/>
  <c r="H1634" i="4"/>
  <c r="R1636" i="4"/>
  <c r="M1639" i="4"/>
  <c r="U1639" i="4"/>
  <c r="V1640" i="4"/>
  <c r="G1641" i="4"/>
  <c r="O1641" i="4"/>
  <c r="W1641" i="4"/>
  <c r="H1642" i="4"/>
  <c r="R1644" i="4"/>
  <c r="N1648" i="4"/>
  <c r="V1648" i="4"/>
  <c r="G1649" i="4"/>
  <c r="O1649" i="4"/>
  <c r="W1649" i="4"/>
  <c r="H1650" i="4"/>
  <c r="Q1652" i="4"/>
  <c r="I1652" i="4"/>
  <c r="N1653" i="4"/>
  <c r="H1654" i="4"/>
  <c r="Q1654" i="4"/>
  <c r="U1671" i="4"/>
  <c r="M1671" i="4"/>
  <c r="T1671" i="4"/>
  <c r="K1671" i="4"/>
  <c r="P1671" i="4"/>
  <c r="J1671" i="4"/>
  <c r="Q1672" i="4"/>
  <c r="I1672" i="4"/>
  <c r="W1673" i="4"/>
  <c r="O1673" i="4"/>
  <c r="G1673" i="4"/>
  <c r="V1673" i="4"/>
  <c r="U1673" i="4"/>
  <c r="M1673" i="4"/>
  <c r="J1673" i="4"/>
  <c r="K1673" i="4"/>
  <c r="L1693" i="4"/>
  <c r="N1693" i="4"/>
  <c r="P1697" i="4"/>
  <c r="W1697" i="4"/>
  <c r="O1697" i="4"/>
  <c r="G1697" i="4"/>
  <c r="V1697" i="4"/>
  <c r="U1697" i="4"/>
  <c r="M1697" i="4"/>
  <c r="T1697" i="4"/>
  <c r="J1697" i="4"/>
  <c r="K1697" i="4"/>
  <c r="V1703" i="4"/>
  <c r="U1703" i="4"/>
  <c r="M1703" i="4"/>
  <c r="T1703" i="4"/>
  <c r="K1703" i="4"/>
  <c r="J1703" i="4"/>
  <c r="P1703" i="4"/>
  <c r="O1703" i="4"/>
  <c r="S1712" i="4"/>
  <c r="Q1712" i="4"/>
  <c r="I1712" i="4"/>
  <c r="V1719" i="4"/>
  <c r="U1719" i="4"/>
  <c r="M1719" i="4"/>
  <c r="T1719" i="4"/>
  <c r="K1719" i="4"/>
  <c r="J1719" i="4"/>
  <c r="P1719" i="4"/>
  <c r="O1719" i="4"/>
  <c r="L1732" i="4"/>
  <c r="N1732" i="4"/>
  <c r="N1743" i="4"/>
  <c r="L1743" i="4"/>
  <c r="N1751" i="4"/>
  <c r="L1751" i="4"/>
  <c r="L1810" i="4"/>
  <c r="N1810" i="4"/>
  <c r="L1813" i="4"/>
  <c r="N1813" i="4"/>
  <c r="R1634" i="4"/>
  <c r="R1642" i="4"/>
  <c r="R1650" i="4"/>
  <c r="T1670" i="4"/>
  <c r="K1670" i="4"/>
  <c r="J1670" i="4"/>
  <c r="W1670" i="4"/>
  <c r="O1670" i="4"/>
  <c r="G1670" i="4"/>
  <c r="M1670" i="4"/>
  <c r="U1686" i="4"/>
  <c r="M1686" i="4"/>
  <c r="T1686" i="4"/>
  <c r="K1686" i="4"/>
  <c r="J1686" i="4"/>
  <c r="W1686" i="4"/>
  <c r="O1686" i="4"/>
  <c r="G1686" i="4"/>
  <c r="N1688" i="4"/>
  <c r="L1688" i="4"/>
  <c r="U1694" i="4"/>
  <c r="M1694" i="4"/>
  <c r="T1694" i="4"/>
  <c r="K1694" i="4"/>
  <c r="J1694" i="4"/>
  <c r="W1694" i="4"/>
  <c r="O1694" i="4"/>
  <c r="G1694" i="4"/>
  <c r="S1696" i="4"/>
  <c r="Q1696" i="4"/>
  <c r="I1696" i="4"/>
  <c r="N1704" i="4"/>
  <c r="L1704" i="4"/>
  <c r="P1705" i="4"/>
  <c r="W1705" i="4"/>
  <c r="O1705" i="4"/>
  <c r="G1705" i="4"/>
  <c r="V1705" i="4"/>
  <c r="U1705" i="4"/>
  <c r="M1705" i="4"/>
  <c r="T1705" i="4"/>
  <c r="J1705" i="4"/>
  <c r="K1705" i="4"/>
  <c r="N1720" i="4"/>
  <c r="L1720" i="4"/>
  <c r="U1725" i="4"/>
  <c r="M1725" i="4"/>
  <c r="J1725" i="4"/>
  <c r="G1725" i="4"/>
  <c r="P1725" i="4"/>
  <c r="O1725" i="4"/>
  <c r="V1725" i="4"/>
  <c r="K1725" i="4"/>
  <c r="W1743" i="4"/>
  <c r="O1743" i="4"/>
  <c r="G1743" i="4"/>
  <c r="V1743" i="4"/>
  <c r="U1743" i="4"/>
  <c r="M1743" i="4"/>
  <c r="T1743" i="4"/>
  <c r="P1743" i="4"/>
  <c r="K1743" i="4"/>
  <c r="P1744" i="4"/>
  <c r="W1744" i="4"/>
  <c r="O1744" i="4"/>
  <c r="G1744" i="4"/>
  <c r="V1744" i="4"/>
  <c r="U1744" i="4"/>
  <c r="M1744" i="4"/>
  <c r="J1744" i="4"/>
  <c r="T1744" i="4"/>
  <c r="S1775" i="4"/>
  <c r="Q1775" i="4"/>
  <c r="I1775" i="4"/>
  <c r="H1775" i="4"/>
  <c r="R1775" i="4"/>
  <c r="P1776" i="4"/>
  <c r="W1776" i="4"/>
  <c r="O1776" i="4"/>
  <c r="G1776" i="4"/>
  <c r="V1776" i="4"/>
  <c r="U1776" i="4"/>
  <c r="M1776" i="4"/>
  <c r="T1776" i="4"/>
  <c r="J1776" i="4"/>
  <c r="K1776" i="4"/>
  <c r="H1839" i="4"/>
  <c r="R1839" i="4"/>
  <c r="Q1839" i="4"/>
  <c r="S1839" i="4"/>
  <c r="I1839" i="4"/>
  <c r="R1617" i="4"/>
  <c r="R1625" i="4"/>
  <c r="J1633" i="4"/>
  <c r="R1633" i="4"/>
  <c r="J1641" i="4"/>
  <c r="R1641" i="4"/>
  <c r="J1649" i="4"/>
  <c r="R1649" i="4"/>
  <c r="U1656" i="4"/>
  <c r="M1656" i="4"/>
  <c r="K1662" i="4"/>
  <c r="J1662" i="4"/>
  <c r="W1662" i="4"/>
  <c r="O1662" i="4"/>
  <c r="G1662" i="4"/>
  <c r="T1663" i="4"/>
  <c r="K1663" i="4"/>
  <c r="P1663" i="4"/>
  <c r="J1663" i="4"/>
  <c r="W1663" i="4"/>
  <c r="V1679" i="4"/>
  <c r="U1679" i="4"/>
  <c r="M1679" i="4"/>
  <c r="T1679" i="4"/>
  <c r="K1679" i="4"/>
  <c r="P1679" i="4"/>
  <c r="J1679" i="4"/>
  <c r="P1686" i="4"/>
  <c r="P1689" i="4"/>
  <c r="W1689" i="4"/>
  <c r="O1689" i="4"/>
  <c r="G1689" i="4"/>
  <c r="V1689" i="4"/>
  <c r="U1689" i="4"/>
  <c r="M1689" i="4"/>
  <c r="J1689" i="4"/>
  <c r="K1689" i="4"/>
  <c r="P1694" i="4"/>
  <c r="Q1714" i="4"/>
  <c r="I1714" i="4"/>
  <c r="H1714" i="4"/>
  <c r="S1714" i="4"/>
  <c r="R1714" i="4"/>
  <c r="N1729" i="4"/>
  <c r="L1729" i="4"/>
  <c r="N1734" i="4"/>
  <c r="L1734" i="4"/>
  <c r="N1737" i="4"/>
  <c r="L1737" i="4"/>
  <c r="N1738" i="4"/>
  <c r="L1738" i="4"/>
  <c r="S1767" i="4"/>
  <c r="Q1767" i="4"/>
  <c r="I1767" i="4"/>
  <c r="H1767" i="4"/>
  <c r="R1767" i="4"/>
  <c r="P1768" i="4"/>
  <c r="W1768" i="4"/>
  <c r="O1768" i="4"/>
  <c r="G1768" i="4"/>
  <c r="V1768" i="4"/>
  <c r="U1768" i="4"/>
  <c r="M1768" i="4"/>
  <c r="T1768" i="4"/>
  <c r="J1768" i="4"/>
  <c r="K1768" i="4"/>
  <c r="P1798" i="4"/>
  <c r="V1798" i="4"/>
  <c r="U1798" i="4"/>
  <c r="M1798" i="4"/>
  <c r="J1798" i="4"/>
  <c r="W1798" i="4"/>
  <c r="T1798" i="4"/>
  <c r="G1798" i="4"/>
  <c r="O1798" i="4"/>
  <c r="K1798" i="4"/>
  <c r="Q1850" i="4"/>
  <c r="I1850" i="4"/>
  <c r="S1850" i="4"/>
  <c r="H1850" i="4"/>
  <c r="R1850" i="4"/>
  <c r="R1600" i="4"/>
  <c r="R1608" i="4"/>
  <c r="J1616" i="4"/>
  <c r="R1616" i="4"/>
  <c r="J1624" i="4"/>
  <c r="R1624" i="4"/>
  <c r="J1632" i="4"/>
  <c r="R1632" i="4"/>
  <c r="K1633" i="4"/>
  <c r="J1640" i="4"/>
  <c r="R1640" i="4"/>
  <c r="K1641" i="4"/>
  <c r="M1643" i="4"/>
  <c r="U1643" i="4"/>
  <c r="J1648" i="4"/>
  <c r="R1648" i="4"/>
  <c r="K1649" i="4"/>
  <c r="M1651" i="4"/>
  <c r="U1651" i="4"/>
  <c r="J1656" i="4"/>
  <c r="M1657" i="4"/>
  <c r="W1658" i="4"/>
  <c r="O1658" i="4"/>
  <c r="G1658" i="4"/>
  <c r="V1658" i="4"/>
  <c r="K1658" i="4"/>
  <c r="J1658" i="4"/>
  <c r="P1659" i="4"/>
  <c r="W1659" i="4"/>
  <c r="O1659" i="4"/>
  <c r="G1659" i="4"/>
  <c r="T1659" i="4"/>
  <c r="K1659" i="4"/>
  <c r="M1662" i="4"/>
  <c r="S1663" i="4"/>
  <c r="H1663" i="4"/>
  <c r="M1663" i="4"/>
  <c r="P1670" i="4"/>
  <c r="S1672" i="4"/>
  <c r="S1679" i="4"/>
  <c r="H1679" i="4"/>
  <c r="O1679" i="4"/>
  <c r="Q1688" i="4"/>
  <c r="I1688" i="4"/>
  <c r="N1702" i="4"/>
  <c r="S1704" i="4"/>
  <c r="Q1704" i="4"/>
  <c r="I1704" i="4"/>
  <c r="V1711" i="4"/>
  <c r="U1711" i="4"/>
  <c r="M1711" i="4"/>
  <c r="T1711" i="4"/>
  <c r="K1711" i="4"/>
  <c r="J1711" i="4"/>
  <c r="P1711" i="4"/>
  <c r="O1711" i="4"/>
  <c r="Q1720" i="4"/>
  <c r="S1720" i="4"/>
  <c r="I1720" i="4"/>
  <c r="L1740" i="4"/>
  <c r="N1740" i="4"/>
  <c r="U1749" i="4"/>
  <c r="M1749" i="4"/>
  <c r="T1749" i="4"/>
  <c r="K1749" i="4"/>
  <c r="J1749" i="4"/>
  <c r="W1749" i="4"/>
  <c r="O1749" i="4"/>
  <c r="G1749" i="4"/>
  <c r="V1749" i="4"/>
  <c r="P1749" i="4"/>
  <c r="N1760" i="4"/>
  <c r="L1760" i="4"/>
  <c r="N1834" i="4"/>
  <c r="L1834" i="4"/>
  <c r="V1587" i="4"/>
  <c r="R1591" i="4"/>
  <c r="V1595" i="4"/>
  <c r="J1599" i="4"/>
  <c r="R1599" i="4"/>
  <c r="V1603" i="4"/>
  <c r="J1607" i="4"/>
  <c r="R1607" i="4"/>
  <c r="V1611" i="4"/>
  <c r="J1615" i="4"/>
  <c r="R1615" i="4"/>
  <c r="K1616" i="4"/>
  <c r="V1619" i="4"/>
  <c r="J1623" i="4"/>
  <c r="R1623" i="4"/>
  <c r="K1624" i="4"/>
  <c r="V1627" i="4"/>
  <c r="I1630" i="4"/>
  <c r="Q1630" i="4"/>
  <c r="J1631" i="4"/>
  <c r="K1632" i="4"/>
  <c r="T1633" i="4"/>
  <c r="V1635" i="4"/>
  <c r="I1638" i="4"/>
  <c r="Q1638" i="4"/>
  <c r="J1639" i="4"/>
  <c r="R1639" i="4"/>
  <c r="K1640" i="4"/>
  <c r="T1641" i="4"/>
  <c r="V1643" i="4"/>
  <c r="I1646" i="4"/>
  <c r="Q1646" i="4"/>
  <c r="J1647" i="4"/>
  <c r="R1647" i="4"/>
  <c r="K1648" i="4"/>
  <c r="T1649" i="4"/>
  <c r="V1651" i="4"/>
  <c r="K1653" i="4"/>
  <c r="T1653" i="4"/>
  <c r="K1656" i="4"/>
  <c r="T1656" i="4"/>
  <c r="O1657" i="4"/>
  <c r="L1658" i="4"/>
  <c r="M1659" i="4"/>
  <c r="Q1660" i="4"/>
  <c r="I1660" i="4"/>
  <c r="H1660" i="4"/>
  <c r="Q1664" i="4"/>
  <c r="I1664" i="4"/>
  <c r="V1665" i="4"/>
  <c r="U1665" i="4"/>
  <c r="M1665" i="4"/>
  <c r="J1665" i="4"/>
  <c r="W1665" i="4"/>
  <c r="V1671" i="4"/>
  <c r="T1673" i="4"/>
  <c r="Q1675" i="4"/>
  <c r="I1675" i="4"/>
  <c r="H1675" i="4"/>
  <c r="L1677" i="4"/>
  <c r="Q1679" i="4"/>
  <c r="V1686" i="4"/>
  <c r="V1694" i="4"/>
  <c r="R1696" i="4"/>
  <c r="Q1698" i="4"/>
  <c r="I1698" i="4"/>
  <c r="H1698" i="4"/>
  <c r="S1698" i="4"/>
  <c r="R1698" i="4"/>
  <c r="K1731" i="4"/>
  <c r="P1731" i="4"/>
  <c r="T1731" i="4"/>
  <c r="G1731" i="4"/>
  <c r="O1731" i="4"/>
  <c r="V1731" i="4"/>
  <c r="M1731" i="4"/>
  <c r="S1734" i="4"/>
  <c r="Q1734" i="4"/>
  <c r="I1734" i="4"/>
  <c r="Q1737" i="4"/>
  <c r="I1737" i="4"/>
  <c r="R1737" i="4"/>
  <c r="V1758" i="4"/>
  <c r="U1758" i="4"/>
  <c r="M1758" i="4"/>
  <c r="T1758" i="4"/>
  <c r="K1758" i="4"/>
  <c r="P1758" i="4"/>
  <c r="G1758" i="4"/>
  <c r="W1758" i="4"/>
  <c r="O1758" i="4"/>
  <c r="N1786" i="4"/>
  <c r="L1786" i="4"/>
  <c r="G1587" i="4"/>
  <c r="O1587" i="4"/>
  <c r="G1595" i="4"/>
  <c r="O1595" i="4"/>
  <c r="G1603" i="4"/>
  <c r="O1603" i="4"/>
  <c r="G1611" i="4"/>
  <c r="O1611" i="4"/>
  <c r="G1619" i="4"/>
  <c r="O1619" i="4"/>
  <c r="G1627" i="4"/>
  <c r="O1627" i="4"/>
  <c r="M1633" i="4"/>
  <c r="G1635" i="4"/>
  <c r="O1635" i="4"/>
  <c r="M1641" i="4"/>
  <c r="G1643" i="4"/>
  <c r="O1643" i="4"/>
  <c r="M1649" i="4"/>
  <c r="G1651" i="4"/>
  <c r="O1651" i="4"/>
  <c r="H1652" i="4"/>
  <c r="R1652" i="4"/>
  <c r="U1653" i="4"/>
  <c r="V1656" i="4"/>
  <c r="G1657" i="4"/>
  <c r="P1657" i="4"/>
  <c r="M1658" i="4"/>
  <c r="P1662" i="4"/>
  <c r="O1663" i="4"/>
  <c r="N1664" i="4"/>
  <c r="W1666" i="4"/>
  <c r="O1666" i="4"/>
  <c r="G1666" i="4"/>
  <c r="V1666" i="4"/>
  <c r="K1666" i="4"/>
  <c r="J1666" i="4"/>
  <c r="U1670" i="4"/>
  <c r="G1671" i="4"/>
  <c r="W1671" i="4"/>
  <c r="H1672" i="4"/>
  <c r="P1674" i="4"/>
  <c r="W1674" i="4"/>
  <c r="O1674" i="4"/>
  <c r="G1674" i="4"/>
  <c r="V1674" i="4"/>
  <c r="K1674" i="4"/>
  <c r="R1675" i="4"/>
  <c r="U1678" i="4"/>
  <c r="T1678" i="4"/>
  <c r="K1678" i="4"/>
  <c r="J1678" i="4"/>
  <c r="W1678" i="4"/>
  <c r="O1678" i="4"/>
  <c r="G1678" i="4"/>
  <c r="M1678" i="4"/>
  <c r="R1679" i="4"/>
  <c r="V1687" i="4"/>
  <c r="U1687" i="4"/>
  <c r="M1687" i="4"/>
  <c r="T1687" i="4"/>
  <c r="K1687" i="4"/>
  <c r="P1687" i="4"/>
  <c r="J1687" i="4"/>
  <c r="V1695" i="4"/>
  <c r="U1695" i="4"/>
  <c r="M1695" i="4"/>
  <c r="T1695" i="4"/>
  <c r="K1695" i="4"/>
  <c r="J1695" i="4"/>
  <c r="P1695" i="4"/>
  <c r="O1695" i="4"/>
  <c r="G1703" i="4"/>
  <c r="W1711" i="4"/>
  <c r="H1712" i="4"/>
  <c r="P1713" i="4"/>
  <c r="W1713" i="4"/>
  <c r="O1713" i="4"/>
  <c r="G1713" i="4"/>
  <c r="V1713" i="4"/>
  <c r="U1713" i="4"/>
  <c r="M1713" i="4"/>
  <c r="T1713" i="4"/>
  <c r="J1713" i="4"/>
  <c r="K1713" i="4"/>
  <c r="G1719" i="4"/>
  <c r="R1720" i="4"/>
  <c r="T1725" i="4"/>
  <c r="N1726" i="4"/>
  <c r="L1726" i="4"/>
  <c r="P1728" i="4"/>
  <c r="U1728" i="4"/>
  <c r="M1728" i="4"/>
  <c r="G1728" i="4"/>
  <c r="O1728" i="4"/>
  <c r="V1728" i="4"/>
  <c r="K1728" i="4"/>
  <c r="R1734" i="4"/>
  <c r="S1740" i="4"/>
  <c r="Q1740" i="4"/>
  <c r="I1740" i="4"/>
  <c r="R1740" i="4"/>
  <c r="N1778" i="4"/>
  <c r="L1778" i="4"/>
  <c r="V1661" i="4"/>
  <c r="T1667" i="4"/>
  <c r="V1669" i="4"/>
  <c r="T1675" i="4"/>
  <c r="M1676" i="4"/>
  <c r="V1677" i="4"/>
  <c r="K1682" i="4"/>
  <c r="T1683" i="4"/>
  <c r="M1684" i="4"/>
  <c r="V1685" i="4"/>
  <c r="K1690" i="4"/>
  <c r="T1691" i="4"/>
  <c r="M1692" i="4"/>
  <c r="U1692" i="4"/>
  <c r="V1693" i="4"/>
  <c r="K1698" i="4"/>
  <c r="T1699" i="4"/>
  <c r="M1700" i="4"/>
  <c r="U1700" i="4"/>
  <c r="N1701" i="4"/>
  <c r="V1701" i="4"/>
  <c r="G1702" i="4"/>
  <c r="O1702" i="4"/>
  <c r="W1702" i="4"/>
  <c r="H1703" i="4"/>
  <c r="K1706" i="4"/>
  <c r="T1707" i="4"/>
  <c r="M1708" i="4"/>
  <c r="U1708" i="4"/>
  <c r="G1710" i="4"/>
  <c r="O1710" i="4"/>
  <c r="W1710" i="4"/>
  <c r="H1711" i="4"/>
  <c r="K1714" i="4"/>
  <c r="T1715" i="4"/>
  <c r="M1716" i="4"/>
  <c r="U1716" i="4"/>
  <c r="N1717" i="4"/>
  <c r="G1718" i="4"/>
  <c r="O1718" i="4"/>
  <c r="W1718" i="4"/>
  <c r="H1719" i="4"/>
  <c r="P1720" i="4"/>
  <c r="U1720" i="4"/>
  <c r="M1720" i="4"/>
  <c r="S1731" i="4"/>
  <c r="H1731" i="4"/>
  <c r="V1734" i="4"/>
  <c r="K1734" i="4"/>
  <c r="T1734" i="4"/>
  <c r="G1741" i="4"/>
  <c r="G1742" i="4"/>
  <c r="I1743" i="4"/>
  <c r="L1744" i="4"/>
  <c r="T1752" i="4"/>
  <c r="S1758" i="4"/>
  <c r="H1758" i="4"/>
  <c r="P1760" i="4"/>
  <c r="W1760" i="4"/>
  <c r="O1760" i="4"/>
  <c r="G1760" i="4"/>
  <c r="V1760" i="4"/>
  <c r="U1760" i="4"/>
  <c r="M1760" i="4"/>
  <c r="J1760" i="4"/>
  <c r="N1781" i="4"/>
  <c r="L1781" i="4"/>
  <c r="J1816" i="4"/>
  <c r="P1816" i="4"/>
  <c r="W1816" i="4"/>
  <c r="O1816" i="4"/>
  <c r="G1816" i="4"/>
  <c r="T1816" i="4"/>
  <c r="V1816" i="4"/>
  <c r="U1816" i="4"/>
  <c r="K1816" i="4"/>
  <c r="L1818" i="4"/>
  <c r="N1818" i="4"/>
  <c r="Q1874" i="4"/>
  <c r="I1874" i="4"/>
  <c r="S1874" i="4"/>
  <c r="H1874" i="4"/>
  <c r="R1874" i="4"/>
  <c r="R1703" i="4"/>
  <c r="R1711" i="4"/>
  <c r="R1719" i="4"/>
  <c r="S1723" i="4"/>
  <c r="H1723" i="4"/>
  <c r="V1726" i="4"/>
  <c r="K1726" i="4"/>
  <c r="T1726" i="4"/>
  <c r="U1741" i="4"/>
  <c r="M1741" i="4"/>
  <c r="T1741" i="4"/>
  <c r="K1741" i="4"/>
  <c r="J1741" i="4"/>
  <c r="V1742" i="4"/>
  <c r="U1742" i="4"/>
  <c r="M1742" i="4"/>
  <c r="T1742" i="4"/>
  <c r="K1742" i="4"/>
  <c r="Q1751" i="4"/>
  <c r="I1751" i="4"/>
  <c r="Q1753" i="4"/>
  <c r="I1753" i="4"/>
  <c r="H1753" i="4"/>
  <c r="S1753" i="4"/>
  <c r="U1757" i="4"/>
  <c r="M1757" i="4"/>
  <c r="T1757" i="4"/>
  <c r="K1757" i="4"/>
  <c r="J1757" i="4"/>
  <c r="W1757" i="4"/>
  <c r="O1757" i="4"/>
  <c r="G1757" i="4"/>
  <c r="N1759" i="4"/>
  <c r="L1759" i="4"/>
  <c r="N1768" i="4"/>
  <c r="L1768" i="4"/>
  <c r="N1776" i="4"/>
  <c r="L1776" i="4"/>
  <c r="S1783" i="4"/>
  <c r="R1783" i="4"/>
  <c r="H1783" i="4"/>
  <c r="Q1783" i="4"/>
  <c r="N1815" i="4"/>
  <c r="L1815" i="4"/>
  <c r="R1662" i="4"/>
  <c r="T1664" i="4"/>
  <c r="G1667" i="4"/>
  <c r="O1667" i="4"/>
  <c r="W1667" i="4"/>
  <c r="H1668" i="4"/>
  <c r="R1670" i="4"/>
  <c r="G1675" i="4"/>
  <c r="O1675" i="4"/>
  <c r="W1675" i="4"/>
  <c r="H1676" i="4"/>
  <c r="R1678" i="4"/>
  <c r="V1682" i="4"/>
  <c r="G1683" i="4"/>
  <c r="O1683" i="4"/>
  <c r="W1683" i="4"/>
  <c r="H1684" i="4"/>
  <c r="R1686" i="4"/>
  <c r="T1688" i="4"/>
  <c r="V1690" i="4"/>
  <c r="G1691" i="4"/>
  <c r="O1691" i="4"/>
  <c r="W1691" i="4"/>
  <c r="H1692" i="4"/>
  <c r="Q1693" i="4"/>
  <c r="R1694" i="4"/>
  <c r="T1696" i="4"/>
  <c r="V1698" i="4"/>
  <c r="G1699" i="4"/>
  <c r="O1699" i="4"/>
  <c r="W1699" i="4"/>
  <c r="H1700" i="4"/>
  <c r="I1701" i="4"/>
  <c r="Q1701" i="4"/>
  <c r="J1702" i="4"/>
  <c r="R1702" i="4"/>
  <c r="T1704" i="4"/>
  <c r="V1706" i="4"/>
  <c r="G1707" i="4"/>
  <c r="O1707" i="4"/>
  <c r="W1707" i="4"/>
  <c r="H1708" i="4"/>
  <c r="I1709" i="4"/>
  <c r="Q1709" i="4"/>
  <c r="J1710" i="4"/>
  <c r="T1712" i="4"/>
  <c r="V1714" i="4"/>
  <c r="G1715" i="4"/>
  <c r="O1715" i="4"/>
  <c r="W1715" i="4"/>
  <c r="H1716" i="4"/>
  <c r="I1717" i="4"/>
  <c r="Q1717" i="4"/>
  <c r="J1718" i="4"/>
  <c r="W1720" i="4"/>
  <c r="H1721" i="4"/>
  <c r="H1724" i="4"/>
  <c r="J1726" i="4"/>
  <c r="U1726" i="4"/>
  <c r="H1727" i="4"/>
  <c r="R1727" i="4"/>
  <c r="Q1729" i="4"/>
  <c r="I1729" i="4"/>
  <c r="Q1732" i="4"/>
  <c r="I1732" i="4"/>
  <c r="M1734" i="4"/>
  <c r="W1735" i="4"/>
  <c r="O1735" i="4"/>
  <c r="G1735" i="4"/>
  <c r="T1735" i="4"/>
  <c r="J1735" i="4"/>
  <c r="U1735" i="4"/>
  <c r="R1736" i="4"/>
  <c r="J1738" i="4"/>
  <c r="W1738" i="4"/>
  <c r="O1738" i="4"/>
  <c r="G1738" i="4"/>
  <c r="K1738" i="4"/>
  <c r="U1738" i="4"/>
  <c r="G1739" i="4"/>
  <c r="R1739" i="4"/>
  <c r="J1742" i="4"/>
  <c r="S1744" i="4"/>
  <c r="R1751" i="4"/>
  <c r="P1757" i="4"/>
  <c r="T1760" i="4"/>
  <c r="V1766" i="4"/>
  <c r="U1766" i="4"/>
  <c r="M1766" i="4"/>
  <c r="T1766" i="4"/>
  <c r="K1766" i="4"/>
  <c r="J1766" i="4"/>
  <c r="P1766" i="4"/>
  <c r="O1766" i="4"/>
  <c r="V1774" i="4"/>
  <c r="U1774" i="4"/>
  <c r="M1774" i="4"/>
  <c r="T1774" i="4"/>
  <c r="K1774" i="4"/>
  <c r="J1774" i="4"/>
  <c r="P1774" i="4"/>
  <c r="O1774" i="4"/>
  <c r="Q1789" i="4"/>
  <c r="I1789" i="4"/>
  <c r="R1789" i="4"/>
  <c r="S1791" i="4"/>
  <c r="I1791" i="4"/>
  <c r="R1791" i="4"/>
  <c r="H1791" i="4"/>
  <c r="Q1791" i="4"/>
  <c r="N1807" i="4"/>
  <c r="L1807" i="4"/>
  <c r="M1664" i="4"/>
  <c r="I1668" i="4"/>
  <c r="Q1668" i="4"/>
  <c r="M1672" i="4"/>
  <c r="I1676" i="4"/>
  <c r="Q1676" i="4"/>
  <c r="M1680" i="4"/>
  <c r="G1682" i="4"/>
  <c r="O1682" i="4"/>
  <c r="W1682" i="4"/>
  <c r="H1683" i="4"/>
  <c r="I1684" i="4"/>
  <c r="Q1684" i="4"/>
  <c r="M1688" i="4"/>
  <c r="G1690" i="4"/>
  <c r="O1690" i="4"/>
  <c r="W1690" i="4"/>
  <c r="H1691" i="4"/>
  <c r="I1692" i="4"/>
  <c r="Q1692" i="4"/>
  <c r="M1696" i="4"/>
  <c r="G1698" i="4"/>
  <c r="O1698" i="4"/>
  <c r="W1698" i="4"/>
  <c r="H1699" i="4"/>
  <c r="I1700" i="4"/>
  <c r="Q1700" i="4"/>
  <c r="K1702" i="4"/>
  <c r="M1704" i="4"/>
  <c r="G1706" i="4"/>
  <c r="O1706" i="4"/>
  <c r="W1706" i="4"/>
  <c r="H1707" i="4"/>
  <c r="I1708" i="4"/>
  <c r="Q1708" i="4"/>
  <c r="K1710" i="4"/>
  <c r="M1712" i="4"/>
  <c r="G1714" i="4"/>
  <c r="O1714" i="4"/>
  <c r="W1714" i="4"/>
  <c r="H1715" i="4"/>
  <c r="I1716" i="4"/>
  <c r="Q1716" i="4"/>
  <c r="K1718" i="4"/>
  <c r="W1726" i="4"/>
  <c r="I1727" i="4"/>
  <c r="Q1728" i="4"/>
  <c r="Q1731" i="4"/>
  <c r="O1734" i="4"/>
  <c r="I1736" i="4"/>
  <c r="S1736" i="4"/>
  <c r="V1738" i="4"/>
  <c r="O1741" i="4"/>
  <c r="O1742" i="4"/>
  <c r="Q1743" i="4"/>
  <c r="V1750" i="4"/>
  <c r="U1750" i="4"/>
  <c r="M1750" i="4"/>
  <c r="T1750" i="4"/>
  <c r="K1750" i="4"/>
  <c r="P1750" i="4"/>
  <c r="J1750" i="4"/>
  <c r="S1751" i="4"/>
  <c r="Q1769" i="4"/>
  <c r="I1769" i="4"/>
  <c r="H1769" i="4"/>
  <c r="S1769" i="4"/>
  <c r="Q1777" i="4"/>
  <c r="S1777" i="4"/>
  <c r="I1777" i="4"/>
  <c r="R1777" i="4"/>
  <c r="H1777" i="4"/>
  <c r="N1787" i="4"/>
  <c r="L1787" i="4"/>
  <c r="I1683" i="4"/>
  <c r="Q1683" i="4"/>
  <c r="I1691" i="4"/>
  <c r="Q1691" i="4"/>
  <c r="I1699" i="4"/>
  <c r="Q1699" i="4"/>
  <c r="T1702" i="4"/>
  <c r="I1707" i="4"/>
  <c r="Q1707" i="4"/>
  <c r="T1710" i="4"/>
  <c r="I1715" i="4"/>
  <c r="Q1715" i="4"/>
  <c r="T1718" i="4"/>
  <c r="Q1721" i="4"/>
  <c r="I1721" i="4"/>
  <c r="Q1724" i="4"/>
  <c r="I1724" i="4"/>
  <c r="M1726" i="4"/>
  <c r="W1727" i="4"/>
  <c r="O1727" i="4"/>
  <c r="G1727" i="4"/>
  <c r="T1727" i="4"/>
  <c r="J1727" i="4"/>
  <c r="U1727" i="4"/>
  <c r="J1730" i="4"/>
  <c r="W1730" i="4"/>
  <c r="O1730" i="4"/>
  <c r="G1730" i="4"/>
  <c r="K1730" i="4"/>
  <c r="U1730" i="4"/>
  <c r="U1733" i="4"/>
  <c r="M1733" i="4"/>
  <c r="J1733" i="4"/>
  <c r="T1733" i="4"/>
  <c r="P1736" i="4"/>
  <c r="U1736" i="4"/>
  <c r="M1736" i="4"/>
  <c r="J1736" i="4"/>
  <c r="T1736" i="4"/>
  <c r="K1739" i="4"/>
  <c r="P1739" i="4"/>
  <c r="J1739" i="4"/>
  <c r="U1739" i="4"/>
  <c r="P1741" i="4"/>
  <c r="P1742" i="4"/>
  <c r="R1743" i="4"/>
  <c r="S1750" i="4"/>
  <c r="H1750" i="4"/>
  <c r="P1752" i="4"/>
  <c r="W1752" i="4"/>
  <c r="O1752" i="4"/>
  <c r="G1752" i="4"/>
  <c r="V1752" i="4"/>
  <c r="U1752" i="4"/>
  <c r="M1752" i="4"/>
  <c r="J1752" i="4"/>
  <c r="L1752" i="4"/>
  <c r="Q1759" i="4"/>
  <c r="I1759" i="4"/>
  <c r="Q1761" i="4"/>
  <c r="I1761" i="4"/>
  <c r="H1761" i="4"/>
  <c r="S1761" i="4"/>
  <c r="W1766" i="4"/>
  <c r="W1774" i="4"/>
  <c r="P1792" i="4"/>
  <c r="W1792" i="4"/>
  <c r="O1792" i="4"/>
  <c r="G1792" i="4"/>
  <c r="T1792" i="4"/>
  <c r="V1792" i="4"/>
  <c r="J1792" i="4"/>
  <c r="U1792" i="4"/>
  <c r="M1792" i="4"/>
  <c r="S1829" i="4"/>
  <c r="Q1829" i="4"/>
  <c r="I1829" i="4"/>
  <c r="H1829" i="4"/>
  <c r="R1829" i="4"/>
  <c r="M1702" i="4"/>
  <c r="M1710" i="4"/>
  <c r="M1718" i="4"/>
  <c r="Q1723" i="4"/>
  <c r="O1726" i="4"/>
  <c r="S1739" i="4"/>
  <c r="H1739" i="4"/>
  <c r="Q1745" i="4"/>
  <c r="I1745" i="4"/>
  <c r="H1745" i="4"/>
  <c r="R1753" i="4"/>
  <c r="V1757" i="4"/>
  <c r="N1773" i="4"/>
  <c r="T1780" i="4"/>
  <c r="P1780" i="4"/>
  <c r="G1780" i="4"/>
  <c r="O1780" i="4"/>
  <c r="V1780" i="4"/>
  <c r="K1780" i="4"/>
  <c r="S1789" i="4"/>
  <c r="P1822" i="4"/>
  <c r="V1822" i="4"/>
  <c r="U1822" i="4"/>
  <c r="M1822" i="4"/>
  <c r="J1822" i="4"/>
  <c r="O1822" i="4"/>
  <c r="K1822" i="4"/>
  <c r="W1822" i="4"/>
  <c r="R1752" i="4"/>
  <c r="R1760" i="4"/>
  <c r="N1764" i="4"/>
  <c r="G1765" i="4"/>
  <c r="O1765" i="4"/>
  <c r="W1765" i="4"/>
  <c r="H1766" i="4"/>
  <c r="R1768" i="4"/>
  <c r="N1772" i="4"/>
  <c r="G1773" i="4"/>
  <c r="O1773" i="4"/>
  <c r="W1773" i="4"/>
  <c r="H1774" i="4"/>
  <c r="R1776" i="4"/>
  <c r="W1783" i="4"/>
  <c r="O1783" i="4"/>
  <c r="G1783" i="4"/>
  <c r="K1783" i="4"/>
  <c r="J1783" i="4"/>
  <c r="U1783" i="4"/>
  <c r="J1786" i="4"/>
  <c r="V1786" i="4"/>
  <c r="T1786" i="4"/>
  <c r="Q1793" i="4"/>
  <c r="I1793" i="4"/>
  <c r="H1793" i="4"/>
  <c r="Q1799" i="4"/>
  <c r="I1799" i="4"/>
  <c r="S1799" i="4"/>
  <c r="G1812" i="4"/>
  <c r="S1817" i="4"/>
  <c r="Q1817" i="4"/>
  <c r="I1817" i="4"/>
  <c r="H1817" i="4"/>
  <c r="V1820" i="4"/>
  <c r="T1820" i="4"/>
  <c r="K1820" i="4"/>
  <c r="P1820" i="4"/>
  <c r="J1820" i="4"/>
  <c r="Q1821" i="4"/>
  <c r="I1821" i="4"/>
  <c r="N1833" i="4"/>
  <c r="L1833" i="4"/>
  <c r="Q1836" i="4"/>
  <c r="I1836" i="4"/>
  <c r="R1836" i="4"/>
  <c r="V1841" i="4"/>
  <c r="J1841" i="4"/>
  <c r="G1841" i="4"/>
  <c r="P1841" i="4"/>
  <c r="O1841" i="4"/>
  <c r="M1841" i="4"/>
  <c r="U1841" i="4"/>
  <c r="K1841" i="4"/>
  <c r="P1857" i="4"/>
  <c r="V1857" i="4"/>
  <c r="U1857" i="4"/>
  <c r="M1857" i="4"/>
  <c r="J1857" i="4"/>
  <c r="W1857" i="4"/>
  <c r="T1857" i="4"/>
  <c r="G1857" i="4"/>
  <c r="O1857" i="4"/>
  <c r="K1857" i="4"/>
  <c r="R1766" i="4"/>
  <c r="R1774" i="4"/>
  <c r="J1778" i="4"/>
  <c r="V1778" i="4"/>
  <c r="T1778" i="4"/>
  <c r="P1784" i="4"/>
  <c r="T1784" i="4"/>
  <c r="J1784" i="4"/>
  <c r="U1784" i="4"/>
  <c r="S1809" i="4"/>
  <c r="Q1809" i="4"/>
  <c r="I1809" i="4"/>
  <c r="H1809" i="4"/>
  <c r="V1812" i="4"/>
  <c r="T1812" i="4"/>
  <c r="K1812" i="4"/>
  <c r="P1812" i="4"/>
  <c r="J1812" i="4"/>
  <c r="Q1813" i="4"/>
  <c r="I1813" i="4"/>
  <c r="U1819" i="4"/>
  <c r="M1819" i="4"/>
  <c r="K1819" i="4"/>
  <c r="J1819" i="4"/>
  <c r="W1819" i="4"/>
  <c r="O1819" i="4"/>
  <c r="G1819" i="4"/>
  <c r="Q1823" i="4"/>
  <c r="I1823" i="4"/>
  <c r="S1823" i="4"/>
  <c r="T1916" i="4"/>
  <c r="P1916" i="4"/>
  <c r="G1916" i="4"/>
  <c r="O1916" i="4"/>
  <c r="W1916" i="4"/>
  <c r="V1916" i="4"/>
  <c r="M1916" i="4"/>
  <c r="J1916" i="4"/>
  <c r="U1916" i="4"/>
  <c r="K1916" i="4"/>
  <c r="G1746" i="4"/>
  <c r="O1746" i="4"/>
  <c r="W1746" i="4"/>
  <c r="H1747" i="4"/>
  <c r="P1747" i="4"/>
  <c r="I1748" i="4"/>
  <c r="Q1748" i="4"/>
  <c r="T1751" i="4"/>
  <c r="G1754" i="4"/>
  <c r="O1754" i="4"/>
  <c r="W1754" i="4"/>
  <c r="H1755" i="4"/>
  <c r="P1755" i="4"/>
  <c r="I1756" i="4"/>
  <c r="Q1756" i="4"/>
  <c r="T1759" i="4"/>
  <c r="G1762" i="4"/>
  <c r="O1762" i="4"/>
  <c r="W1762" i="4"/>
  <c r="H1763" i="4"/>
  <c r="P1763" i="4"/>
  <c r="I1764" i="4"/>
  <c r="Q1764" i="4"/>
  <c r="J1765" i="4"/>
  <c r="T1767" i="4"/>
  <c r="G1770" i="4"/>
  <c r="O1770" i="4"/>
  <c r="W1770" i="4"/>
  <c r="H1771" i="4"/>
  <c r="P1771" i="4"/>
  <c r="I1772" i="4"/>
  <c r="Q1772" i="4"/>
  <c r="J1773" i="4"/>
  <c r="T1775" i="4"/>
  <c r="K1778" i="4"/>
  <c r="U1778" i="4"/>
  <c r="H1779" i="4"/>
  <c r="R1779" i="4"/>
  <c r="Q1781" i="4"/>
  <c r="I1781" i="4"/>
  <c r="K1784" i="4"/>
  <c r="V1784" i="4"/>
  <c r="M1786" i="4"/>
  <c r="K1787" i="4"/>
  <c r="W1787" i="4"/>
  <c r="O1787" i="4"/>
  <c r="G1787" i="4"/>
  <c r="J1787" i="4"/>
  <c r="U1787" i="4"/>
  <c r="V1790" i="4"/>
  <c r="J1790" i="4"/>
  <c r="T1790" i="4"/>
  <c r="R1792" i="4"/>
  <c r="L1802" i="4"/>
  <c r="N1802" i="4"/>
  <c r="G1806" i="4"/>
  <c r="T1806" i="4"/>
  <c r="J1808" i="4"/>
  <c r="P1808" i="4"/>
  <c r="W1808" i="4"/>
  <c r="O1808" i="4"/>
  <c r="G1808" i="4"/>
  <c r="T1808" i="4"/>
  <c r="M1808" i="4"/>
  <c r="S1812" i="4"/>
  <c r="H1812" i="4"/>
  <c r="M1812" i="4"/>
  <c r="P1814" i="4"/>
  <c r="V1814" i="4"/>
  <c r="U1814" i="4"/>
  <c r="M1814" i="4"/>
  <c r="J1814" i="4"/>
  <c r="V1828" i="4"/>
  <c r="U1828" i="4"/>
  <c r="M1828" i="4"/>
  <c r="T1828" i="4"/>
  <c r="K1828" i="4"/>
  <c r="J1828" i="4"/>
  <c r="P1828" i="4"/>
  <c r="O1828" i="4"/>
  <c r="Q1831" i="4"/>
  <c r="I1831" i="4"/>
  <c r="H1831" i="4"/>
  <c r="S1831" i="4"/>
  <c r="S1836" i="4"/>
  <c r="T1841" i="4"/>
  <c r="L1888" i="4"/>
  <c r="N1888" i="4"/>
  <c r="P1746" i="4"/>
  <c r="I1747" i="4"/>
  <c r="Q1747" i="4"/>
  <c r="R1748" i="4"/>
  <c r="M1751" i="4"/>
  <c r="U1751" i="4"/>
  <c r="P1754" i="4"/>
  <c r="I1755" i="4"/>
  <c r="Q1755" i="4"/>
  <c r="R1756" i="4"/>
  <c r="M1759" i="4"/>
  <c r="U1759" i="4"/>
  <c r="P1762" i="4"/>
  <c r="I1763" i="4"/>
  <c r="Q1763" i="4"/>
  <c r="R1764" i="4"/>
  <c r="K1765" i="4"/>
  <c r="M1767" i="4"/>
  <c r="U1767" i="4"/>
  <c r="P1770" i="4"/>
  <c r="I1771" i="4"/>
  <c r="Q1771" i="4"/>
  <c r="R1772" i="4"/>
  <c r="K1773" i="4"/>
  <c r="M1775" i="4"/>
  <c r="U1775" i="4"/>
  <c r="W1778" i="4"/>
  <c r="Q1780" i="4"/>
  <c r="P1783" i="4"/>
  <c r="M1784" i="4"/>
  <c r="W1784" i="4"/>
  <c r="O1786" i="4"/>
  <c r="S1792" i="4"/>
  <c r="R1793" i="4"/>
  <c r="K1795" i="4"/>
  <c r="J1795" i="4"/>
  <c r="W1795" i="4"/>
  <c r="O1795" i="4"/>
  <c r="G1795" i="4"/>
  <c r="L1795" i="4"/>
  <c r="T1796" i="4"/>
  <c r="K1796" i="4"/>
  <c r="P1796" i="4"/>
  <c r="J1796" i="4"/>
  <c r="W1796" i="4"/>
  <c r="S1801" i="4"/>
  <c r="Q1801" i="4"/>
  <c r="I1801" i="4"/>
  <c r="H1801" i="4"/>
  <c r="V1804" i="4"/>
  <c r="T1804" i="4"/>
  <c r="K1804" i="4"/>
  <c r="P1804" i="4"/>
  <c r="J1804" i="4"/>
  <c r="Q1805" i="4"/>
  <c r="I1805" i="4"/>
  <c r="U1811" i="4"/>
  <c r="M1811" i="4"/>
  <c r="K1811" i="4"/>
  <c r="J1811" i="4"/>
  <c r="W1811" i="4"/>
  <c r="O1811" i="4"/>
  <c r="G1811" i="4"/>
  <c r="L1811" i="4"/>
  <c r="O1812" i="4"/>
  <c r="Q1815" i="4"/>
  <c r="I1815" i="4"/>
  <c r="S1815" i="4"/>
  <c r="R1817" i="4"/>
  <c r="P1819" i="4"/>
  <c r="R1821" i="4"/>
  <c r="R1823" i="4"/>
  <c r="L1826" i="4"/>
  <c r="N1826" i="4"/>
  <c r="W1841" i="4"/>
  <c r="L1864" i="4"/>
  <c r="N1864" i="4"/>
  <c r="L1880" i="4"/>
  <c r="N1880" i="4"/>
  <c r="N1892" i="4"/>
  <c r="L1892" i="4"/>
  <c r="N1913" i="4"/>
  <c r="L1913" i="4"/>
  <c r="J1747" i="4"/>
  <c r="R1747" i="4"/>
  <c r="V1751" i="4"/>
  <c r="J1755" i="4"/>
  <c r="R1755" i="4"/>
  <c r="V1759" i="4"/>
  <c r="J1763" i="4"/>
  <c r="R1763" i="4"/>
  <c r="T1765" i="4"/>
  <c r="V1767" i="4"/>
  <c r="R1771" i="4"/>
  <c r="T1773" i="4"/>
  <c r="V1775" i="4"/>
  <c r="M1778" i="4"/>
  <c r="K1779" i="4"/>
  <c r="W1779" i="4"/>
  <c r="O1779" i="4"/>
  <c r="G1779" i="4"/>
  <c r="J1779" i="4"/>
  <c r="U1779" i="4"/>
  <c r="R1780" i="4"/>
  <c r="V1782" i="4"/>
  <c r="J1782" i="4"/>
  <c r="T1782" i="4"/>
  <c r="P1786" i="4"/>
  <c r="T1788" i="4"/>
  <c r="P1788" i="4"/>
  <c r="J1788" i="4"/>
  <c r="U1788" i="4"/>
  <c r="L1790" i="4"/>
  <c r="I1792" i="4"/>
  <c r="S1793" i="4"/>
  <c r="S1796" i="4"/>
  <c r="H1796" i="4"/>
  <c r="H1799" i="4"/>
  <c r="J1800" i="4"/>
  <c r="P1800" i="4"/>
  <c r="W1800" i="4"/>
  <c r="O1800" i="4"/>
  <c r="G1800" i="4"/>
  <c r="T1800" i="4"/>
  <c r="M1800" i="4"/>
  <c r="S1804" i="4"/>
  <c r="H1804" i="4"/>
  <c r="N1805" i="4"/>
  <c r="P1806" i="4"/>
  <c r="V1806" i="4"/>
  <c r="U1806" i="4"/>
  <c r="M1806" i="4"/>
  <c r="J1806" i="4"/>
  <c r="U1820" i="4"/>
  <c r="S1821" i="4"/>
  <c r="L1872" i="4"/>
  <c r="N1872" i="4"/>
  <c r="L1897" i="4"/>
  <c r="N1897" i="4"/>
  <c r="G1751" i="4"/>
  <c r="O1751" i="4"/>
  <c r="G1759" i="4"/>
  <c r="O1759" i="4"/>
  <c r="M1765" i="4"/>
  <c r="G1767" i="4"/>
  <c r="O1767" i="4"/>
  <c r="M1773" i="4"/>
  <c r="G1775" i="4"/>
  <c r="O1775" i="4"/>
  <c r="U1777" i="4"/>
  <c r="M1777" i="4"/>
  <c r="O1778" i="4"/>
  <c r="V1779" i="4"/>
  <c r="I1780" i="4"/>
  <c r="S1780" i="4"/>
  <c r="K1782" i="4"/>
  <c r="U1782" i="4"/>
  <c r="O1784" i="4"/>
  <c r="Q1785" i="4"/>
  <c r="I1785" i="4"/>
  <c r="G1786" i="4"/>
  <c r="K1788" i="4"/>
  <c r="V1788" i="4"/>
  <c r="M1790" i="4"/>
  <c r="W1791" i="4"/>
  <c r="O1791" i="4"/>
  <c r="G1791" i="4"/>
  <c r="V1791" i="4"/>
  <c r="K1791" i="4"/>
  <c r="J1791" i="4"/>
  <c r="U1791" i="4"/>
  <c r="Q1797" i="4"/>
  <c r="I1797" i="4"/>
  <c r="U1803" i="4"/>
  <c r="M1803" i="4"/>
  <c r="K1803" i="4"/>
  <c r="J1803" i="4"/>
  <c r="W1803" i="4"/>
  <c r="O1803" i="4"/>
  <c r="G1803" i="4"/>
  <c r="O1804" i="4"/>
  <c r="K1806" i="4"/>
  <c r="Q1807" i="4"/>
  <c r="I1807" i="4"/>
  <c r="S1807" i="4"/>
  <c r="R1809" i="4"/>
  <c r="P1811" i="4"/>
  <c r="R1812" i="4"/>
  <c r="R1813" i="4"/>
  <c r="O1814" i="4"/>
  <c r="R1815" i="4"/>
  <c r="T1819" i="4"/>
  <c r="G1820" i="4"/>
  <c r="W1820" i="4"/>
  <c r="H1821" i="4"/>
  <c r="P1830" i="4"/>
  <c r="W1830" i="4"/>
  <c r="O1830" i="4"/>
  <c r="G1830" i="4"/>
  <c r="V1830" i="4"/>
  <c r="U1830" i="4"/>
  <c r="M1830" i="4"/>
  <c r="T1830" i="4"/>
  <c r="J1830" i="4"/>
  <c r="K1830" i="4"/>
  <c r="H1836" i="4"/>
  <c r="S1838" i="4"/>
  <c r="I1838" i="4"/>
  <c r="R1838" i="4"/>
  <c r="H1838" i="4"/>
  <c r="Q1838" i="4"/>
  <c r="Q1866" i="4"/>
  <c r="I1866" i="4"/>
  <c r="S1866" i="4"/>
  <c r="H1866" i="4"/>
  <c r="R1866" i="4"/>
  <c r="Q1882" i="4"/>
  <c r="I1882" i="4"/>
  <c r="S1882" i="4"/>
  <c r="H1882" i="4"/>
  <c r="R1882" i="4"/>
  <c r="W1892" i="4"/>
  <c r="O1892" i="4"/>
  <c r="G1892" i="4"/>
  <c r="V1892" i="4"/>
  <c r="M1892" i="4"/>
  <c r="U1892" i="4"/>
  <c r="K1892" i="4"/>
  <c r="T1892" i="4"/>
  <c r="J1892" i="4"/>
  <c r="P1901" i="4"/>
  <c r="W1901" i="4"/>
  <c r="O1901" i="4"/>
  <c r="G1901" i="4"/>
  <c r="M1901" i="4"/>
  <c r="V1901" i="4"/>
  <c r="T1901" i="4"/>
  <c r="J1901" i="4"/>
  <c r="U1901" i="4"/>
  <c r="K1901" i="4"/>
  <c r="M1785" i="4"/>
  <c r="M1793" i="4"/>
  <c r="V1794" i="4"/>
  <c r="K1799" i="4"/>
  <c r="M1801" i="4"/>
  <c r="V1802" i="4"/>
  <c r="K1807" i="4"/>
  <c r="M1809" i="4"/>
  <c r="V1810" i="4"/>
  <c r="K1815" i="4"/>
  <c r="M1817" i="4"/>
  <c r="V1818" i="4"/>
  <c r="K1823" i="4"/>
  <c r="T1824" i="4"/>
  <c r="M1825" i="4"/>
  <c r="V1826" i="4"/>
  <c r="G1827" i="4"/>
  <c r="O1827" i="4"/>
  <c r="W1827" i="4"/>
  <c r="H1828" i="4"/>
  <c r="K1831" i="4"/>
  <c r="V1833" i="4"/>
  <c r="J1833" i="4"/>
  <c r="T1833" i="4"/>
  <c r="Q1834" i="4"/>
  <c r="N1835" i="4"/>
  <c r="T1839" i="4"/>
  <c r="P1839" i="4"/>
  <c r="J1839" i="4"/>
  <c r="U1839" i="4"/>
  <c r="H1842" i="4"/>
  <c r="R1842" i="4"/>
  <c r="Q1844" i="4"/>
  <c r="I1844" i="4"/>
  <c r="Q1847" i="4"/>
  <c r="P1849" i="4"/>
  <c r="V1849" i="4"/>
  <c r="U1849" i="4"/>
  <c r="M1849" i="4"/>
  <c r="J1849" i="4"/>
  <c r="P1854" i="4"/>
  <c r="R1855" i="4"/>
  <c r="Q1858" i="4"/>
  <c r="I1858" i="4"/>
  <c r="S1858" i="4"/>
  <c r="R1828" i="4"/>
  <c r="W1842" i="4"/>
  <c r="O1842" i="4"/>
  <c r="G1842" i="4"/>
  <c r="K1842" i="4"/>
  <c r="J1842" i="4"/>
  <c r="U1842" i="4"/>
  <c r="J1845" i="4"/>
  <c r="V1845" i="4"/>
  <c r="T1845" i="4"/>
  <c r="V1875" i="4"/>
  <c r="V1883" i="4"/>
  <c r="S1897" i="4"/>
  <c r="I1897" i="4"/>
  <c r="R1897" i="4"/>
  <c r="Q1897" i="4"/>
  <c r="Q1913" i="4"/>
  <c r="I1913" i="4"/>
  <c r="S1913" i="4"/>
  <c r="R1913" i="4"/>
  <c r="N1938" i="4"/>
  <c r="L1938" i="4"/>
  <c r="R1795" i="4"/>
  <c r="V1799" i="4"/>
  <c r="R1803" i="4"/>
  <c r="V1807" i="4"/>
  <c r="R1811" i="4"/>
  <c r="V1815" i="4"/>
  <c r="R1819" i="4"/>
  <c r="V1823" i="4"/>
  <c r="G1824" i="4"/>
  <c r="O1824" i="4"/>
  <c r="W1824" i="4"/>
  <c r="H1825" i="4"/>
  <c r="J1827" i="4"/>
  <c r="R1827" i="4"/>
  <c r="V1831" i="4"/>
  <c r="R1832" i="4"/>
  <c r="W1834" i="4"/>
  <c r="O1834" i="4"/>
  <c r="G1834" i="4"/>
  <c r="K1834" i="4"/>
  <c r="J1834" i="4"/>
  <c r="U1834" i="4"/>
  <c r="R1835" i="4"/>
  <c r="J1837" i="4"/>
  <c r="V1837" i="4"/>
  <c r="T1837" i="4"/>
  <c r="V1842" i="4"/>
  <c r="I1843" i="4"/>
  <c r="S1843" i="4"/>
  <c r="K1845" i="4"/>
  <c r="U1845" i="4"/>
  <c r="H1846" i="4"/>
  <c r="T1846" i="4"/>
  <c r="G1847" i="4"/>
  <c r="H1848" i="4"/>
  <c r="L1861" i="4"/>
  <c r="N1861" i="4"/>
  <c r="V1863" i="4"/>
  <c r="T1863" i="4"/>
  <c r="K1863" i="4"/>
  <c r="P1863" i="4"/>
  <c r="J1863" i="4"/>
  <c r="Q1864" i="4"/>
  <c r="I1864" i="4"/>
  <c r="L1869" i="4"/>
  <c r="N1869" i="4"/>
  <c r="V1871" i="4"/>
  <c r="T1871" i="4"/>
  <c r="K1871" i="4"/>
  <c r="P1871" i="4"/>
  <c r="J1871" i="4"/>
  <c r="Q1872" i="4"/>
  <c r="I1872" i="4"/>
  <c r="L1877" i="4"/>
  <c r="N1877" i="4"/>
  <c r="V1879" i="4"/>
  <c r="T1879" i="4"/>
  <c r="K1879" i="4"/>
  <c r="P1879" i="4"/>
  <c r="J1879" i="4"/>
  <c r="Q1880" i="4"/>
  <c r="I1880" i="4"/>
  <c r="L1885" i="4"/>
  <c r="N1885" i="4"/>
  <c r="V1887" i="4"/>
  <c r="T1887" i="4"/>
  <c r="K1887" i="4"/>
  <c r="P1887" i="4"/>
  <c r="J1887" i="4"/>
  <c r="Q1888" i="4"/>
  <c r="I1888" i="4"/>
  <c r="W1900" i="4"/>
  <c r="O1900" i="4"/>
  <c r="G1900" i="4"/>
  <c r="V1900" i="4"/>
  <c r="P1900" i="4"/>
  <c r="M1900" i="4"/>
  <c r="U1900" i="4"/>
  <c r="K1900" i="4"/>
  <c r="J1900" i="4"/>
  <c r="V1907" i="4"/>
  <c r="U1907" i="4"/>
  <c r="M1907" i="4"/>
  <c r="J1907" i="4"/>
  <c r="P1907" i="4"/>
  <c r="W1907" i="4"/>
  <c r="T1907" i="4"/>
  <c r="G1907" i="4"/>
  <c r="O1907" i="4"/>
  <c r="K1907" i="4"/>
  <c r="W1972" i="4"/>
  <c r="O1972" i="4"/>
  <c r="G1972" i="4"/>
  <c r="V1972" i="4"/>
  <c r="K1972" i="4"/>
  <c r="P1972" i="4"/>
  <c r="M1972" i="4"/>
  <c r="U1972" i="4"/>
  <c r="J1972" i="4"/>
  <c r="T1972" i="4"/>
  <c r="M1781" i="4"/>
  <c r="M1789" i="4"/>
  <c r="M1797" i="4"/>
  <c r="G1799" i="4"/>
  <c r="O1799" i="4"/>
  <c r="H1800" i="4"/>
  <c r="M1805" i="4"/>
  <c r="G1807" i="4"/>
  <c r="O1807" i="4"/>
  <c r="H1808" i="4"/>
  <c r="M1813" i="4"/>
  <c r="G1815" i="4"/>
  <c r="O1815" i="4"/>
  <c r="H1816" i="4"/>
  <c r="M1821" i="4"/>
  <c r="G1823" i="4"/>
  <c r="O1823" i="4"/>
  <c r="H1824" i="4"/>
  <c r="P1824" i="4"/>
  <c r="I1825" i="4"/>
  <c r="Q1825" i="4"/>
  <c r="K1827" i="4"/>
  <c r="M1829" i="4"/>
  <c r="G1831" i="4"/>
  <c r="O1831" i="4"/>
  <c r="H1832" i="4"/>
  <c r="O1833" i="4"/>
  <c r="V1834" i="4"/>
  <c r="I1835" i="4"/>
  <c r="S1835" i="4"/>
  <c r="K1837" i="4"/>
  <c r="U1837" i="4"/>
  <c r="O1839" i="4"/>
  <c r="Q1840" i="4"/>
  <c r="I1840" i="4"/>
  <c r="M1842" i="4"/>
  <c r="P1843" i="4"/>
  <c r="T1843" i="4"/>
  <c r="J1843" i="4"/>
  <c r="U1843" i="4"/>
  <c r="W1845" i="4"/>
  <c r="L1853" i="4"/>
  <c r="N1853" i="4"/>
  <c r="V1855" i="4"/>
  <c r="T1855" i="4"/>
  <c r="K1855" i="4"/>
  <c r="P1855" i="4"/>
  <c r="J1855" i="4"/>
  <c r="Q1856" i="4"/>
  <c r="I1856" i="4"/>
  <c r="S1860" i="4"/>
  <c r="Q1860" i="4"/>
  <c r="I1860" i="4"/>
  <c r="H1860" i="4"/>
  <c r="S1863" i="4"/>
  <c r="H1863" i="4"/>
  <c r="M1863" i="4"/>
  <c r="G1865" i="4"/>
  <c r="S1868" i="4"/>
  <c r="Q1868" i="4"/>
  <c r="I1868" i="4"/>
  <c r="H1868" i="4"/>
  <c r="S1871" i="4"/>
  <c r="H1871" i="4"/>
  <c r="M1871" i="4"/>
  <c r="G1873" i="4"/>
  <c r="S1876" i="4"/>
  <c r="Q1876" i="4"/>
  <c r="I1876" i="4"/>
  <c r="H1876" i="4"/>
  <c r="S1879" i="4"/>
  <c r="H1879" i="4"/>
  <c r="M1879" i="4"/>
  <c r="G1881" i="4"/>
  <c r="S1884" i="4"/>
  <c r="Q1884" i="4"/>
  <c r="I1884" i="4"/>
  <c r="H1884" i="4"/>
  <c r="S1887" i="4"/>
  <c r="H1887" i="4"/>
  <c r="M1887" i="4"/>
  <c r="G1889" i="4"/>
  <c r="L1891" i="4"/>
  <c r="H1920" i="4"/>
  <c r="S1920" i="4"/>
  <c r="I1920" i="4"/>
  <c r="R1920" i="4"/>
  <c r="Q1920" i="4"/>
  <c r="Q1921" i="4"/>
  <c r="I1921" i="4"/>
  <c r="H1921" i="4"/>
  <c r="R1921" i="4"/>
  <c r="S1921" i="4"/>
  <c r="R1825" i="4"/>
  <c r="T1827" i="4"/>
  <c r="U1832" i="4"/>
  <c r="M1832" i="4"/>
  <c r="J1832" i="4"/>
  <c r="T1832" i="4"/>
  <c r="P1835" i="4"/>
  <c r="T1835" i="4"/>
  <c r="J1835" i="4"/>
  <c r="U1835" i="4"/>
  <c r="L1837" i="4"/>
  <c r="M1845" i="4"/>
  <c r="U1846" i="4"/>
  <c r="K1846" i="4"/>
  <c r="W1846" i="4"/>
  <c r="O1846" i="4"/>
  <c r="G1846" i="4"/>
  <c r="J1846" i="4"/>
  <c r="V1847" i="4"/>
  <c r="T1847" i="4"/>
  <c r="K1847" i="4"/>
  <c r="P1847" i="4"/>
  <c r="J1847" i="4"/>
  <c r="Q1848" i="4"/>
  <c r="I1848" i="4"/>
  <c r="S1852" i="4"/>
  <c r="Q1852" i="4"/>
  <c r="I1852" i="4"/>
  <c r="H1852" i="4"/>
  <c r="S1855" i="4"/>
  <c r="H1855" i="4"/>
  <c r="J1859" i="4"/>
  <c r="P1859" i="4"/>
  <c r="W1859" i="4"/>
  <c r="O1859" i="4"/>
  <c r="G1859" i="4"/>
  <c r="T1859" i="4"/>
  <c r="M1859" i="4"/>
  <c r="U1862" i="4"/>
  <c r="M1862" i="4"/>
  <c r="K1862" i="4"/>
  <c r="J1862" i="4"/>
  <c r="W1862" i="4"/>
  <c r="O1862" i="4"/>
  <c r="G1862" i="4"/>
  <c r="J1867" i="4"/>
  <c r="P1867" i="4"/>
  <c r="W1867" i="4"/>
  <c r="O1867" i="4"/>
  <c r="G1867" i="4"/>
  <c r="T1867" i="4"/>
  <c r="M1867" i="4"/>
  <c r="U1870" i="4"/>
  <c r="M1870" i="4"/>
  <c r="K1870" i="4"/>
  <c r="J1870" i="4"/>
  <c r="W1870" i="4"/>
  <c r="O1870" i="4"/>
  <c r="G1870" i="4"/>
  <c r="J1875" i="4"/>
  <c r="P1875" i="4"/>
  <c r="W1875" i="4"/>
  <c r="O1875" i="4"/>
  <c r="G1875" i="4"/>
  <c r="T1875" i="4"/>
  <c r="M1875" i="4"/>
  <c r="U1878" i="4"/>
  <c r="M1878" i="4"/>
  <c r="K1878" i="4"/>
  <c r="J1878" i="4"/>
  <c r="W1878" i="4"/>
  <c r="O1878" i="4"/>
  <c r="G1878" i="4"/>
  <c r="J1883" i="4"/>
  <c r="P1883" i="4"/>
  <c r="W1883" i="4"/>
  <c r="O1883" i="4"/>
  <c r="G1883" i="4"/>
  <c r="T1883" i="4"/>
  <c r="M1883" i="4"/>
  <c r="U1886" i="4"/>
  <c r="M1886" i="4"/>
  <c r="K1886" i="4"/>
  <c r="J1886" i="4"/>
  <c r="W1886" i="4"/>
  <c r="O1886" i="4"/>
  <c r="G1886" i="4"/>
  <c r="S1891" i="4"/>
  <c r="I1891" i="4"/>
  <c r="Q1891" i="4"/>
  <c r="L1906" i="4"/>
  <c r="N1906" i="4"/>
  <c r="M1827" i="4"/>
  <c r="Q1832" i="4"/>
  <c r="I1832" i="4"/>
  <c r="K1832" i="4"/>
  <c r="V1832" i="4"/>
  <c r="K1835" i="4"/>
  <c r="V1835" i="4"/>
  <c r="K1838" i="4"/>
  <c r="W1838" i="4"/>
  <c r="O1838" i="4"/>
  <c r="G1838" i="4"/>
  <c r="J1838" i="4"/>
  <c r="U1838" i="4"/>
  <c r="P1842" i="4"/>
  <c r="O1845" i="4"/>
  <c r="S1846" i="4"/>
  <c r="R1846" i="4"/>
  <c r="S1847" i="4"/>
  <c r="H1847" i="4"/>
  <c r="M1847" i="4"/>
  <c r="J1851" i="4"/>
  <c r="P1851" i="4"/>
  <c r="W1851" i="4"/>
  <c r="O1851" i="4"/>
  <c r="G1851" i="4"/>
  <c r="T1851" i="4"/>
  <c r="M1851" i="4"/>
  <c r="U1854" i="4"/>
  <c r="M1854" i="4"/>
  <c r="K1854" i="4"/>
  <c r="J1854" i="4"/>
  <c r="W1854" i="4"/>
  <c r="O1854" i="4"/>
  <c r="G1854" i="4"/>
  <c r="N1856" i="4"/>
  <c r="P1865" i="4"/>
  <c r="V1865" i="4"/>
  <c r="U1865" i="4"/>
  <c r="M1865" i="4"/>
  <c r="J1865" i="4"/>
  <c r="P1873" i="4"/>
  <c r="V1873" i="4"/>
  <c r="U1873" i="4"/>
  <c r="M1873" i="4"/>
  <c r="J1873" i="4"/>
  <c r="P1881" i="4"/>
  <c r="V1881" i="4"/>
  <c r="U1881" i="4"/>
  <c r="M1881" i="4"/>
  <c r="J1881" i="4"/>
  <c r="T1889" i="4"/>
  <c r="K1889" i="4"/>
  <c r="O1889" i="4"/>
  <c r="W1889" i="4"/>
  <c r="M1889" i="4"/>
  <c r="U1889" i="4"/>
  <c r="J1889" i="4"/>
  <c r="U1898" i="4"/>
  <c r="M1898" i="4"/>
  <c r="T1898" i="4"/>
  <c r="P1898" i="4"/>
  <c r="O1898" i="4"/>
  <c r="W1898" i="4"/>
  <c r="K1898" i="4"/>
  <c r="V1898" i="4"/>
  <c r="J1898" i="4"/>
  <c r="M1836" i="4"/>
  <c r="M1844" i="4"/>
  <c r="K1850" i="4"/>
  <c r="M1852" i="4"/>
  <c r="V1853" i="4"/>
  <c r="K1858" i="4"/>
  <c r="M1860" i="4"/>
  <c r="V1861" i="4"/>
  <c r="K1866" i="4"/>
  <c r="M1868" i="4"/>
  <c r="V1869" i="4"/>
  <c r="K1874" i="4"/>
  <c r="M1876" i="4"/>
  <c r="V1877" i="4"/>
  <c r="K1882" i="4"/>
  <c r="M1884" i="4"/>
  <c r="V1885" i="4"/>
  <c r="K1891" i="4"/>
  <c r="W1891" i="4"/>
  <c r="I1892" i="4"/>
  <c r="S1892" i="4"/>
  <c r="R1893" i="4"/>
  <c r="M1897" i="4"/>
  <c r="H1898" i="4"/>
  <c r="G1905" i="4"/>
  <c r="R1908" i="4"/>
  <c r="I1908" i="4"/>
  <c r="N1908" i="4"/>
  <c r="V1918" i="4"/>
  <c r="U1918" i="4"/>
  <c r="M1918" i="4"/>
  <c r="P1918" i="4"/>
  <c r="O1918" i="4"/>
  <c r="W1918" i="4"/>
  <c r="K1918" i="4"/>
  <c r="T1918" i="4"/>
  <c r="J1918" i="4"/>
  <c r="U1923" i="4"/>
  <c r="W1933" i="4"/>
  <c r="N1934" i="4"/>
  <c r="L1934" i="4"/>
  <c r="K1976" i="4"/>
  <c r="J1976" i="4"/>
  <c r="W1976" i="4"/>
  <c r="O1976" i="4"/>
  <c r="G1976" i="4"/>
  <c r="T1976" i="4"/>
  <c r="P1976" i="4"/>
  <c r="M1976" i="4"/>
  <c r="V1976" i="4"/>
  <c r="U1976" i="4"/>
  <c r="Q1899" i="4"/>
  <c r="L1901" i="4"/>
  <c r="T1905" i="4"/>
  <c r="K1905" i="4"/>
  <c r="P1905" i="4"/>
  <c r="V1905" i="4"/>
  <c r="J1905" i="4"/>
  <c r="Q1906" i="4"/>
  <c r="I1906" i="4"/>
  <c r="W1911" i="4"/>
  <c r="O1911" i="4"/>
  <c r="G1911" i="4"/>
  <c r="P1911" i="4"/>
  <c r="V1911" i="4"/>
  <c r="M1911" i="4"/>
  <c r="T1911" i="4"/>
  <c r="K1911" i="4"/>
  <c r="L1932" i="4"/>
  <c r="N1932" i="4"/>
  <c r="V1850" i="4"/>
  <c r="R1854" i="4"/>
  <c r="V1858" i="4"/>
  <c r="R1862" i="4"/>
  <c r="R1870" i="4"/>
  <c r="R1878" i="4"/>
  <c r="R1886" i="4"/>
  <c r="U1890" i="4"/>
  <c r="M1890" i="4"/>
  <c r="T1890" i="4"/>
  <c r="P1893" i="4"/>
  <c r="W1893" i="4"/>
  <c r="O1893" i="4"/>
  <c r="G1893" i="4"/>
  <c r="K1893" i="4"/>
  <c r="U1893" i="4"/>
  <c r="K1896" i="4"/>
  <c r="J1896" i="4"/>
  <c r="U1896" i="4"/>
  <c r="H1899" i="4"/>
  <c r="R1899" i="4"/>
  <c r="S1905" i="4"/>
  <c r="H1905" i="4"/>
  <c r="M1905" i="4"/>
  <c r="N1915" i="4"/>
  <c r="L1915" i="4"/>
  <c r="H1928" i="4"/>
  <c r="S1928" i="4"/>
  <c r="I1928" i="4"/>
  <c r="R1928" i="4"/>
  <c r="Q1928" i="4"/>
  <c r="T1939" i="4"/>
  <c r="K1939" i="4"/>
  <c r="J1939" i="4"/>
  <c r="P1939" i="4"/>
  <c r="V1939" i="4"/>
  <c r="G1939" i="4"/>
  <c r="W1939" i="4"/>
  <c r="U1939" i="4"/>
  <c r="M1939" i="4"/>
  <c r="O1939" i="4"/>
  <c r="G1850" i="4"/>
  <c r="O1850" i="4"/>
  <c r="H1851" i="4"/>
  <c r="J1853" i="4"/>
  <c r="G1858" i="4"/>
  <c r="O1858" i="4"/>
  <c r="H1859" i="4"/>
  <c r="J1861" i="4"/>
  <c r="G1866" i="4"/>
  <c r="O1866" i="4"/>
  <c r="H1867" i="4"/>
  <c r="J1869" i="4"/>
  <c r="G1874" i="4"/>
  <c r="O1874" i="4"/>
  <c r="H1875" i="4"/>
  <c r="J1877" i="4"/>
  <c r="G1882" i="4"/>
  <c r="O1882" i="4"/>
  <c r="H1883" i="4"/>
  <c r="J1885" i="4"/>
  <c r="J1890" i="4"/>
  <c r="V1890" i="4"/>
  <c r="V1893" i="4"/>
  <c r="L1896" i="4"/>
  <c r="V1896" i="4"/>
  <c r="V1899" i="4"/>
  <c r="U1899" i="4"/>
  <c r="M1899" i="4"/>
  <c r="I1899" i="4"/>
  <c r="Q1902" i="4"/>
  <c r="I1902" i="4"/>
  <c r="H1902" i="4"/>
  <c r="K1904" i="4"/>
  <c r="J1904" i="4"/>
  <c r="W1904" i="4"/>
  <c r="O1904" i="4"/>
  <c r="G1904" i="4"/>
  <c r="U1904" i="4"/>
  <c r="M1904" i="4"/>
  <c r="O1905" i="4"/>
  <c r="R1906" i="4"/>
  <c r="U1911" i="4"/>
  <c r="Q1929" i="4"/>
  <c r="I1929" i="4"/>
  <c r="H1929" i="4"/>
  <c r="S1929" i="4"/>
  <c r="R1929" i="4"/>
  <c r="T1932" i="4"/>
  <c r="K1932" i="4"/>
  <c r="W1932" i="4"/>
  <c r="O1932" i="4"/>
  <c r="G1932" i="4"/>
  <c r="P1932" i="4"/>
  <c r="M1932" i="4"/>
  <c r="V1932" i="4"/>
  <c r="U1932" i="4"/>
  <c r="S1960" i="4"/>
  <c r="R1960" i="4"/>
  <c r="I1960" i="4"/>
  <c r="H1960" i="4"/>
  <c r="K1923" i="4"/>
  <c r="J1923" i="4"/>
  <c r="P1923" i="4"/>
  <c r="O1923" i="4"/>
  <c r="W1923" i="4"/>
  <c r="M1923" i="4"/>
  <c r="V1923" i="4"/>
  <c r="T1923" i="4"/>
  <c r="U1933" i="4"/>
  <c r="M1933" i="4"/>
  <c r="T1933" i="4"/>
  <c r="P1933" i="4"/>
  <c r="O1933" i="4"/>
  <c r="K1933" i="4"/>
  <c r="V1933" i="4"/>
  <c r="J1933" i="4"/>
  <c r="N1890" i="4"/>
  <c r="V1891" i="4"/>
  <c r="U1891" i="4"/>
  <c r="M1891" i="4"/>
  <c r="Q1894" i="4"/>
  <c r="I1894" i="4"/>
  <c r="H1894" i="4"/>
  <c r="T1897" i="4"/>
  <c r="K1897" i="4"/>
  <c r="U1897" i="4"/>
  <c r="K1899" i="4"/>
  <c r="W1899" i="4"/>
  <c r="R1901" i="4"/>
  <c r="P1904" i="4"/>
  <c r="R1905" i="4"/>
  <c r="N1909" i="4"/>
  <c r="R1910" i="4"/>
  <c r="I1910" i="4"/>
  <c r="G1918" i="4"/>
  <c r="H1925" i="4"/>
  <c r="I1925" i="4"/>
  <c r="S1925" i="4"/>
  <c r="R1925" i="4"/>
  <c r="Q1925" i="4"/>
  <c r="N1935" i="4"/>
  <c r="L1935" i="4"/>
  <c r="Q1958" i="4"/>
  <c r="I1958" i="4"/>
  <c r="S1958" i="4"/>
  <c r="R1958" i="4"/>
  <c r="H1958" i="4"/>
  <c r="G1906" i="4"/>
  <c r="O1906" i="4"/>
  <c r="W1906" i="4"/>
  <c r="G1910" i="4"/>
  <c r="P1910" i="4"/>
  <c r="O1912" i="4"/>
  <c r="G1915" i="4"/>
  <c r="P1915" i="4"/>
  <c r="S1916" i="4"/>
  <c r="W1917" i="4"/>
  <c r="H1918" i="4"/>
  <c r="N1922" i="4"/>
  <c r="O1924" i="4"/>
  <c r="Q1926" i="4"/>
  <c r="I1926" i="4"/>
  <c r="W1927" i="4"/>
  <c r="O1927" i="4"/>
  <c r="G1927" i="4"/>
  <c r="V1927" i="4"/>
  <c r="J1927" i="4"/>
  <c r="K1927" i="4"/>
  <c r="P1928" i="4"/>
  <c r="W1928" i="4"/>
  <c r="O1928" i="4"/>
  <c r="G1928" i="4"/>
  <c r="K1928" i="4"/>
  <c r="K1931" i="4"/>
  <c r="J1931" i="4"/>
  <c r="V1931" i="4"/>
  <c r="W1931" i="4"/>
  <c r="I1932" i="4"/>
  <c r="V1941" i="4"/>
  <c r="U1941" i="4"/>
  <c r="M1941" i="4"/>
  <c r="T1941" i="4"/>
  <c r="K1941" i="4"/>
  <c r="J1941" i="4"/>
  <c r="P1941" i="4"/>
  <c r="O1941" i="4"/>
  <c r="Q1944" i="4"/>
  <c r="I1944" i="4"/>
  <c r="H1944" i="4"/>
  <c r="S1944" i="4"/>
  <c r="R1944" i="4"/>
  <c r="S1950" i="4"/>
  <c r="Q1950" i="4"/>
  <c r="I1950" i="4"/>
  <c r="Q1966" i="4"/>
  <c r="I1966" i="4"/>
  <c r="H1966" i="4"/>
  <c r="R1966" i="4"/>
  <c r="N1986" i="4"/>
  <c r="L1986" i="4"/>
  <c r="S1988" i="4"/>
  <c r="Q1988" i="4"/>
  <c r="I1988" i="4"/>
  <c r="H1988" i="4"/>
  <c r="R1988" i="4"/>
  <c r="K1908" i="4"/>
  <c r="U1908" i="4"/>
  <c r="I1912" i="4"/>
  <c r="R1912" i="4"/>
  <c r="I1915" i="4"/>
  <c r="R1915" i="4"/>
  <c r="G1917" i="4"/>
  <c r="M1927" i="4"/>
  <c r="M1931" i="4"/>
  <c r="N1971" i="4"/>
  <c r="L1971" i="4"/>
  <c r="P1973" i="4"/>
  <c r="W1973" i="4"/>
  <c r="O1973" i="4"/>
  <c r="G1973" i="4"/>
  <c r="T1973" i="4"/>
  <c r="M1973" i="4"/>
  <c r="V1973" i="4"/>
  <c r="J1973" i="4"/>
  <c r="J1912" i="4"/>
  <c r="Q1934" i="4"/>
  <c r="I1934" i="4"/>
  <c r="P1935" i="4"/>
  <c r="W1935" i="4"/>
  <c r="O1935" i="4"/>
  <c r="G1935" i="4"/>
  <c r="V1935" i="4"/>
  <c r="J1935" i="4"/>
  <c r="K1935" i="4"/>
  <c r="Q1936" i="4"/>
  <c r="I1936" i="4"/>
  <c r="H1936" i="4"/>
  <c r="S1936" i="4"/>
  <c r="N1942" i="4"/>
  <c r="L1942" i="4"/>
  <c r="P1943" i="4"/>
  <c r="W1943" i="4"/>
  <c r="O1943" i="4"/>
  <c r="G1943" i="4"/>
  <c r="V1943" i="4"/>
  <c r="U1943" i="4"/>
  <c r="M1943" i="4"/>
  <c r="T1943" i="4"/>
  <c r="J1943" i="4"/>
  <c r="K1943" i="4"/>
  <c r="V1949" i="4"/>
  <c r="U1949" i="4"/>
  <c r="M1949" i="4"/>
  <c r="T1949" i="4"/>
  <c r="K1949" i="4"/>
  <c r="J1949" i="4"/>
  <c r="P1949" i="4"/>
  <c r="O1949" i="4"/>
  <c r="Q1952" i="4"/>
  <c r="I1952" i="4"/>
  <c r="H1952" i="4"/>
  <c r="S1952" i="4"/>
  <c r="R1952" i="4"/>
  <c r="N1962" i="4"/>
  <c r="L1962" i="4"/>
  <c r="N1983" i="4"/>
  <c r="L1983" i="4"/>
  <c r="A6" i="5"/>
  <c r="K1912" i="4"/>
  <c r="T1912" i="4"/>
  <c r="U1917" i="4"/>
  <c r="M1917" i="4"/>
  <c r="W1919" i="4"/>
  <c r="O1919" i="4"/>
  <c r="G1919" i="4"/>
  <c r="V1919" i="4"/>
  <c r="J1919" i="4"/>
  <c r="T1919" i="4"/>
  <c r="T1924" i="4"/>
  <c r="K1924" i="4"/>
  <c r="W1924" i="4"/>
  <c r="U1924" i="4"/>
  <c r="R1936" i="4"/>
  <c r="K1968" i="4"/>
  <c r="J1968" i="4"/>
  <c r="P1968" i="4"/>
  <c r="O1968" i="4"/>
  <c r="W1968" i="4"/>
  <c r="M1968" i="4"/>
  <c r="V1968" i="4"/>
  <c r="T1968" i="4"/>
  <c r="T1977" i="4"/>
  <c r="K1977" i="4"/>
  <c r="P1977" i="4"/>
  <c r="O1977" i="4"/>
  <c r="M1977" i="4"/>
  <c r="V1977" i="4"/>
  <c r="U1977" i="4"/>
  <c r="I1895" i="4"/>
  <c r="Q1895" i="4"/>
  <c r="R1896" i="4"/>
  <c r="R1904" i="4"/>
  <c r="T1906" i="4"/>
  <c r="O1908" i="4"/>
  <c r="U1909" i="4"/>
  <c r="M1909" i="4"/>
  <c r="I1909" i="4"/>
  <c r="R1909" i="4"/>
  <c r="U1910" i="4"/>
  <c r="H1911" i="4"/>
  <c r="Q1911" i="4"/>
  <c r="U1912" i="4"/>
  <c r="M1915" i="4"/>
  <c r="V1915" i="4"/>
  <c r="J1917" i="4"/>
  <c r="K1919" i="4"/>
  <c r="U1919" i="4"/>
  <c r="J1920" i="4"/>
  <c r="J1924" i="4"/>
  <c r="V1924" i="4"/>
  <c r="S1926" i="4"/>
  <c r="T1928" i="4"/>
  <c r="Q1932" i="4"/>
  <c r="Q1933" i="4"/>
  <c r="M1935" i="4"/>
  <c r="N1940" i="4"/>
  <c r="S1942" i="4"/>
  <c r="Q1942" i="4"/>
  <c r="I1942" i="4"/>
  <c r="P1957" i="4"/>
  <c r="O1957" i="4"/>
  <c r="W1957" i="4"/>
  <c r="V1957" i="4"/>
  <c r="M1957" i="4"/>
  <c r="U1957" i="4"/>
  <c r="T1957" i="4"/>
  <c r="K1957" i="4"/>
  <c r="W1977" i="4"/>
  <c r="L1978" i="4"/>
  <c r="N1978" i="4"/>
  <c r="H1985" i="4"/>
  <c r="S1985" i="4"/>
  <c r="R1985" i="4"/>
  <c r="Q1985" i="4"/>
  <c r="S1991" i="4"/>
  <c r="I1991" i="4"/>
  <c r="R1991" i="4"/>
  <c r="H1991" i="4"/>
  <c r="Q1991" i="4"/>
  <c r="M1906" i="4"/>
  <c r="G1908" i="4"/>
  <c r="P1908" i="4"/>
  <c r="J1909" i="4"/>
  <c r="M1910" i="4"/>
  <c r="W1910" i="4"/>
  <c r="I1911" i="4"/>
  <c r="M1912" i="4"/>
  <c r="V1912" i="4"/>
  <c r="K1914" i="4"/>
  <c r="T1914" i="4"/>
  <c r="W1915" i="4"/>
  <c r="H1916" i="4"/>
  <c r="K1917" i="4"/>
  <c r="T1917" i="4"/>
  <c r="P1920" i="4"/>
  <c r="W1920" i="4"/>
  <c r="O1920" i="4"/>
  <c r="G1920" i="4"/>
  <c r="K1920" i="4"/>
  <c r="U1920" i="4"/>
  <c r="M1924" i="4"/>
  <c r="U1925" i="4"/>
  <c r="M1925" i="4"/>
  <c r="T1925" i="4"/>
  <c r="P1925" i="4"/>
  <c r="J1925" i="4"/>
  <c r="W1925" i="4"/>
  <c r="H1926" i="4"/>
  <c r="T1927" i="4"/>
  <c r="U1928" i="4"/>
  <c r="G1931" i="4"/>
  <c r="T1931" i="4"/>
  <c r="R1932" i="4"/>
  <c r="R1933" i="4"/>
  <c r="S1940" i="4"/>
  <c r="R1940" i="4"/>
  <c r="Q1940" i="4"/>
  <c r="I1940" i="4"/>
  <c r="G1941" i="4"/>
  <c r="W1949" i="4"/>
  <c r="H1950" i="4"/>
  <c r="P1951" i="4"/>
  <c r="W1951" i="4"/>
  <c r="O1951" i="4"/>
  <c r="G1951" i="4"/>
  <c r="V1951" i="4"/>
  <c r="U1951" i="4"/>
  <c r="M1951" i="4"/>
  <c r="T1951" i="4"/>
  <c r="J1951" i="4"/>
  <c r="K1951" i="4"/>
  <c r="V1963" i="4"/>
  <c r="P1963" i="4"/>
  <c r="G1963" i="4"/>
  <c r="O1963" i="4"/>
  <c r="W1963" i="4"/>
  <c r="M1963" i="4"/>
  <c r="U1963" i="4"/>
  <c r="J1963" i="4"/>
  <c r="H1965" i="4"/>
  <c r="S1965" i="4"/>
  <c r="I1965" i="4"/>
  <c r="R1965" i="4"/>
  <c r="Q1965" i="4"/>
  <c r="T1989" i="4"/>
  <c r="J1989" i="4"/>
  <c r="G1989" i="4"/>
  <c r="P1989" i="4"/>
  <c r="O1989" i="4"/>
  <c r="W1989" i="4"/>
  <c r="M1989" i="4"/>
  <c r="V1989" i="4"/>
  <c r="K1989" i="4"/>
  <c r="U1989" i="4"/>
  <c r="K1936" i="4"/>
  <c r="N1939" i="4"/>
  <c r="G1940" i="4"/>
  <c r="O1940" i="4"/>
  <c r="W1940" i="4"/>
  <c r="H1941" i="4"/>
  <c r="K1944" i="4"/>
  <c r="V1947" i="4"/>
  <c r="G1948" i="4"/>
  <c r="O1948" i="4"/>
  <c r="W1948" i="4"/>
  <c r="H1949" i="4"/>
  <c r="K1952" i="4"/>
  <c r="N1955" i="4"/>
  <c r="V1955" i="4"/>
  <c r="G1956" i="4"/>
  <c r="O1956" i="4"/>
  <c r="W1956" i="4"/>
  <c r="I1957" i="4"/>
  <c r="R1957" i="4"/>
  <c r="O1959" i="4"/>
  <c r="G1962" i="4"/>
  <c r="S1963" i="4"/>
  <c r="Q1970" i="4"/>
  <c r="I1970" i="4"/>
  <c r="V1971" i="4"/>
  <c r="U1971" i="4"/>
  <c r="M1971" i="4"/>
  <c r="J1971" i="4"/>
  <c r="W1971" i="4"/>
  <c r="I1972" i="4"/>
  <c r="H1982" i="4"/>
  <c r="S1996" i="4"/>
  <c r="Q1996" i="4"/>
  <c r="I1996" i="4"/>
  <c r="H1996" i="4"/>
  <c r="R1996" i="4"/>
  <c r="P1947" i="4"/>
  <c r="I1948" i="4"/>
  <c r="Q1948" i="4"/>
  <c r="P1955" i="4"/>
  <c r="I1956" i="4"/>
  <c r="Q1956" i="4"/>
  <c r="U1962" i="4"/>
  <c r="M1962" i="4"/>
  <c r="I1962" i="4"/>
  <c r="R1962" i="4"/>
  <c r="Q1974" i="4"/>
  <c r="I1974" i="4"/>
  <c r="H1974" i="4"/>
  <c r="S1977" i="4"/>
  <c r="H1977" i="4"/>
  <c r="U1982" i="4"/>
  <c r="M1982" i="4"/>
  <c r="P1982" i="4"/>
  <c r="G1982" i="4"/>
  <c r="O1982" i="4"/>
  <c r="T1982" i="4"/>
  <c r="K1982" i="4"/>
  <c r="J1982" i="4"/>
  <c r="W1984" i="4"/>
  <c r="O1984" i="4"/>
  <c r="G1984" i="4"/>
  <c r="U1984" i="4"/>
  <c r="M1984" i="4"/>
  <c r="K1984" i="4"/>
  <c r="Q1994" i="4"/>
  <c r="I1994" i="4"/>
  <c r="S1994" i="4"/>
  <c r="R1994" i="4"/>
  <c r="H1994" i="4"/>
  <c r="L1999" i="4"/>
  <c r="R1948" i="4"/>
  <c r="R1956" i="4"/>
  <c r="J1962" i="4"/>
  <c r="Q1978" i="4"/>
  <c r="I1978" i="4"/>
  <c r="J1979" i="4"/>
  <c r="O1979" i="4"/>
  <c r="W1979" i="4"/>
  <c r="T1979" i="4"/>
  <c r="K1979" i="4"/>
  <c r="T1981" i="4"/>
  <c r="V1981" i="4"/>
  <c r="M1981" i="4"/>
  <c r="U1981" i="4"/>
  <c r="K1981" i="4"/>
  <c r="J1981" i="4"/>
  <c r="R1984" i="4"/>
  <c r="H1984" i="4"/>
  <c r="Q1984" i="4"/>
  <c r="R1923" i="4"/>
  <c r="M1926" i="4"/>
  <c r="U1926" i="4"/>
  <c r="R1931" i="4"/>
  <c r="M1934" i="4"/>
  <c r="U1934" i="4"/>
  <c r="G1936" i="4"/>
  <c r="O1936" i="4"/>
  <c r="W1936" i="4"/>
  <c r="H1937" i="4"/>
  <c r="R1939" i="4"/>
  <c r="K1940" i="4"/>
  <c r="M1942" i="4"/>
  <c r="U1942" i="4"/>
  <c r="G1944" i="4"/>
  <c r="O1944" i="4"/>
  <c r="W1944" i="4"/>
  <c r="H1945" i="4"/>
  <c r="J1947" i="4"/>
  <c r="R1947" i="4"/>
  <c r="K1948" i="4"/>
  <c r="M1950" i="4"/>
  <c r="U1950" i="4"/>
  <c r="G1952" i="4"/>
  <c r="O1952" i="4"/>
  <c r="W1952" i="4"/>
  <c r="H1953" i="4"/>
  <c r="J1955" i="4"/>
  <c r="R1955" i="4"/>
  <c r="K1956" i="4"/>
  <c r="K1959" i="4"/>
  <c r="T1959" i="4"/>
  <c r="W1960" i="4"/>
  <c r="K1962" i="4"/>
  <c r="T1962" i="4"/>
  <c r="W1964" i="4"/>
  <c r="O1964" i="4"/>
  <c r="G1964" i="4"/>
  <c r="V1964" i="4"/>
  <c r="J1964" i="4"/>
  <c r="T1964" i="4"/>
  <c r="T1969" i="4"/>
  <c r="K1969" i="4"/>
  <c r="U1969" i="4"/>
  <c r="R1970" i="4"/>
  <c r="P1971" i="4"/>
  <c r="Q1973" i="4"/>
  <c r="L1979" i="4"/>
  <c r="S1980" i="4"/>
  <c r="R1980" i="4"/>
  <c r="I1980" i="4"/>
  <c r="Q1980" i="4"/>
  <c r="H1980" i="4"/>
  <c r="Q1981" i="4"/>
  <c r="H1981" i="4"/>
  <c r="P1984" i="4"/>
  <c r="V1999" i="4"/>
  <c r="T1999" i="4"/>
  <c r="G1999" i="4"/>
  <c r="P1999" i="4"/>
  <c r="O1999" i="4"/>
  <c r="M1999" i="4"/>
  <c r="W1999" i="4"/>
  <c r="K1999" i="4"/>
  <c r="U1999" i="4"/>
  <c r="J1999" i="4"/>
  <c r="I1937" i="4"/>
  <c r="Q1937" i="4"/>
  <c r="T1940" i="4"/>
  <c r="I1945" i="4"/>
  <c r="Q1945" i="4"/>
  <c r="K1947" i="4"/>
  <c r="T1948" i="4"/>
  <c r="I1953" i="4"/>
  <c r="Q1953" i="4"/>
  <c r="J1954" i="4"/>
  <c r="K1955" i="4"/>
  <c r="T1956" i="4"/>
  <c r="U1959" i="4"/>
  <c r="O1960" i="4"/>
  <c r="I1961" i="4"/>
  <c r="R1961" i="4"/>
  <c r="V1962" i="4"/>
  <c r="K1964" i="4"/>
  <c r="U1964" i="4"/>
  <c r="J1965" i="4"/>
  <c r="J1969" i="4"/>
  <c r="V1969" i="4"/>
  <c r="S1970" i="4"/>
  <c r="Q1972" i="4"/>
  <c r="R1973" i="4"/>
  <c r="Q1977" i="4"/>
  <c r="M1979" i="4"/>
  <c r="O1981" i="4"/>
  <c r="Q1982" i="4"/>
  <c r="S1984" i="4"/>
  <c r="M1940" i="4"/>
  <c r="M1948" i="4"/>
  <c r="M1956" i="4"/>
  <c r="M1959" i="4"/>
  <c r="V1959" i="4"/>
  <c r="G1960" i="4"/>
  <c r="P1960" i="4"/>
  <c r="W1962" i="4"/>
  <c r="H1963" i="4"/>
  <c r="L1964" i="4"/>
  <c r="P1965" i="4"/>
  <c r="W1965" i="4"/>
  <c r="O1965" i="4"/>
  <c r="G1965" i="4"/>
  <c r="K1965" i="4"/>
  <c r="U1965" i="4"/>
  <c r="M1969" i="4"/>
  <c r="W1969" i="4"/>
  <c r="H1970" i="4"/>
  <c r="G1971" i="4"/>
  <c r="R1972" i="4"/>
  <c r="S1973" i="4"/>
  <c r="R1977" i="4"/>
  <c r="P1979" i="4"/>
  <c r="P1981" i="4"/>
  <c r="T1984" i="4"/>
  <c r="P1985" i="4"/>
  <c r="V1985" i="4"/>
  <c r="J1985" i="4"/>
  <c r="T1985" i="4"/>
  <c r="J1987" i="4"/>
  <c r="P1987" i="4"/>
  <c r="T1987" i="4"/>
  <c r="Q1990" i="4"/>
  <c r="M1991" i="4"/>
  <c r="W1992" i="4"/>
  <c r="O1992" i="4"/>
  <c r="G1992" i="4"/>
  <c r="U1992" i="4"/>
  <c r="M1992" i="4"/>
  <c r="J1992" i="4"/>
  <c r="T1992" i="4"/>
  <c r="R1993" i="4"/>
  <c r="H2000" i="4"/>
  <c r="O1991" i="4"/>
  <c r="T1997" i="4"/>
  <c r="J1997" i="4"/>
  <c r="U1997" i="4"/>
  <c r="U1990" i="4"/>
  <c r="M1990" i="4"/>
  <c r="K1990" i="4"/>
  <c r="T1990" i="4"/>
  <c r="P1991" i="4"/>
  <c r="P1993" i="4"/>
  <c r="V1993" i="4"/>
  <c r="J1993" i="4"/>
  <c r="T1993" i="4"/>
  <c r="J1995" i="4"/>
  <c r="P1995" i="4"/>
  <c r="T1995" i="4"/>
  <c r="Q1998" i="4"/>
  <c r="W2000" i="4"/>
  <c r="O2000" i="4"/>
  <c r="G2000" i="4"/>
  <c r="U2000" i="4"/>
  <c r="M2000" i="4"/>
  <c r="J2000" i="4"/>
  <c r="T2000" i="4"/>
  <c r="R1968" i="4"/>
  <c r="T1970" i="4"/>
  <c r="R1976" i="4"/>
  <c r="T1978" i="4"/>
  <c r="V1983" i="4"/>
  <c r="T1983" i="4"/>
  <c r="J1990" i="4"/>
  <c r="V1990" i="4"/>
  <c r="K1993" i="4"/>
  <c r="U1993" i="4"/>
  <c r="K1995" i="4"/>
  <c r="U1995" i="4"/>
  <c r="M1997" i="4"/>
  <c r="W1997" i="4"/>
  <c r="H1998" i="4"/>
  <c r="R1998" i="4"/>
  <c r="K2000" i="4"/>
  <c r="V2000" i="4"/>
  <c r="M1970" i="4"/>
  <c r="M1978" i="4"/>
  <c r="J1983" i="4"/>
  <c r="U1983" i="4"/>
  <c r="O1985" i="4"/>
  <c r="Q1986" i="4"/>
  <c r="I1986" i="4"/>
  <c r="W1990" i="4"/>
  <c r="P1992" i="4"/>
  <c r="L1993" i="4"/>
  <c r="W1993" i="4"/>
  <c r="V1995" i="4"/>
  <c r="N1997" i="4"/>
  <c r="U1998" i="4"/>
  <c r="M1998" i="4"/>
  <c r="K1998" i="4"/>
  <c r="I1998" i="4"/>
  <c r="T1998" i="4"/>
  <c r="V1991" i="4"/>
  <c r="T1991" i="4"/>
  <c r="M1993" i="4"/>
  <c r="M1995" i="4"/>
  <c r="W1995" i="4"/>
  <c r="L702" i="4" l="1"/>
  <c r="N838" i="4"/>
  <c r="N1285" i="4"/>
  <c r="L903" i="4"/>
  <c r="L1257" i="4"/>
  <c r="K232" i="4"/>
  <c r="H185" i="4"/>
  <c r="K185" i="4" s="1"/>
  <c r="L185" i="4" s="1"/>
  <c r="M185" i="4" s="1"/>
  <c r="N185" i="4" s="1"/>
  <c r="O185" i="4" s="1"/>
  <c r="P185" i="4" s="1"/>
  <c r="I68" i="4"/>
  <c r="K227" i="4"/>
  <c r="I177" i="4"/>
  <c r="K177" i="4" s="1"/>
  <c r="I30" i="4"/>
  <c r="W16" i="4"/>
  <c r="L300" i="4"/>
  <c r="K145" i="4"/>
  <c r="L1486" i="4"/>
  <c r="L1631" i="4"/>
  <c r="L1128" i="4"/>
  <c r="N306" i="4"/>
  <c r="L1785" i="4"/>
  <c r="N1056" i="4"/>
  <c r="W234" i="4"/>
  <c r="N1130" i="4"/>
  <c r="L1253" i="4"/>
  <c r="L1075" i="4"/>
  <c r="W256" i="4"/>
  <c r="H20" i="4"/>
  <c r="N1519" i="4"/>
  <c r="L1992" i="4"/>
  <c r="L1893" i="4"/>
  <c r="L1910" i="4"/>
  <c r="N1741" i="4"/>
  <c r="L1624" i="4"/>
  <c r="L1052" i="4"/>
  <c r="L917" i="4"/>
  <c r="L816" i="4"/>
  <c r="N500" i="4"/>
  <c r="W172" i="4"/>
  <c r="W80" i="4"/>
  <c r="W59" i="4"/>
  <c r="L324" i="4"/>
  <c r="L1798" i="4"/>
  <c r="N1178" i="4"/>
  <c r="N1961" i="4"/>
  <c r="L1506" i="4"/>
  <c r="N562" i="4"/>
  <c r="L616" i="4"/>
  <c r="N298" i="4"/>
  <c r="L765" i="4"/>
  <c r="L1048" i="4"/>
  <c r="L1822" i="4"/>
  <c r="N1246" i="4"/>
  <c r="N546" i="4"/>
  <c r="L658" i="4"/>
  <c r="L800" i="4"/>
  <c r="N1426" i="4"/>
  <c r="L703" i="4"/>
  <c r="L711" i="4"/>
  <c r="N612" i="4"/>
  <c r="L279" i="4"/>
  <c r="N1474" i="4"/>
  <c r="L1502" i="4"/>
  <c r="N997" i="4"/>
  <c r="N849" i="4"/>
  <c r="H167" i="4"/>
  <c r="L796" i="4"/>
  <c r="L728" i="4"/>
  <c r="K243" i="4"/>
  <c r="W62" i="4"/>
  <c r="N1989" i="4"/>
  <c r="N1640" i="4"/>
  <c r="N1550" i="4"/>
  <c r="L1591" i="4"/>
  <c r="L1386" i="4"/>
  <c r="L1296" i="4"/>
  <c r="L1119" i="4"/>
  <c r="N968" i="4"/>
  <c r="L696" i="4"/>
  <c r="L687" i="4"/>
  <c r="L532" i="4"/>
  <c r="H92" i="4"/>
  <c r="K92" i="4" s="1"/>
  <c r="I38" i="4"/>
  <c r="W64" i="4"/>
  <c r="L1546" i="4"/>
  <c r="N1408" i="4"/>
  <c r="L966" i="4"/>
  <c r="N538" i="4"/>
  <c r="L872" i="4"/>
  <c r="W79" i="4"/>
  <c r="N1765" i="4"/>
  <c r="L358" i="4"/>
  <c r="L1241" i="4"/>
  <c r="L428" i="4"/>
  <c r="L1794" i="4"/>
  <c r="N1967" i="4"/>
  <c r="L1845" i="4"/>
  <c r="N1632" i="4"/>
  <c r="N1590" i="4"/>
  <c r="L955" i="4"/>
  <c r="L883" i="4"/>
  <c r="N577" i="4"/>
  <c r="W125" i="4"/>
  <c r="I109" i="4"/>
  <c r="K109" i="4" s="1"/>
  <c r="L109" i="4" s="1"/>
  <c r="M109" i="4" s="1"/>
  <c r="N109" i="4" s="1"/>
  <c r="O109" i="4" s="1"/>
  <c r="P109" i="4" s="1"/>
  <c r="N1948" i="4"/>
  <c r="N1425" i="4"/>
  <c r="L1063" i="4"/>
  <c r="N1473" i="4"/>
  <c r="L1424" i="4"/>
  <c r="L1987" i="4"/>
  <c r="L963" i="4"/>
  <c r="L1341" i="4"/>
  <c r="W144" i="4"/>
  <c r="L1623" i="4"/>
  <c r="L423" i="4"/>
  <c r="N1186" i="4"/>
  <c r="H208" i="4"/>
  <c r="L1919" i="4"/>
  <c r="N1709" i="4"/>
  <c r="L511" i="4"/>
  <c r="N433" i="4"/>
  <c r="N418" i="4"/>
  <c r="H82" i="4"/>
  <c r="K82" i="4" s="1"/>
  <c r="I171" i="4"/>
  <c r="W107" i="4"/>
  <c r="L1873" i="4"/>
  <c r="N1614" i="4"/>
  <c r="N583" i="4"/>
  <c r="L710" i="4"/>
  <c r="L1854" i="4"/>
  <c r="W103" i="4"/>
  <c r="L606" i="4"/>
  <c r="L1565" i="4"/>
  <c r="N1318" i="4"/>
  <c r="K8" i="5"/>
  <c r="W65" i="4"/>
  <c r="I153" i="4"/>
  <c r="K153" i="4" s="1"/>
  <c r="L153" i="4" s="1"/>
  <c r="M153" i="4" s="1"/>
  <c r="N153" i="4" s="1"/>
  <c r="O153" i="4" s="1"/>
  <c r="P153" i="4" s="1"/>
  <c r="W81" i="4"/>
  <c r="K5" i="5"/>
  <c r="L856" i="4"/>
  <c r="I7" i="5"/>
  <c r="W223" i="4"/>
  <c r="K235" i="4"/>
  <c r="I122" i="4"/>
  <c r="L173" i="4"/>
  <c r="M173" i="4" s="1"/>
  <c r="N173" i="4" s="1"/>
  <c r="O173" i="4" s="1"/>
  <c r="P173" i="4" s="1"/>
  <c r="H163" i="4"/>
  <c r="K163" i="4" s="1"/>
  <c r="W35" i="4"/>
  <c r="K211" i="4"/>
  <c r="W186" i="4"/>
  <c r="L1578" i="4"/>
  <c r="L1562" i="4"/>
  <c r="L1927" i="4"/>
  <c r="N343" i="4"/>
  <c r="I9" i="5"/>
  <c r="I8" i="5"/>
  <c r="W82" i="4"/>
  <c r="I4" i="5"/>
  <c r="W199" i="4"/>
  <c r="W115" i="4"/>
  <c r="W34" i="4"/>
  <c r="K167" i="4"/>
  <c r="L1725" i="4"/>
  <c r="N764" i="4"/>
  <c r="L764" i="4"/>
  <c r="H44" i="4"/>
  <c r="I6" i="5"/>
  <c r="W19" i="4"/>
  <c r="K9" i="5"/>
  <c r="K3" i="5"/>
  <c r="H112" i="4"/>
  <c r="W31" i="4"/>
  <c r="W2" i="4"/>
  <c r="I5" i="5"/>
  <c r="L1582" i="4"/>
  <c r="N1582" i="4"/>
  <c r="N621" i="4"/>
  <c r="L621" i="4"/>
  <c r="N772" i="4"/>
  <c r="L772" i="4"/>
  <c r="N391" i="4"/>
  <c r="L391" i="4"/>
  <c r="L1172" i="4"/>
  <c r="N1535" i="4"/>
  <c r="L1044" i="4"/>
  <c r="I130" i="4"/>
  <c r="I81" i="4"/>
  <c r="K81" i="4" s="1"/>
  <c r="L81" i="4" s="1"/>
  <c r="M81" i="4" s="1"/>
  <c r="N81" i="4" s="1"/>
  <c r="O81" i="4" s="1"/>
  <c r="P81" i="4" s="1"/>
  <c r="L1080" i="4"/>
  <c r="N1722" i="4"/>
  <c r="L837" i="4"/>
  <c r="L1107" i="4"/>
  <c r="N1278" i="4"/>
  <c r="N1326" i="4"/>
  <c r="N841" i="4"/>
  <c r="I3" i="5"/>
  <c r="L1301" i="4"/>
  <c r="N1301" i="4"/>
  <c r="L1401" i="4"/>
  <c r="N1401" i="4"/>
  <c r="L1104" i="4"/>
  <c r="N1104" i="4"/>
  <c r="L1598" i="4"/>
  <c r="N1598" i="4"/>
  <c r="L674" i="4"/>
  <c r="I209" i="4"/>
  <c r="W171" i="4"/>
  <c r="I113" i="4"/>
  <c r="N1748" i="4"/>
  <c r="N1742" i="4"/>
  <c r="L1238" i="4"/>
  <c r="L833" i="4"/>
  <c r="N847" i="4"/>
  <c r="K251" i="4"/>
  <c r="H60" i="4"/>
  <c r="K147" i="4"/>
  <c r="W200" i="4"/>
  <c r="H104" i="4"/>
  <c r="H48" i="4"/>
  <c r="K48" i="4" s="1"/>
  <c r="I25" i="4"/>
  <c r="K25" i="4" s="1"/>
  <c r="L25" i="4" s="1"/>
  <c r="M25" i="4" s="1"/>
  <c r="N25" i="4" s="1"/>
  <c r="O25" i="4" s="1"/>
  <c r="P25" i="4" s="1"/>
  <c r="K184" i="4"/>
  <c r="H176" i="4"/>
  <c r="K176" i="4" s="1"/>
  <c r="N1827" i="4"/>
  <c r="N814" i="4"/>
  <c r="N1417" i="4"/>
  <c r="N1956" i="4"/>
  <c r="W156" i="4"/>
  <c r="N717" i="4"/>
  <c r="L805" i="4"/>
  <c r="L1180" i="4"/>
  <c r="L931" i="4"/>
  <c r="L842" i="4"/>
  <c r="N426" i="4"/>
  <c r="I28" i="4"/>
  <c r="W195" i="4"/>
  <c r="K7" i="5"/>
  <c r="L362" i="4"/>
  <c r="K122" i="4"/>
  <c r="L102" i="4"/>
  <c r="M102" i="4" s="1"/>
  <c r="N102" i="4" s="1"/>
  <c r="O102" i="4" s="1"/>
  <c r="P102" i="4" s="1"/>
  <c r="H24" i="4"/>
  <c r="K24" i="4" s="1"/>
  <c r="I201" i="4"/>
  <c r="W109" i="4"/>
  <c r="N1495" i="4"/>
  <c r="L1782" i="4"/>
  <c r="N709" i="4"/>
  <c r="N798" i="4"/>
  <c r="L1277" i="4"/>
  <c r="N1694" i="4"/>
  <c r="N1263" i="4"/>
  <c r="L1806" i="4"/>
  <c r="W160" i="4"/>
  <c r="W231" i="4"/>
  <c r="H139" i="4"/>
  <c r="K139" i="4" s="1"/>
  <c r="H85" i="4"/>
  <c r="K85" i="4" s="1"/>
  <c r="H77" i="4"/>
  <c r="W92" i="4"/>
  <c r="W74" i="4"/>
  <c r="N1844" i="4"/>
  <c r="L1346" i="4"/>
  <c r="L678" i="4"/>
  <c r="N1973" i="4"/>
  <c r="L1946" i="4"/>
  <c r="N1946" i="4"/>
  <c r="L1358" i="4"/>
  <c r="N1358" i="4"/>
  <c r="N739" i="4"/>
  <c r="L739" i="4"/>
  <c r="L828" i="4"/>
  <c r="N828" i="4"/>
  <c r="L714" i="4"/>
  <c r="N1947" i="4"/>
  <c r="L1372" i="4"/>
  <c r="L792" i="4"/>
  <c r="L535" i="4"/>
  <c r="L395" i="4"/>
  <c r="L411" i="4"/>
  <c r="H131" i="4"/>
  <c r="I217" i="4"/>
  <c r="K217" i="4" s="1"/>
  <c r="L217" i="4" s="1"/>
  <c r="M217" i="4" s="1"/>
  <c r="N217" i="4" s="1"/>
  <c r="O217" i="4" s="1"/>
  <c r="P217" i="4" s="1"/>
  <c r="I78" i="4"/>
  <c r="I86" i="4"/>
  <c r="W163" i="4"/>
  <c r="I33" i="4"/>
  <c r="N1757" i="4"/>
  <c r="L1673" i="4"/>
  <c r="L1881" i="4"/>
  <c r="N1559" i="4"/>
  <c r="W191" i="4"/>
  <c r="W183" i="4"/>
  <c r="I159" i="4"/>
  <c r="N1647" i="4"/>
  <c r="N1638" i="4"/>
  <c r="L610" i="4"/>
  <c r="N1754" i="4"/>
  <c r="L1754" i="4"/>
  <c r="L1035" i="4"/>
  <c r="L575" i="4"/>
  <c r="L386" i="4"/>
  <c r="W259" i="4"/>
  <c r="K192" i="4"/>
  <c r="L192" i="4" s="1"/>
  <c r="M192" i="4" s="1"/>
  <c r="N192" i="4" s="1"/>
  <c r="O192" i="4" s="1"/>
  <c r="P192" i="4" s="1"/>
  <c r="I65" i="4"/>
  <c r="K65" i="4" s="1"/>
  <c r="L65" i="4" s="1"/>
  <c r="M65" i="4" s="1"/>
  <c r="N65" i="4" s="1"/>
  <c r="O65" i="4" s="1"/>
  <c r="P65" i="4" s="1"/>
  <c r="H32" i="4"/>
  <c r="K32" i="4" s="1"/>
  <c r="N322" i="4"/>
  <c r="N1434" i="4"/>
  <c r="N1270" i="4"/>
  <c r="N1319" i="4"/>
  <c r="N629" i="4"/>
  <c r="L609" i="4"/>
  <c r="L1349" i="4"/>
  <c r="N1349" i="4"/>
  <c r="N879" i="4"/>
  <c r="L879" i="4"/>
  <c r="K6" i="5"/>
  <c r="N402" i="4"/>
  <c r="L402" i="4"/>
  <c r="L1512" i="4"/>
  <c r="L1501" i="4"/>
  <c r="W229" i="4"/>
  <c r="H193" i="4"/>
  <c r="H29" i="4"/>
  <c r="H8" i="4"/>
  <c r="K8" i="4" s="1"/>
  <c r="I117" i="4"/>
  <c r="N1212" i="4"/>
  <c r="L813" i="4"/>
  <c r="L1646" i="4"/>
  <c r="K129" i="4"/>
  <c r="H157" i="4"/>
  <c r="K157" i="4" s="1"/>
  <c r="L157" i="4" s="1"/>
  <c r="M157" i="4" s="1"/>
  <c r="N157" i="4" s="1"/>
  <c r="O157" i="4" s="1"/>
  <c r="P157" i="4" s="1"/>
  <c r="W120" i="4"/>
  <c r="N1728" i="4"/>
  <c r="L1914" i="4"/>
  <c r="N1914" i="4"/>
  <c r="N1220" i="4"/>
  <c r="L1220" i="4"/>
  <c r="N870" i="4"/>
  <c r="L870" i="4"/>
  <c r="K4" i="5"/>
  <c r="W176" i="4"/>
  <c r="W253" i="4"/>
  <c r="W3" i="4"/>
  <c r="W128" i="4"/>
  <c r="W254" i="4"/>
  <c r="W9" i="4"/>
  <c r="W130" i="4"/>
  <c r="W255" i="4"/>
  <c r="W258" i="4"/>
  <c r="W194" i="4"/>
  <c r="W159" i="4"/>
  <c r="W138" i="4"/>
  <c r="W132" i="4"/>
  <c r="W221" i="4"/>
  <c r="W6" i="4"/>
  <c r="W46" i="4"/>
  <c r="W86" i="4"/>
  <c r="W67" i="4"/>
  <c r="W47" i="4"/>
  <c r="W7" i="4"/>
  <c r="W210" i="4"/>
  <c r="W248" i="4"/>
  <c r="W72" i="4"/>
  <c r="W68" i="4"/>
  <c r="W111" i="4"/>
  <c r="W249" i="4"/>
  <c r="W38" i="4"/>
  <c r="W142" i="4"/>
  <c r="W43" i="4"/>
  <c r="W24" i="4"/>
  <c r="W78" i="4"/>
  <c r="W60" i="4"/>
  <c r="W27" i="4"/>
  <c r="W136" i="4"/>
  <c r="W110" i="4"/>
  <c r="W108" i="4"/>
  <c r="W49" i="4"/>
  <c r="W18" i="4"/>
  <c r="W224" i="4"/>
  <c r="W189" i="4"/>
  <c r="W204" i="4"/>
  <c r="W170" i="4"/>
  <c r="W88" i="4"/>
  <c r="W48" i="4"/>
  <c r="W216" i="4"/>
  <c r="W245" i="4"/>
  <c r="W75" i="4"/>
  <c r="W175" i="4"/>
  <c r="W101" i="4"/>
  <c r="W96" i="4"/>
  <c r="W66" i="4"/>
  <c r="W14" i="4"/>
  <c r="W201" i="4"/>
  <c r="C5" i="5" s="1"/>
  <c r="W185" i="4"/>
  <c r="W40" i="4"/>
  <c r="W174" i="4"/>
  <c r="W44" i="4"/>
  <c r="W57" i="4"/>
  <c r="W37" i="4"/>
  <c r="W192" i="4"/>
  <c r="H16" i="4"/>
  <c r="K16" i="4" s="1"/>
  <c r="K164" i="4"/>
  <c r="W232" i="4"/>
  <c r="H256" i="4"/>
  <c r="K256" i="4" s="1"/>
  <c r="L256" i="4" s="1"/>
  <c r="M256" i="4" s="1"/>
  <c r="N256" i="4" s="1"/>
  <c r="O256" i="4" s="1"/>
  <c r="P256" i="4" s="1"/>
  <c r="I12" i="4"/>
  <c r="K12" i="4" s="1"/>
  <c r="L12" i="4" s="1"/>
  <c r="M12" i="4" s="1"/>
  <c r="N12" i="4" s="1"/>
  <c r="O12" i="4" s="1"/>
  <c r="P12" i="4" s="1"/>
  <c r="W222" i="4"/>
  <c r="I158" i="4"/>
  <c r="W251" i="4"/>
  <c r="I236" i="4"/>
  <c r="I118" i="4"/>
  <c r="W188" i="4"/>
  <c r="I141" i="4"/>
  <c r="K141" i="4" s="1"/>
  <c r="L141" i="4" s="1"/>
  <c r="M141" i="4" s="1"/>
  <c r="N141" i="4" s="1"/>
  <c r="O141" i="4" s="1"/>
  <c r="P141" i="4" s="1"/>
  <c r="H4" i="4"/>
  <c r="H219" i="4"/>
  <c r="K219" i="4" s="1"/>
  <c r="W17" i="4"/>
  <c r="W184" i="4"/>
  <c r="H168" i="4"/>
  <c r="K168" i="4" s="1"/>
  <c r="L168" i="4" s="1"/>
  <c r="M168" i="4" s="1"/>
  <c r="N168" i="4" s="1"/>
  <c r="O168" i="4" s="1"/>
  <c r="P168" i="4" s="1"/>
  <c r="W162" i="4"/>
  <c r="H126" i="4"/>
  <c r="K126" i="4" s="1"/>
  <c r="L126" i="4" s="1"/>
  <c r="M126" i="4" s="1"/>
  <c r="N126" i="4" s="1"/>
  <c r="O126" i="4" s="1"/>
  <c r="P126" i="4" s="1"/>
  <c r="H240" i="4"/>
  <c r="K240" i="4" s="1"/>
  <c r="W243" i="4"/>
  <c r="W187" i="4"/>
  <c r="W30" i="4"/>
  <c r="I182" i="4"/>
  <c r="K182" i="4" s="1"/>
  <c r="L182" i="4" s="1"/>
  <c r="M182" i="4" s="1"/>
  <c r="N182" i="4" s="1"/>
  <c r="O182" i="4" s="1"/>
  <c r="P182" i="4" s="1"/>
  <c r="W211" i="4"/>
  <c r="H99" i="4"/>
  <c r="K99" i="4" s="1"/>
  <c r="H40" i="4"/>
  <c r="K40" i="4" s="1"/>
  <c r="W28" i="4"/>
  <c r="W12" i="4"/>
  <c r="H149" i="4"/>
  <c r="K149" i="4" s="1"/>
  <c r="I244" i="4"/>
  <c r="W220" i="4"/>
  <c r="W129" i="4"/>
  <c r="I94" i="4"/>
  <c r="W153" i="4"/>
  <c r="H222" i="4"/>
  <c r="K222" i="4" s="1"/>
  <c r="W165" i="4"/>
  <c r="W238" i="4"/>
  <c r="W133" i="4"/>
  <c r="W70" i="4"/>
  <c r="W4" i="4"/>
  <c r="W206" i="4"/>
  <c r="W193" i="4"/>
  <c r="L62" i="4"/>
  <c r="M62" i="4" s="1"/>
  <c r="N62" i="4" s="1"/>
  <c r="O62" i="4" s="1"/>
  <c r="P62" i="4" s="1"/>
  <c r="W98" i="4"/>
  <c r="H248" i="4"/>
  <c r="K216" i="4"/>
  <c r="W230" i="4"/>
  <c r="I133" i="4"/>
  <c r="K133" i="4" s="1"/>
  <c r="L133" i="4" s="1"/>
  <c r="M133" i="4" s="1"/>
  <c r="N133" i="4" s="1"/>
  <c r="O133" i="4" s="1"/>
  <c r="P133" i="4" s="1"/>
  <c r="W54" i="4"/>
  <c r="I190" i="4"/>
  <c r="K190" i="4" s="1"/>
  <c r="L190" i="4" s="1"/>
  <c r="M190" i="4" s="1"/>
  <c r="N190" i="4" s="1"/>
  <c r="O190" i="4" s="1"/>
  <c r="P190" i="4" s="1"/>
  <c r="W150" i="4"/>
  <c r="W112" i="4"/>
  <c r="H64" i="4"/>
  <c r="K64" i="4" s="1"/>
  <c r="L177" i="4"/>
  <c r="M177" i="4" s="1"/>
  <c r="N177" i="4" s="1"/>
  <c r="O177" i="4" s="1"/>
  <c r="P177" i="4" s="1"/>
  <c r="W179" i="4"/>
  <c r="K36" i="4"/>
  <c r="W203" i="4"/>
  <c r="I231" i="4"/>
  <c r="H231" i="4"/>
  <c r="W235" i="4"/>
  <c r="H250" i="4"/>
  <c r="I250" i="4"/>
  <c r="I228" i="4"/>
  <c r="K225" i="4"/>
  <c r="H125" i="4"/>
  <c r="I125" i="4"/>
  <c r="I97" i="4"/>
  <c r="H97" i="4"/>
  <c r="W196" i="4"/>
  <c r="K154" i="4"/>
  <c r="W141" i="4"/>
  <c r="I116" i="4"/>
  <c r="H116" i="4"/>
  <c r="I43" i="4"/>
  <c r="H43" i="4"/>
  <c r="W22" i="4"/>
  <c r="H108" i="4"/>
  <c r="K230" i="4"/>
  <c r="I180" i="4"/>
  <c r="K180" i="4" s="1"/>
  <c r="L180" i="4" s="1"/>
  <c r="M180" i="4" s="1"/>
  <c r="N180" i="4" s="1"/>
  <c r="O180" i="4" s="1"/>
  <c r="P180" i="4" s="1"/>
  <c r="I119" i="4"/>
  <c r="H119" i="4"/>
  <c r="I96" i="4"/>
  <c r="H96" i="4"/>
  <c r="K86" i="4"/>
  <c r="L86" i="4" s="1"/>
  <c r="M86" i="4" s="1"/>
  <c r="N86" i="4" s="1"/>
  <c r="O86" i="4" s="1"/>
  <c r="P86" i="4" s="1"/>
  <c r="I7" i="4"/>
  <c r="H7" i="4"/>
  <c r="K249" i="4"/>
  <c r="L249" i="4" s="1"/>
  <c r="M249" i="4" s="1"/>
  <c r="N249" i="4" s="1"/>
  <c r="O249" i="4" s="1"/>
  <c r="P249" i="4" s="1"/>
  <c r="W117" i="4"/>
  <c r="W94" i="4"/>
  <c r="I239" i="4"/>
  <c r="H239" i="4"/>
  <c r="I242" i="4"/>
  <c r="H242" i="4"/>
  <c r="H253" i="4"/>
  <c r="I253" i="4"/>
  <c r="K246" i="4"/>
  <c r="I161" i="4"/>
  <c r="H161" i="4"/>
  <c r="K248" i="4"/>
  <c r="L248" i="4" s="1"/>
  <c r="M248" i="4" s="1"/>
  <c r="N248" i="4" s="1"/>
  <c r="O248" i="4" s="1"/>
  <c r="P248" i="4" s="1"/>
  <c r="I87" i="4"/>
  <c r="H87" i="4"/>
  <c r="I67" i="4"/>
  <c r="H67" i="4"/>
  <c r="K52" i="4"/>
  <c r="K20" i="4"/>
  <c r="L20" i="4" s="1"/>
  <c r="M20" i="4" s="1"/>
  <c r="N20" i="4" s="1"/>
  <c r="O20" i="4" s="1"/>
  <c r="P20" i="4" s="1"/>
  <c r="W233" i="4"/>
  <c r="I218" i="4"/>
  <c r="H218" i="4"/>
  <c r="H172" i="4"/>
  <c r="K45" i="4"/>
  <c r="L45" i="4" s="1"/>
  <c r="M45" i="4" s="1"/>
  <c r="N45" i="4" s="1"/>
  <c r="O45" i="4" s="1"/>
  <c r="P45" i="4" s="1"/>
  <c r="K29" i="4"/>
  <c r="L29" i="4" s="1"/>
  <c r="M29" i="4" s="1"/>
  <c r="N29" i="4" s="1"/>
  <c r="O29" i="4" s="1"/>
  <c r="P29" i="4" s="1"/>
  <c r="K214" i="4"/>
  <c r="I205" i="4"/>
  <c r="H205" i="4"/>
  <c r="H187" i="4"/>
  <c r="N187" i="4" s="1"/>
  <c r="K94" i="4"/>
  <c r="K89" i="4"/>
  <c r="K9" i="4"/>
  <c r="L9" i="4" s="1"/>
  <c r="M9" i="4" s="1"/>
  <c r="N9" i="4" s="1"/>
  <c r="O9" i="4" s="1"/>
  <c r="P9" i="4" s="1"/>
  <c r="H226" i="4"/>
  <c r="L170" i="4"/>
  <c r="M170" i="4" s="1"/>
  <c r="N170" i="4" s="1"/>
  <c r="O170" i="4" s="1"/>
  <c r="P170" i="4" s="1"/>
  <c r="I247" i="4"/>
  <c r="H247" i="4"/>
  <c r="I215" i="4"/>
  <c r="H215" i="4"/>
  <c r="I260" i="4"/>
  <c r="K260" i="4" s="1"/>
  <c r="L260" i="4" s="1"/>
  <c r="M260" i="4" s="1"/>
  <c r="N260" i="4" s="1"/>
  <c r="O260" i="4" s="1"/>
  <c r="P260" i="4" s="1"/>
  <c r="I234" i="4"/>
  <c r="H234" i="4"/>
  <c r="H146" i="4"/>
  <c r="H123" i="4"/>
  <c r="H66" i="4"/>
  <c r="I66" i="4"/>
  <c r="I50" i="4"/>
  <c r="H50" i="4"/>
  <c r="H34" i="4"/>
  <c r="I34" i="4"/>
  <c r="H18" i="4"/>
  <c r="I18" i="4"/>
  <c r="I2" i="4"/>
  <c r="H2" i="4"/>
  <c r="K241" i="4"/>
  <c r="I151" i="4"/>
  <c r="H151" i="4"/>
  <c r="H75" i="4"/>
  <c r="I75" i="4"/>
  <c r="K257" i="4"/>
  <c r="L257" i="4" s="1"/>
  <c r="M257" i="4" s="1"/>
  <c r="N257" i="4" s="1"/>
  <c r="O257" i="4" s="1"/>
  <c r="P257" i="4" s="1"/>
  <c r="K13" i="4"/>
  <c r="I140" i="4"/>
  <c r="K140" i="4" s="1"/>
  <c r="L140" i="4" s="1"/>
  <c r="M140" i="4" s="1"/>
  <c r="N140" i="4" s="1"/>
  <c r="O140" i="4" s="1"/>
  <c r="P140" i="4" s="1"/>
  <c r="H101" i="4"/>
  <c r="I101" i="4"/>
  <c r="H71" i="4"/>
  <c r="I71" i="4"/>
  <c r="I55" i="4"/>
  <c r="H55" i="4"/>
  <c r="I39" i="4"/>
  <c r="H39" i="4"/>
  <c r="I23" i="4"/>
  <c r="H23" i="4"/>
  <c r="W158" i="4"/>
  <c r="I148" i="4"/>
  <c r="K148" i="4" s="1"/>
  <c r="L148" i="4" s="1"/>
  <c r="M148" i="4" s="1"/>
  <c r="N148" i="4" s="1"/>
  <c r="O148" i="4" s="1"/>
  <c r="P148" i="4" s="1"/>
  <c r="H255" i="4"/>
  <c r="I255" i="4"/>
  <c r="I252" i="4"/>
  <c r="K252" i="4" s="1"/>
  <c r="L252" i="4" s="1"/>
  <c r="M252" i="4" s="1"/>
  <c r="N252" i="4" s="1"/>
  <c r="O252" i="4" s="1"/>
  <c r="P252" i="4" s="1"/>
  <c r="W219" i="4"/>
  <c r="I35" i="4"/>
  <c r="H35" i="4"/>
  <c r="I51" i="4"/>
  <c r="H51" i="4"/>
  <c r="K4" i="4"/>
  <c r="W225" i="4"/>
  <c r="I220" i="4"/>
  <c r="K220" i="4" s="1"/>
  <c r="L220" i="4" s="1"/>
  <c r="M220" i="4" s="1"/>
  <c r="N220" i="4" s="1"/>
  <c r="O220" i="4" s="1"/>
  <c r="P220" i="4" s="1"/>
  <c r="H179" i="4"/>
  <c r="I160" i="4"/>
  <c r="H160" i="4"/>
  <c r="H84" i="4"/>
  <c r="I84" i="4"/>
  <c r="K224" i="4"/>
  <c r="K158" i="4"/>
  <c r="K107" i="4"/>
  <c r="K73" i="4"/>
  <c r="K228" i="4"/>
  <c r="L228" i="4" s="1"/>
  <c r="M228" i="4" s="1"/>
  <c r="N228" i="4" s="1"/>
  <c r="O228" i="4" s="1"/>
  <c r="P228" i="4" s="1"/>
  <c r="K201" i="4"/>
  <c r="L201" i="4" s="1"/>
  <c r="M201" i="4" s="1"/>
  <c r="N201" i="4" s="1"/>
  <c r="O201" i="4" s="1"/>
  <c r="P201" i="4" s="1"/>
  <c r="H138" i="4"/>
  <c r="I138" i="4"/>
  <c r="K110" i="4"/>
  <c r="I59" i="4"/>
  <c r="H59" i="4"/>
  <c r="I19" i="4"/>
  <c r="H19" i="4"/>
  <c r="W180" i="4"/>
  <c r="K60" i="4"/>
  <c r="L60" i="4" s="1"/>
  <c r="M60" i="4" s="1"/>
  <c r="N60" i="4" s="1"/>
  <c r="O60" i="4" s="1"/>
  <c r="P60" i="4" s="1"/>
  <c r="I3" i="4"/>
  <c r="H3" i="4"/>
  <c r="I213" i="4"/>
  <c r="H213" i="4"/>
  <c r="K208" i="4"/>
  <c r="L208" i="4" s="1"/>
  <c r="M208" i="4" s="1"/>
  <c r="N208" i="4" s="1"/>
  <c r="O208" i="4" s="1"/>
  <c r="P208" i="4" s="1"/>
  <c r="K150" i="4"/>
  <c r="I114" i="4"/>
  <c r="H114" i="4"/>
  <c r="K105" i="4"/>
  <c r="H91" i="4"/>
  <c r="I91" i="4"/>
  <c r="K33" i="4"/>
  <c r="L33" i="4" s="1"/>
  <c r="M33" i="4" s="1"/>
  <c r="N33" i="4" s="1"/>
  <c r="O33" i="4" s="1"/>
  <c r="P33" i="4" s="1"/>
  <c r="W76" i="4"/>
  <c r="I223" i="4"/>
  <c r="H223" i="4"/>
  <c r="W244" i="4"/>
  <c r="I199" i="4"/>
  <c r="H199" i="4"/>
  <c r="K174" i="4"/>
  <c r="L174" i="4" s="1"/>
  <c r="M174" i="4" s="1"/>
  <c r="N174" i="4" s="1"/>
  <c r="O174" i="4" s="1"/>
  <c r="P174" i="4" s="1"/>
  <c r="K131" i="4"/>
  <c r="L131" i="4" s="1"/>
  <c r="M131" i="4" s="1"/>
  <c r="N131" i="4" s="1"/>
  <c r="O131" i="4" s="1"/>
  <c r="P131" i="4" s="1"/>
  <c r="I124" i="4"/>
  <c r="H124" i="4"/>
  <c r="K37" i="4"/>
  <c r="L37" i="4" s="1"/>
  <c r="M37" i="4" s="1"/>
  <c r="N37" i="4" s="1"/>
  <c r="O37" i="4" s="1"/>
  <c r="P37" i="4" s="1"/>
  <c r="I132" i="4"/>
  <c r="H132" i="4"/>
  <c r="H203" i="4"/>
  <c r="I165" i="4"/>
  <c r="H165" i="4"/>
  <c r="K156" i="4"/>
  <c r="L156" i="4" s="1"/>
  <c r="M156" i="4" s="1"/>
  <c r="N156" i="4" s="1"/>
  <c r="O156" i="4" s="1"/>
  <c r="P156" i="4" s="1"/>
  <c r="I210" i="4"/>
  <c r="H210" i="4"/>
  <c r="T210" i="4" s="1"/>
  <c r="K206" i="4"/>
  <c r="K171" i="4"/>
  <c r="L171" i="4" s="1"/>
  <c r="M171" i="4" s="1"/>
  <c r="N171" i="4" s="1"/>
  <c r="O171" i="4" s="1"/>
  <c r="P171" i="4" s="1"/>
  <c r="K41" i="4"/>
  <c r="L41" i="4" s="1"/>
  <c r="M41" i="4" s="1"/>
  <c r="N41" i="4" s="1"/>
  <c r="O41" i="4" s="1"/>
  <c r="P41" i="4" s="1"/>
  <c r="K209" i="4"/>
  <c r="L209" i="4" s="1"/>
  <c r="M209" i="4" s="1"/>
  <c r="N209" i="4" s="1"/>
  <c r="O209" i="4" s="1"/>
  <c r="P209" i="4" s="1"/>
  <c r="L142" i="4"/>
  <c r="M142" i="4" s="1"/>
  <c r="N142" i="4" s="1"/>
  <c r="O142" i="4" s="1"/>
  <c r="P142" i="4" s="1"/>
  <c r="K259" i="4"/>
  <c r="L259" i="4" s="1"/>
  <c r="M259" i="4" s="1"/>
  <c r="N259" i="4" s="1"/>
  <c r="O259" i="4" s="1"/>
  <c r="P259" i="4" s="1"/>
  <c r="I191" i="4"/>
  <c r="H191" i="4"/>
  <c r="H169" i="4"/>
  <c r="I120" i="4"/>
  <c r="H120" i="4"/>
  <c r="H115" i="4"/>
  <c r="I115" i="4"/>
  <c r="I74" i="4"/>
  <c r="H74" i="4"/>
  <c r="T37" i="4" s="1"/>
  <c r="U37" i="4" s="1"/>
  <c r="I58" i="4"/>
  <c r="H58" i="4"/>
  <c r="T206" i="4" s="1"/>
  <c r="U206" i="4" s="1"/>
  <c r="I42" i="4"/>
  <c r="H42" i="4"/>
  <c r="I26" i="4"/>
  <c r="H26" i="4"/>
  <c r="I10" i="4"/>
  <c r="H10" i="4"/>
  <c r="K118" i="4"/>
  <c r="L118" i="4" s="1"/>
  <c r="M118" i="4" s="1"/>
  <c r="N118" i="4" s="1"/>
  <c r="O118" i="4" s="1"/>
  <c r="P118" i="4" s="1"/>
  <c r="K113" i="4"/>
  <c r="K68" i="4"/>
  <c r="L68" i="4" s="1"/>
  <c r="M68" i="4" s="1"/>
  <c r="N68" i="4" s="1"/>
  <c r="O68" i="4" s="1"/>
  <c r="P68" i="4" s="1"/>
  <c r="K28" i="4"/>
  <c r="K21" i="4"/>
  <c r="L21" i="4" s="1"/>
  <c r="M21" i="4" s="1"/>
  <c r="N21" i="4" s="1"/>
  <c r="O21" i="4" s="1"/>
  <c r="P21" i="4" s="1"/>
  <c r="K5" i="4"/>
  <c r="L5" i="4" s="1"/>
  <c r="M5" i="4" s="1"/>
  <c r="N5" i="4" s="1"/>
  <c r="O5" i="4" s="1"/>
  <c r="P5" i="4" s="1"/>
  <c r="K238" i="4"/>
  <c r="L238" i="4" s="1"/>
  <c r="M238" i="4" s="1"/>
  <c r="N238" i="4" s="1"/>
  <c r="O238" i="4" s="1"/>
  <c r="P238" i="4" s="1"/>
  <c r="K254" i="4"/>
  <c r="L254" i="4" s="1"/>
  <c r="M254" i="4" s="1"/>
  <c r="N254" i="4" s="1"/>
  <c r="O254" i="4" s="1"/>
  <c r="P254" i="4" s="1"/>
  <c r="I245" i="4"/>
  <c r="H245" i="4"/>
  <c r="I204" i="4"/>
  <c r="K204" i="4" s="1"/>
  <c r="L204" i="4" s="1"/>
  <c r="M204" i="4" s="1"/>
  <c r="N204" i="4" s="1"/>
  <c r="O204" i="4" s="1"/>
  <c r="P204" i="4" s="1"/>
  <c r="I196" i="4"/>
  <c r="K196" i="4" s="1"/>
  <c r="L196" i="4" s="1"/>
  <c r="M196" i="4" s="1"/>
  <c r="N196" i="4" s="1"/>
  <c r="O196" i="4" s="1"/>
  <c r="P196" i="4" s="1"/>
  <c r="K104" i="4"/>
  <c r="L104" i="4" s="1"/>
  <c r="M104" i="4" s="1"/>
  <c r="N104" i="4" s="1"/>
  <c r="O104" i="4" s="1"/>
  <c r="P104" i="4" s="1"/>
  <c r="I79" i="4"/>
  <c r="H79" i="4"/>
  <c r="T42" i="4" s="1"/>
  <c r="I63" i="4"/>
  <c r="H63" i="4"/>
  <c r="I47" i="4"/>
  <c r="H47" i="4"/>
  <c r="H31" i="4"/>
  <c r="I31" i="4"/>
  <c r="I15" i="4"/>
  <c r="H15" i="4"/>
  <c r="L164" i="4"/>
  <c r="M164" i="4" s="1"/>
  <c r="N164" i="4" s="1"/>
  <c r="O164" i="4" s="1"/>
  <c r="P164" i="4" s="1"/>
  <c r="H202" i="4"/>
  <c r="I202" i="4"/>
  <c r="I194" i="4"/>
  <c r="H194" i="4"/>
  <c r="I186" i="4"/>
  <c r="H186" i="4"/>
  <c r="K236" i="4"/>
  <c r="L236" i="4" s="1"/>
  <c r="M236" i="4" s="1"/>
  <c r="N236" i="4" s="1"/>
  <c r="O236" i="4" s="1"/>
  <c r="P236" i="4" s="1"/>
  <c r="L135" i="4"/>
  <c r="M135" i="4" s="1"/>
  <c r="N135" i="4" s="1"/>
  <c r="O135" i="4" s="1"/>
  <c r="P135" i="4" s="1"/>
  <c r="H207" i="4"/>
  <c r="I207" i="4"/>
  <c r="I212" i="4"/>
  <c r="K212" i="4" s="1"/>
  <c r="L212" i="4" s="1"/>
  <c r="M212" i="4" s="1"/>
  <c r="N212" i="4" s="1"/>
  <c r="O212" i="4" s="1"/>
  <c r="P212" i="4" s="1"/>
  <c r="I183" i="4"/>
  <c r="H183" i="4"/>
  <c r="I143" i="4"/>
  <c r="H143" i="4"/>
  <c r="T254" i="4" s="1"/>
  <c r="U254" i="4" s="1"/>
  <c r="I27" i="4"/>
  <c r="H27" i="4"/>
  <c r="W209" i="4"/>
  <c r="K178" i="4"/>
  <c r="L178" i="4" s="1"/>
  <c r="M178" i="4" s="1"/>
  <c r="N178" i="4" s="1"/>
  <c r="O178" i="4" s="1"/>
  <c r="P178" i="4" s="1"/>
  <c r="K136" i="4"/>
  <c r="L136" i="4" s="1"/>
  <c r="M136" i="4" s="1"/>
  <c r="N136" i="4" s="1"/>
  <c r="O136" i="4" s="1"/>
  <c r="P136" i="4" s="1"/>
  <c r="K90" i="4"/>
  <c r="L90" i="4" s="1"/>
  <c r="M90" i="4" s="1"/>
  <c r="N90" i="4" s="1"/>
  <c r="O90" i="4" s="1"/>
  <c r="P90" i="4" s="1"/>
  <c r="K76" i="4"/>
  <c r="K44" i="4"/>
  <c r="L44" i="4" s="1"/>
  <c r="M44" i="4" s="1"/>
  <c r="N44" i="4" s="1"/>
  <c r="O44" i="4" s="1"/>
  <c r="P44" i="4" s="1"/>
  <c r="H11" i="4"/>
  <c r="I11" i="4"/>
  <c r="I229" i="4"/>
  <c r="H229" i="4"/>
  <c r="I188" i="4"/>
  <c r="K188" i="4" s="1"/>
  <c r="L188" i="4" s="1"/>
  <c r="M188" i="4" s="1"/>
  <c r="N188" i="4" s="1"/>
  <c r="O188" i="4" s="1"/>
  <c r="P188" i="4" s="1"/>
  <c r="K233" i="4"/>
  <c r="L233" i="4" s="1"/>
  <c r="M233" i="4" s="1"/>
  <c r="N233" i="4" s="1"/>
  <c r="O233" i="4" s="1"/>
  <c r="P233" i="4" s="1"/>
  <c r="H195" i="4"/>
  <c r="I155" i="4"/>
  <c r="H155" i="4"/>
  <c r="H137" i="4"/>
  <c r="I137" i="4"/>
  <c r="I221" i="4"/>
  <c r="H221" i="4"/>
  <c r="I197" i="4"/>
  <c r="H197" i="4"/>
  <c r="I189" i="4"/>
  <c r="H189" i="4"/>
  <c r="I181" i="4"/>
  <c r="H181" i="4"/>
  <c r="H127" i="4"/>
  <c r="T16" i="4" s="1"/>
  <c r="U16" i="4" s="1"/>
  <c r="I127" i="4"/>
  <c r="H258" i="4"/>
  <c r="K244" i="4"/>
  <c r="L244" i="4" s="1"/>
  <c r="M244" i="4" s="1"/>
  <c r="N244" i="4" s="1"/>
  <c r="O244" i="4" s="1"/>
  <c r="P244" i="4" s="1"/>
  <c r="K117" i="4"/>
  <c r="L117" i="4" s="1"/>
  <c r="M117" i="4" s="1"/>
  <c r="N117" i="4" s="1"/>
  <c r="O117" i="4" s="1"/>
  <c r="P117" i="4" s="1"/>
  <c r="K175" i="4"/>
  <c r="L175" i="4" s="1"/>
  <c r="M175" i="4" s="1"/>
  <c r="N175" i="4" s="1"/>
  <c r="O175" i="4" s="1"/>
  <c r="P175" i="4" s="1"/>
  <c r="W137" i="4"/>
  <c r="K111" i="4"/>
  <c r="L111" i="4" s="1"/>
  <c r="M111" i="4" s="1"/>
  <c r="N111" i="4" s="1"/>
  <c r="O111" i="4" s="1"/>
  <c r="P111" i="4" s="1"/>
  <c r="L152" i="4"/>
  <c r="M152" i="4" s="1"/>
  <c r="N152" i="4" s="1"/>
  <c r="O152" i="4" s="1"/>
  <c r="P152" i="4" s="1"/>
  <c r="K121" i="4"/>
  <c r="L121" i="4" s="1"/>
  <c r="M121" i="4" s="1"/>
  <c r="N121" i="4" s="1"/>
  <c r="O121" i="4" s="1"/>
  <c r="P121" i="4" s="1"/>
  <c r="H93" i="4"/>
  <c r="L70" i="4"/>
  <c r="M70" i="4" s="1"/>
  <c r="N70" i="4" s="1"/>
  <c r="O70" i="4" s="1"/>
  <c r="P70" i="4" s="1"/>
  <c r="L167" i="4"/>
  <c r="M167" i="4" s="1"/>
  <c r="N167" i="4" s="1"/>
  <c r="O167" i="4" s="1"/>
  <c r="P167" i="4" s="1"/>
  <c r="K78" i="4"/>
  <c r="L78" i="4" s="1"/>
  <c r="M78" i="4" s="1"/>
  <c r="N78" i="4" s="1"/>
  <c r="O78" i="4" s="1"/>
  <c r="P78" i="4" s="1"/>
  <c r="I103" i="4"/>
  <c r="H103" i="4"/>
  <c r="T29" i="4" s="1"/>
  <c r="U29" i="4" s="1"/>
  <c r="K130" i="4"/>
  <c r="L130" i="4" s="1"/>
  <c r="M130" i="4" s="1"/>
  <c r="N130" i="4" s="1"/>
  <c r="O130" i="4" s="1"/>
  <c r="P130" i="4" s="1"/>
  <c r="W52" i="4"/>
  <c r="C4" i="5" s="1"/>
  <c r="K198" i="4"/>
  <c r="L198" i="4" s="1"/>
  <c r="M198" i="4" s="1"/>
  <c r="N198" i="4" s="1"/>
  <c r="O198" i="4" s="1"/>
  <c r="P198" i="4" s="1"/>
  <c r="K98" i="4"/>
  <c r="L98" i="4" s="1"/>
  <c r="M98" i="4" s="1"/>
  <c r="N98" i="4" s="1"/>
  <c r="O98" i="4" s="1"/>
  <c r="P98" i="4" s="1"/>
  <c r="K54" i="4"/>
  <c r="L54" i="4" s="1"/>
  <c r="M54" i="4" s="1"/>
  <c r="N54" i="4" s="1"/>
  <c r="O54" i="4" s="1"/>
  <c r="P54" i="4" s="1"/>
  <c r="L14" i="4"/>
  <c r="M14" i="4" s="1"/>
  <c r="N14" i="4" s="1"/>
  <c r="O14" i="4" s="1"/>
  <c r="P14" i="4" s="1"/>
  <c r="L88" i="4"/>
  <c r="M88" i="4" s="1"/>
  <c r="N88" i="4" s="1"/>
  <c r="O88" i="4" s="1"/>
  <c r="P88" i="4" s="1"/>
  <c r="K57" i="4"/>
  <c r="L57" i="4" s="1"/>
  <c r="M57" i="4" s="1"/>
  <c r="N57" i="4" s="1"/>
  <c r="O57" i="4" s="1"/>
  <c r="P57" i="4" s="1"/>
  <c r="L149" i="4"/>
  <c r="M149" i="4" s="1"/>
  <c r="N149" i="4" s="1"/>
  <c r="O149" i="4" s="1"/>
  <c r="P149" i="4" s="1"/>
  <c r="L83" i="4"/>
  <c r="M83" i="4" s="1"/>
  <c r="N83" i="4" s="1"/>
  <c r="O83" i="4" s="1"/>
  <c r="P83" i="4" s="1"/>
  <c r="L139" i="4"/>
  <c r="M139" i="4" s="1"/>
  <c r="N139" i="4" s="1"/>
  <c r="O139" i="4" s="1"/>
  <c r="P139" i="4" s="1"/>
  <c r="L69" i="4"/>
  <c r="M69" i="4" s="1"/>
  <c r="N69" i="4" s="1"/>
  <c r="O69" i="4" s="1"/>
  <c r="P69" i="4" s="1"/>
  <c r="K17" i="4"/>
  <c r="L17" i="4" s="1"/>
  <c r="M17" i="4" s="1"/>
  <c r="N17" i="4" s="1"/>
  <c r="O17" i="4" s="1"/>
  <c r="P17" i="4" s="1"/>
  <c r="L147" i="4"/>
  <c r="M147" i="4" s="1"/>
  <c r="N147" i="4" s="1"/>
  <c r="O147" i="4" s="1"/>
  <c r="P147" i="4" s="1"/>
  <c r="L129" i="4"/>
  <c r="M129" i="4" s="1"/>
  <c r="N129" i="4" s="1"/>
  <c r="O129" i="4" s="1"/>
  <c r="P129" i="4" s="1"/>
  <c r="W135" i="4"/>
  <c r="K49" i="4"/>
  <c r="L49" i="4" s="1"/>
  <c r="M49" i="4" s="1"/>
  <c r="N49" i="4" s="1"/>
  <c r="O49" i="4" s="1"/>
  <c r="P49" i="4" s="1"/>
  <c r="K162" i="4"/>
  <c r="L162" i="4" s="1"/>
  <c r="M162" i="4" s="1"/>
  <c r="N162" i="4" s="1"/>
  <c r="O162" i="4" s="1"/>
  <c r="P162" i="4" s="1"/>
  <c r="K159" i="4"/>
  <c r="L159" i="4" s="1"/>
  <c r="M159" i="4" s="1"/>
  <c r="N159" i="4" s="1"/>
  <c r="O159" i="4" s="1"/>
  <c r="P159" i="4" s="1"/>
  <c r="K134" i="4"/>
  <c r="L134" i="4" s="1"/>
  <c r="M134" i="4" s="1"/>
  <c r="N134" i="4" s="1"/>
  <c r="O134" i="4" s="1"/>
  <c r="P134" i="4" s="1"/>
  <c r="K30" i="4"/>
  <c r="L30" i="4" s="1"/>
  <c r="M30" i="4" s="1"/>
  <c r="N30" i="4" s="1"/>
  <c r="O30" i="4" s="1"/>
  <c r="P30" i="4" s="1"/>
  <c r="K77" i="4"/>
  <c r="L77" i="4" s="1"/>
  <c r="M77" i="4" s="1"/>
  <c r="N77" i="4" s="1"/>
  <c r="O77" i="4" s="1"/>
  <c r="P77" i="4" s="1"/>
  <c r="L100" i="4"/>
  <c r="M100" i="4" s="1"/>
  <c r="N100" i="4" s="1"/>
  <c r="O100" i="4" s="1"/>
  <c r="P100" i="4" s="1"/>
  <c r="H237" i="4"/>
  <c r="L85" i="4"/>
  <c r="M85" i="4" s="1"/>
  <c r="N85" i="4" s="1"/>
  <c r="O85" i="4" s="1"/>
  <c r="P85" i="4" s="1"/>
  <c r="K38" i="4"/>
  <c r="L38" i="4" s="1"/>
  <c r="M38" i="4" s="1"/>
  <c r="N38" i="4" s="1"/>
  <c r="O38" i="4" s="1"/>
  <c r="P38" i="4" s="1"/>
  <c r="W77" i="4"/>
  <c r="K95" i="4"/>
  <c r="L95" i="4" s="1"/>
  <c r="M95" i="4" s="1"/>
  <c r="N95" i="4" s="1"/>
  <c r="O95" i="4" s="1"/>
  <c r="P95" i="4" s="1"/>
  <c r="L6" i="4"/>
  <c r="M6" i="4" s="1"/>
  <c r="N6" i="4" s="1"/>
  <c r="O6" i="4" s="1"/>
  <c r="P6" i="4" s="1"/>
  <c r="K6" i="4"/>
  <c r="L106" i="4"/>
  <c r="M106" i="4" s="1"/>
  <c r="N106" i="4" s="1"/>
  <c r="O106" i="4" s="1"/>
  <c r="P106" i="4" s="1"/>
  <c r="I61" i="4"/>
  <c r="H61" i="4"/>
  <c r="T61" i="4" s="1"/>
  <c r="W95" i="4"/>
  <c r="I144" i="4"/>
  <c r="H144" i="4"/>
  <c r="T181" i="4" s="1"/>
  <c r="K22" i="4"/>
  <c r="L22" i="4" s="1"/>
  <c r="M22" i="4" s="1"/>
  <c r="N22" i="4" s="1"/>
  <c r="O22" i="4" s="1"/>
  <c r="P22" i="4" s="1"/>
  <c r="W21" i="4"/>
  <c r="K53" i="4"/>
  <c r="L53" i="4" s="1"/>
  <c r="M53" i="4" s="1"/>
  <c r="N53" i="4" s="1"/>
  <c r="O53" i="4" s="1"/>
  <c r="P53" i="4" s="1"/>
  <c r="L1998" i="4"/>
  <c r="N1998" i="4"/>
  <c r="L1793" i="4"/>
  <c r="N1793" i="4"/>
  <c r="L1724" i="4"/>
  <c r="N1724" i="4"/>
  <c r="N1703" i="4"/>
  <c r="L1703" i="4"/>
  <c r="N1712" i="4"/>
  <c r="L1712" i="4"/>
  <c r="N1589" i="4"/>
  <c r="L1589" i="4"/>
  <c r="N1544" i="4"/>
  <c r="L1544" i="4"/>
  <c r="N975" i="4"/>
  <c r="L975" i="4"/>
  <c r="N802" i="4"/>
  <c r="L802" i="4"/>
  <c r="L933" i="4"/>
  <c r="N933" i="4"/>
  <c r="N665" i="4"/>
  <c r="L665" i="4"/>
  <c r="L823" i="4"/>
  <c r="N823" i="4"/>
  <c r="N432" i="4"/>
  <c r="L432" i="4"/>
  <c r="N539" i="4"/>
  <c r="L539" i="4"/>
  <c r="N459" i="4"/>
  <c r="L459" i="4"/>
  <c r="N550" i="4"/>
  <c r="L550" i="4"/>
  <c r="N334" i="4"/>
  <c r="L334" i="4"/>
  <c r="L305" i="4"/>
  <c r="N305" i="4"/>
  <c r="L13" i="4"/>
  <c r="M13" i="4" s="1"/>
  <c r="N13" i="4" s="1"/>
  <c r="O13" i="4" s="1"/>
  <c r="P13" i="4" s="1"/>
  <c r="L297" i="4"/>
  <c r="N297" i="4"/>
  <c r="N1953" i="4"/>
  <c r="L1953" i="4"/>
  <c r="N1994" i="4"/>
  <c r="L1994" i="4"/>
  <c r="N1991" i="4"/>
  <c r="L1991" i="4"/>
  <c r="L1883" i="4"/>
  <c r="N1883" i="4"/>
  <c r="L1867" i="4"/>
  <c r="N1867" i="4"/>
  <c r="L1851" i="4"/>
  <c r="N1851" i="4"/>
  <c r="L1848" i="4"/>
  <c r="N1848" i="4"/>
  <c r="N1836" i="4"/>
  <c r="L1836" i="4"/>
  <c r="L1739" i="4"/>
  <c r="N1739" i="4"/>
  <c r="N1829" i="4"/>
  <c r="L1829" i="4"/>
  <c r="N1761" i="4"/>
  <c r="L1761" i="4"/>
  <c r="N1777" i="4"/>
  <c r="L1777" i="4"/>
  <c r="N1721" i="4"/>
  <c r="L1721" i="4"/>
  <c r="N1700" i="4"/>
  <c r="L1700" i="4"/>
  <c r="N1692" i="4"/>
  <c r="L1692" i="4"/>
  <c r="N1731" i="4"/>
  <c r="L1731" i="4"/>
  <c r="L1660" i="4"/>
  <c r="N1660" i="4"/>
  <c r="L1605" i="4"/>
  <c r="N1605" i="4"/>
  <c r="N1536" i="4"/>
  <c r="L1536" i="4"/>
  <c r="N1528" i="4"/>
  <c r="L1528" i="4"/>
  <c r="N1571" i="4"/>
  <c r="L1571" i="4"/>
  <c r="N1455" i="4"/>
  <c r="L1455" i="4"/>
  <c r="N1407" i="4"/>
  <c r="L1407" i="4"/>
  <c r="N1391" i="4"/>
  <c r="L1391" i="4"/>
  <c r="L1367" i="4"/>
  <c r="N1367" i="4"/>
  <c r="N1531" i="4"/>
  <c r="L1531" i="4"/>
  <c r="L1492" i="4"/>
  <c r="N1492" i="4"/>
  <c r="L1484" i="4"/>
  <c r="N1484" i="4"/>
  <c r="N1469" i="4"/>
  <c r="L1469" i="4"/>
  <c r="L1504" i="4"/>
  <c r="N1504" i="4"/>
  <c r="N1324" i="4"/>
  <c r="L1324" i="4"/>
  <c r="N1260" i="4"/>
  <c r="L1260" i="4"/>
  <c r="N1373" i="4"/>
  <c r="L1373" i="4"/>
  <c r="N1251" i="4"/>
  <c r="L1251" i="4"/>
  <c r="N1227" i="4"/>
  <c r="L1227" i="4"/>
  <c r="N1182" i="4"/>
  <c r="L1182" i="4"/>
  <c r="L1163" i="4"/>
  <c r="N1163" i="4"/>
  <c r="N1148" i="4"/>
  <c r="L1148" i="4"/>
  <c r="N1139" i="4"/>
  <c r="L1139" i="4"/>
  <c r="L1105" i="4"/>
  <c r="N1105" i="4"/>
  <c r="N1078" i="4"/>
  <c r="L1078" i="4"/>
  <c r="L1065" i="4"/>
  <c r="N1065" i="4"/>
  <c r="L1004" i="4"/>
  <c r="N1004" i="4"/>
  <c r="N1198" i="4"/>
  <c r="L1198" i="4"/>
  <c r="L1057" i="4"/>
  <c r="N1057" i="4"/>
  <c r="N932" i="4"/>
  <c r="L932" i="4"/>
  <c r="N1108" i="4"/>
  <c r="L1108" i="4"/>
  <c r="N1086" i="4"/>
  <c r="L1086" i="4"/>
  <c r="L912" i="4"/>
  <c r="N912" i="4"/>
  <c r="N993" i="4"/>
  <c r="L993" i="4"/>
  <c r="N930" i="4"/>
  <c r="L930" i="4"/>
  <c r="N868" i="4"/>
  <c r="L868" i="4"/>
  <c r="N1140" i="4"/>
  <c r="L1140" i="4"/>
  <c r="N916" i="4"/>
  <c r="L916" i="4"/>
  <c r="L936" i="4"/>
  <c r="N936" i="4"/>
  <c r="N886" i="4"/>
  <c r="L886" i="4"/>
  <c r="L799" i="4"/>
  <c r="N799" i="4"/>
  <c r="N835" i="4"/>
  <c r="L835" i="4"/>
  <c r="L659" i="4"/>
  <c r="N659" i="4"/>
  <c r="N834" i="4"/>
  <c r="L834" i="4"/>
  <c r="N630" i="4"/>
  <c r="L630" i="4"/>
  <c r="L456" i="4"/>
  <c r="N456" i="4"/>
  <c r="N515" i="4"/>
  <c r="L515" i="4"/>
  <c r="L409" i="4"/>
  <c r="N409" i="4"/>
  <c r="N347" i="4"/>
  <c r="L347" i="4"/>
  <c r="N360" i="4"/>
  <c r="L360" i="4"/>
  <c r="N296" i="4"/>
  <c r="L296" i="4"/>
  <c r="L232" i="4"/>
  <c r="M232" i="4" s="1"/>
  <c r="N232" i="4" s="1"/>
  <c r="O232" i="4" s="1"/>
  <c r="P232" i="4" s="1"/>
  <c r="N510" i="4"/>
  <c r="L510" i="4"/>
  <c r="L615" i="4"/>
  <c r="N615" i="4"/>
  <c r="N331" i="4"/>
  <c r="L331" i="4"/>
  <c r="L251" i="4"/>
  <c r="M251" i="4" s="1"/>
  <c r="N251" i="4" s="1"/>
  <c r="O251" i="4" s="1"/>
  <c r="P251" i="4" s="1"/>
  <c r="L105" i="4"/>
  <c r="M105" i="4" s="1"/>
  <c r="N105" i="4" s="1"/>
  <c r="O105" i="4" s="1"/>
  <c r="P105" i="4" s="1"/>
  <c r="L273" i="4"/>
  <c r="N273" i="4"/>
  <c r="L396" i="4"/>
  <c r="N396" i="4"/>
  <c r="N373" i="4"/>
  <c r="L373" i="4"/>
  <c r="L122" i="4"/>
  <c r="M122" i="4" s="1"/>
  <c r="N122" i="4" s="1"/>
  <c r="O122" i="4" s="1"/>
  <c r="P122" i="4" s="1"/>
  <c r="L80" i="4"/>
  <c r="M80" i="4" s="1"/>
  <c r="N80" i="4" s="1"/>
  <c r="O80" i="4" s="1"/>
  <c r="P80" i="4" s="1"/>
  <c r="L64" i="4"/>
  <c r="M64" i="4" s="1"/>
  <c r="N64" i="4"/>
  <c r="O64" i="4" s="1"/>
  <c r="P64" i="4" s="1"/>
  <c r="L48" i="4"/>
  <c r="M48" i="4" s="1"/>
  <c r="N48" i="4" s="1"/>
  <c r="O48" i="4" s="1"/>
  <c r="P48" i="4" s="1"/>
  <c r="L32" i="4"/>
  <c r="M32" i="4" s="1"/>
  <c r="N32" i="4" s="1"/>
  <c r="O32" i="4" s="1"/>
  <c r="P32" i="4" s="1"/>
  <c r="L16" i="4"/>
  <c r="M16" i="4" s="1"/>
  <c r="N16" i="4"/>
  <c r="O16" i="4" s="1"/>
  <c r="P16" i="4" s="1"/>
  <c r="L158" i="4"/>
  <c r="M158" i="4" s="1"/>
  <c r="N158" i="4" s="1"/>
  <c r="O158" i="4" s="1"/>
  <c r="P158" i="4" s="1"/>
  <c r="N2000" i="4"/>
  <c r="L2000" i="4"/>
  <c r="L1825" i="4"/>
  <c r="N1825" i="4"/>
  <c r="N1842" i="4"/>
  <c r="L1842" i="4"/>
  <c r="L1817" i="4"/>
  <c r="N1817" i="4"/>
  <c r="N1699" i="4"/>
  <c r="L1699" i="4"/>
  <c r="N1539" i="4"/>
  <c r="L1539" i="4"/>
  <c r="L1097" i="4"/>
  <c r="N1097" i="4"/>
  <c r="N1145" i="4"/>
  <c r="L1145" i="4"/>
  <c r="L1151" i="4"/>
  <c r="N1151" i="4"/>
  <c r="N891" i="4"/>
  <c r="L891" i="4"/>
  <c r="N611" i="4"/>
  <c r="L611" i="4"/>
  <c r="N288" i="4"/>
  <c r="L288" i="4"/>
  <c r="N307" i="4"/>
  <c r="L307" i="4"/>
  <c r="L473" i="4"/>
  <c r="N473" i="4"/>
  <c r="L1970" i="4"/>
  <c r="N1970" i="4"/>
  <c r="L1937" i="4"/>
  <c r="N1937" i="4"/>
  <c r="N1982" i="4"/>
  <c r="L1982" i="4"/>
  <c r="N1926" i="4"/>
  <c r="L1926" i="4"/>
  <c r="N1928" i="4"/>
  <c r="L1928" i="4"/>
  <c r="N1884" i="4"/>
  <c r="L1884" i="4"/>
  <c r="N1876" i="4"/>
  <c r="L1876" i="4"/>
  <c r="N1868" i="4"/>
  <c r="L1868" i="4"/>
  <c r="N1860" i="4"/>
  <c r="L1860" i="4"/>
  <c r="L1816" i="4"/>
  <c r="N1816" i="4"/>
  <c r="L1800" i="4"/>
  <c r="N1800" i="4"/>
  <c r="N1804" i="4"/>
  <c r="L1804" i="4"/>
  <c r="N1672" i="4"/>
  <c r="L1672" i="4"/>
  <c r="N1679" i="4"/>
  <c r="L1679" i="4"/>
  <c r="L1839" i="4"/>
  <c r="N1839" i="4"/>
  <c r="N1580" i="4"/>
  <c r="L1580" i="4"/>
  <c r="N1572" i="4"/>
  <c r="L1572" i="4"/>
  <c r="N1564" i="4"/>
  <c r="L1564" i="4"/>
  <c r="N1556" i="4"/>
  <c r="L1556" i="4"/>
  <c r="L1516" i="4"/>
  <c r="N1516" i="4"/>
  <c r="N1621" i="4"/>
  <c r="L1621" i="4"/>
  <c r="L1601" i="4"/>
  <c r="N1601" i="4"/>
  <c r="N1563" i="4"/>
  <c r="L1563" i="4"/>
  <c r="N1447" i="4"/>
  <c r="L1447" i="4"/>
  <c r="L1500" i="4"/>
  <c r="N1500" i="4"/>
  <c r="N1470" i="4"/>
  <c r="L1470" i="4"/>
  <c r="N1422" i="4"/>
  <c r="L1422" i="4"/>
  <c r="N1462" i="4"/>
  <c r="L1462" i="4"/>
  <c r="N1300" i="4"/>
  <c r="L1300" i="4"/>
  <c r="N1268" i="4"/>
  <c r="L1268" i="4"/>
  <c r="N1395" i="4"/>
  <c r="L1395" i="4"/>
  <c r="N1446" i="4"/>
  <c r="L1446" i="4"/>
  <c r="N1387" i="4"/>
  <c r="L1387" i="4"/>
  <c r="N1313" i="4"/>
  <c r="L1313" i="4"/>
  <c r="N1273" i="4"/>
  <c r="L1273" i="4"/>
  <c r="N1315" i="4"/>
  <c r="L1315" i="4"/>
  <c r="L1368" i="4"/>
  <c r="N1368" i="4"/>
  <c r="N1136" i="4"/>
  <c r="L1136" i="4"/>
  <c r="L1380" i="4"/>
  <c r="N1380" i="4"/>
  <c r="L1239" i="4"/>
  <c r="N1239" i="4"/>
  <c r="L1171" i="4"/>
  <c r="N1171" i="4"/>
  <c r="N1305" i="4"/>
  <c r="L1305" i="4"/>
  <c r="L1155" i="4"/>
  <c r="N1155" i="4"/>
  <c r="L1070" i="4"/>
  <c r="N1070" i="4"/>
  <c r="N986" i="4"/>
  <c r="L986" i="4"/>
  <c r="L1121" i="4"/>
  <c r="N1121" i="4"/>
  <c r="L996" i="4"/>
  <c r="N996" i="4"/>
  <c r="N1190" i="4"/>
  <c r="L1190" i="4"/>
  <c r="N1043" i="4"/>
  <c r="L1043" i="4"/>
  <c r="N1001" i="4"/>
  <c r="L1001" i="4"/>
  <c r="N784" i="4"/>
  <c r="L784" i="4"/>
  <c r="N786" i="4"/>
  <c r="L786" i="4"/>
  <c r="N902" i="4"/>
  <c r="L902" i="4"/>
  <c r="N818" i="4"/>
  <c r="L818" i="4"/>
  <c r="L787" i="4"/>
  <c r="N787" i="4"/>
  <c r="N778" i="4"/>
  <c r="L778" i="4"/>
  <c r="N723" i="4"/>
  <c r="L723" i="4"/>
  <c r="N691" i="4"/>
  <c r="L691" i="4"/>
  <c r="L684" i="4"/>
  <c r="N684" i="4"/>
  <c r="L819" i="4"/>
  <c r="N819" i="4"/>
  <c r="N576" i="4"/>
  <c r="L576" i="4"/>
  <c r="N544" i="4"/>
  <c r="L544" i="4"/>
  <c r="N512" i="4"/>
  <c r="L512" i="4"/>
  <c r="L537" i="4"/>
  <c r="N537" i="4"/>
  <c r="L513" i="4"/>
  <c r="N513" i="4"/>
  <c r="N625" i="4"/>
  <c r="L625" i="4"/>
  <c r="N595" i="4"/>
  <c r="L595" i="4"/>
  <c r="N555" i="4"/>
  <c r="L555" i="4"/>
  <c r="N491" i="4"/>
  <c r="L491" i="4"/>
  <c r="N467" i="4"/>
  <c r="L467" i="4"/>
  <c r="N430" i="4"/>
  <c r="L430" i="4"/>
  <c r="L388" i="4"/>
  <c r="N388" i="4"/>
  <c r="L352" i="4"/>
  <c r="N352" i="4"/>
  <c r="N598" i="4"/>
  <c r="L598" i="4"/>
  <c r="N304" i="4"/>
  <c r="L304" i="4"/>
  <c r="N446" i="4"/>
  <c r="L446" i="4"/>
  <c r="N406" i="4"/>
  <c r="L406" i="4"/>
  <c r="L348" i="4"/>
  <c r="N348" i="4"/>
  <c r="N299" i="4"/>
  <c r="L299" i="4"/>
  <c r="L243" i="4"/>
  <c r="M243" i="4" s="1"/>
  <c r="N243" i="4" s="1"/>
  <c r="O243" i="4" s="1"/>
  <c r="P243" i="4" s="1"/>
  <c r="N318" i="4"/>
  <c r="L318" i="4"/>
  <c r="N302" i="4"/>
  <c r="L302" i="4"/>
  <c r="L313" i="4"/>
  <c r="N313" i="4"/>
  <c r="N443" i="4"/>
  <c r="L443" i="4"/>
  <c r="L281" i="4"/>
  <c r="N281" i="4"/>
  <c r="N150" i="4"/>
  <c r="O150" i="4" s="1"/>
  <c r="L150" i="4"/>
  <c r="M150" i="4" s="1"/>
  <c r="L184" i="4"/>
  <c r="M184" i="4" s="1"/>
  <c r="N184" i="4"/>
  <c r="O184" i="4" s="1"/>
  <c r="P184" i="4" s="1"/>
  <c r="L94" i="4"/>
  <c r="M94" i="4" s="1"/>
  <c r="N94" i="4" s="1"/>
  <c r="O94" i="4" s="1"/>
  <c r="P94" i="4" s="1"/>
  <c r="L89" i="4"/>
  <c r="M89" i="4" s="1"/>
  <c r="N89" i="4" s="1"/>
  <c r="O89" i="4" s="1"/>
  <c r="P89" i="4" s="1"/>
  <c r="L1894" i="4"/>
  <c r="N1894" i="4"/>
  <c r="N1879" i="4"/>
  <c r="L1879" i="4"/>
  <c r="L1508" i="4"/>
  <c r="N1508" i="4"/>
  <c r="N1706" i="4"/>
  <c r="L1706" i="4"/>
  <c r="N1390" i="4"/>
  <c r="L1390" i="4"/>
  <c r="N1226" i="4"/>
  <c r="L1226" i="4"/>
  <c r="L874" i="4"/>
  <c r="N874" i="4"/>
  <c r="L505" i="4"/>
  <c r="N505" i="4"/>
  <c r="N379" i="4"/>
  <c r="L379" i="4"/>
  <c r="L353" i="4"/>
  <c r="N353" i="4"/>
  <c r="N1945" i="4"/>
  <c r="L1945" i="4"/>
  <c r="N1965" i="4"/>
  <c r="L1965" i="4"/>
  <c r="N1963" i="4"/>
  <c r="L1963" i="4"/>
  <c r="L1916" i="4"/>
  <c r="N1916" i="4"/>
  <c r="L1925" i="4"/>
  <c r="N1925" i="4"/>
  <c r="N1902" i="4"/>
  <c r="L1902" i="4"/>
  <c r="N1899" i="4"/>
  <c r="L1899" i="4"/>
  <c r="N1828" i="4"/>
  <c r="L1828" i="4"/>
  <c r="N1882" i="4"/>
  <c r="L1882" i="4"/>
  <c r="N1799" i="4"/>
  <c r="L1799" i="4"/>
  <c r="N1766" i="4"/>
  <c r="L1766" i="4"/>
  <c r="L1668" i="4"/>
  <c r="N1668" i="4"/>
  <c r="N1654" i="4"/>
  <c r="L1654" i="4"/>
  <c r="N1613" i="4"/>
  <c r="L1613" i="4"/>
  <c r="N1682" i="4"/>
  <c r="L1682" i="4"/>
  <c r="N1645" i="4"/>
  <c r="L1645" i="4"/>
  <c r="N1548" i="4"/>
  <c r="L1548" i="4"/>
  <c r="N1583" i="4"/>
  <c r="L1583" i="4"/>
  <c r="N1439" i="4"/>
  <c r="L1439" i="4"/>
  <c r="N1415" i="4"/>
  <c r="L1415" i="4"/>
  <c r="N1651" i="4"/>
  <c r="L1651" i="4"/>
  <c r="N1547" i="4"/>
  <c r="L1547" i="4"/>
  <c r="N1680" i="4"/>
  <c r="L1680" i="4"/>
  <c r="N1497" i="4"/>
  <c r="L1497" i="4"/>
  <c r="N1478" i="4"/>
  <c r="L1478" i="4"/>
  <c r="N1438" i="4"/>
  <c r="L1438" i="4"/>
  <c r="N1477" i="4"/>
  <c r="L1477" i="4"/>
  <c r="N1437" i="4"/>
  <c r="L1437" i="4"/>
  <c r="L1402" i="4"/>
  <c r="N1402" i="4"/>
  <c r="N1352" i="4"/>
  <c r="L1352" i="4"/>
  <c r="N1340" i="4"/>
  <c r="L1340" i="4"/>
  <c r="N1276" i="4"/>
  <c r="L1276" i="4"/>
  <c r="N1236" i="4"/>
  <c r="L1236" i="4"/>
  <c r="N1398" i="4"/>
  <c r="L1398" i="4"/>
  <c r="N1283" i="4"/>
  <c r="L1283" i="4"/>
  <c r="N1259" i="4"/>
  <c r="L1259" i="4"/>
  <c r="N1152" i="4"/>
  <c r="L1152" i="4"/>
  <c r="N1235" i="4"/>
  <c r="L1235" i="4"/>
  <c r="N1204" i="4"/>
  <c r="L1204" i="4"/>
  <c r="N1323" i="4"/>
  <c r="L1323" i="4"/>
  <c r="N1164" i="4"/>
  <c r="L1164" i="4"/>
  <c r="L1231" i="4"/>
  <c r="N1231" i="4"/>
  <c r="N1225" i="4"/>
  <c r="L1225" i="4"/>
  <c r="N1094" i="4"/>
  <c r="L1094" i="4"/>
  <c r="L1175" i="4"/>
  <c r="N1175" i="4"/>
  <c r="N1102" i="4"/>
  <c r="L1102" i="4"/>
  <c r="N1010" i="4"/>
  <c r="L1010" i="4"/>
  <c r="L988" i="4"/>
  <c r="N988" i="4"/>
  <c r="N1019" i="4"/>
  <c r="L1019" i="4"/>
  <c r="N1046" i="4"/>
  <c r="L1046" i="4"/>
  <c r="N985" i="4"/>
  <c r="L985" i="4"/>
  <c r="N964" i="4"/>
  <c r="L964" i="4"/>
  <c r="N1199" i="4"/>
  <c r="L1199" i="4"/>
  <c r="N1133" i="4"/>
  <c r="L1133" i="4"/>
  <c r="N1126" i="4"/>
  <c r="L1126" i="4"/>
  <c r="L815" i="4"/>
  <c r="N815" i="4"/>
  <c r="L742" i="4"/>
  <c r="N742" i="4"/>
  <c r="N667" i="4"/>
  <c r="L667" i="4"/>
  <c r="N643" i="4"/>
  <c r="L643" i="4"/>
  <c r="L692" i="4"/>
  <c r="N692" i="4"/>
  <c r="N922" i="4"/>
  <c r="L922" i="4"/>
  <c r="N901" i="4"/>
  <c r="L901" i="4"/>
  <c r="N770" i="4"/>
  <c r="L770" i="4"/>
  <c r="N768" i="4"/>
  <c r="L768" i="4"/>
  <c r="L639" i="4"/>
  <c r="N639" i="4"/>
  <c r="L607" i="4"/>
  <c r="N607" i="4"/>
  <c r="L660" i="4"/>
  <c r="N660" i="4"/>
  <c r="L726" i="4"/>
  <c r="N726" i="4"/>
  <c r="N440" i="4"/>
  <c r="L440" i="4"/>
  <c r="L561" i="4"/>
  <c r="N561" i="4"/>
  <c r="L771" i="4"/>
  <c r="N771" i="4"/>
  <c r="N531" i="4"/>
  <c r="L531" i="4"/>
  <c r="L758" i="4"/>
  <c r="N758" i="4"/>
  <c r="L441" i="4"/>
  <c r="N441" i="4"/>
  <c r="L356" i="4"/>
  <c r="N356" i="4"/>
  <c r="N454" i="4"/>
  <c r="L454" i="4"/>
  <c r="L384" i="4"/>
  <c r="N384" i="4"/>
  <c r="N312" i="4"/>
  <c r="L312" i="4"/>
  <c r="L216" i="4"/>
  <c r="M216" i="4" s="1"/>
  <c r="N216" i="4" s="1"/>
  <c r="O216" i="4" s="1"/>
  <c r="P216" i="4" s="1"/>
  <c r="N518" i="4"/>
  <c r="L518" i="4"/>
  <c r="N486" i="4"/>
  <c r="L486" i="4"/>
  <c r="N478" i="4"/>
  <c r="L478" i="4"/>
  <c r="L345" i="4"/>
  <c r="N345" i="4"/>
  <c r="L235" i="4"/>
  <c r="M235" i="4" s="1"/>
  <c r="N235" i="4" s="1"/>
  <c r="O235" i="4" s="1"/>
  <c r="P235" i="4" s="1"/>
  <c r="L289" i="4"/>
  <c r="N289" i="4"/>
  <c r="L364" i="4"/>
  <c r="N364" i="4"/>
  <c r="L113" i="4"/>
  <c r="M113" i="4" s="1"/>
  <c r="N113" i="4"/>
  <c r="O113" i="4" s="1"/>
  <c r="L28" i="4"/>
  <c r="M28" i="4" s="1"/>
  <c r="N28" i="4" s="1"/>
  <c r="O28" i="4" s="1"/>
  <c r="P28" i="4" s="1"/>
  <c r="N326" i="4"/>
  <c r="L326" i="4"/>
  <c r="N286" i="4"/>
  <c r="L286" i="4"/>
  <c r="L145" i="4"/>
  <c r="M145" i="4" s="1"/>
  <c r="N145" i="4" s="1"/>
  <c r="O145" i="4" s="1"/>
  <c r="P145" i="4" s="1"/>
  <c r="L99" i="4"/>
  <c r="M99" i="4" s="1"/>
  <c r="N99" i="4" s="1"/>
  <c r="O99" i="4" s="1"/>
  <c r="P99" i="4" s="1"/>
  <c r="L8" i="4"/>
  <c r="M8" i="4" s="1"/>
  <c r="N8" i="4" s="1"/>
  <c r="O8" i="4" s="1"/>
  <c r="P8" i="4" s="1"/>
  <c r="L206" i="4"/>
  <c r="M206" i="4" s="1"/>
  <c r="N206" i="4" s="1"/>
  <c r="O206" i="4" s="1"/>
  <c r="P206" i="4" s="1"/>
  <c r="L107" i="4"/>
  <c r="M107" i="4" s="1"/>
  <c r="N107" i="4" s="1"/>
  <c r="O107" i="4" s="1"/>
  <c r="P107" i="4" s="1"/>
  <c r="L211" i="4"/>
  <c r="M211" i="4" s="1"/>
  <c r="N211" i="4" s="1"/>
  <c r="O211" i="4" s="1"/>
  <c r="P211" i="4" s="1"/>
  <c r="N1958" i="4"/>
  <c r="L1958" i="4"/>
  <c r="N1887" i="4"/>
  <c r="L1887" i="4"/>
  <c r="N1801" i="4"/>
  <c r="L1801" i="4"/>
  <c r="N1715" i="4"/>
  <c r="L1715" i="4"/>
  <c r="N1414" i="4"/>
  <c r="L1414" i="4"/>
  <c r="N1228" i="4"/>
  <c r="L1228" i="4"/>
  <c r="N1299" i="4"/>
  <c r="L1299" i="4"/>
  <c r="L1012" i="4"/>
  <c r="N1012" i="4"/>
  <c r="N977" i="4"/>
  <c r="L977" i="4"/>
  <c r="N927" i="4"/>
  <c r="L927" i="4"/>
  <c r="N699" i="4"/>
  <c r="L699" i="4"/>
  <c r="N1037" i="4"/>
  <c r="L1037" i="4"/>
  <c r="N520" i="4"/>
  <c r="L520" i="4"/>
  <c r="L553" i="4"/>
  <c r="N553" i="4"/>
  <c r="L628" i="4"/>
  <c r="N628" i="4"/>
  <c r="L652" i="4"/>
  <c r="N652" i="4"/>
  <c r="N452" i="4"/>
  <c r="L452" i="4"/>
  <c r="N336" i="4"/>
  <c r="L336" i="4"/>
  <c r="N566" i="4"/>
  <c r="L566" i="4"/>
  <c r="L110" i="4"/>
  <c r="M110" i="4" s="1"/>
  <c r="N110" i="4" s="1"/>
  <c r="O110" i="4" s="1"/>
  <c r="P110" i="4" s="1"/>
  <c r="N1996" i="4"/>
  <c r="L1996" i="4"/>
  <c r="N1847" i="4"/>
  <c r="L1847" i="4"/>
  <c r="N1855" i="4"/>
  <c r="L1855" i="4"/>
  <c r="N1920" i="4"/>
  <c r="L1920" i="4"/>
  <c r="L1846" i="4"/>
  <c r="N1846" i="4"/>
  <c r="L1821" i="4"/>
  <c r="N1821" i="4"/>
  <c r="L1796" i="4"/>
  <c r="N1796" i="4"/>
  <c r="N1791" i="4"/>
  <c r="L1791" i="4"/>
  <c r="N1783" i="4"/>
  <c r="L1783" i="4"/>
  <c r="N1850" i="4"/>
  <c r="L1850" i="4"/>
  <c r="N1674" i="4"/>
  <c r="L1674" i="4"/>
  <c r="N1540" i="4"/>
  <c r="L1540" i="4"/>
  <c r="N1532" i="4"/>
  <c r="L1532" i="4"/>
  <c r="N1524" i="4"/>
  <c r="L1524" i="4"/>
  <c r="N1626" i="4"/>
  <c r="L1626" i="4"/>
  <c r="N1576" i="4"/>
  <c r="L1576" i="4"/>
  <c r="N1487" i="4"/>
  <c r="L1487" i="4"/>
  <c r="N1507" i="4"/>
  <c r="L1507" i="4"/>
  <c r="N1431" i="4"/>
  <c r="L1431" i="4"/>
  <c r="N1423" i="4"/>
  <c r="L1423" i="4"/>
  <c r="N1523" i="4"/>
  <c r="L1523" i="4"/>
  <c r="N1430" i="4"/>
  <c r="L1430" i="4"/>
  <c r="N1602" i="4"/>
  <c r="L1602" i="4"/>
  <c r="L1503" i="4"/>
  <c r="N1503" i="4"/>
  <c r="N1579" i="4"/>
  <c r="L1579" i="4"/>
  <c r="N1406" i="4"/>
  <c r="L1406" i="4"/>
  <c r="N1365" i="4"/>
  <c r="L1365" i="4"/>
  <c r="N1376" i="4"/>
  <c r="L1376" i="4"/>
  <c r="N1316" i="4"/>
  <c r="L1316" i="4"/>
  <c r="N1370" i="4"/>
  <c r="L1370" i="4"/>
  <c r="N1351" i="4"/>
  <c r="L1351" i="4"/>
  <c r="L1223" i="4"/>
  <c r="N1223" i="4"/>
  <c r="N1347" i="4"/>
  <c r="L1347" i="4"/>
  <c r="N1218" i="4"/>
  <c r="L1218" i="4"/>
  <c r="N1210" i="4"/>
  <c r="L1210" i="4"/>
  <c r="N1191" i="4"/>
  <c r="L1191" i="4"/>
  <c r="L1159" i="4"/>
  <c r="N1159" i="4"/>
  <c r="L1022" i="4"/>
  <c r="N1022" i="4"/>
  <c r="N1158" i="4"/>
  <c r="L1158" i="4"/>
  <c r="L1081" i="4"/>
  <c r="N1081" i="4"/>
  <c r="N1062" i="4"/>
  <c r="L1062" i="4"/>
  <c r="N1030" i="4"/>
  <c r="L1030" i="4"/>
  <c r="L1018" i="4"/>
  <c r="N1018" i="4"/>
  <c r="L980" i="4"/>
  <c r="N980" i="4"/>
  <c r="L956" i="4"/>
  <c r="N956" i="4"/>
  <c r="L924" i="4"/>
  <c r="N924" i="4"/>
  <c r="N1183" i="4"/>
  <c r="L1183" i="4"/>
  <c r="L1113" i="4"/>
  <c r="N1113" i="4"/>
  <c r="L1129" i="4"/>
  <c r="N1129" i="4"/>
  <c r="L1017" i="4"/>
  <c r="N1017" i="4"/>
  <c r="L944" i="4"/>
  <c r="N944" i="4"/>
  <c r="N940" i="4"/>
  <c r="L940" i="4"/>
  <c r="N1008" i="4"/>
  <c r="L1008" i="4"/>
  <c r="N961" i="4"/>
  <c r="L961" i="4"/>
  <c r="L960" i="4"/>
  <c r="N960" i="4"/>
  <c r="N999" i="4"/>
  <c r="L999" i="4"/>
  <c r="N959" i="4"/>
  <c r="L959" i="4"/>
  <c r="N894" i="4"/>
  <c r="L894" i="4"/>
  <c r="N866" i="4"/>
  <c r="L866" i="4"/>
  <c r="N827" i="4"/>
  <c r="L827" i="4"/>
  <c r="L743" i="4"/>
  <c r="N743" i="4"/>
  <c r="N845" i="4"/>
  <c r="L845" i="4"/>
  <c r="L811" i="4"/>
  <c r="N811" i="4"/>
  <c r="N761" i="4"/>
  <c r="L761" i="4"/>
  <c r="N794" i="4"/>
  <c r="L794" i="4"/>
  <c r="N715" i="4"/>
  <c r="L715" i="4"/>
  <c r="N683" i="4"/>
  <c r="L683" i="4"/>
  <c r="N905" i="4"/>
  <c r="L905" i="4"/>
  <c r="N747" i="4"/>
  <c r="L747" i="4"/>
  <c r="L727" i="4"/>
  <c r="N727" i="4"/>
  <c r="L700" i="4"/>
  <c r="N700" i="4"/>
  <c r="N858" i="4"/>
  <c r="L858" i="4"/>
  <c r="N1051" i="4"/>
  <c r="L1051" i="4"/>
  <c r="N860" i="4"/>
  <c r="L860" i="4"/>
  <c r="N840" i="4"/>
  <c r="L840" i="4"/>
  <c r="L635" i="4"/>
  <c r="N635" i="4"/>
  <c r="L603" i="4"/>
  <c r="N603" i="4"/>
  <c r="N600" i="4"/>
  <c r="L600" i="4"/>
  <c r="N568" i="4"/>
  <c r="L568" i="4"/>
  <c r="N536" i="4"/>
  <c r="L536" i="4"/>
  <c r="N504" i="4"/>
  <c r="L504" i="4"/>
  <c r="N464" i="4"/>
  <c r="L464" i="4"/>
  <c r="N424" i="4"/>
  <c r="L424" i="4"/>
  <c r="L408" i="4"/>
  <c r="N408" i="4"/>
  <c r="N853" i="4"/>
  <c r="L853" i="4"/>
  <c r="N681" i="4"/>
  <c r="L681" i="4"/>
  <c r="N641" i="4"/>
  <c r="L641" i="4"/>
  <c r="L521" i="4"/>
  <c r="N521" i="4"/>
  <c r="L489" i="4"/>
  <c r="N489" i="4"/>
  <c r="N731" i="4"/>
  <c r="L731" i="4"/>
  <c r="N622" i="4"/>
  <c r="L622" i="4"/>
  <c r="N571" i="4"/>
  <c r="L571" i="4"/>
  <c r="N507" i="4"/>
  <c r="L507" i="4"/>
  <c r="N382" i="4"/>
  <c r="L382" i="4"/>
  <c r="N558" i="4"/>
  <c r="L558" i="4"/>
  <c r="N542" i="4"/>
  <c r="L542" i="4"/>
  <c r="N526" i="4"/>
  <c r="L526" i="4"/>
  <c r="N400" i="4"/>
  <c r="L400" i="4"/>
  <c r="N574" i="4"/>
  <c r="L574" i="4"/>
  <c r="N462" i="4"/>
  <c r="L462" i="4"/>
  <c r="N403" i="4"/>
  <c r="L403" i="4"/>
  <c r="L380" i="4"/>
  <c r="N380" i="4"/>
  <c r="N342" i="4"/>
  <c r="L342" i="4"/>
  <c r="N323" i="4"/>
  <c r="L323" i="4"/>
  <c r="N291" i="4"/>
  <c r="L291" i="4"/>
  <c r="L225" i="4"/>
  <c r="M225" i="4" s="1"/>
  <c r="N225" i="4" s="1"/>
  <c r="O225" i="4" s="1"/>
  <c r="P225" i="4" s="1"/>
  <c r="N76" i="4"/>
  <c r="O76" i="4" s="1"/>
  <c r="L76" i="4"/>
  <c r="M76" i="4" s="1"/>
  <c r="L227" i="4"/>
  <c r="M227" i="4" s="1"/>
  <c r="N227" i="4" s="1"/>
  <c r="O227" i="4" s="1"/>
  <c r="P227" i="4" s="1"/>
  <c r="N438" i="4"/>
  <c r="L438" i="4"/>
  <c r="L219" i="4"/>
  <c r="M219" i="4" s="1"/>
  <c r="N219" i="4" s="1"/>
  <c r="O219" i="4" s="1"/>
  <c r="P219" i="4" s="1"/>
  <c r="N341" i="4"/>
  <c r="L341" i="4"/>
  <c r="L176" i="4"/>
  <c r="M176" i="4" s="1"/>
  <c r="N176" i="4" s="1"/>
  <c r="O176" i="4" s="1"/>
  <c r="P176" i="4" s="1"/>
  <c r="N1985" i="4"/>
  <c r="L1985" i="4"/>
  <c r="L1905" i="4"/>
  <c r="N1905" i="4"/>
  <c r="N1871" i="4"/>
  <c r="L1871" i="4"/>
  <c r="N1723" i="4"/>
  <c r="L1723" i="4"/>
  <c r="N1627" i="4"/>
  <c r="L1627" i="4"/>
  <c r="N1453" i="4"/>
  <c r="L1453" i="4"/>
  <c r="N1388" i="4"/>
  <c r="L1388" i="4"/>
  <c r="N1252" i="4"/>
  <c r="L1252" i="4"/>
  <c r="L1179" i="4"/>
  <c r="N1179" i="4"/>
  <c r="N1059" i="4"/>
  <c r="L1059" i="4"/>
  <c r="N488" i="4"/>
  <c r="L488" i="4"/>
  <c r="N705" i="4"/>
  <c r="L705" i="4"/>
  <c r="N619" i="4"/>
  <c r="L619" i="4"/>
  <c r="N579" i="4"/>
  <c r="L579" i="4"/>
  <c r="N534" i="4"/>
  <c r="L534" i="4"/>
  <c r="N371" i="4"/>
  <c r="L371" i="4"/>
  <c r="L92" i="4"/>
  <c r="M92" i="4" s="1"/>
  <c r="N92" i="4" s="1"/>
  <c r="O92" i="4" s="1"/>
  <c r="P92" i="4" s="1"/>
  <c r="L1984" i="4"/>
  <c r="N1984" i="4"/>
  <c r="N1950" i="4"/>
  <c r="L1950" i="4"/>
  <c r="A7" i="5"/>
  <c r="L1875" i="4"/>
  <c r="N1875" i="4"/>
  <c r="L1771" i="4"/>
  <c r="N1771" i="4"/>
  <c r="N1809" i="4"/>
  <c r="L1809" i="4"/>
  <c r="N1652" i="4"/>
  <c r="L1652" i="4"/>
  <c r="N1698" i="4"/>
  <c r="L1698" i="4"/>
  <c r="L1675" i="4"/>
  <c r="N1675" i="4"/>
  <c r="N1767" i="4"/>
  <c r="L1767" i="4"/>
  <c r="N1714" i="4"/>
  <c r="L1714" i="4"/>
  <c r="N1666" i="4"/>
  <c r="L1666" i="4"/>
  <c r="N1618" i="4"/>
  <c r="L1618" i="4"/>
  <c r="N1568" i="4"/>
  <c r="L1568" i="4"/>
  <c r="L1527" i="4"/>
  <c r="N1527" i="4"/>
  <c r="N1687" i="4"/>
  <c r="L1687" i="4"/>
  <c r="N1820" i="4"/>
  <c r="L1820" i="4"/>
  <c r="N1403" i="4"/>
  <c r="L1403" i="4"/>
  <c r="N1292" i="4"/>
  <c r="L1292" i="4"/>
  <c r="N1345" i="4"/>
  <c r="L1345" i="4"/>
  <c r="N1200" i="4"/>
  <c r="L1200" i="4"/>
  <c r="L1167" i="4"/>
  <c r="N1167" i="4"/>
  <c r="N1150" i="4"/>
  <c r="L1150" i="4"/>
  <c r="N1174" i="4"/>
  <c r="L1174" i="4"/>
  <c r="N1337" i="4"/>
  <c r="L1337" i="4"/>
  <c r="N1291" i="4"/>
  <c r="L1291" i="4"/>
  <c r="N994" i="4"/>
  <c r="L994" i="4"/>
  <c r="N1076" i="4"/>
  <c r="L1076" i="4"/>
  <c r="L972" i="4"/>
  <c r="N972" i="4"/>
  <c r="N1009" i="4"/>
  <c r="L1009" i="4"/>
  <c r="N892" i="4"/>
  <c r="L892" i="4"/>
  <c r="L1093" i="4"/>
  <c r="N1093" i="4"/>
  <c r="N948" i="4"/>
  <c r="L948" i="4"/>
  <c r="N1265" i="4"/>
  <c r="L1265" i="4"/>
  <c r="L831" i="4"/>
  <c r="N831" i="4"/>
  <c r="N954" i="4"/>
  <c r="L954" i="4"/>
  <c r="N826" i="4"/>
  <c r="L826" i="4"/>
  <c r="L791" i="4"/>
  <c r="N791" i="4"/>
  <c r="N675" i="4"/>
  <c r="L675" i="4"/>
  <c r="L708" i="4"/>
  <c r="N708" i="4"/>
  <c r="L783" i="4"/>
  <c r="N783" i="4"/>
  <c r="L890" i="4"/>
  <c r="N890" i="4"/>
  <c r="N671" i="4"/>
  <c r="L671" i="4"/>
  <c r="N655" i="4"/>
  <c r="L655" i="4"/>
  <c r="N633" i="4"/>
  <c r="L633" i="4"/>
  <c r="N697" i="4"/>
  <c r="L697" i="4"/>
  <c r="L668" i="4"/>
  <c r="N668" i="4"/>
  <c r="L545" i="4"/>
  <c r="N545" i="4"/>
  <c r="N587" i="4"/>
  <c r="L587" i="4"/>
  <c r="N547" i="4"/>
  <c r="L547" i="4"/>
  <c r="N483" i="4"/>
  <c r="L483" i="4"/>
  <c r="N475" i="4"/>
  <c r="L475" i="4"/>
  <c r="N350" i="4"/>
  <c r="L350" i="4"/>
  <c r="L656" i="4"/>
  <c r="N656" i="4"/>
  <c r="N435" i="4"/>
  <c r="L435" i="4"/>
  <c r="N414" i="4"/>
  <c r="L414" i="4"/>
  <c r="N320" i="4"/>
  <c r="L320" i="4"/>
  <c r="N264" i="4"/>
  <c r="L264" i="4"/>
  <c r="N494" i="4"/>
  <c r="L494" i="4"/>
  <c r="N368" i="4"/>
  <c r="L368" i="4"/>
  <c r="L377" i="4"/>
  <c r="N377" i="4"/>
  <c r="N283" i="4"/>
  <c r="L283" i="4"/>
  <c r="N262" i="4"/>
  <c r="L262" i="4"/>
  <c r="L246" i="4"/>
  <c r="M246" i="4" s="1"/>
  <c r="N246" i="4" s="1"/>
  <c r="O246" i="4" s="1"/>
  <c r="P246" i="4" s="1"/>
  <c r="L82" i="4"/>
  <c r="M82" i="4" s="1"/>
  <c r="N82" i="4" s="1"/>
  <c r="O82" i="4" s="1"/>
  <c r="P82" i="4" s="1"/>
  <c r="L154" i="4"/>
  <c r="M154" i="4" s="1"/>
  <c r="N154" i="4" s="1"/>
  <c r="O154" i="4" s="1"/>
  <c r="P154" i="4" s="1"/>
  <c r="N376" i="4"/>
  <c r="L376" i="4"/>
  <c r="N344" i="4"/>
  <c r="L344" i="4"/>
  <c r="N270" i="4"/>
  <c r="L270" i="4"/>
  <c r="N294" i="4"/>
  <c r="L294" i="4"/>
  <c r="L72" i="4"/>
  <c r="M72" i="4" s="1"/>
  <c r="N72" i="4" s="1"/>
  <c r="O72" i="4" s="1"/>
  <c r="P72" i="4" s="1"/>
  <c r="L56" i="4"/>
  <c r="M56" i="4" s="1"/>
  <c r="N56" i="4" s="1"/>
  <c r="O56" i="4" s="1"/>
  <c r="P56" i="4" s="1"/>
  <c r="L40" i="4"/>
  <c r="M40" i="4" s="1"/>
  <c r="N40" i="4" s="1"/>
  <c r="O40" i="4" s="1"/>
  <c r="P40" i="4" s="1"/>
  <c r="L24" i="4"/>
  <c r="M24" i="4" s="1"/>
  <c r="N24" i="4" s="1"/>
  <c r="O24" i="4" s="1"/>
  <c r="P24" i="4" s="1"/>
  <c r="N1866" i="4"/>
  <c r="L1866" i="4"/>
  <c r="N1707" i="4"/>
  <c r="L1707" i="4"/>
  <c r="N1463" i="4"/>
  <c r="L1463" i="4"/>
  <c r="N1284" i="4"/>
  <c r="L1284" i="4"/>
  <c r="N1267" i="4"/>
  <c r="L1267" i="4"/>
  <c r="L1025" i="4"/>
  <c r="N1025" i="4"/>
  <c r="L878" i="4"/>
  <c r="N878" i="4"/>
  <c r="N741" i="4"/>
  <c r="L741" i="4"/>
  <c r="N760" i="4"/>
  <c r="L760" i="4"/>
  <c r="N1135" i="4"/>
  <c r="L1135" i="4"/>
  <c r="L676" i="4"/>
  <c r="N676" i="4"/>
  <c r="L775" i="4"/>
  <c r="N775" i="4"/>
  <c r="N584" i="4"/>
  <c r="L584" i="4"/>
  <c r="L644" i="4"/>
  <c r="N644" i="4"/>
  <c r="N392" i="4"/>
  <c r="L392" i="4"/>
  <c r="L265" i="4"/>
  <c r="N265" i="4"/>
  <c r="L1981" i="4"/>
  <c r="N1981" i="4"/>
  <c r="N1918" i="4"/>
  <c r="L1918" i="4"/>
  <c r="L1779" i="4"/>
  <c r="N1779" i="4"/>
  <c r="L1727" i="4"/>
  <c r="N1727" i="4"/>
  <c r="N1944" i="4"/>
  <c r="L1944" i="4"/>
  <c r="L1824" i="4"/>
  <c r="N1824" i="4"/>
  <c r="N1831" i="4"/>
  <c r="L1831" i="4"/>
  <c r="L1763" i="4"/>
  <c r="N1763" i="4"/>
  <c r="N1755" i="4"/>
  <c r="L1755" i="4"/>
  <c r="N1747" i="4"/>
  <c r="L1747" i="4"/>
  <c r="N1745" i="4"/>
  <c r="L1745" i="4"/>
  <c r="L1683" i="4"/>
  <c r="N1683" i="4"/>
  <c r="N1716" i="4"/>
  <c r="L1716" i="4"/>
  <c r="N1676" i="4"/>
  <c r="L1676" i="4"/>
  <c r="N1753" i="4"/>
  <c r="L1753" i="4"/>
  <c r="N1874" i="4"/>
  <c r="L1874" i="4"/>
  <c r="N1719" i="4"/>
  <c r="L1719" i="4"/>
  <c r="N1775" i="4"/>
  <c r="L1775" i="4"/>
  <c r="N1642" i="4"/>
  <c r="L1642" i="4"/>
  <c r="N1695" i="4"/>
  <c r="L1695" i="4"/>
  <c r="N1629" i="4"/>
  <c r="L1629" i="4"/>
  <c r="L1593" i="4"/>
  <c r="N1593" i="4"/>
  <c r="N1560" i="4"/>
  <c r="L1560" i="4"/>
  <c r="L1655" i="4"/>
  <c r="N1655" i="4"/>
  <c r="N1515" i="4"/>
  <c r="L1515" i="4"/>
  <c r="N1489" i="4"/>
  <c r="L1489" i="4"/>
  <c r="N1399" i="4"/>
  <c r="L1399" i="4"/>
  <c r="N1375" i="4"/>
  <c r="L1375" i="4"/>
  <c r="N1657" i="4"/>
  <c r="L1657" i="4"/>
  <c r="N1555" i="4"/>
  <c r="L1555" i="4"/>
  <c r="N1454" i="4"/>
  <c r="L1454" i="4"/>
  <c r="N1428" i="4"/>
  <c r="L1428" i="4"/>
  <c r="N1332" i="4"/>
  <c r="L1332" i="4"/>
  <c r="N1244" i="4"/>
  <c r="L1244" i="4"/>
  <c r="N1384" i="4"/>
  <c r="L1384" i="4"/>
  <c r="N1357" i="4"/>
  <c r="L1357" i="4"/>
  <c r="N1192" i="4"/>
  <c r="L1192" i="4"/>
  <c r="N1168" i="4"/>
  <c r="L1168" i="4"/>
  <c r="N1339" i="4"/>
  <c r="L1339" i="4"/>
  <c r="N1211" i="4"/>
  <c r="L1211" i="4"/>
  <c r="N1216" i="4"/>
  <c r="L1216" i="4"/>
  <c r="L1195" i="4"/>
  <c r="N1195" i="4"/>
  <c r="N1208" i="4"/>
  <c r="L1208" i="4"/>
  <c r="L1147" i="4"/>
  <c r="N1147" i="4"/>
  <c r="N1224" i="4"/>
  <c r="L1224" i="4"/>
  <c r="N1118" i="4"/>
  <c r="L1118" i="4"/>
  <c r="L1073" i="4"/>
  <c r="N1073" i="4"/>
  <c r="N1036" i="4"/>
  <c r="L1036" i="4"/>
  <c r="N1038" i="4"/>
  <c r="L1038" i="4"/>
  <c r="N1060" i="4"/>
  <c r="L1060" i="4"/>
  <c r="N1054" i="4"/>
  <c r="L1054" i="4"/>
  <c r="N1124" i="4"/>
  <c r="L1124" i="4"/>
  <c r="N945" i="4"/>
  <c r="L945" i="4"/>
  <c r="N1420" i="4"/>
  <c r="L1420" i="4"/>
  <c r="N1110" i="4"/>
  <c r="L1110" i="4"/>
  <c r="L857" i="4"/>
  <c r="N857" i="4"/>
  <c r="N763" i="4"/>
  <c r="L763" i="4"/>
  <c r="N755" i="4"/>
  <c r="L755" i="4"/>
  <c r="N707" i="4"/>
  <c r="L707" i="4"/>
  <c r="N651" i="4"/>
  <c r="L651" i="4"/>
  <c r="N984" i="4"/>
  <c r="L984" i="4"/>
  <c r="L803" i="4"/>
  <c r="N803" i="4"/>
  <c r="N752" i="4"/>
  <c r="L752" i="4"/>
  <c r="L716" i="4"/>
  <c r="N716" i="4"/>
  <c r="N810" i="4"/>
  <c r="L810" i="4"/>
  <c r="N721" i="4"/>
  <c r="L721" i="4"/>
  <c r="N592" i="4"/>
  <c r="L592" i="4"/>
  <c r="N560" i="4"/>
  <c r="L560" i="4"/>
  <c r="N528" i="4"/>
  <c r="L528" i="4"/>
  <c r="N496" i="4"/>
  <c r="L496" i="4"/>
  <c r="N472" i="4"/>
  <c r="L472" i="4"/>
  <c r="N448" i="4"/>
  <c r="L448" i="4"/>
  <c r="L569" i="4"/>
  <c r="N569" i="4"/>
  <c r="L497" i="4"/>
  <c r="N497" i="4"/>
  <c r="N689" i="4"/>
  <c r="L689" i="4"/>
  <c r="N523" i="4"/>
  <c r="L523" i="4"/>
  <c r="N422" i="4"/>
  <c r="L422" i="4"/>
  <c r="N649" i="4"/>
  <c r="L649" i="4"/>
  <c r="N624" i="4"/>
  <c r="L624" i="4"/>
  <c r="N272" i="4"/>
  <c r="L272" i="4"/>
  <c r="N224" i="4"/>
  <c r="O224" i="4" s="1"/>
  <c r="L224" i="4"/>
  <c r="M224" i="4" s="1"/>
  <c r="N900" i="4"/>
  <c r="L900" i="4"/>
  <c r="N627" i="4"/>
  <c r="L627" i="4"/>
  <c r="N590" i="4"/>
  <c r="L590" i="4"/>
  <c r="N374" i="4"/>
  <c r="L374" i="4"/>
  <c r="N339" i="4"/>
  <c r="L339" i="4"/>
  <c r="N315" i="4"/>
  <c r="L315" i="4"/>
  <c r="N275" i="4"/>
  <c r="L275" i="4"/>
  <c r="L52" i="4"/>
  <c r="M52" i="4" s="1"/>
  <c r="N52" i="4" s="1"/>
  <c r="O52" i="4" s="1"/>
  <c r="P52" i="4" s="1"/>
  <c r="L230" i="4"/>
  <c r="M230" i="4" s="1"/>
  <c r="N230" i="4" s="1"/>
  <c r="O230" i="4" s="1"/>
  <c r="P230" i="4" s="1"/>
  <c r="L200" i="4"/>
  <c r="M200" i="4" s="1"/>
  <c r="N200" i="4" s="1"/>
  <c r="O200" i="4" s="1"/>
  <c r="P200" i="4" s="1"/>
  <c r="L163" i="4"/>
  <c r="M163" i="4" s="1"/>
  <c r="N163" i="4" s="1"/>
  <c r="O163" i="4" s="1"/>
  <c r="P163" i="4" s="1"/>
  <c r="L321" i="4"/>
  <c r="N321" i="4"/>
  <c r="L73" i="4"/>
  <c r="M73" i="4" s="1"/>
  <c r="N73" i="4" s="1"/>
  <c r="O73" i="4" s="1"/>
  <c r="P73" i="4" s="1"/>
  <c r="N1863" i="4"/>
  <c r="L1863" i="4"/>
  <c r="L1684" i="4"/>
  <c r="N1684" i="4"/>
  <c r="N1637" i="4"/>
  <c r="L1637" i="4"/>
  <c r="L1356" i="4"/>
  <c r="N1356" i="4"/>
  <c r="N1348" i="4"/>
  <c r="L1348" i="4"/>
  <c r="N1002" i="4"/>
  <c r="L1002" i="4"/>
  <c r="N1142" i="4"/>
  <c r="L1142" i="4"/>
  <c r="N1028" i="4"/>
  <c r="L1028" i="4"/>
  <c r="N969" i="4"/>
  <c r="L969" i="4"/>
  <c r="N843" i="4"/>
  <c r="L843" i="4"/>
  <c r="L636" i="4"/>
  <c r="N636" i="4"/>
  <c r="L604" i="4"/>
  <c r="N604" i="4"/>
  <c r="N552" i="4"/>
  <c r="L552" i="4"/>
  <c r="N416" i="4"/>
  <c r="L416" i="4"/>
  <c r="N582" i="4"/>
  <c r="L582" i="4"/>
  <c r="L1977" i="4"/>
  <c r="N1977" i="4"/>
  <c r="L1859" i="4"/>
  <c r="N1859" i="4"/>
  <c r="L1898" i="4"/>
  <c r="N1898" i="4"/>
  <c r="N1921" i="4"/>
  <c r="L1921" i="4"/>
  <c r="N1838" i="4"/>
  <c r="L1838" i="4"/>
  <c r="N1774" i="4"/>
  <c r="L1774" i="4"/>
  <c r="N1974" i="4"/>
  <c r="L1974" i="4"/>
  <c r="N1941" i="4"/>
  <c r="L1941" i="4"/>
  <c r="N1952" i="4"/>
  <c r="L1952" i="4"/>
  <c r="N1936" i="4"/>
  <c r="L1936" i="4"/>
  <c r="N1966" i="4"/>
  <c r="L1966" i="4"/>
  <c r="L1929" i="4"/>
  <c r="N1929" i="4"/>
  <c r="N1852" i="4"/>
  <c r="L1852" i="4"/>
  <c r="N1832" i="4"/>
  <c r="L1832" i="4"/>
  <c r="L1808" i="4"/>
  <c r="N1808" i="4"/>
  <c r="N1980" i="4"/>
  <c r="L1980" i="4"/>
  <c r="N1949" i="4"/>
  <c r="L1949" i="4"/>
  <c r="N1911" i="4"/>
  <c r="L1911" i="4"/>
  <c r="N1988" i="4"/>
  <c r="L1988" i="4"/>
  <c r="N1960" i="4"/>
  <c r="L1960" i="4"/>
  <c r="N1812" i="4"/>
  <c r="L1812" i="4"/>
  <c r="N1750" i="4"/>
  <c r="L1750" i="4"/>
  <c r="N1769" i="4"/>
  <c r="L1769" i="4"/>
  <c r="L1691" i="4"/>
  <c r="N1691" i="4"/>
  <c r="N1708" i="4"/>
  <c r="L1708" i="4"/>
  <c r="N1758" i="4"/>
  <c r="L1758" i="4"/>
  <c r="N1711" i="4"/>
  <c r="L1711" i="4"/>
  <c r="L1663" i="4"/>
  <c r="N1663" i="4"/>
  <c r="N1650" i="4"/>
  <c r="L1650" i="4"/>
  <c r="N1634" i="4"/>
  <c r="L1634" i="4"/>
  <c r="N1690" i="4"/>
  <c r="L1690" i="4"/>
  <c r="L1667" i="4"/>
  <c r="N1667" i="4"/>
  <c r="N1597" i="4"/>
  <c r="L1597" i="4"/>
  <c r="L1592" i="4"/>
  <c r="N1592" i="4"/>
  <c r="N1552" i="4"/>
  <c r="L1552" i="4"/>
  <c r="N1471" i="4"/>
  <c r="L1471" i="4"/>
  <c r="N1499" i="4"/>
  <c r="L1499" i="4"/>
  <c r="N1461" i="4"/>
  <c r="L1461" i="4"/>
  <c r="N1445" i="4"/>
  <c r="L1445" i="4"/>
  <c r="N1569" i="4"/>
  <c r="L1569" i="4"/>
  <c r="N1394" i="4"/>
  <c r="L1394" i="4"/>
  <c r="N1308" i="4"/>
  <c r="L1308" i="4"/>
  <c r="N1480" i="4"/>
  <c r="L1480" i="4"/>
  <c r="L1671" i="4"/>
  <c r="N1671" i="4"/>
  <c r="N1281" i="4"/>
  <c r="L1281" i="4"/>
  <c r="N1184" i="4"/>
  <c r="L1184" i="4"/>
  <c r="N1176" i="4"/>
  <c r="L1176" i="4"/>
  <c r="L1144" i="4"/>
  <c r="N1144" i="4"/>
  <c r="N1307" i="4"/>
  <c r="L1307" i="4"/>
  <c r="N1219" i="4"/>
  <c r="L1219" i="4"/>
  <c r="L1362" i="4"/>
  <c r="N1362" i="4"/>
  <c r="N1331" i="4"/>
  <c r="L1331" i="4"/>
  <c r="N1275" i="4"/>
  <c r="L1275" i="4"/>
  <c r="N1243" i="4"/>
  <c r="L1243" i="4"/>
  <c r="L1187" i="4"/>
  <c r="N1187" i="4"/>
  <c r="L1215" i="4"/>
  <c r="N1215" i="4"/>
  <c r="L1247" i="4"/>
  <c r="N1247" i="4"/>
  <c r="L1042" i="4"/>
  <c r="N1042" i="4"/>
  <c r="N978" i="4"/>
  <c r="L978" i="4"/>
  <c r="L1089" i="4"/>
  <c r="N1089" i="4"/>
  <c r="N1166" i="4"/>
  <c r="L1166" i="4"/>
  <c r="L1034" i="4"/>
  <c r="N1034" i="4"/>
  <c r="N913" i="4"/>
  <c r="L913" i="4"/>
  <c r="N908" i="4"/>
  <c r="L908" i="4"/>
  <c r="N736" i="4"/>
  <c r="L736" i="4"/>
  <c r="N848" i="4"/>
  <c r="L848" i="4"/>
  <c r="L724" i="4"/>
  <c r="N724" i="4"/>
  <c r="L807" i="4"/>
  <c r="N807" i="4"/>
  <c r="L779" i="4"/>
  <c r="N779" i="4"/>
  <c r="N657" i="4"/>
  <c r="L657" i="4"/>
  <c r="N753" i="4"/>
  <c r="L753" i="4"/>
  <c r="N480" i="4"/>
  <c r="L480" i="4"/>
  <c r="L529" i="4"/>
  <c r="N529" i="4"/>
  <c r="N673" i="4"/>
  <c r="L673" i="4"/>
  <c r="L795" i="4"/>
  <c r="N795" i="4"/>
  <c r="N563" i="4"/>
  <c r="L563" i="4"/>
  <c r="N499" i="4"/>
  <c r="L499" i="4"/>
  <c r="L385" i="4"/>
  <c r="N385" i="4"/>
  <c r="N713" i="4"/>
  <c r="L713" i="4"/>
  <c r="L481" i="4"/>
  <c r="N481" i="4"/>
  <c r="N470" i="4"/>
  <c r="L470" i="4"/>
  <c r="N328" i="4"/>
  <c r="L328" i="4"/>
  <c r="N280" i="4"/>
  <c r="L280" i="4"/>
  <c r="N502" i="4"/>
  <c r="L502" i="4"/>
  <c r="N451" i="4"/>
  <c r="L451" i="4"/>
  <c r="N267" i="4"/>
  <c r="L267" i="4"/>
  <c r="L128" i="4"/>
  <c r="M128" i="4" s="1"/>
  <c r="N128" i="4" s="1"/>
  <c r="O128" i="4" s="1"/>
  <c r="P128" i="4" s="1"/>
  <c r="L241" i="4"/>
  <c r="M241" i="4" s="1"/>
  <c r="N241" i="4" s="1"/>
  <c r="O241" i="4" s="1"/>
  <c r="P241" i="4" s="1"/>
  <c r="L36" i="4"/>
  <c r="M36" i="4" s="1"/>
  <c r="N36" i="4" s="1"/>
  <c r="O36" i="4" s="1"/>
  <c r="P36" i="4" s="1"/>
  <c r="N405" i="4"/>
  <c r="L405" i="4"/>
  <c r="L214" i="4"/>
  <c r="M214" i="4" s="1"/>
  <c r="N214" i="4" s="1"/>
  <c r="O214" i="4" s="1"/>
  <c r="P214" i="4" s="1"/>
  <c r="N278" i="4"/>
  <c r="L278" i="4"/>
  <c r="N310" i="4"/>
  <c r="L310" i="4"/>
  <c r="T143" i="4" l="1"/>
  <c r="T58" i="4"/>
  <c r="T131" i="4"/>
  <c r="U131" i="4" s="1"/>
  <c r="T230" i="4"/>
  <c r="U230" i="4" s="1"/>
  <c r="T156" i="4"/>
  <c r="U156" i="4" s="1"/>
  <c r="I10" i="5"/>
  <c r="T38" i="4"/>
  <c r="U38" i="4" s="1"/>
  <c r="K193" i="4"/>
  <c r="L193" i="4" s="1"/>
  <c r="M193" i="4" s="1"/>
  <c r="N193" i="4" s="1"/>
  <c r="O193" i="4" s="1"/>
  <c r="P193" i="4" s="1"/>
  <c r="T119" i="4"/>
  <c r="C3" i="5"/>
  <c r="E3" i="5" s="1"/>
  <c r="T82" i="4"/>
  <c r="U82" i="4" s="1"/>
  <c r="V82" i="4" s="1"/>
  <c r="P150" i="4"/>
  <c r="T193" i="4"/>
  <c r="U193" i="4" s="1"/>
  <c r="T45" i="4"/>
  <c r="U45" i="4" s="1"/>
  <c r="C6" i="5"/>
  <c r="L4" i="4"/>
  <c r="M4" i="4" s="1"/>
  <c r="N4" i="4" s="1"/>
  <c r="O4" i="4" s="1"/>
  <c r="P4" i="4" s="1"/>
  <c r="T235" i="4"/>
  <c r="U235" i="4" s="1"/>
  <c r="V235" i="4" s="1"/>
  <c r="K112" i="4"/>
  <c r="L112" i="4" s="1"/>
  <c r="M112" i="4" s="1"/>
  <c r="N112" i="4" s="1"/>
  <c r="O112" i="4" s="1"/>
  <c r="P112" i="4" s="1"/>
  <c r="T46" i="4"/>
  <c r="U46" i="4" s="1"/>
  <c r="V46" i="4" s="1"/>
  <c r="T62" i="4"/>
  <c r="U62" i="4" s="1"/>
  <c r="V62" i="4" s="1"/>
  <c r="E4" i="5"/>
  <c r="E5" i="5" s="1"/>
  <c r="E6" i="5" s="1"/>
  <c r="L187" i="4"/>
  <c r="M187" i="4" s="1"/>
  <c r="T243" i="4"/>
  <c r="U243" i="4" s="1"/>
  <c r="V243" i="4" s="1"/>
  <c r="P224" i="4"/>
  <c r="T189" i="4"/>
  <c r="T25" i="4"/>
  <c r="U25" i="4" s="1"/>
  <c r="T6" i="4"/>
  <c r="U6" i="4" s="1"/>
  <c r="T111" i="4"/>
  <c r="U111" i="4" s="1"/>
  <c r="L240" i="4"/>
  <c r="M240" i="4" s="1"/>
  <c r="N240" i="4" s="1"/>
  <c r="O240" i="4" s="1"/>
  <c r="P240" i="4" s="1"/>
  <c r="P113" i="4"/>
  <c r="T36" i="4"/>
  <c r="U36" i="4" s="1"/>
  <c r="V36" i="4" s="1"/>
  <c r="T157" i="4"/>
  <c r="U157" i="4" s="1"/>
  <c r="V157" i="4" s="1"/>
  <c r="T168" i="4"/>
  <c r="U168" i="4" s="1"/>
  <c r="T4" i="4"/>
  <c r="U4" i="4" s="1"/>
  <c r="T87" i="4"/>
  <c r="U87" i="4" s="1"/>
  <c r="T148" i="4"/>
  <c r="U148" i="4" s="1"/>
  <c r="V148" i="4" s="1"/>
  <c r="L222" i="4"/>
  <c r="M222" i="4" s="1"/>
  <c r="N222" i="4" s="1"/>
  <c r="O222" i="4" s="1"/>
  <c r="P222" i="4" s="1"/>
  <c r="P76" i="4"/>
  <c r="T153" i="4"/>
  <c r="U153" i="4" s="1"/>
  <c r="V153" i="4" s="1"/>
  <c r="T74" i="4"/>
  <c r="U74" i="4" s="1"/>
  <c r="T66" i="4"/>
  <c r="T79" i="4"/>
  <c r="U79" i="4" s="1"/>
  <c r="T12" i="4"/>
  <c r="U12" i="4" s="1"/>
  <c r="V12" i="4" s="1"/>
  <c r="V230" i="4"/>
  <c r="V37" i="4"/>
  <c r="V38" i="4"/>
  <c r="V206" i="4"/>
  <c r="V131" i="4"/>
  <c r="V25" i="4"/>
  <c r="V254" i="4"/>
  <c r="V29" i="4"/>
  <c r="V16" i="4"/>
  <c r="K226" i="4"/>
  <c r="L226" i="4" s="1"/>
  <c r="M226" i="4" s="1"/>
  <c r="N226" i="4" s="1"/>
  <c r="O226" i="4" s="1"/>
  <c r="P226" i="4" s="1"/>
  <c r="K87" i="4"/>
  <c r="L87" i="4" s="1"/>
  <c r="M87" i="4" s="1"/>
  <c r="N87" i="4" s="1"/>
  <c r="O87" i="4" s="1"/>
  <c r="P87" i="4" s="1"/>
  <c r="K250" i="4"/>
  <c r="L250" i="4" s="1"/>
  <c r="M250" i="4" s="1"/>
  <c r="N250" i="4" s="1"/>
  <c r="O250" i="4" s="1"/>
  <c r="P250" i="4" s="1"/>
  <c r="T147" i="4"/>
  <c r="U147" i="4" s="1"/>
  <c r="V147" i="4" s="1"/>
  <c r="K197" i="4"/>
  <c r="L197" i="4"/>
  <c r="M197" i="4" s="1"/>
  <c r="N197" i="4" s="1"/>
  <c r="O197" i="4" s="1"/>
  <c r="P197" i="4" s="1"/>
  <c r="T209" i="4"/>
  <c r="U209" i="4" s="1"/>
  <c r="V209" i="4" s="1"/>
  <c r="U143" i="4"/>
  <c r="T32" i="4"/>
  <c r="U32" i="4" s="1"/>
  <c r="V32" i="4" s="1"/>
  <c r="T106" i="4"/>
  <c r="U106" i="4" s="1"/>
  <c r="V106" i="4" s="1"/>
  <c r="K143" i="4"/>
  <c r="L143" i="4" s="1"/>
  <c r="M143" i="4" s="1"/>
  <c r="N143" i="4" s="1"/>
  <c r="O143" i="4" s="1"/>
  <c r="P143" i="4" s="1"/>
  <c r="T197" i="4"/>
  <c r="U197" i="4" s="1"/>
  <c r="T105" i="4"/>
  <c r="U105" i="4" s="1"/>
  <c r="V105" i="4" s="1"/>
  <c r="T68" i="4"/>
  <c r="U68" i="4" s="1"/>
  <c r="V68" i="4" s="1"/>
  <c r="T216" i="4"/>
  <c r="U216" i="4" s="1"/>
  <c r="V216" i="4" s="1"/>
  <c r="T31" i="4"/>
  <c r="U31" i="4" s="1"/>
  <c r="T142" i="4"/>
  <c r="U142" i="4" s="1"/>
  <c r="V142" i="4" s="1"/>
  <c r="T253" i="4"/>
  <c r="U253" i="4" s="1"/>
  <c r="K31" i="4"/>
  <c r="L31" i="4" s="1"/>
  <c r="M31" i="4" s="1"/>
  <c r="N31" i="4" s="1"/>
  <c r="O31" i="4" s="1"/>
  <c r="P31" i="4" s="1"/>
  <c r="T179" i="4"/>
  <c r="T227" i="4"/>
  <c r="U227" i="4" s="1"/>
  <c r="V227" i="4" s="1"/>
  <c r="T169" i="4"/>
  <c r="U169" i="4" s="1"/>
  <c r="K10" i="4"/>
  <c r="L10" i="4" s="1"/>
  <c r="M10" i="4" s="1"/>
  <c r="N10" i="4" s="1"/>
  <c r="O10" i="4" s="1"/>
  <c r="P10" i="4" s="1"/>
  <c r="T10" i="4"/>
  <c r="U10" i="4" s="1"/>
  <c r="T158" i="4"/>
  <c r="U158" i="4" s="1"/>
  <c r="V158" i="4" s="1"/>
  <c r="T121" i="4"/>
  <c r="U121" i="4" s="1"/>
  <c r="V121" i="4" s="1"/>
  <c r="T84" i="4"/>
  <c r="U84" i="4" s="1"/>
  <c r="T47" i="4"/>
  <c r="U47" i="4" s="1"/>
  <c r="T232" i="4"/>
  <c r="U232" i="4" s="1"/>
  <c r="V232" i="4" s="1"/>
  <c r="T195" i="4"/>
  <c r="U195" i="4" s="1"/>
  <c r="K74" i="4"/>
  <c r="L74" i="4" s="1"/>
  <c r="M74" i="4" s="1"/>
  <c r="N74" i="4" s="1"/>
  <c r="O74" i="4" s="1"/>
  <c r="P74" i="4" s="1"/>
  <c r="K165" i="4"/>
  <c r="L165" i="4" s="1"/>
  <c r="M165" i="4" s="1"/>
  <c r="N165" i="4" s="1"/>
  <c r="O165" i="4" s="1"/>
  <c r="P165" i="4" s="1"/>
  <c r="T222" i="4"/>
  <c r="U222" i="4" s="1"/>
  <c r="V222" i="4" s="1"/>
  <c r="T188" i="4"/>
  <c r="U188" i="4" s="1"/>
  <c r="V188" i="4" s="1"/>
  <c r="T77" i="4"/>
  <c r="U77" i="4" s="1"/>
  <c r="V77" i="4" s="1"/>
  <c r="T151" i="4"/>
  <c r="T3" i="4"/>
  <c r="U3" i="4" s="1"/>
  <c r="T114" i="4"/>
  <c r="K3" i="4"/>
  <c r="L3" i="4" s="1"/>
  <c r="M3" i="4" s="1"/>
  <c r="N3" i="4" s="1"/>
  <c r="O3" i="4" s="1"/>
  <c r="P3" i="4" s="1"/>
  <c r="T40" i="4"/>
  <c r="U40" i="4" s="1"/>
  <c r="V40" i="4" s="1"/>
  <c r="T225" i="4"/>
  <c r="U225" i="4" s="1"/>
  <c r="V225" i="4" s="1"/>
  <c r="K138" i="4"/>
  <c r="L138" i="4" s="1"/>
  <c r="M138" i="4" s="1"/>
  <c r="N138" i="4" s="1"/>
  <c r="O138" i="4" s="1"/>
  <c r="P138" i="4" s="1"/>
  <c r="T238" i="4"/>
  <c r="U238" i="4" s="1"/>
  <c r="V238" i="4" s="1"/>
  <c r="T115" i="4"/>
  <c r="U115" i="4" s="1"/>
  <c r="K55" i="4"/>
  <c r="L55" i="4" s="1"/>
  <c r="M55" i="4" s="1"/>
  <c r="N55" i="4" s="1"/>
  <c r="O55" i="4" s="1"/>
  <c r="P55" i="4" s="1"/>
  <c r="T34" i="4"/>
  <c r="K34" i="4"/>
  <c r="L34" i="4" s="1"/>
  <c r="M34" i="4" s="1"/>
  <c r="N34" i="4" s="1"/>
  <c r="O34" i="4" s="1"/>
  <c r="P34" i="4" s="1"/>
  <c r="T71" i="4"/>
  <c r="U71" i="4" s="1"/>
  <c r="T145" i="4"/>
  <c r="U145" i="4" s="1"/>
  <c r="V145" i="4" s="1"/>
  <c r="T219" i="4"/>
  <c r="U219" i="4" s="1"/>
  <c r="V219" i="4" s="1"/>
  <c r="T108" i="4"/>
  <c r="T182" i="4"/>
  <c r="U182" i="4" s="1"/>
  <c r="V182" i="4" s="1"/>
  <c r="T256" i="4"/>
  <c r="U256" i="4" s="1"/>
  <c r="V256" i="4" s="1"/>
  <c r="U34" i="4"/>
  <c r="K234" i="4"/>
  <c r="L234" i="4" s="1"/>
  <c r="M234" i="4" s="1"/>
  <c r="N234" i="4" s="1"/>
  <c r="O234" i="4" s="1"/>
  <c r="P234" i="4" s="1"/>
  <c r="T94" i="4"/>
  <c r="U94" i="4" s="1"/>
  <c r="V94" i="4" s="1"/>
  <c r="K253" i="4"/>
  <c r="L253" i="4" s="1"/>
  <c r="M253" i="4" s="1"/>
  <c r="N253" i="4" s="1"/>
  <c r="O253" i="4" s="1"/>
  <c r="P253" i="4" s="1"/>
  <c r="T160" i="4"/>
  <c r="U160" i="4" s="1"/>
  <c r="T221" i="4"/>
  <c r="K91" i="4"/>
  <c r="L91" i="4" s="1"/>
  <c r="M91" i="4" s="1"/>
  <c r="N91" i="4" s="1"/>
  <c r="O91" i="4" s="1"/>
  <c r="P91" i="4" s="1"/>
  <c r="T128" i="4"/>
  <c r="U128" i="4" s="1"/>
  <c r="V128" i="4" s="1"/>
  <c r="T17" i="4"/>
  <c r="U17" i="4" s="1"/>
  <c r="V17" i="4" s="1"/>
  <c r="T91" i="4"/>
  <c r="U91" i="4" s="1"/>
  <c r="T202" i="4"/>
  <c r="U202" i="4" s="1"/>
  <c r="T239" i="4"/>
  <c r="U239" i="4" s="1"/>
  <c r="T165" i="4"/>
  <c r="U165" i="4" s="1"/>
  <c r="K103" i="4"/>
  <c r="L103" i="4" s="1"/>
  <c r="M103" i="4" s="1"/>
  <c r="N103" i="4" s="1"/>
  <c r="O103" i="4" s="1"/>
  <c r="P103" i="4" s="1"/>
  <c r="T135" i="4"/>
  <c r="U135" i="4" s="1"/>
  <c r="V135" i="4" s="1"/>
  <c r="K195" i="4"/>
  <c r="L195" i="4" s="1"/>
  <c r="M195" i="4" s="1"/>
  <c r="N195" i="4" s="1"/>
  <c r="O195" i="4" s="1"/>
  <c r="P195" i="4" s="1"/>
  <c r="T196" i="4"/>
  <c r="U196" i="4" s="1"/>
  <c r="V196" i="4" s="1"/>
  <c r="T159" i="4"/>
  <c r="U159" i="4" s="1"/>
  <c r="V159" i="4" s="1"/>
  <c r="T233" i="4"/>
  <c r="U233" i="4" s="1"/>
  <c r="V233" i="4" s="1"/>
  <c r="T11" i="4"/>
  <c r="U11" i="4" s="1"/>
  <c r="T48" i="4"/>
  <c r="U48" i="4" s="1"/>
  <c r="V48" i="4" s="1"/>
  <c r="T85" i="4"/>
  <c r="U85" i="4" s="1"/>
  <c r="V85" i="4" s="1"/>
  <c r="T122" i="4"/>
  <c r="U122" i="4" s="1"/>
  <c r="V122" i="4" s="1"/>
  <c r="K11" i="4"/>
  <c r="L11" i="4" s="1"/>
  <c r="M11" i="4" s="1"/>
  <c r="N11" i="4" s="1"/>
  <c r="O11" i="4" s="1"/>
  <c r="P11" i="4" s="1"/>
  <c r="K47" i="4"/>
  <c r="L47" i="4" s="1"/>
  <c r="M47" i="4" s="1"/>
  <c r="N47" i="4" s="1"/>
  <c r="O47" i="4" s="1"/>
  <c r="P47" i="4" s="1"/>
  <c r="T95" i="4"/>
  <c r="U95" i="4" s="1"/>
  <c r="V95" i="4" s="1"/>
  <c r="T139" i="4"/>
  <c r="U139" i="4" s="1"/>
  <c r="V139" i="4" s="1"/>
  <c r="K124" i="4"/>
  <c r="L124" i="4" s="1"/>
  <c r="M124" i="4" s="1"/>
  <c r="N124" i="4" s="1"/>
  <c r="O124" i="4" s="1"/>
  <c r="P124" i="4" s="1"/>
  <c r="K223" i="4"/>
  <c r="L223" i="4" s="1"/>
  <c r="M223" i="4" s="1"/>
  <c r="N223" i="4" s="1"/>
  <c r="O223" i="4" s="1"/>
  <c r="P223" i="4" s="1"/>
  <c r="L114" i="4"/>
  <c r="M114" i="4" s="1"/>
  <c r="N114" i="4" s="1"/>
  <c r="O114" i="4" s="1"/>
  <c r="P114" i="4" s="1"/>
  <c r="K114" i="4"/>
  <c r="U114" i="4"/>
  <c r="T133" i="4"/>
  <c r="U133" i="4" s="1"/>
  <c r="V133" i="4" s="1"/>
  <c r="T96" i="4"/>
  <c r="U96" i="4" s="1"/>
  <c r="T170" i="4"/>
  <c r="U170" i="4" s="1"/>
  <c r="V170" i="4" s="1"/>
  <c r="T244" i="4"/>
  <c r="U244" i="4" s="1"/>
  <c r="V244" i="4" s="1"/>
  <c r="K59" i="4"/>
  <c r="L59" i="4" s="1"/>
  <c r="M59" i="4" s="1"/>
  <c r="N59" i="4" s="1"/>
  <c r="O59" i="4" s="1"/>
  <c r="P59" i="4" s="1"/>
  <c r="T207" i="4"/>
  <c r="T59" i="4"/>
  <c r="U59" i="4" s="1"/>
  <c r="T90" i="4"/>
  <c r="U90" i="4" s="1"/>
  <c r="V90" i="4" s="1"/>
  <c r="T50" i="4"/>
  <c r="U50" i="4" s="1"/>
  <c r="K50" i="4"/>
  <c r="L50" i="4" s="1"/>
  <c r="M50" i="4" s="1"/>
  <c r="N50" i="4" s="1"/>
  <c r="O50" i="4" s="1"/>
  <c r="P50" i="4" s="1"/>
  <c r="T57" i="4"/>
  <c r="U57" i="4" s="1"/>
  <c r="V57" i="4" s="1"/>
  <c r="K242" i="4"/>
  <c r="L242" i="4" s="1"/>
  <c r="M242" i="4" s="1"/>
  <c r="N242" i="4" s="1"/>
  <c r="O242" i="4" s="1"/>
  <c r="P242" i="4" s="1"/>
  <c r="K96" i="4"/>
  <c r="L96" i="4" s="1"/>
  <c r="M96" i="4" s="1"/>
  <c r="N96" i="4" s="1"/>
  <c r="O96" i="4" s="1"/>
  <c r="P96" i="4" s="1"/>
  <c r="K125" i="4"/>
  <c r="L125" i="4" s="1"/>
  <c r="M125" i="4" s="1"/>
  <c r="N125" i="4" s="1"/>
  <c r="O125" i="4" s="1"/>
  <c r="P125" i="4" s="1"/>
  <c r="K231" i="4"/>
  <c r="L231" i="4" s="1"/>
  <c r="M231" i="4" s="1"/>
  <c r="N231" i="4" s="1"/>
  <c r="O231" i="4" s="1"/>
  <c r="P231" i="4" s="1"/>
  <c r="K61" i="4"/>
  <c r="L61" i="4" s="1"/>
  <c r="M61" i="4" s="1"/>
  <c r="N61" i="4" s="1"/>
  <c r="O61" i="4" s="1"/>
  <c r="P61" i="4" s="1"/>
  <c r="U61" i="4"/>
  <c r="T24" i="4"/>
  <c r="U24" i="4" s="1"/>
  <c r="V24" i="4" s="1"/>
  <c r="K127" i="4"/>
  <c r="L127" i="4" s="1"/>
  <c r="M127" i="4" s="1"/>
  <c r="N127" i="4" s="1"/>
  <c r="O127" i="4" s="1"/>
  <c r="P127" i="4" s="1"/>
  <c r="K183" i="4"/>
  <c r="L183" i="4" s="1"/>
  <c r="M183" i="4" s="1"/>
  <c r="N183" i="4" s="1"/>
  <c r="O183" i="4" s="1"/>
  <c r="P183" i="4" s="1"/>
  <c r="T213" i="4"/>
  <c r="U213" i="4" s="1"/>
  <c r="T63" i="4"/>
  <c r="T26" i="4"/>
  <c r="U26" i="4" s="1"/>
  <c r="K26" i="4"/>
  <c r="L26" i="4" s="1"/>
  <c r="M26" i="4" s="1"/>
  <c r="N26" i="4" s="1"/>
  <c r="O26" i="4" s="1"/>
  <c r="P26" i="4" s="1"/>
  <c r="T174" i="4"/>
  <c r="U174" i="4" s="1"/>
  <c r="V174" i="4" s="1"/>
  <c r="T211" i="4"/>
  <c r="U211" i="4" s="1"/>
  <c r="V211" i="4" s="1"/>
  <c r="T137" i="4"/>
  <c r="U137" i="4" s="1"/>
  <c r="T248" i="4"/>
  <c r="U248" i="4" s="1"/>
  <c r="V248" i="4" s="1"/>
  <c r="T100" i="4"/>
  <c r="U100" i="4" s="1"/>
  <c r="V100" i="4" s="1"/>
  <c r="K191" i="4"/>
  <c r="L191" i="4" s="1"/>
  <c r="M191" i="4" s="1"/>
  <c r="N191" i="4" s="1"/>
  <c r="O191" i="4" s="1"/>
  <c r="P191" i="4" s="1"/>
  <c r="K203" i="4"/>
  <c r="L203" i="4" s="1"/>
  <c r="M203" i="4" s="1"/>
  <c r="N203" i="4" s="1"/>
  <c r="O203" i="4" s="1"/>
  <c r="P203" i="4" s="1"/>
  <c r="T201" i="4"/>
  <c r="U201" i="4" s="1"/>
  <c r="V201" i="4" s="1"/>
  <c r="T180" i="4"/>
  <c r="U180" i="4" s="1"/>
  <c r="V180" i="4" s="1"/>
  <c r="K160" i="4"/>
  <c r="L160" i="4" s="1"/>
  <c r="M160" i="4" s="1"/>
  <c r="N160" i="4" s="1"/>
  <c r="O160" i="4" s="1"/>
  <c r="P160" i="4" s="1"/>
  <c r="T49" i="4"/>
  <c r="U49" i="4" s="1"/>
  <c r="V49" i="4" s="1"/>
  <c r="K255" i="4"/>
  <c r="L255" i="4" s="1"/>
  <c r="M255" i="4" s="1"/>
  <c r="N255" i="4" s="1"/>
  <c r="O255" i="4" s="1"/>
  <c r="P255" i="4" s="1"/>
  <c r="O187" i="4"/>
  <c r="P187" i="4" s="1"/>
  <c r="K187" i="4"/>
  <c r="T214" i="4"/>
  <c r="U214" i="4" s="1"/>
  <c r="V214" i="4" s="1"/>
  <c r="K172" i="4"/>
  <c r="L172" i="4" s="1"/>
  <c r="M172" i="4" s="1"/>
  <c r="N172" i="4" s="1"/>
  <c r="O172" i="4" s="1"/>
  <c r="P172" i="4" s="1"/>
  <c r="K161" i="4"/>
  <c r="L161" i="4" s="1"/>
  <c r="M161" i="4" s="1"/>
  <c r="N161" i="4" s="1"/>
  <c r="O161" i="4" s="1"/>
  <c r="P161" i="4" s="1"/>
  <c r="T117" i="4"/>
  <c r="U117" i="4" s="1"/>
  <c r="V117" i="4" s="1"/>
  <c r="T154" i="4"/>
  <c r="U154" i="4" s="1"/>
  <c r="V154" i="4" s="1"/>
  <c r="T191" i="4"/>
  <c r="U191" i="4" s="1"/>
  <c r="T43" i="4"/>
  <c r="U43" i="4" s="1"/>
  <c r="T80" i="4"/>
  <c r="U80" i="4" s="1"/>
  <c r="V80" i="4" s="1"/>
  <c r="K43" i="4"/>
  <c r="L43" i="4" s="1"/>
  <c r="M43" i="4" s="1"/>
  <c r="N43" i="4" s="1"/>
  <c r="O43" i="4" s="1"/>
  <c r="P43" i="4" s="1"/>
  <c r="T228" i="4"/>
  <c r="U228" i="4" s="1"/>
  <c r="V228" i="4" s="1"/>
  <c r="T69" i="4"/>
  <c r="U69" i="4" s="1"/>
  <c r="V69" i="4" s="1"/>
  <c r="T73" i="4"/>
  <c r="U73" i="4" s="1"/>
  <c r="V73" i="4" s="1"/>
  <c r="T54" i="4"/>
  <c r="U54" i="4" s="1"/>
  <c r="V54" i="4" s="1"/>
  <c r="K137" i="4"/>
  <c r="L137" i="4" s="1"/>
  <c r="M137" i="4" s="1"/>
  <c r="N137" i="4" s="1"/>
  <c r="O137" i="4" s="1"/>
  <c r="P137" i="4" s="1"/>
  <c r="K144" i="4"/>
  <c r="L144" i="4" s="1"/>
  <c r="M144" i="4" s="1"/>
  <c r="N144" i="4" s="1"/>
  <c r="O144" i="4" s="1"/>
  <c r="P144" i="4" s="1"/>
  <c r="T218" i="4"/>
  <c r="U218" i="4" s="1"/>
  <c r="T144" i="4"/>
  <c r="U144" i="4" s="1"/>
  <c r="T33" i="4"/>
  <c r="U33" i="4" s="1"/>
  <c r="V33" i="4" s="1"/>
  <c r="T255" i="4"/>
  <c r="U255" i="4" s="1"/>
  <c r="K186" i="4"/>
  <c r="L186" i="4" s="1"/>
  <c r="M186" i="4" s="1"/>
  <c r="N186" i="4" s="1"/>
  <c r="O186" i="4" s="1"/>
  <c r="P186" i="4" s="1"/>
  <c r="U63" i="4"/>
  <c r="K63" i="4"/>
  <c r="L63" i="4" s="1"/>
  <c r="M63" i="4" s="1"/>
  <c r="N63" i="4" s="1"/>
  <c r="O63" i="4" s="1"/>
  <c r="P63" i="4" s="1"/>
  <c r="V168" i="4"/>
  <c r="T190" i="4"/>
  <c r="U190" i="4" s="1"/>
  <c r="V190" i="4" s="1"/>
  <c r="T21" i="4"/>
  <c r="U21" i="4" s="1"/>
  <c r="V21" i="4" s="1"/>
  <c r="T102" i="4"/>
  <c r="U102" i="4" s="1"/>
  <c r="V102" i="4" s="1"/>
  <c r="K115" i="4"/>
  <c r="L115" i="4"/>
  <c r="M115" i="4" s="1"/>
  <c r="N115" i="4" s="1"/>
  <c r="O115" i="4" s="1"/>
  <c r="P115" i="4" s="1"/>
  <c r="T259" i="4"/>
  <c r="U259" i="4" s="1"/>
  <c r="V259" i="4" s="1"/>
  <c r="T136" i="4"/>
  <c r="U136" i="4" s="1"/>
  <c r="V136" i="4" s="1"/>
  <c r="T164" i="4"/>
  <c r="U164" i="4" s="1"/>
  <c r="V164" i="4" s="1"/>
  <c r="T99" i="4"/>
  <c r="U99" i="4" s="1"/>
  <c r="V99" i="4" s="1"/>
  <c r="T14" i="4"/>
  <c r="U14" i="4" s="1"/>
  <c r="V14" i="4" s="1"/>
  <c r="T88" i="4"/>
  <c r="U88" i="4" s="1"/>
  <c r="V88" i="4" s="1"/>
  <c r="T162" i="4"/>
  <c r="U162" i="4" s="1"/>
  <c r="V162" i="4" s="1"/>
  <c r="K51" i="4"/>
  <c r="L51" i="4" s="1"/>
  <c r="M51" i="4" s="1"/>
  <c r="N51" i="4" s="1"/>
  <c r="O51" i="4" s="1"/>
  <c r="P51" i="4" s="1"/>
  <c r="T125" i="4"/>
  <c r="U125" i="4" s="1"/>
  <c r="T199" i="4"/>
  <c r="U199" i="4" s="1"/>
  <c r="T51" i="4"/>
  <c r="U51" i="4" s="1"/>
  <c r="T236" i="4"/>
  <c r="U236" i="4" s="1"/>
  <c r="V236" i="4" s="1"/>
  <c r="K71" i="4"/>
  <c r="L71" i="4" s="1"/>
  <c r="M71" i="4" s="1"/>
  <c r="N71" i="4" s="1"/>
  <c r="O71" i="4" s="1"/>
  <c r="P71" i="4" s="1"/>
  <c r="T124" i="4"/>
  <c r="U124" i="4" s="1"/>
  <c r="V124" i="4" s="1"/>
  <c r="T112" i="4"/>
  <c r="U112" i="4" s="1"/>
  <c r="T149" i="4"/>
  <c r="U149" i="4" s="1"/>
  <c r="V149" i="4" s="1"/>
  <c r="T186" i="4"/>
  <c r="U186" i="4" s="1"/>
  <c r="T223" i="4"/>
  <c r="U223" i="4" s="1"/>
  <c r="T260" i="4"/>
  <c r="U260" i="4" s="1"/>
  <c r="V260" i="4" s="1"/>
  <c r="T75" i="4"/>
  <c r="U75" i="4" s="1"/>
  <c r="K75" i="4"/>
  <c r="L75" i="4" s="1"/>
  <c r="M75" i="4" s="1"/>
  <c r="N75" i="4" s="1"/>
  <c r="O75" i="4" s="1"/>
  <c r="P75" i="4" s="1"/>
  <c r="N2" i="4"/>
  <c r="O2" i="4" s="1"/>
  <c r="T2" i="4"/>
  <c r="U2" i="4" s="1"/>
  <c r="T76" i="4"/>
  <c r="U76" i="4" s="1"/>
  <c r="T39" i="4"/>
  <c r="U39" i="4" s="1"/>
  <c r="T113" i="4"/>
  <c r="U113" i="4" s="1"/>
  <c r="T150" i="4"/>
  <c r="U150" i="4" s="1"/>
  <c r="K2" i="4"/>
  <c r="T224" i="4"/>
  <c r="U224" i="4" s="1"/>
  <c r="L2" i="4"/>
  <c r="M2" i="4" s="1"/>
  <c r="T187" i="4"/>
  <c r="U187" i="4" s="1"/>
  <c r="K215" i="4"/>
  <c r="L215" i="4" s="1"/>
  <c r="M215" i="4" s="1"/>
  <c r="N215" i="4" s="1"/>
  <c r="O215" i="4" s="1"/>
  <c r="P215" i="4" s="1"/>
  <c r="K205" i="4"/>
  <c r="L205" i="4" s="1"/>
  <c r="M205" i="4" s="1"/>
  <c r="N205" i="4" s="1"/>
  <c r="O205" i="4" s="1"/>
  <c r="P205" i="4" s="1"/>
  <c r="T205" i="4"/>
  <c r="U205" i="4" s="1"/>
  <c r="T242" i="4"/>
  <c r="U242" i="4" s="1"/>
  <c r="K218" i="4"/>
  <c r="L218" i="4" s="1"/>
  <c r="M218" i="4" s="1"/>
  <c r="N218" i="4" s="1"/>
  <c r="O218" i="4" s="1"/>
  <c r="P218" i="4" s="1"/>
  <c r="K239" i="4"/>
  <c r="L239" i="4" s="1"/>
  <c r="M239" i="4" s="1"/>
  <c r="N239" i="4" s="1"/>
  <c r="O239" i="4" s="1"/>
  <c r="P239" i="4" s="1"/>
  <c r="K119" i="4"/>
  <c r="L119" i="4" s="1"/>
  <c r="M119" i="4" s="1"/>
  <c r="N119" i="4" s="1"/>
  <c r="O119" i="4" s="1"/>
  <c r="P119" i="4" s="1"/>
  <c r="U119" i="4"/>
  <c r="T8" i="4"/>
  <c r="U8" i="4" s="1"/>
  <c r="V8" i="4" s="1"/>
  <c r="T226" i="4"/>
  <c r="U226" i="4" s="1"/>
  <c r="V226" i="4" s="1"/>
  <c r="L155" i="4"/>
  <c r="M155" i="4" s="1"/>
  <c r="N155" i="4" s="1"/>
  <c r="O155" i="4" s="1"/>
  <c r="P155" i="4" s="1"/>
  <c r="K155" i="4"/>
  <c r="K84" i="4"/>
  <c r="L84" i="4" s="1"/>
  <c r="M84" i="4" s="1"/>
  <c r="N84" i="4" s="1"/>
  <c r="O84" i="4" s="1"/>
  <c r="P84" i="4" s="1"/>
  <c r="K221" i="4"/>
  <c r="L221" i="4" s="1"/>
  <c r="M221" i="4" s="1"/>
  <c r="N221" i="4" s="1"/>
  <c r="O221" i="4" s="1"/>
  <c r="P221" i="4" s="1"/>
  <c r="U221" i="4"/>
  <c r="V6" i="4"/>
  <c r="K237" i="4"/>
  <c r="L237" i="4" s="1"/>
  <c r="M237" i="4" s="1"/>
  <c r="N237" i="4" s="1"/>
  <c r="O237" i="4" s="1"/>
  <c r="P237" i="4" s="1"/>
  <c r="T172" i="4"/>
  <c r="U172" i="4" s="1"/>
  <c r="U181" i="4"/>
  <c r="K181" i="4"/>
  <c r="L181" i="4" s="1"/>
  <c r="M181" i="4" s="1"/>
  <c r="N181" i="4" s="1"/>
  <c r="O181" i="4" s="1"/>
  <c r="P181" i="4" s="1"/>
  <c r="T41" i="4"/>
  <c r="U41" i="4" s="1"/>
  <c r="V41" i="4" s="1"/>
  <c r="T28" i="4"/>
  <c r="U28" i="4" s="1"/>
  <c r="V28" i="4" s="1"/>
  <c r="K42" i="4"/>
  <c r="L42" i="4" s="1"/>
  <c r="M42" i="4" s="1"/>
  <c r="N42" i="4" s="1"/>
  <c r="O42" i="4" s="1"/>
  <c r="P42" i="4" s="1"/>
  <c r="U42" i="4"/>
  <c r="T116" i="4"/>
  <c r="U116" i="4" s="1"/>
  <c r="K120" i="4"/>
  <c r="L120" i="4" s="1"/>
  <c r="M120" i="4" s="1"/>
  <c r="N120" i="4" s="1"/>
  <c r="O120" i="4" s="1"/>
  <c r="P120" i="4" s="1"/>
  <c r="T83" i="4"/>
  <c r="U83" i="4" s="1"/>
  <c r="V83" i="4" s="1"/>
  <c r="T120" i="4"/>
  <c r="U120" i="4" s="1"/>
  <c r="T194" i="4"/>
  <c r="T231" i="4"/>
  <c r="U231" i="4" s="1"/>
  <c r="T9" i="4"/>
  <c r="U9" i="4" s="1"/>
  <c r="V9" i="4" s="1"/>
  <c r="K132" i="4"/>
  <c r="L132" i="4" s="1"/>
  <c r="M132" i="4" s="1"/>
  <c r="N132" i="4" s="1"/>
  <c r="O132" i="4" s="1"/>
  <c r="P132" i="4" s="1"/>
  <c r="T185" i="4"/>
  <c r="U185" i="4" s="1"/>
  <c r="V185" i="4" s="1"/>
  <c r="U179" i="4"/>
  <c r="K179" i="4"/>
  <c r="L179" i="4" s="1"/>
  <c r="M179" i="4" s="1"/>
  <c r="N179" i="4" s="1"/>
  <c r="O179" i="4" s="1"/>
  <c r="P179" i="4" s="1"/>
  <c r="T23" i="4"/>
  <c r="U23" i="4" s="1"/>
  <c r="T60" i="4"/>
  <c r="U60" i="4" s="1"/>
  <c r="V60" i="4" s="1"/>
  <c r="T171" i="4"/>
  <c r="U171" i="4" s="1"/>
  <c r="V171" i="4" s="1"/>
  <c r="T97" i="4"/>
  <c r="U97" i="4" s="1"/>
  <c r="T134" i="4"/>
  <c r="U134" i="4" s="1"/>
  <c r="V134" i="4" s="1"/>
  <c r="T245" i="4"/>
  <c r="U245" i="4" s="1"/>
  <c r="K23" i="4"/>
  <c r="L23" i="4" s="1"/>
  <c r="M23" i="4" s="1"/>
  <c r="N23" i="4" s="1"/>
  <c r="O23" i="4" s="1"/>
  <c r="P23" i="4" s="1"/>
  <c r="T208" i="4"/>
  <c r="U208" i="4" s="1"/>
  <c r="V208" i="4" s="1"/>
  <c r="T198" i="4"/>
  <c r="U198" i="4" s="1"/>
  <c r="V198" i="4" s="1"/>
  <c r="K66" i="4"/>
  <c r="L66" i="4" s="1"/>
  <c r="M66" i="4" s="1"/>
  <c r="N66" i="4" s="1"/>
  <c r="O66" i="4" s="1"/>
  <c r="P66" i="4" s="1"/>
  <c r="T103" i="4"/>
  <c r="U103" i="4" s="1"/>
  <c r="U66" i="4"/>
  <c r="T177" i="4"/>
  <c r="U177" i="4" s="1"/>
  <c r="V177" i="4" s="1"/>
  <c r="T251" i="4"/>
  <c r="U251" i="4" s="1"/>
  <c r="V251" i="4" s="1"/>
  <c r="T7" i="4"/>
  <c r="U7" i="4" s="1"/>
  <c r="T81" i="4"/>
  <c r="U81" i="4" s="1"/>
  <c r="V81" i="4" s="1"/>
  <c r="T44" i="4"/>
  <c r="U44" i="4" s="1"/>
  <c r="V44" i="4" s="1"/>
  <c r="T118" i="4"/>
  <c r="U118" i="4" s="1"/>
  <c r="V118" i="4" s="1"/>
  <c r="T192" i="4"/>
  <c r="U192" i="4" s="1"/>
  <c r="V192" i="4" s="1"/>
  <c r="T229" i="4"/>
  <c r="U229" i="4" s="1"/>
  <c r="T155" i="4"/>
  <c r="U155" i="4" s="1"/>
  <c r="V155" i="4" s="1"/>
  <c r="K7" i="4"/>
  <c r="L7" i="4" s="1"/>
  <c r="M7" i="4" s="1"/>
  <c r="N7" i="4" s="1"/>
  <c r="O7" i="4" s="1"/>
  <c r="P7" i="4" s="1"/>
  <c r="K116" i="4"/>
  <c r="L116" i="4" s="1"/>
  <c r="M116" i="4" s="1"/>
  <c r="N116" i="4" s="1"/>
  <c r="O116" i="4" s="1"/>
  <c r="P116" i="4" s="1"/>
  <c r="T140" i="4"/>
  <c r="U140" i="4" s="1"/>
  <c r="V140" i="4" s="1"/>
  <c r="K207" i="4"/>
  <c r="L207" i="4" s="1"/>
  <c r="M207" i="4" s="1"/>
  <c r="N207" i="4" s="1"/>
  <c r="O207" i="4" s="1"/>
  <c r="P207" i="4" s="1"/>
  <c r="U207" i="4"/>
  <c r="T130" i="4"/>
  <c r="U130" i="4" s="1"/>
  <c r="V130" i="4" s="1"/>
  <c r="T241" i="4"/>
  <c r="U241" i="4" s="1"/>
  <c r="V241" i="4" s="1"/>
  <c r="T93" i="4"/>
  <c r="U93" i="4" s="1"/>
  <c r="T204" i="4"/>
  <c r="U204" i="4" s="1"/>
  <c r="V204" i="4" s="1"/>
  <c r="T56" i="4"/>
  <c r="U56" i="4" s="1"/>
  <c r="V56" i="4" s="1"/>
  <c r="K19" i="4"/>
  <c r="L19" i="4" s="1"/>
  <c r="M19" i="4" s="1"/>
  <c r="N19" i="4" s="1"/>
  <c r="O19" i="4" s="1"/>
  <c r="P19" i="4" s="1"/>
  <c r="T19" i="4"/>
  <c r="U19" i="4" s="1"/>
  <c r="T167" i="4"/>
  <c r="U167" i="4" s="1"/>
  <c r="V167" i="4" s="1"/>
  <c r="K93" i="4"/>
  <c r="L93" i="4" s="1"/>
  <c r="M93" i="4" s="1"/>
  <c r="N93" i="4" s="1"/>
  <c r="O93" i="4" s="1"/>
  <c r="P93" i="4" s="1"/>
  <c r="K202" i="4"/>
  <c r="L202" i="4" s="1"/>
  <c r="M202" i="4" s="1"/>
  <c r="N202" i="4" s="1"/>
  <c r="O202" i="4" s="1"/>
  <c r="P202" i="4" s="1"/>
  <c r="T22" i="4"/>
  <c r="U22" i="4" s="1"/>
  <c r="V22" i="4" s="1"/>
  <c r="K258" i="4"/>
  <c r="L258" i="4" s="1"/>
  <c r="M258" i="4" s="1"/>
  <c r="N258" i="4" s="1"/>
  <c r="O258" i="4" s="1"/>
  <c r="P258" i="4" s="1"/>
  <c r="T246" i="4"/>
  <c r="U246" i="4" s="1"/>
  <c r="V246" i="4" s="1"/>
  <c r="T15" i="4"/>
  <c r="U15" i="4" s="1"/>
  <c r="T200" i="4"/>
  <c r="U200" i="4" s="1"/>
  <c r="V200" i="4" s="1"/>
  <c r="T126" i="4"/>
  <c r="U126" i="4" s="1"/>
  <c r="V126" i="4" s="1"/>
  <c r="T52" i="4"/>
  <c r="U52" i="4" s="1"/>
  <c r="V52" i="4" s="1"/>
  <c r="T89" i="4"/>
  <c r="U89" i="4" s="1"/>
  <c r="V89" i="4" s="1"/>
  <c r="K15" i="4"/>
  <c r="L15" i="4" s="1"/>
  <c r="M15" i="4" s="1"/>
  <c r="N15" i="4" s="1"/>
  <c r="O15" i="4" s="1"/>
  <c r="P15" i="4" s="1"/>
  <c r="T163" i="4"/>
  <c r="U163" i="4" s="1"/>
  <c r="V163" i="4" s="1"/>
  <c r="T237" i="4"/>
  <c r="U237" i="4" s="1"/>
  <c r="K79" i="4"/>
  <c r="L79" i="4" s="1"/>
  <c r="M79" i="4" s="1"/>
  <c r="N79" i="4" s="1"/>
  <c r="O79" i="4" s="1"/>
  <c r="P79" i="4" s="1"/>
  <c r="K245" i="4"/>
  <c r="L245" i="4" s="1"/>
  <c r="M245" i="4" s="1"/>
  <c r="N245" i="4" s="1"/>
  <c r="O245" i="4" s="1"/>
  <c r="P245" i="4" s="1"/>
  <c r="T5" i="4"/>
  <c r="U5" i="4" s="1"/>
  <c r="V5" i="4" s="1"/>
  <c r="K199" i="4"/>
  <c r="L199" i="4" s="1"/>
  <c r="M199" i="4" s="1"/>
  <c r="N199" i="4" s="1"/>
  <c r="O199" i="4" s="1"/>
  <c r="P199" i="4" s="1"/>
  <c r="T107" i="4"/>
  <c r="U107" i="4" s="1"/>
  <c r="V107" i="4" s="1"/>
  <c r="K213" i="4"/>
  <c r="L213" i="4" s="1"/>
  <c r="M213" i="4" s="1"/>
  <c r="N213" i="4" s="1"/>
  <c r="O213" i="4" s="1"/>
  <c r="P213" i="4" s="1"/>
  <c r="T250" i="4"/>
  <c r="U250" i="4" s="1"/>
  <c r="T78" i="4"/>
  <c r="U78" i="4" s="1"/>
  <c r="V78" i="4" s="1"/>
  <c r="T257" i="4"/>
  <c r="U257" i="4" s="1"/>
  <c r="V257" i="4" s="1"/>
  <c r="L35" i="4"/>
  <c r="M35" i="4" s="1"/>
  <c r="N35" i="4" s="1"/>
  <c r="O35" i="4" s="1"/>
  <c r="P35" i="4" s="1"/>
  <c r="K35" i="4"/>
  <c r="T183" i="4"/>
  <c r="U183" i="4" s="1"/>
  <c r="T220" i="4"/>
  <c r="U220" i="4" s="1"/>
  <c r="V220" i="4" s="1"/>
  <c r="T35" i="4"/>
  <c r="U35" i="4" s="1"/>
  <c r="T72" i="4"/>
  <c r="U72" i="4" s="1"/>
  <c r="V72" i="4" s="1"/>
  <c r="T146" i="4"/>
  <c r="U146" i="4" s="1"/>
  <c r="T109" i="4"/>
  <c r="U109" i="4" s="1"/>
  <c r="V109" i="4" s="1"/>
  <c r="K101" i="4"/>
  <c r="L101" i="4" s="1"/>
  <c r="M101" i="4" s="1"/>
  <c r="N101" i="4" s="1"/>
  <c r="O101" i="4" s="1"/>
  <c r="P101" i="4" s="1"/>
  <c r="T161" i="4"/>
  <c r="U161" i="4" s="1"/>
  <c r="T234" i="4"/>
  <c r="U234" i="4" s="1"/>
  <c r="K123" i="4"/>
  <c r="L123" i="4" s="1"/>
  <c r="M123" i="4" s="1"/>
  <c r="N123" i="4" s="1"/>
  <c r="O123" i="4" s="1"/>
  <c r="P123" i="4" s="1"/>
  <c r="T127" i="4"/>
  <c r="U127" i="4" s="1"/>
  <c r="L67" i="4"/>
  <c r="M67" i="4" s="1"/>
  <c r="N67" i="4" s="1"/>
  <c r="O67" i="4" s="1"/>
  <c r="P67" i="4" s="1"/>
  <c r="T30" i="4"/>
  <c r="U30" i="4" s="1"/>
  <c r="V30" i="4" s="1"/>
  <c r="T141" i="4"/>
  <c r="U141" i="4" s="1"/>
  <c r="V141" i="4" s="1"/>
  <c r="T215" i="4"/>
  <c r="U215" i="4" s="1"/>
  <c r="K67" i="4"/>
  <c r="T67" i="4"/>
  <c r="U67" i="4" s="1"/>
  <c r="T178" i="4"/>
  <c r="U178" i="4" s="1"/>
  <c r="V178" i="4" s="1"/>
  <c r="T104" i="4"/>
  <c r="U104" i="4" s="1"/>
  <c r="V104" i="4" s="1"/>
  <c r="T252" i="4"/>
  <c r="U252" i="4" s="1"/>
  <c r="V252" i="4" s="1"/>
  <c r="T123" i="4"/>
  <c r="U123" i="4" s="1"/>
  <c r="T65" i="4"/>
  <c r="U65" i="4" s="1"/>
  <c r="V65" i="4" s="1"/>
  <c r="T86" i="4"/>
  <c r="U86" i="4" s="1"/>
  <c r="V86" i="4" s="1"/>
  <c r="T176" i="4"/>
  <c r="U176" i="4" s="1"/>
  <c r="V176" i="4" s="1"/>
  <c r="T53" i="4"/>
  <c r="U53" i="4" s="1"/>
  <c r="V53" i="4" s="1"/>
  <c r="T184" i="4"/>
  <c r="U184" i="4" s="1"/>
  <c r="V184" i="4" s="1"/>
  <c r="U189" i="4"/>
  <c r="K189" i="4"/>
  <c r="L189" i="4" s="1"/>
  <c r="M189" i="4" s="1"/>
  <c r="N189" i="4" s="1"/>
  <c r="O189" i="4" s="1"/>
  <c r="P189" i="4" s="1"/>
  <c r="T98" i="4"/>
  <c r="U98" i="4" s="1"/>
  <c r="V98" i="4" s="1"/>
  <c r="V45" i="4"/>
  <c r="K229" i="4"/>
  <c r="L229" i="4" s="1"/>
  <c r="M229" i="4" s="1"/>
  <c r="N229" i="4" s="1"/>
  <c r="O229" i="4" s="1"/>
  <c r="P229" i="4" s="1"/>
  <c r="T175" i="4"/>
  <c r="U175" i="4" s="1"/>
  <c r="V175" i="4" s="1"/>
  <c r="T138" i="4"/>
  <c r="U138" i="4" s="1"/>
  <c r="T249" i="4"/>
  <c r="U249" i="4" s="1"/>
  <c r="V249" i="4" s="1"/>
  <c r="T27" i="4"/>
  <c r="U27" i="4" s="1"/>
  <c r="T64" i="4"/>
  <c r="U64" i="4" s="1"/>
  <c r="V64" i="4" s="1"/>
  <c r="T212" i="4"/>
  <c r="U212" i="4" s="1"/>
  <c r="V212" i="4" s="1"/>
  <c r="K27" i="4"/>
  <c r="L27" i="4" s="1"/>
  <c r="M27" i="4" s="1"/>
  <c r="N27" i="4" s="1"/>
  <c r="O27" i="4" s="1"/>
  <c r="P27" i="4" s="1"/>
  <c r="T101" i="4"/>
  <c r="U101" i="4" s="1"/>
  <c r="K194" i="4"/>
  <c r="L194" i="4" s="1"/>
  <c r="M194" i="4" s="1"/>
  <c r="N194" i="4" s="1"/>
  <c r="O194" i="4" s="1"/>
  <c r="P194" i="4" s="1"/>
  <c r="U194" i="4"/>
  <c r="K58" i="4"/>
  <c r="L58" i="4" s="1"/>
  <c r="M58" i="4" s="1"/>
  <c r="N58" i="4" s="1"/>
  <c r="O58" i="4" s="1"/>
  <c r="P58" i="4" s="1"/>
  <c r="U58" i="4"/>
  <c r="T132" i="4"/>
  <c r="U132" i="4" s="1"/>
  <c r="K169" i="4"/>
  <c r="L169" i="4" s="1"/>
  <c r="M169" i="4" s="1"/>
  <c r="N169" i="4" s="1"/>
  <c r="O169" i="4" s="1"/>
  <c r="P169" i="4" s="1"/>
  <c r="K210" i="4"/>
  <c r="L210" i="4" s="1"/>
  <c r="M210" i="4" s="1"/>
  <c r="N210" i="4" s="1"/>
  <c r="O210" i="4" s="1"/>
  <c r="P210" i="4" s="1"/>
  <c r="U210" i="4"/>
  <c r="T247" i="4"/>
  <c r="U247" i="4" s="1"/>
  <c r="V111" i="4"/>
  <c r="V156" i="4"/>
  <c r="T70" i="4"/>
  <c r="U70" i="4" s="1"/>
  <c r="V70" i="4" s="1"/>
  <c r="T217" i="4"/>
  <c r="U217" i="4" s="1"/>
  <c r="V217" i="4" s="1"/>
  <c r="T152" i="4"/>
  <c r="U152" i="4" s="1"/>
  <c r="V152" i="4" s="1"/>
  <c r="L39" i="4"/>
  <c r="M39" i="4" s="1"/>
  <c r="N39" i="4"/>
  <c r="O39" i="4" s="1"/>
  <c r="K39" i="4"/>
  <c r="T13" i="4"/>
  <c r="U13" i="4" s="1"/>
  <c r="V13" i="4" s="1"/>
  <c r="L151" i="4"/>
  <c r="M151" i="4" s="1"/>
  <c r="N151" i="4" s="1"/>
  <c r="O151" i="4" s="1"/>
  <c r="P151" i="4" s="1"/>
  <c r="K151" i="4"/>
  <c r="U151" i="4"/>
  <c r="T18" i="4"/>
  <c r="U18" i="4" s="1"/>
  <c r="K18" i="4"/>
  <c r="L18" i="4" s="1"/>
  <c r="M18" i="4" s="1"/>
  <c r="N18" i="4" s="1"/>
  <c r="O18" i="4" s="1"/>
  <c r="P18" i="4" s="1"/>
  <c r="T166" i="4"/>
  <c r="U166" i="4" s="1"/>
  <c r="V166" i="4" s="1"/>
  <c r="T55" i="4"/>
  <c r="U55" i="4" s="1"/>
  <c r="T129" i="4"/>
  <c r="U129" i="4" s="1"/>
  <c r="V129" i="4" s="1"/>
  <c r="T240" i="4"/>
  <c r="U240" i="4" s="1"/>
  <c r="V240" i="4" s="1"/>
  <c r="T92" i="4"/>
  <c r="U92" i="4" s="1"/>
  <c r="V92" i="4" s="1"/>
  <c r="T203" i="4"/>
  <c r="U203" i="4" s="1"/>
  <c r="V203" i="4" s="1"/>
  <c r="O146" i="4"/>
  <c r="P146" i="4" s="1"/>
  <c r="K146" i="4"/>
  <c r="L146" i="4" s="1"/>
  <c r="M146" i="4" s="1"/>
  <c r="N146" i="4" s="1"/>
  <c r="K247" i="4"/>
  <c r="L247" i="4" s="1"/>
  <c r="M247" i="4" s="1"/>
  <c r="N247" i="4" s="1"/>
  <c r="O247" i="4" s="1"/>
  <c r="P247" i="4" s="1"/>
  <c r="T20" i="4"/>
  <c r="U20" i="4" s="1"/>
  <c r="V20" i="4" s="1"/>
  <c r="K108" i="4"/>
  <c r="L108" i="4" s="1"/>
  <c r="M108" i="4" s="1"/>
  <c r="N108" i="4" s="1"/>
  <c r="O108" i="4" s="1"/>
  <c r="P108" i="4" s="1"/>
  <c r="U108" i="4"/>
  <c r="K97" i="4"/>
  <c r="L97" i="4" s="1"/>
  <c r="M97" i="4" s="1"/>
  <c r="N97" i="4" s="1"/>
  <c r="O97" i="4" s="1"/>
  <c r="P97" i="4" s="1"/>
  <c r="T173" i="4"/>
  <c r="U173" i="4" s="1"/>
  <c r="V173" i="4" s="1"/>
  <c r="T258" i="4"/>
  <c r="U258" i="4" s="1"/>
  <c r="T110" i="4"/>
  <c r="U110" i="4" s="1"/>
  <c r="V110" i="4" s="1"/>
  <c r="A8" i="5"/>
  <c r="C7" i="5"/>
  <c r="V138" i="4" l="1"/>
  <c r="V193" i="4"/>
  <c r="V59" i="4"/>
  <c r="V4" i="4"/>
  <c r="V223" i="4"/>
  <c r="H3" i="5"/>
  <c r="V112" i="4"/>
  <c r="J7" i="5"/>
  <c r="V113" i="4"/>
  <c r="H6" i="5"/>
  <c r="V150" i="4"/>
  <c r="H7" i="5"/>
  <c r="V76" i="4"/>
  <c r="H5" i="5"/>
  <c r="V187" i="4"/>
  <c r="H8" i="5"/>
  <c r="J8" i="5"/>
  <c r="V169" i="4"/>
  <c r="V15" i="4"/>
  <c r="V172" i="4"/>
  <c r="P2" i="4"/>
  <c r="J3" i="5" s="1"/>
  <c r="B5" i="5"/>
  <c r="V224" i="4"/>
  <c r="H9" i="5"/>
  <c r="J5" i="5"/>
  <c r="H4" i="5"/>
  <c r="J6" i="5"/>
  <c r="J9" i="5"/>
  <c r="E7" i="5"/>
  <c r="V123" i="4"/>
  <c r="V239" i="4"/>
  <c r="V146" i="4"/>
  <c r="V26" i="4"/>
  <c r="V91" i="4"/>
  <c r="B6" i="5" s="1"/>
  <c r="V35" i="4"/>
  <c r="V51" i="4"/>
  <c r="V115" i="4"/>
  <c r="V55" i="4"/>
  <c r="V242" i="4"/>
  <c r="V101" i="4"/>
  <c r="V234" i="4"/>
  <c r="V183" i="4"/>
  <c r="V93" i="4"/>
  <c r="V7" i="4"/>
  <c r="V231" i="4"/>
  <c r="V125" i="4"/>
  <c r="B3" i="5" s="1"/>
  <c r="D3" i="5" s="1"/>
  <c r="V96" i="4"/>
  <c r="V11" i="4"/>
  <c r="V10" i="4"/>
  <c r="V50" i="4"/>
  <c r="V161" i="4"/>
  <c r="V18" i="4"/>
  <c r="V75" i="4"/>
  <c r="V43" i="4"/>
  <c r="V165" i="4"/>
  <c r="V237" i="4"/>
  <c r="V103" i="4"/>
  <c r="V202" i="4"/>
  <c r="V191" i="4"/>
  <c r="V127" i="4"/>
  <c r="V186" i="4"/>
  <c r="V67" i="4"/>
  <c r="V23" i="4"/>
  <c r="V199" i="4"/>
  <c r="V197" i="4"/>
  <c r="V79" i="4"/>
  <c r="V221" i="4"/>
  <c r="V31" i="4"/>
  <c r="V250" i="4"/>
  <c r="V245" i="4"/>
  <c r="V179" i="4"/>
  <c r="V160" i="4"/>
  <c r="V119" i="4"/>
  <c r="V205" i="4"/>
  <c r="V215" i="4"/>
  <c r="V19" i="4"/>
  <c r="B8" i="5" s="1"/>
  <c r="V74" i="4"/>
  <c r="V34" i="4"/>
  <c r="P39" i="4"/>
  <c r="J4" i="5" s="1"/>
  <c r="V194" i="4"/>
  <c r="V63" i="4"/>
  <c r="V137" i="4"/>
  <c r="V114" i="4"/>
  <c r="V253" i="4"/>
  <c r="V144" i="4"/>
  <c r="V47" i="4"/>
  <c r="V58" i="4"/>
  <c r="V247" i="4"/>
  <c r="V218" i="4"/>
  <c r="V120" i="4"/>
  <c r="V3" i="4"/>
  <c r="V97" i="4"/>
  <c r="V213" i="4"/>
  <c r="V116" i="4"/>
  <c r="V132" i="4"/>
  <c r="V108" i="4"/>
  <c r="V151" i="4"/>
  <c r="V39" i="4"/>
  <c r="V210" i="4"/>
  <c r="V207" i="4"/>
  <c r="V42" i="4"/>
  <c r="V181" i="4"/>
  <c r="V71" i="4"/>
  <c r="V143" i="4"/>
  <c r="V61" i="4"/>
  <c r="V27" i="4"/>
  <c r="V229" i="4"/>
  <c r="V189" i="4"/>
  <c r="V258" i="4"/>
  <c r="V66" i="4"/>
  <c r="V84" i="4"/>
  <c r="V255" i="4"/>
  <c r="V195" i="4"/>
  <c r="V87" i="4"/>
  <c r="A9" i="5"/>
  <c r="C8" i="5"/>
  <c r="N7" i="5" l="1"/>
  <c r="N5" i="5"/>
  <c r="N3" i="5"/>
  <c r="B4" i="5"/>
  <c r="D4" i="5" s="1"/>
  <c r="D5" i="5" s="1"/>
  <c r="D6" i="5" s="1"/>
  <c r="N4" i="5"/>
  <c r="N6" i="5"/>
  <c r="B7" i="5"/>
  <c r="N8" i="5"/>
  <c r="N9" i="5"/>
  <c r="V2" i="4"/>
  <c r="H10" i="5"/>
  <c r="E8" i="5"/>
  <c r="C9" i="5"/>
  <c r="A10" i="5"/>
  <c r="B9" i="5"/>
  <c r="D7" i="5" l="1"/>
  <c r="D8" i="5" s="1"/>
  <c r="N10" i="5"/>
  <c r="D9" i="5"/>
  <c r="E9" i="5"/>
  <c r="A11" i="5"/>
  <c r="C10" i="5"/>
  <c r="E10" i="5" s="1"/>
  <c r="B10" i="5"/>
  <c r="D10" i="5" s="1"/>
  <c r="C11" i="5" l="1"/>
  <c r="E11" i="5" s="1"/>
  <c r="B11" i="5"/>
  <c r="D11" i="5" s="1"/>
  <c r="A12" i="5"/>
  <c r="A13" i="5" l="1"/>
  <c r="B12" i="5"/>
  <c r="D12" i="5" s="1"/>
  <c r="C12" i="5"/>
  <c r="E12" i="5" s="1"/>
  <c r="A14" i="5" l="1"/>
  <c r="C13" i="5"/>
  <c r="E13" i="5" s="1"/>
  <c r="B13" i="5"/>
  <c r="D13" i="5" s="1"/>
  <c r="C14" i="5" l="1"/>
  <c r="E14" i="5" s="1"/>
  <c r="B14" i="5"/>
  <c r="D14" i="5" s="1"/>
  <c r="A15" i="5"/>
  <c r="A16" i="5" l="1"/>
  <c r="C15" i="5"/>
  <c r="E15" i="5" s="1"/>
  <c r="B15" i="5"/>
  <c r="D15" i="5" s="1"/>
  <c r="B16" i="5" l="1"/>
  <c r="D16" i="5" s="1"/>
  <c r="A17" i="5"/>
  <c r="C16" i="5"/>
  <c r="E16" i="5" s="1"/>
  <c r="C17" i="5" l="1"/>
  <c r="E17" i="5" s="1"/>
  <c r="A18" i="5"/>
  <c r="B17" i="5"/>
  <c r="D17" i="5" s="1"/>
  <c r="A19" i="5" l="1"/>
  <c r="C18" i="5"/>
  <c r="E18" i="5" s="1"/>
  <c r="B18" i="5"/>
  <c r="D18" i="5" s="1"/>
  <c r="C19" i="5" l="1"/>
  <c r="E19" i="5" s="1"/>
  <c r="B19" i="5"/>
  <c r="D19" i="5" s="1"/>
  <c r="A20" i="5"/>
  <c r="A21" i="5" l="1"/>
  <c r="B20" i="5"/>
  <c r="D20" i="5" s="1"/>
  <c r="C20" i="5"/>
  <c r="E20" i="5" s="1"/>
  <c r="A22" i="5" l="1"/>
  <c r="C21" i="5"/>
  <c r="E21" i="5" s="1"/>
  <c r="B21" i="5"/>
  <c r="D21" i="5" s="1"/>
  <c r="C22" i="5" l="1"/>
  <c r="E22" i="5" s="1"/>
  <c r="B22" i="5"/>
  <c r="D22" i="5" s="1"/>
  <c r="A23" i="5"/>
  <c r="A24" i="5" l="1"/>
  <c r="C23" i="5"/>
  <c r="E23" i="5" s="1"/>
  <c r="B23" i="5"/>
  <c r="D23" i="5" s="1"/>
  <c r="B24" i="5" l="1"/>
  <c r="D24" i="5" s="1"/>
  <c r="A25" i="5"/>
  <c r="C24" i="5"/>
  <c r="E24" i="5" s="1"/>
  <c r="C25" i="5" l="1"/>
  <c r="E25" i="5" s="1"/>
  <c r="A26" i="5"/>
  <c r="B25" i="5"/>
  <c r="D25" i="5" s="1"/>
  <c r="A27" i="5" l="1"/>
  <c r="C26" i="5"/>
  <c r="E26" i="5" s="1"/>
  <c r="B26" i="5"/>
  <c r="D26" i="5" s="1"/>
  <c r="C27" i="5" l="1"/>
  <c r="E27" i="5" s="1"/>
  <c r="B27" i="5"/>
  <c r="D27" i="5" s="1"/>
  <c r="A28" i="5"/>
  <c r="A29" i="5" l="1"/>
  <c r="B28" i="5"/>
  <c r="D28" i="5" s="1"/>
  <c r="C28" i="5"/>
  <c r="E28" i="5" s="1"/>
  <c r="B29" i="5" l="1"/>
  <c r="D29" i="5" s="1"/>
  <c r="A30" i="5"/>
  <c r="C29" i="5"/>
  <c r="E29" i="5" s="1"/>
  <c r="C30" i="5" l="1"/>
  <c r="E30" i="5" s="1"/>
  <c r="B30" i="5"/>
  <c r="D30" i="5" s="1"/>
  <c r="A31" i="5"/>
  <c r="A32" i="5" l="1"/>
  <c r="C31" i="5"/>
  <c r="E31" i="5" s="1"/>
  <c r="B31" i="5"/>
  <c r="D31" i="5" s="1"/>
  <c r="B32" i="5" l="1"/>
  <c r="D32" i="5" s="1"/>
  <c r="A33" i="5"/>
  <c r="C32" i="5"/>
  <c r="E32" i="5" s="1"/>
  <c r="A34" i="5" l="1"/>
  <c r="C33" i="5"/>
  <c r="E33" i="5" s="1"/>
  <c r="B33" i="5"/>
  <c r="D33" i="5" s="1"/>
  <c r="C34" i="5" l="1"/>
  <c r="E34" i="5" s="1"/>
  <c r="B34" i="5"/>
  <c r="D34" i="5" s="1"/>
  <c r="A35" i="5"/>
  <c r="A36" i="5" l="1"/>
  <c r="C35" i="5"/>
  <c r="E35" i="5" s="1"/>
  <c r="B35" i="5"/>
  <c r="D35" i="5" s="1"/>
  <c r="A37" i="5" l="1"/>
  <c r="C36" i="5"/>
  <c r="E36" i="5" s="1"/>
  <c r="B36" i="5"/>
  <c r="D36" i="5" s="1"/>
  <c r="C37" i="5" l="1"/>
  <c r="E37" i="5" s="1"/>
  <c r="B37" i="5"/>
  <c r="D37" i="5" s="1"/>
  <c r="A38" i="5"/>
  <c r="A39" i="5" l="1"/>
  <c r="C38" i="5"/>
  <c r="E38" i="5" s="1"/>
  <c r="B38" i="5"/>
  <c r="D38" i="5" s="1"/>
  <c r="B39" i="5" l="1"/>
  <c r="D39" i="5" s="1"/>
  <c r="A40" i="5"/>
  <c r="C39" i="5"/>
  <c r="E39" i="5" s="1"/>
  <c r="C40" i="5" l="1"/>
  <c r="E40" i="5" s="1"/>
  <c r="B40" i="5"/>
  <c r="D40" i="5" s="1"/>
  <c r="A41" i="5"/>
  <c r="A42" i="5" l="1"/>
  <c r="C41" i="5"/>
  <c r="E41" i="5" s="1"/>
  <c r="B41" i="5"/>
  <c r="D41" i="5" s="1"/>
  <c r="C42" i="5" l="1"/>
  <c r="E42" i="5" s="1"/>
  <c r="B42" i="5"/>
  <c r="D42" i="5" s="1"/>
  <c r="A43" i="5"/>
  <c r="A44" i="5" l="1"/>
  <c r="C43" i="5"/>
  <c r="E43" i="5" s="1"/>
  <c r="B43" i="5"/>
  <c r="D43" i="5" s="1"/>
  <c r="A45" i="5" l="1"/>
  <c r="C44" i="5"/>
  <c r="E44" i="5" s="1"/>
  <c r="B44" i="5"/>
  <c r="D44" i="5" s="1"/>
  <c r="C45" i="5" l="1"/>
  <c r="E45" i="5" s="1"/>
  <c r="B45" i="5"/>
  <c r="D45" i="5" s="1"/>
  <c r="A46" i="5"/>
  <c r="A47" i="5" l="1"/>
  <c r="C46" i="5"/>
  <c r="E46" i="5" s="1"/>
  <c r="B46" i="5"/>
  <c r="D46" i="5" s="1"/>
  <c r="B47" i="5" l="1"/>
  <c r="D47" i="5" s="1"/>
  <c r="A48" i="5"/>
  <c r="C47" i="5"/>
  <c r="E47" i="5" s="1"/>
  <c r="C48" i="5" l="1"/>
  <c r="E48" i="5" s="1"/>
  <c r="B48" i="5"/>
  <c r="D48" i="5" s="1"/>
  <c r="A49" i="5"/>
  <c r="A50" i="5" l="1"/>
  <c r="C49" i="5"/>
  <c r="E49" i="5" s="1"/>
  <c r="B49" i="5"/>
  <c r="D49" i="5" s="1"/>
  <c r="C50" i="5" l="1"/>
  <c r="E50" i="5" s="1"/>
  <c r="B50" i="5"/>
  <c r="D50" i="5" s="1"/>
  <c r="A51" i="5"/>
  <c r="A52" i="5" l="1"/>
  <c r="C51" i="5"/>
  <c r="E51" i="5" s="1"/>
  <c r="B51" i="5"/>
  <c r="D51" i="5" s="1"/>
  <c r="A53" i="5" l="1"/>
  <c r="C52" i="5"/>
  <c r="E52" i="5" s="1"/>
  <c r="B52" i="5"/>
  <c r="D52" i="5" s="1"/>
  <c r="C53" i="5" l="1"/>
  <c r="E53" i="5" s="1"/>
  <c r="B53" i="5"/>
  <c r="D53" i="5" s="1"/>
  <c r="A54" i="5"/>
  <c r="A55" i="5" l="1"/>
  <c r="C54" i="5"/>
  <c r="E54" i="5" s="1"/>
  <c r="B54" i="5"/>
  <c r="D54" i="5" s="1"/>
  <c r="B55" i="5" l="1"/>
  <c r="D55" i="5" s="1"/>
  <c r="A56" i="5"/>
  <c r="C55" i="5"/>
  <c r="E55" i="5" s="1"/>
  <c r="C56" i="5" l="1"/>
  <c r="E56" i="5" s="1"/>
  <c r="B56" i="5"/>
  <c r="D56" i="5" s="1"/>
  <c r="A57" i="5"/>
  <c r="A58" i="5" l="1"/>
  <c r="C57" i="5"/>
  <c r="E57" i="5" s="1"/>
  <c r="B57" i="5"/>
  <c r="D57" i="5" s="1"/>
  <c r="C58" i="5" l="1"/>
  <c r="E58" i="5" s="1"/>
  <c r="B58" i="5"/>
  <c r="D58" i="5" s="1"/>
  <c r="A59" i="5"/>
  <c r="A60" i="5" l="1"/>
  <c r="C59" i="5"/>
  <c r="E59" i="5" s="1"/>
  <c r="B59" i="5"/>
  <c r="D59" i="5" s="1"/>
  <c r="A61" i="5" l="1"/>
  <c r="C60" i="5"/>
  <c r="E60" i="5" s="1"/>
  <c r="B60" i="5"/>
  <c r="D60" i="5" s="1"/>
  <c r="C61" i="5" l="1"/>
  <c r="E61" i="5" s="1"/>
  <c r="B61" i="5"/>
  <c r="D61" i="5" s="1"/>
  <c r="A62" i="5"/>
  <c r="C62" i="5" l="1"/>
  <c r="B62" i="5"/>
  <c r="B63" i="5" s="1"/>
  <c r="C63" i="5" l="1"/>
  <c r="L3" i="5"/>
  <c r="M3" i="5" s="1"/>
  <c r="L9" i="5"/>
  <c r="M9" i="5" s="1"/>
  <c r="O9" i="5" s="1"/>
  <c r="L5" i="5"/>
  <c r="M5" i="5" s="1"/>
  <c r="O5" i="5" s="1"/>
  <c r="L8" i="5"/>
  <c r="M8" i="5" s="1"/>
  <c r="O8" i="5" s="1"/>
  <c r="L6" i="5"/>
  <c r="M6" i="5" s="1"/>
  <c r="O6" i="5" s="1"/>
  <c r="L4" i="5"/>
  <c r="M4" i="5" s="1"/>
  <c r="O4" i="5" s="1"/>
  <c r="L7" i="5"/>
  <c r="M7" i="5" s="1"/>
  <c r="O7" i="5" s="1"/>
  <c r="D62" i="5"/>
  <c r="E62" i="5"/>
  <c r="O3" i="5" l="1"/>
  <c r="O10" i="5" s="1"/>
  <c r="M10" i="5"/>
</calcChain>
</file>

<file path=xl/sharedStrings.xml><?xml version="1.0" encoding="utf-8"?>
<sst xmlns="http://schemas.openxmlformats.org/spreadsheetml/2006/main" count="544" uniqueCount="60">
  <si>
    <t>年月</t>
  </si>
  <si>
    <t>資産クラス</t>
  </si>
  <si>
    <t>簿価</t>
  </si>
  <si>
    <t>時価</t>
  </si>
  <si>
    <t>インカム収益額</t>
  </si>
  <si>
    <t>キャピタル収益額</t>
  </si>
  <si>
    <t>【入力用】</t>
  </si>
  <si>
    <t>ベンチマーク名</t>
  </si>
  <si>
    <t>月次リターン (%)</t>
  </si>
  <si>
    <t>基準配分比率 (%)</t>
  </si>
  <si>
    <t>対応ベンチマーク名</t>
  </si>
  <si>
    <t>インカム</t>
  </si>
  <si>
    <t>キャピタル</t>
  </si>
  <si>
    <t>前月年月</t>
  </si>
  <si>
    <t>前月時価</t>
  </si>
  <si>
    <t>前月簿価</t>
  </si>
  <si>
    <t>当月評価損益</t>
  </si>
  <si>
    <t>前月評価損益</t>
  </si>
  <si>
    <t>評価損益変動</t>
  </si>
  <si>
    <t>トータル収益額</t>
  </si>
  <si>
    <t>逆算CF</t>
  </si>
  <si>
    <t>平均投資元本</t>
  </si>
  <si>
    <t>月次リターン(Rp)</t>
  </si>
  <si>
    <t>BM名</t>
  </si>
  <si>
    <t>基準配分(Wb)</t>
  </si>
  <si>
    <t>BMリターン(Rb)</t>
  </si>
  <si>
    <t>全体の前月時価(月)</t>
  </si>
  <si>
    <t>実際配分(Wp)</t>
  </si>
  <si>
    <t>Rp_weighted</t>
  </si>
  <si>
    <t>Rb_weighted_policy</t>
  </si>
  <si>
    <t>月次・累積リターン（グラフ元）</t>
  </si>
  <si>
    <t>ブリンソン分解（算術平均ベース）</t>
  </si>
  <si>
    <t>月次Rp(全体)</t>
  </si>
  <si>
    <t>月次Rb(全体)</t>
  </si>
  <si>
    <t>累積Rp(全体)</t>
  </si>
  <si>
    <t>累積Rb(全体)</t>
  </si>
  <si>
    <t>Wp_avg (実際配分)</t>
  </si>
  <si>
    <t>Wb_avg (基準配分)</t>
  </si>
  <si>
    <t>Rp_avg (実績リターン)</t>
  </si>
  <si>
    <t>Rb_avg (BMリターン)</t>
  </si>
  <si>
    <t>R_total (全体BMリターン)</t>
  </si>
  <si>
    <t>資産配分効果(AA)</t>
  </si>
  <si>
    <t>銘柄選択効果(SS)</t>
  </si>
  <si>
    <t>トータル効果</t>
  </si>
  <si>
    <t>合計</t>
  </si>
  <si>
    <t>国内債券（固定金利・国債中心）</t>
  </si>
  <si>
    <t>国内債券（変動/ASW）</t>
  </si>
  <si>
    <t>外国債券（為替ヘッジ有・固定）</t>
  </si>
  <si>
    <t>国内株式（純投資）</t>
  </si>
  <si>
    <t>不動産（J-REIT含む）</t>
  </si>
  <si>
    <t>マルチアセット・その他投信</t>
  </si>
  <si>
    <t>（参考）政策保有株式</t>
  </si>
  <si>
    <t>NOMURA-BPI総合</t>
  </si>
  <si>
    <t>TONA複利</t>
  </si>
  <si>
    <t>FTSE世界国債（除日、円H）</t>
  </si>
  <si>
    <t>TOPIX（配当込み）</t>
  </si>
  <si>
    <t>東証REIT指数（配当込み）</t>
  </si>
  <si>
    <t>バランス型指数</t>
  </si>
  <si>
    <t>【入力用】注意: 評価対象資産の「基準配分比率 (%)」の合計が100%になるよう調整</t>
    <phoneticPr fontId="5"/>
  </si>
  <si>
    <t>【入力用】ここにサンプルデータと同様の形式でデータを貼り付け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</si>
</sst>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%"/>
  </numFmts>
  <fonts count="7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i/>
      <sz val="11"/>
      <color rgb="FFFF000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38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/>
    <xf numFmtId="14" fontId="0" fillId="0" borderId="0" xfId="0" applyNumberFormat="1"/>
    <xf numFmtId="181" fontId="0" fillId="0" borderId="0" xfId="2" applyNumberFormat="1" applyFont="1" applyAlignment="1"/>
    <xf numFmtId="0" fontId="6" fillId="0" borderId="0" xfId="0" applyFont="1"/>
    <xf numFmtId="1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/>
    <xf numFmtId="14" fontId="0" fillId="0" borderId="0" xfId="0" applyNumberFormat="1" applyAlignment="1"/>
    <xf numFmtId="38" fontId="0" fillId="0" borderId="0" xfId="1" applyFont="1" applyAlignment="1"/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1"/>
  <sheetViews>
    <sheetView workbookViewId="0">
      <pane ySplit="2" topLeftCell="A3" activePane="bottomLeft" state="frozen"/>
      <selection pane="bottomLeft" activeCell="A2" sqref="A2"/>
    </sheetView>
  </sheetViews>
  <sheetFormatPr defaultRowHeight="13" x14ac:dyDescent="0.2"/>
  <cols>
    <col min="1" max="1" width="12" style="4" customWidth="1"/>
    <col min="2" max="2" width="30" customWidth="1"/>
    <col min="3" max="6" width="15" customWidth="1"/>
  </cols>
  <sheetData>
    <row r="1" spans="1:6" x14ac:dyDescent="0.2">
      <c r="A1" s="9" t="s">
        <v>59</v>
      </c>
      <c r="B1" s="8"/>
      <c r="C1" s="8"/>
      <c r="D1" s="8"/>
      <c r="E1" s="8"/>
      <c r="F1" s="8"/>
    </row>
    <row r="2" spans="1:6" ht="30" customHeight="1" x14ac:dyDescent="0.2">
      <c r="A2" s="7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4">
        <v>44651</v>
      </c>
      <c r="B3" t="s">
        <v>45</v>
      </c>
      <c r="C3">
        <v>49000</v>
      </c>
      <c r="D3">
        <v>50185.06</v>
      </c>
      <c r="E3">
        <v>0</v>
      </c>
      <c r="F3">
        <v>0</v>
      </c>
    </row>
    <row r="4" spans="1:6" x14ac:dyDescent="0.2">
      <c r="A4" s="4">
        <v>44681</v>
      </c>
      <c r="B4" t="s">
        <v>45</v>
      </c>
      <c r="C4">
        <v>49408.68</v>
      </c>
      <c r="D4">
        <v>50595.51</v>
      </c>
      <c r="E4">
        <v>37.950000000000003</v>
      </c>
      <c r="F4">
        <v>0</v>
      </c>
    </row>
    <row r="5" spans="1:6" x14ac:dyDescent="0.2">
      <c r="A5" s="4">
        <v>44712</v>
      </c>
      <c r="B5" t="s">
        <v>45</v>
      </c>
      <c r="C5">
        <v>49634.19</v>
      </c>
      <c r="D5">
        <v>51310.25</v>
      </c>
      <c r="E5">
        <v>38.119999999999997</v>
      </c>
      <c r="F5">
        <v>0</v>
      </c>
    </row>
    <row r="6" spans="1:6" x14ac:dyDescent="0.2">
      <c r="A6" s="4">
        <v>44742</v>
      </c>
      <c r="B6" t="s">
        <v>45</v>
      </c>
      <c r="C6">
        <v>49478.82</v>
      </c>
      <c r="D6">
        <v>51495.96</v>
      </c>
      <c r="E6">
        <v>38.369999999999997</v>
      </c>
      <c r="F6">
        <v>0</v>
      </c>
    </row>
    <row r="7" spans="1:6" x14ac:dyDescent="0.2">
      <c r="A7" s="4">
        <v>44773</v>
      </c>
      <c r="B7" t="s">
        <v>45</v>
      </c>
      <c r="C7">
        <v>49270.41</v>
      </c>
      <c r="D7">
        <v>51490.95</v>
      </c>
      <c r="E7">
        <v>38.47</v>
      </c>
      <c r="F7">
        <v>0</v>
      </c>
    </row>
    <row r="8" spans="1:6" x14ac:dyDescent="0.2">
      <c r="A8" s="4">
        <v>44804</v>
      </c>
      <c r="B8" t="s">
        <v>45</v>
      </c>
      <c r="C8">
        <v>48468.05</v>
      </c>
      <c r="D8">
        <v>50460.39</v>
      </c>
      <c r="E8">
        <v>38.020000000000003</v>
      </c>
      <c r="F8">
        <v>0</v>
      </c>
    </row>
    <row r="9" spans="1:6" x14ac:dyDescent="0.2">
      <c r="A9" s="4">
        <v>44834</v>
      </c>
      <c r="B9" t="s">
        <v>45</v>
      </c>
      <c r="C9">
        <v>48336.160000000003</v>
      </c>
      <c r="D9">
        <v>50207.06</v>
      </c>
      <c r="E9">
        <v>37.75</v>
      </c>
      <c r="F9">
        <v>0</v>
      </c>
    </row>
    <row r="10" spans="1:6" x14ac:dyDescent="0.2">
      <c r="A10" s="4">
        <v>44865</v>
      </c>
      <c r="B10" t="s">
        <v>45</v>
      </c>
      <c r="C10">
        <v>49155.7</v>
      </c>
      <c r="D10">
        <v>50850.400000000001</v>
      </c>
      <c r="E10">
        <v>38.270000000000003</v>
      </c>
      <c r="F10">
        <v>0</v>
      </c>
    </row>
    <row r="11" spans="1:6" x14ac:dyDescent="0.2">
      <c r="A11" s="4">
        <v>44895</v>
      </c>
      <c r="B11" t="s">
        <v>45</v>
      </c>
      <c r="C11">
        <v>45487.76</v>
      </c>
      <c r="D11">
        <v>47169.79</v>
      </c>
      <c r="E11">
        <v>39.18</v>
      </c>
      <c r="F11">
        <v>-11.88</v>
      </c>
    </row>
    <row r="12" spans="1:6" x14ac:dyDescent="0.2">
      <c r="A12" s="4">
        <v>44926</v>
      </c>
      <c r="B12" t="s">
        <v>45</v>
      </c>
      <c r="C12">
        <v>45023.46</v>
      </c>
      <c r="D12">
        <v>46850.71</v>
      </c>
      <c r="E12">
        <v>35.03</v>
      </c>
      <c r="F12">
        <v>0</v>
      </c>
    </row>
    <row r="13" spans="1:6" x14ac:dyDescent="0.2">
      <c r="A13" s="4">
        <v>44957</v>
      </c>
      <c r="B13" t="s">
        <v>45</v>
      </c>
      <c r="C13">
        <v>44820.32</v>
      </c>
      <c r="D13">
        <v>46787.63</v>
      </c>
      <c r="E13">
        <v>34.99</v>
      </c>
      <c r="F13">
        <v>0</v>
      </c>
    </row>
    <row r="14" spans="1:6" x14ac:dyDescent="0.2">
      <c r="A14" s="4">
        <v>44985</v>
      </c>
      <c r="B14" t="s">
        <v>45</v>
      </c>
      <c r="C14">
        <v>44616.77</v>
      </c>
      <c r="D14">
        <v>46877.72</v>
      </c>
      <c r="E14">
        <v>34.94</v>
      </c>
      <c r="F14">
        <v>0</v>
      </c>
    </row>
    <row r="15" spans="1:6" x14ac:dyDescent="0.2">
      <c r="A15" s="4">
        <v>45016</v>
      </c>
      <c r="B15" t="s">
        <v>45</v>
      </c>
      <c r="C15">
        <v>44444.74</v>
      </c>
      <c r="D15">
        <v>47244.09</v>
      </c>
      <c r="E15">
        <v>35.03</v>
      </c>
      <c r="F15">
        <v>0</v>
      </c>
    </row>
    <row r="16" spans="1:6" x14ac:dyDescent="0.2">
      <c r="A16" s="4">
        <v>45046</v>
      </c>
      <c r="B16" t="s">
        <v>45</v>
      </c>
      <c r="C16">
        <v>44912.08</v>
      </c>
      <c r="D16">
        <v>47749.67</v>
      </c>
      <c r="E16">
        <v>35.78</v>
      </c>
      <c r="F16">
        <v>0</v>
      </c>
    </row>
    <row r="17" spans="1:6" x14ac:dyDescent="0.2">
      <c r="A17" s="4">
        <v>45077</v>
      </c>
      <c r="B17" t="s">
        <v>45</v>
      </c>
      <c r="C17">
        <v>46318.3</v>
      </c>
      <c r="D17">
        <v>48850.37</v>
      </c>
      <c r="E17">
        <v>36.869999999999997</v>
      </c>
      <c r="F17">
        <v>0</v>
      </c>
    </row>
    <row r="18" spans="1:6" x14ac:dyDescent="0.2">
      <c r="A18" s="4">
        <v>45107</v>
      </c>
      <c r="B18" t="s">
        <v>45</v>
      </c>
      <c r="C18">
        <v>46760.46</v>
      </c>
      <c r="D18">
        <v>49673.31</v>
      </c>
      <c r="E18">
        <v>36.97</v>
      </c>
      <c r="F18">
        <v>0</v>
      </c>
    </row>
    <row r="19" spans="1:6" x14ac:dyDescent="0.2">
      <c r="A19" s="4">
        <v>45138</v>
      </c>
      <c r="B19" t="s">
        <v>45</v>
      </c>
      <c r="C19">
        <v>46342.01</v>
      </c>
      <c r="D19">
        <v>49344.63</v>
      </c>
      <c r="E19">
        <v>36.94</v>
      </c>
      <c r="F19">
        <v>0</v>
      </c>
    </row>
    <row r="20" spans="1:6" x14ac:dyDescent="0.2">
      <c r="A20" s="4">
        <v>45169</v>
      </c>
      <c r="B20" t="s">
        <v>45</v>
      </c>
      <c r="C20">
        <v>46196.95</v>
      </c>
      <c r="D20">
        <v>48790.83</v>
      </c>
      <c r="E20">
        <v>36.9</v>
      </c>
      <c r="F20">
        <v>0</v>
      </c>
    </row>
    <row r="21" spans="1:6" x14ac:dyDescent="0.2">
      <c r="A21" s="4">
        <v>45199</v>
      </c>
      <c r="B21" t="s">
        <v>45</v>
      </c>
      <c r="C21">
        <v>45726.66</v>
      </c>
      <c r="D21">
        <v>48655.72</v>
      </c>
      <c r="E21">
        <v>36.24</v>
      </c>
      <c r="F21">
        <v>0</v>
      </c>
    </row>
    <row r="22" spans="1:6" x14ac:dyDescent="0.2">
      <c r="A22" s="4">
        <v>45230</v>
      </c>
      <c r="B22" t="s">
        <v>45</v>
      </c>
      <c r="C22">
        <v>40930.550000000003</v>
      </c>
      <c r="D22">
        <v>43900.93</v>
      </c>
      <c r="E22">
        <v>36.31</v>
      </c>
      <c r="F22">
        <v>36.6</v>
      </c>
    </row>
    <row r="23" spans="1:6" x14ac:dyDescent="0.2">
      <c r="A23" s="4">
        <v>45260</v>
      </c>
      <c r="B23" t="s">
        <v>45</v>
      </c>
      <c r="C23">
        <v>41259.279999999999</v>
      </c>
      <c r="D23">
        <v>44422.71</v>
      </c>
      <c r="E23">
        <v>33.17</v>
      </c>
      <c r="F23">
        <v>0</v>
      </c>
    </row>
    <row r="24" spans="1:6" x14ac:dyDescent="0.2">
      <c r="A24" s="4">
        <v>45291</v>
      </c>
      <c r="B24" t="s">
        <v>45</v>
      </c>
      <c r="C24">
        <v>40960.51</v>
      </c>
      <c r="D24">
        <v>44386.86</v>
      </c>
      <c r="E24">
        <v>33.090000000000003</v>
      </c>
      <c r="F24">
        <v>0</v>
      </c>
    </row>
    <row r="25" spans="1:6" x14ac:dyDescent="0.2">
      <c r="A25" s="4">
        <v>45322</v>
      </c>
      <c r="B25" t="s">
        <v>45</v>
      </c>
      <c r="C25">
        <v>40365.07</v>
      </c>
      <c r="D25">
        <v>43749.74</v>
      </c>
      <c r="E25">
        <v>32.840000000000003</v>
      </c>
      <c r="F25">
        <v>0</v>
      </c>
    </row>
    <row r="26" spans="1:6" x14ac:dyDescent="0.2">
      <c r="A26" s="4">
        <v>45351</v>
      </c>
      <c r="B26" t="s">
        <v>45</v>
      </c>
      <c r="C26">
        <v>39953.97</v>
      </c>
      <c r="D26">
        <v>43649.9</v>
      </c>
      <c r="E26">
        <v>32.5</v>
      </c>
      <c r="F26">
        <v>0</v>
      </c>
    </row>
    <row r="27" spans="1:6" x14ac:dyDescent="0.2">
      <c r="A27" s="4">
        <v>45382</v>
      </c>
      <c r="B27" t="s">
        <v>45</v>
      </c>
      <c r="C27">
        <v>40391.1</v>
      </c>
      <c r="D27">
        <v>43819.3</v>
      </c>
      <c r="E27">
        <v>33.07</v>
      </c>
      <c r="F27">
        <v>0</v>
      </c>
    </row>
    <row r="28" spans="1:6" x14ac:dyDescent="0.2">
      <c r="A28" s="4">
        <v>45412</v>
      </c>
      <c r="B28" t="s">
        <v>45</v>
      </c>
      <c r="C28">
        <v>40622.6</v>
      </c>
      <c r="D28">
        <v>44162.93</v>
      </c>
      <c r="E28">
        <v>33.04</v>
      </c>
      <c r="F28">
        <v>0</v>
      </c>
    </row>
    <row r="29" spans="1:6" x14ac:dyDescent="0.2">
      <c r="A29" s="4">
        <v>45443</v>
      </c>
      <c r="B29" t="s">
        <v>45</v>
      </c>
      <c r="C29">
        <v>41356.629999999997</v>
      </c>
      <c r="D29">
        <v>44767.15</v>
      </c>
      <c r="E29">
        <v>33.67</v>
      </c>
      <c r="F29">
        <v>0</v>
      </c>
    </row>
    <row r="30" spans="1:6" x14ac:dyDescent="0.2">
      <c r="A30" s="4">
        <v>45473</v>
      </c>
      <c r="B30" t="s">
        <v>45</v>
      </c>
      <c r="C30">
        <v>36232.61</v>
      </c>
      <c r="D30">
        <v>39708.71</v>
      </c>
      <c r="E30">
        <v>32.75</v>
      </c>
      <c r="F30">
        <v>56.08</v>
      </c>
    </row>
    <row r="31" spans="1:6" x14ac:dyDescent="0.2">
      <c r="A31" s="4">
        <v>45504</v>
      </c>
      <c r="B31" t="s">
        <v>45</v>
      </c>
      <c r="C31">
        <v>35735.43</v>
      </c>
      <c r="D31">
        <v>39430.269999999997</v>
      </c>
      <c r="E31">
        <v>29.41</v>
      </c>
      <c r="F31">
        <v>0</v>
      </c>
    </row>
    <row r="32" spans="1:6" x14ac:dyDescent="0.2">
      <c r="A32" s="4">
        <v>45535</v>
      </c>
      <c r="B32" t="s">
        <v>45</v>
      </c>
      <c r="C32">
        <v>35714.53</v>
      </c>
      <c r="D32">
        <v>39679.410000000003</v>
      </c>
      <c r="E32">
        <v>29.56</v>
      </c>
      <c r="F32">
        <v>0</v>
      </c>
    </row>
    <row r="33" spans="1:6" x14ac:dyDescent="0.2">
      <c r="A33" s="4">
        <v>45565</v>
      </c>
      <c r="B33" t="s">
        <v>45</v>
      </c>
      <c r="C33">
        <v>35467.49</v>
      </c>
      <c r="D33">
        <v>39546.53</v>
      </c>
      <c r="E33">
        <v>29.57</v>
      </c>
      <c r="F33">
        <v>0</v>
      </c>
    </row>
    <row r="34" spans="1:6" x14ac:dyDescent="0.2">
      <c r="A34" s="4">
        <v>45596</v>
      </c>
      <c r="B34" t="s">
        <v>45</v>
      </c>
      <c r="C34">
        <v>35213.67</v>
      </c>
      <c r="D34">
        <v>39494.17</v>
      </c>
      <c r="E34">
        <v>29.47</v>
      </c>
      <c r="F34">
        <v>0</v>
      </c>
    </row>
    <row r="35" spans="1:6" x14ac:dyDescent="0.2">
      <c r="A35" s="4">
        <v>45626</v>
      </c>
      <c r="B35" t="s">
        <v>45</v>
      </c>
      <c r="C35">
        <v>35477.53</v>
      </c>
      <c r="D35">
        <v>39675.99</v>
      </c>
      <c r="E35">
        <v>29.82</v>
      </c>
      <c r="F35">
        <v>0</v>
      </c>
    </row>
    <row r="36" spans="1:6" x14ac:dyDescent="0.2">
      <c r="A36" s="4">
        <v>45657</v>
      </c>
      <c r="B36" t="s">
        <v>45</v>
      </c>
      <c r="C36">
        <v>35333.47</v>
      </c>
      <c r="D36">
        <v>39829.21</v>
      </c>
      <c r="E36">
        <v>29.65</v>
      </c>
      <c r="F36">
        <v>0</v>
      </c>
    </row>
    <row r="37" spans="1:6" x14ac:dyDescent="0.2">
      <c r="A37" s="4">
        <v>45688</v>
      </c>
      <c r="B37" t="s">
        <v>45</v>
      </c>
      <c r="C37">
        <v>35946.26</v>
      </c>
      <c r="D37">
        <v>40595.54</v>
      </c>
      <c r="E37">
        <v>30.33</v>
      </c>
      <c r="F37">
        <v>0</v>
      </c>
    </row>
    <row r="38" spans="1:6" x14ac:dyDescent="0.2">
      <c r="A38" s="4">
        <v>45716</v>
      </c>
      <c r="B38" t="s">
        <v>45</v>
      </c>
      <c r="C38">
        <v>35728.910000000003</v>
      </c>
      <c r="D38">
        <v>40452.769999999997</v>
      </c>
      <c r="E38">
        <v>30.28</v>
      </c>
      <c r="F38">
        <v>0</v>
      </c>
    </row>
    <row r="39" spans="1:6" x14ac:dyDescent="0.2">
      <c r="A39" s="4">
        <v>45747</v>
      </c>
      <c r="B39" t="s">
        <v>45</v>
      </c>
      <c r="C39">
        <v>36311.589999999997</v>
      </c>
      <c r="D39">
        <v>40992.019999999997</v>
      </c>
      <c r="E39">
        <v>30.78</v>
      </c>
      <c r="F39">
        <v>0</v>
      </c>
    </row>
    <row r="40" spans="1:6" x14ac:dyDescent="0.2">
      <c r="A40" s="4">
        <v>44651</v>
      </c>
      <c r="B40" t="s">
        <v>46</v>
      </c>
      <c r="C40">
        <v>19600</v>
      </c>
      <c r="D40">
        <v>20016.57</v>
      </c>
      <c r="E40">
        <v>0</v>
      </c>
      <c r="F40">
        <v>0</v>
      </c>
    </row>
    <row r="41" spans="1:6" x14ac:dyDescent="0.2">
      <c r="A41" s="4">
        <v>44681</v>
      </c>
      <c r="B41" t="s">
        <v>46</v>
      </c>
      <c r="C41">
        <v>19569.72</v>
      </c>
      <c r="D41">
        <v>20011.43</v>
      </c>
      <c r="E41">
        <v>24.98</v>
      </c>
      <c r="F41">
        <v>0</v>
      </c>
    </row>
    <row r="42" spans="1:6" x14ac:dyDescent="0.2">
      <c r="A42" s="4">
        <v>44712</v>
      </c>
      <c r="B42" t="s">
        <v>46</v>
      </c>
      <c r="C42">
        <v>19528.54</v>
      </c>
      <c r="D42">
        <v>19983.8</v>
      </c>
      <c r="E42">
        <v>24.96</v>
      </c>
      <c r="F42">
        <v>0</v>
      </c>
    </row>
    <row r="43" spans="1:6" x14ac:dyDescent="0.2">
      <c r="A43" s="4">
        <v>44742</v>
      </c>
      <c r="B43" t="s">
        <v>46</v>
      </c>
      <c r="C43">
        <v>19625.939999999999</v>
      </c>
      <c r="D43">
        <v>20101.63</v>
      </c>
      <c r="E43">
        <v>25.1</v>
      </c>
      <c r="F43">
        <v>0</v>
      </c>
    </row>
    <row r="44" spans="1:6" x14ac:dyDescent="0.2">
      <c r="A44" s="4">
        <v>44773</v>
      </c>
      <c r="B44" t="s">
        <v>46</v>
      </c>
      <c r="C44">
        <v>19924.91</v>
      </c>
      <c r="D44">
        <v>20398.330000000002</v>
      </c>
      <c r="E44">
        <v>25.5</v>
      </c>
      <c r="F44">
        <v>0</v>
      </c>
    </row>
    <row r="45" spans="1:6" x14ac:dyDescent="0.2">
      <c r="A45" s="4">
        <v>44804</v>
      </c>
      <c r="B45" t="s">
        <v>46</v>
      </c>
      <c r="C45">
        <v>19936.5</v>
      </c>
      <c r="D45">
        <v>20378.91</v>
      </c>
      <c r="E45">
        <v>25.51</v>
      </c>
      <c r="F45">
        <v>0</v>
      </c>
    </row>
    <row r="46" spans="1:6" x14ac:dyDescent="0.2">
      <c r="A46" s="4">
        <v>44834</v>
      </c>
      <c r="B46" t="s">
        <v>46</v>
      </c>
      <c r="C46">
        <v>19865.32</v>
      </c>
      <c r="D46">
        <v>20336.11</v>
      </c>
      <c r="E46">
        <v>25.38</v>
      </c>
      <c r="F46">
        <v>0</v>
      </c>
    </row>
    <row r="47" spans="1:6" x14ac:dyDescent="0.2">
      <c r="A47" s="4">
        <v>44865</v>
      </c>
      <c r="B47" t="s">
        <v>46</v>
      </c>
      <c r="C47">
        <v>19943.59</v>
      </c>
      <c r="D47">
        <v>20434.23</v>
      </c>
      <c r="E47">
        <v>25.52</v>
      </c>
      <c r="F47">
        <v>0</v>
      </c>
    </row>
    <row r="48" spans="1:6" x14ac:dyDescent="0.2">
      <c r="A48" s="4">
        <v>44895</v>
      </c>
      <c r="B48" t="s">
        <v>46</v>
      </c>
      <c r="C48">
        <v>19959.11</v>
      </c>
      <c r="D48">
        <v>20485.349999999999</v>
      </c>
      <c r="E48">
        <v>25.56</v>
      </c>
      <c r="F48">
        <v>0</v>
      </c>
    </row>
    <row r="49" spans="1:6" x14ac:dyDescent="0.2">
      <c r="A49" s="4">
        <v>44926</v>
      </c>
      <c r="B49" t="s">
        <v>46</v>
      </c>
      <c r="C49">
        <v>20130.22</v>
      </c>
      <c r="D49">
        <v>20716.349999999999</v>
      </c>
      <c r="E49">
        <v>25.82</v>
      </c>
      <c r="F49">
        <v>0</v>
      </c>
    </row>
    <row r="50" spans="1:6" x14ac:dyDescent="0.2">
      <c r="A50" s="4">
        <v>44957</v>
      </c>
      <c r="B50" t="s">
        <v>46</v>
      </c>
      <c r="C50">
        <v>20434.2</v>
      </c>
      <c r="D50">
        <v>21022.28</v>
      </c>
      <c r="E50">
        <v>26.28</v>
      </c>
      <c r="F50">
        <v>0</v>
      </c>
    </row>
    <row r="51" spans="1:6" x14ac:dyDescent="0.2">
      <c r="A51" s="4">
        <v>44985</v>
      </c>
      <c r="B51" t="s">
        <v>46</v>
      </c>
      <c r="C51">
        <v>20912.2</v>
      </c>
      <c r="D51">
        <v>21545.37</v>
      </c>
      <c r="E51">
        <v>26.88</v>
      </c>
      <c r="F51">
        <v>0</v>
      </c>
    </row>
    <row r="52" spans="1:6" x14ac:dyDescent="0.2">
      <c r="A52" s="4">
        <v>45016</v>
      </c>
      <c r="B52" t="s">
        <v>46</v>
      </c>
      <c r="C52">
        <v>21129.05</v>
      </c>
      <c r="D52">
        <v>21773.919999999998</v>
      </c>
      <c r="E52">
        <v>27.2</v>
      </c>
      <c r="F52">
        <v>0</v>
      </c>
    </row>
    <row r="53" spans="1:6" x14ac:dyDescent="0.2">
      <c r="A53" s="4">
        <v>45046</v>
      </c>
      <c r="B53" t="s">
        <v>46</v>
      </c>
      <c r="C53">
        <v>21037.57</v>
      </c>
      <c r="D53">
        <v>21712.66</v>
      </c>
      <c r="E53">
        <v>27.1</v>
      </c>
      <c r="F53">
        <v>0</v>
      </c>
    </row>
    <row r="54" spans="1:6" x14ac:dyDescent="0.2">
      <c r="A54" s="4">
        <v>45077</v>
      </c>
      <c r="B54" t="s">
        <v>46</v>
      </c>
      <c r="C54">
        <v>20976.3</v>
      </c>
      <c r="D54">
        <v>21678.74</v>
      </c>
      <c r="E54">
        <v>27.06</v>
      </c>
      <c r="F54">
        <v>0</v>
      </c>
    </row>
    <row r="55" spans="1:6" x14ac:dyDescent="0.2">
      <c r="A55" s="4">
        <v>45107</v>
      </c>
      <c r="B55" t="s">
        <v>46</v>
      </c>
      <c r="C55">
        <v>21097.03</v>
      </c>
      <c r="D55">
        <v>21793.3</v>
      </c>
      <c r="E55">
        <v>27.25</v>
      </c>
      <c r="F55">
        <v>0</v>
      </c>
    </row>
    <row r="56" spans="1:6" x14ac:dyDescent="0.2">
      <c r="A56" s="4">
        <v>45138</v>
      </c>
      <c r="B56" t="s">
        <v>46</v>
      </c>
      <c r="C56">
        <v>21080.12</v>
      </c>
      <c r="D56">
        <v>21823.11</v>
      </c>
      <c r="E56">
        <v>27.22</v>
      </c>
      <c r="F56">
        <v>0</v>
      </c>
    </row>
    <row r="57" spans="1:6" x14ac:dyDescent="0.2">
      <c r="A57" s="4">
        <v>45169</v>
      </c>
      <c r="B57" t="s">
        <v>46</v>
      </c>
      <c r="C57">
        <v>21028.02</v>
      </c>
      <c r="D57">
        <v>21773.61</v>
      </c>
      <c r="E57">
        <v>27.21</v>
      </c>
      <c r="F57">
        <v>0</v>
      </c>
    </row>
    <row r="58" spans="1:6" x14ac:dyDescent="0.2">
      <c r="A58" s="4">
        <v>45199</v>
      </c>
      <c r="B58" t="s">
        <v>46</v>
      </c>
      <c r="C58">
        <v>21167.25</v>
      </c>
      <c r="D58">
        <v>21928.95</v>
      </c>
      <c r="E58">
        <v>27.39</v>
      </c>
      <c r="F58">
        <v>0</v>
      </c>
    </row>
    <row r="59" spans="1:6" x14ac:dyDescent="0.2">
      <c r="A59" s="4">
        <v>45230</v>
      </c>
      <c r="B59" t="s">
        <v>46</v>
      </c>
      <c r="C59">
        <v>21472.17</v>
      </c>
      <c r="D59">
        <v>22268.959999999999</v>
      </c>
      <c r="E59">
        <v>27.79</v>
      </c>
      <c r="F59">
        <v>0</v>
      </c>
    </row>
    <row r="60" spans="1:6" x14ac:dyDescent="0.2">
      <c r="A60" s="4">
        <v>45260</v>
      </c>
      <c r="B60" t="s">
        <v>46</v>
      </c>
      <c r="C60">
        <v>21444.880000000001</v>
      </c>
      <c r="D60">
        <v>22259.06</v>
      </c>
      <c r="E60">
        <v>27.8</v>
      </c>
      <c r="F60">
        <v>0</v>
      </c>
    </row>
    <row r="61" spans="1:6" x14ac:dyDescent="0.2">
      <c r="A61" s="4">
        <v>45291</v>
      </c>
      <c r="B61" t="s">
        <v>46</v>
      </c>
      <c r="C61">
        <v>21637.46</v>
      </c>
      <c r="D61">
        <v>22488.12</v>
      </c>
      <c r="E61">
        <v>28.06</v>
      </c>
      <c r="F61">
        <v>0</v>
      </c>
    </row>
    <row r="62" spans="1:6" x14ac:dyDescent="0.2">
      <c r="A62" s="4">
        <v>45322</v>
      </c>
      <c r="B62" t="s">
        <v>46</v>
      </c>
      <c r="C62">
        <v>21461.19</v>
      </c>
      <c r="D62">
        <v>22381.59</v>
      </c>
      <c r="E62">
        <v>27.89</v>
      </c>
      <c r="F62">
        <v>0</v>
      </c>
    </row>
    <row r="63" spans="1:6" x14ac:dyDescent="0.2">
      <c r="A63" s="4">
        <v>45351</v>
      </c>
      <c r="B63" t="s">
        <v>46</v>
      </c>
      <c r="C63">
        <v>21557.39</v>
      </c>
      <c r="D63">
        <v>22514.01</v>
      </c>
      <c r="E63">
        <v>28.1</v>
      </c>
      <c r="F63">
        <v>0</v>
      </c>
    </row>
    <row r="64" spans="1:6" x14ac:dyDescent="0.2">
      <c r="A64" s="4">
        <v>45382</v>
      </c>
      <c r="B64" t="s">
        <v>46</v>
      </c>
      <c r="C64">
        <v>19590.240000000002</v>
      </c>
      <c r="D64">
        <v>20565.53</v>
      </c>
      <c r="E64">
        <v>28.4</v>
      </c>
      <c r="F64">
        <v>17.16</v>
      </c>
    </row>
    <row r="65" spans="1:6" x14ac:dyDescent="0.2">
      <c r="A65" s="4">
        <v>45412</v>
      </c>
      <c r="B65" t="s">
        <v>46</v>
      </c>
      <c r="C65">
        <v>17514.419999999998</v>
      </c>
      <c r="D65">
        <v>18507.62</v>
      </c>
      <c r="E65">
        <v>25.54</v>
      </c>
      <c r="F65">
        <v>16.28</v>
      </c>
    </row>
    <row r="66" spans="1:6" x14ac:dyDescent="0.2">
      <c r="A66" s="4">
        <v>45443</v>
      </c>
      <c r="B66" t="s">
        <v>46</v>
      </c>
      <c r="C66">
        <v>17304.63</v>
      </c>
      <c r="D66">
        <v>18325.32</v>
      </c>
      <c r="E66">
        <v>22.87</v>
      </c>
      <c r="F66">
        <v>0</v>
      </c>
    </row>
    <row r="67" spans="1:6" x14ac:dyDescent="0.2">
      <c r="A67" s="4">
        <v>45473</v>
      </c>
      <c r="B67" t="s">
        <v>46</v>
      </c>
      <c r="C67">
        <v>17440.22</v>
      </c>
      <c r="D67">
        <v>18452.240000000002</v>
      </c>
      <c r="E67">
        <v>23.08</v>
      </c>
      <c r="F67">
        <v>0</v>
      </c>
    </row>
    <row r="68" spans="1:6" x14ac:dyDescent="0.2">
      <c r="A68" s="4">
        <v>45504</v>
      </c>
      <c r="B68" t="s">
        <v>46</v>
      </c>
      <c r="C68">
        <v>17247.009999999998</v>
      </c>
      <c r="D68">
        <v>18262.060000000001</v>
      </c>
      <c r="E68">
        <v>22.82</v>
      </c>
      <c r="F68">
        <v>0</v>
      </c>
    </row>
    <row r="69" spans="1:6" x14ac:dyDescent="0.2">
      <c r="A69" s="4">
        <v>45535</v>
      </c>
      <c r="B69" t="s">
        <v>46</v>
      </c>
      <c r="C69">
        <v>17337.61</v>
      </c>
      <c r="D69">
        <v>18401.12</v>
      </c>
      <c r="E69">
        <v>22.94</v>
      </c>
      <c r="F69">
        <v>0</v>
      </c>
    </row>
    <row r="70" spans="1:6" x14ac:dyDescent="0.2">
      <c r="A70" s="4">
        <v>45565</v>
      </c>
      <c r="B70" t="s">
        <v>46</v>
      </c>
      <c r="C70">
        <v>17379.78</v>
      </c>
      <c r="D70">
        <v>18443.25</v>
      </c>
      <c r="E70">
        <v>23.05</v>
      </c>
      <c r="F70">
        <v>0</v>
      </c>
    </row>
    <row r="71" spans="1:6" x14ac:dyDescent="0.2">
      <c r="A71" s="4">
        <v>45596</v>
      </c>
      <c r="B71" t="s">
        <v>46</v>
      </c>
      <c r="C71">
        <v>17244.689999999999</v>
      </c>
      <c r="D71">
        <v>18307.54</v>
      </c>
      <c r="E71">
        <v>22.89</v>
      </c>
      <c r="F71">
        <v>0</v>
      </c>
    </row>
    <row r="72" spans="1:6" x14ac:dyDescent="0.2">
      <c r="A72" s="4">
        <v>45626</v>
      </c>
      <c r="B72" t="s">
        <v>46</v>
      </c>
      <c r="C72">
        <v>17216.080000000002</v>
      </c>
      <c r="D72">
        <v>18324.96</v>
      </c>
      <c r="E72">
        <v>22.85</v>
      </c>
      <c r="F72">
        <v>0</v>
      </c>
    </row>
    <row r="73" spans="1:6" x14ac:dyDescent="0.2">
      <c r="A73" s="4">
        <v>45657</v>
      </c>
      <c r="B73" t="s">
        <v>46</v>
      </c>
      <c r="C73">
        <v>17497.71</v>
      </c>
      <c r="D73">
        <v>18630.2</v>
      </c>
      <c r="E73">
        <v>23.26</v>
      </c>
      <c r="F73">
        <v>0</v>
      </c>
    </row>
    <row r="74" spans="1:6" x14ac:dyDescent="0.2">
      <c r="A74" s="4">
        <v>45688</v>
      </c>
      <c r="B74" t="s">
        <v>46</v>
      </c>
      <c r="C74">
        <v>17506.8</v>
      </c>
      <c r="D74">
        <v>18624.75</v>
      </c>
      <c r="E74">
        <v>23.3</v>
      </c>
      <c r="F74">
        <v>0</v>
      </c>
    </row>
    <row r="75" spans="1:6" x14ac:dyDescent="0.2">
      <c r="A75" s="4">
        <v>45716</v>
      </c>
      <c r="B75" t="s">
        <v>46</v>
      </c>
      <c r="C75">
        <v>17612.18</v>
      </c>
      <c r="D75">
        <v>18724.59</v>
      </c>
      <c r="E75">
        <v>23.41</v>
      </c>
      <c r="F75">
        <v>0</v>
      </c>
    </row>
    <row r="76" spans="1:6" x14ac:dyDescent="0.2">
      <c r="A76" s="4">
        <v>45747</v>
      </c>
      <c r="B76" t="s">
        <v>46</v>
      </c>
      <c r="C76">
        <v>17766.41</v>
      </c>
      <c r="D76">
        <v>18899.04</v>
      </c>
      <c r="E76">
        <v>23.6</v>
      </c>
      <c r="F76">
        <v>0</v>
      </c>
    </row>
    <row r="77" spans="1:6" x14ac:dyDescent="0.2">
      <c r="A77" s="4">
        <v>44651</v>
      </c>
      <c r="B77" t="s">
        <v>47</v>
      </c>
      <c r="C77">
        <v>29400</v>
      </c>
      <c r="D77">
        <v>29781.66</v>
      </c>
      <c r="E77">
        <v>0</v>
      </c>
      <c r="F77">
        <v>0</v>
      </c>
    </row>
    <row r="78" spans="1:6" x14ac:dyDescent="0.2">
      <c r="A78" s="4">
        <v>44681</v>
      </c>
      <c r="B78" t="s">
        <v>47</v>
      </c>
      <c r="C78">
        <v>29391.11</v>
      </c>
      <c r="D78">
        <v>29326.42</v>
      </c>
      <c r="E78">
        <v>59.55</v>
      </c>
      <c r="F78">
        <v>0</v>
      </c>
    </row>
    <row r="79" spans="1:6" x14ac:dyDescent="0.2">
      <c r="A79" s="4">
        <v>44712</v>
      </c>
      <c r="B79" t="s">
        <v>47</v>
      </c>
      <c r="C79">
        <v>29721.55</v>
      </c>
      <c r="D79">
        <v>30024.28</v>
      </c>
      <c r="E79">
        <v>59.31</v>
      </c>
      <c r="F79">
        <v>0</v>
      </c>
    </row>
    <row r="80" spans="1:6" x14ac:dyDescent="0.2">
      <c r="A80" s="4">
        <v>44742</v>
      </c>
      <c r="B80" t="s">
        <v>47</v>
      </c>
      <c r="C80">
        <v>29581.279999999999</v>
      </c>
      <c r="D80">
        <v>29990.63</v>
      </c>
      <c r="E80">
        <v>59.77</v>
      </c>
      <c r="F80">
        <v>0</v>
      </c>
    </row>
    <row r="81" spans="1:6" x14ac:dyDescent="0.2">
      <c r="A81" s="4">
        <v>44773</v>
      </c>
      <c r="B81" t="s">
        <v>47</v>
      </c>
      <c r="C81">
        <v>30023.37</v>
      </c>
      <c r="D81">
        <v>30562.82</v>
      </c>
      <c r="E81">
        <v>60.87</v>
      </c>
      <c r="F81">
        <v>0</v>
      </c>
    </row>
    <row r="82" spans="1:6" x14ac:dyDescent="0.2">
      <c r="A82" s="4">
        <v>44804</v>
      </c>
      <c r="B82" t="s">
        <v>47</v>
      </c>
      <c r="C82">
        <v>30481.73</v>
      </c>
      <c r="D82">
        <v>31117.13</v>
      </c>
      <c r="E82">
        <v>62.04</v>
      </c>
      <c r="F82">
        <v>0</v>
      </c>
    </row>
    <row r="83" spans="1:6" x14ac:dyDescent="0.2">
      <c r="A83" s="4">
        <v>44834</v>
      </c>
      <c r="B83" t="s">
        <v>47</v>
      </c>
      <c r="C83">
        <v>30893.03</v>
      </c>
      <c r="D83">
        <v>31990.9</v>
      </c>
      <c r="E83">
        <v>63.06</v>
      </c>
      <c r="F83">
        <v>0</v>
      </c>
    </row>
    <row r="84" spans="1:6" x14ac:dyDescent="0.2">
      <c r="A84" s="4">
        <v>44865</v>
      </c>
      <c r="B84" t="s">
        <v>47</v>
      </c>
      <c r="C84">
        <v>31191.09</v>
      </c>
      <c r="D84">
        <v>32144.52</v>
      </c>
      <c r="E84">
        <v>64.58</v>
      </c>
      <c r="F84">
        <v>0</v>
      </c>
    </row>
    <row r="85" spans="1:6" x14ac:dyDescent="0.2">
      <c r="A85" s="4">
        <v>44895</v>
      </c>
      <c r="B85" t="s">
        <v>47</v>
      </c>
      <c r="C85">
        <v>31752.84</v>
      </c>
      <c r="D85">
        <v>34243.050000000003</v>
      </c>
      <c r="E85">
        <v>65.41</v>
      </c>
      <c r="F85">
        <v>0</v>
      </c>
    </row>
    <row r="86" spans="1:6" x14ac:dyDescent="0.2">
      <c r="A86" s="4">
        <v>44926</v>
      </c>
      <c r="B86" t="s">
        <v>47</v>
      </c>
      <c r="C86">
        <v>31787.56</v>
      </c>
      <c r="D86">
        <v>34754.6</v>
      </c>
      <c r="E86">
        <v>68.56</v>
      </c>
      <c r="F86">
        <v>0</v>
      </c>
    </row>
    <row r="87" spans="1:6" x14ac:dyDescent="0.2">
      <c r="A87" s="4">
        <v>44957</v>
      </c>
      <c r="B87" t="s">
        <v>47</v>
      </c>
      <c r="C87">
        <v>28790.75</v>
      </c>
      <c r="D87">
        <v>31971.38</v>
      </c>
      <c r="E87">
        <v>69.91</v>
      </c>
      <c r="F87">
        <v>180.16</v>
      </c>
    </row>
    <row r="88" spans="1:6" x14ac:dyDescent="0.2">
      <c r="A88" s="4">
        <v>44985</v>
      </c>
      <c r="B88" t="s">
        <v>47</v>
      </c>
      <c r="C88">
        <v>29663.99</v>
      </c>
      <c r="D88">
        <v>32602.11</v>
      </c>
      <c r="E88">
        <v>65.69</v>
      </c>
      <c r="F88">
        <v>0</v>
      </c>
    </row>
    <row r="89" spans="1:6" x14ac:dyDescent="0.2">
      <c r="A89" s="4">
        <v>45016</v>
      </c>
      <c r="B89" t="s">
        <v>47</v>
      </c>
      <c r="C89">
        <v>26698.22</v>
      </c>
      <c r="D89">
        <v>29297.61</v>
      </c>
      <c r="E89">
        <v>65.209999999999994</v>
      </c>
      <c r="F89">
        <v>-282.72000000000003</v>
      </c>
    </row>
    <row r="90" spans="1:6" x14ac:dyDescent="0.2">
      <c r="A90" s="4">
        <v>45046</v>
      </c>
      <c r="B90" t="s">
        <v>47</v>
      </c>
      <c r="C90">
        <v>26682.03</v>
      </c>
      <c r="D90">
        <v>29381.74</v>
      </c>
      <c r="E90">
        <v>58.56</v>
      </c>
      <c r="F90">
        <v>0</v>
      </c>
    </row>
    <row r="91" spans="1:6" x14ac:dyDescent="0.2">
      <c r="A91" s="4">
        <v>45077</v>
      </c>
      <c r="B91" t="s">
        <v>47</v>
      </c>
      <c r="C91">
        <v>27262.92</v>
      </c>
      <c r="D91">
        <v>30414.29</v>
      </c>
      <c r="E91">
        <v>59.93</v>
      </c>
      <c r="F91">
        <v>0</v>
      </c>
    </row>
    <row r="92" spans="1:6" x14ac:dyDescent="0.2">
      <c r="A92" s="4">
        <v>45107</v>
      </c>
      <c r="B92" t="s">
        <v>47</v>
      </c>
      <c r="C92">
        <v>27167.51</v>
      </c>
      <c r="D92">
        <v>30439.68</v>
      </c>
      <c r="E92">
        <v>60.64</v>
      </c>
      <c r="F92">
        <v>0</v>
      </c>
    </row>
    <row r="93" spans="1:6" x14ac:dyDescent="0.2">
      <c r="A93" s="4">
        <v>45138</v>
      </c>
      <c r="B93" t="s">
        <v>47</v>
      </c>
      <c r="C93">
        <v>28021.56</v>
      </c>
      <c r="D93">
        <v>31450.18</v>
      </c>
      <c r="E93">
        <v>62.59</v>
      </c>
      <c r="F93">
        <v>0</v>
      </c>
    </row>
    <row r="94" spans="1:6" x14ac:dyDescent="0.2">
      <c r="A94" s="4">
        <v>45169</v>
      </c>
      <c r="B94" t="s">
        <v>47</v>
      </c>
      <c r="C94">
        <v>27515.69</v>
      </c>
      <c r="D94">
        <v>31680.35</v>
      </c>
      <c r="E94">
        <v>61.89</v>
      </c>
      <c r="F94">
        <v>0</v>
      </c>
    </row>
    <row r="95" spans="1:6" x14ac:dyDescent="0.2">
      <c r="A95" s="4">
        <v>45199</v>
      </c>
      <c r="B95" t="s">
        <v>47</v>
      </c>
      <c r="C95">
        <v>27506.87</v>
      </c>
      <c r="D95">
        <v>31818.9</v>
      </c>
      <c r="E95">
        <v>63.34</v>
      </c>
      <c r="F95">
        <v>0</v>
      </c>
    </row>
    <row r="96" spans="1:6" x14ac:dyDescent="0.2">
      <c r="A96" s="4">
        <v>45230</v>
      </c>
      <c r="B96" t="s">
        <v>47</v>
      </c>
      <c r="C96">
        <v>27800.13</v>
      </c>
      <c r="D96">
        <v>31573.53</v>
      </c>
      <c r="E96">
        <v>64.22</v>
      </c>
      <c r="F96">
        <v>0</v>
      </c>
    </row>
    <row r="97" spans="1:6" x14ac:dyDescent="0.2">
      <c r="A97" s="4">
        <v>45260</v>
      </c>
      <c r="B97" t="s">
        <v>47</v>
      </c>
      <c r="C97">
        <v>27826.15</v>
      </c>
      <c r="D97">
        <v>31994.45</v>
      </c>
      <c r="E97">
        <v>63.2</v>
      </c>
      <c r="F97">
        <v>0</v>
      </c>
    </row>
    <row r="98" spans="1:6" x14ac:dyDescent="0.2">
      <c r="A98" s="4">
        <v>45291</v>
      </c>
      <c r="B98" t="s">
        <v>47</v>
      </c>
      <c r="C98">
        <v>28524.31</v>
      </c>
      <c r="D98">
        <v>32654.35</v>
      </c>
      <c r="E98">
        <v>65.39</v>
      </c>
      <c r="F98">
        <v>0</v>
      </c>
    </row>
    <row r="99" spans="1:6" x14ac:dyDescent="0.2">
      <c r="A99" s="4">
        <v>45322</v>
      </c>
      <c r="B99" t="s">
        <v>47</v>
      </c>
      <c r="C99">
        <v>28783.57</v>
      </c>
      <c r="D99">
        <v>33149.81</v>
      </c>
      <c r="E99">
        <v>65.83</v>
      </c>
      <c r="F99">
        <v>0</v>
      </c>
    </row>
    <row r="100" spans="1:6" x14ac:dyDescent="0.2">
      <c r="A100" s="4">
        <v>45351</v>
      </c>
      <c r="B100" t="s">
        <v>47</v>
      </c>
      <c r="C100">
        <v>28418.03</v>
      </c>
      <c r="D100">
        <v>33491.360000000001</v>
      </c>
      <c r="E100">
        <v>65.569999999999993</v>
      </c>
      <c r="F100">
        <v>0</v>
      </c>
    </row>
    <row r="101" spans="1:6" x14ac:dyDescent="0.2">
      <c r="A101" s="4">
        <v>45382</v>
      </c>
      <c r="B101" t="s">
        <v>47</v>
      </c>
      <c r="C101">
        <v>28478.07</v>
      </c>
      <c r="D101">
        <v>33447.68</v>
      </c>
      <c r="E101">
        <v>67.099999999999994</v>
      </c>
      <c r="F101">
        <v>0</v>
      </c>
    </row>
    <row r="102" spans="1:6" x14ac:dyDescent="0.2">
      <c r="A102" s="4">
        <v>45412</v>
      </c>
      <c r="B102" t="s">
        <v>47</v>
      </c>
      <c r="C102">
        <v>27533.31</v>
      </c>
      <c r="D102">
        <v>33286.76</v>
      </c>
      <c r="E102">
        <v>65.010000000000005</v>
      </c>
      <c r="F102">
        <v>0</v>
      </c>
    </row>
    <row r="103" spans="1:6" x14ac:dyDescent="0.2">
      <c r="A103" s="4">
        <v>45443</v>
      </c>
      <c r="B103" t="s">
        <v>47</v>
      </c>
      <c r="C103">
        <v>27007.94</v>
      </c>
      <c r="D103">
        <v>32455.78</v>
      </c>
      <c r="E103">
        <v>65.52</v>
      </c>
      <c r="F103">
        <v>0</v>
      </c>
    </row>
    <row r="104" spans="1:6" x14ac:dyDescent="0.2">
      <c r="A104" s="4">
        <v>45473</v>
      </c>
      <c r="B104" t="s">
        <v>47</v>
      </c>
      <c r="C104">
        <v>27000.36</v>
      </c>
      <c r="D104">
        <v>32042.16</v>
      </c>
      <c r="E104">
        <v>64.900000000000006</v>
      </c>
      <c r="F104">
        <v>0</v>
      </c>
    </row>
    <row r="105" spans="1:6" x14ac:dyDescent="0.2">
      <c r="A105" s="4">
        <v>45504</v>
      </c>
      <c r="B105" t="s">
        <v>47</v>
      </c>
      <c r="C105">
        <v>27152.61</v>
      </c>
      <c r="D105">
        <v>32323.5</v>
      </c>
      <c r="E105">
        <v>64.39</v>
      </c>
      <c r="F105">
        <v>0</v>
      </c>
    </row>
    <row r="106" spans="1:6" x14ac:dyDescent="0.2">
      <c r="A106" s="4">
        <v>45535</v>
      </c>
      <c r="B106" t="s">
        <v>47</v>
      </c>
      <c r="C106">
        <v>26970.04</v>
      </c>
      <c r="D106">
        <v>33092.69</v>
      </c>
      <c r="E106">
        <v>64.28</v>
      </c>
      <c r="F106">
        <v>0</v>
      </c>
    </row>
    <row r="107" spans="1:6" x14ac:dyDescent="0.2">
      <c r="A107" s="4">
        <v>45565</v>
      </c>
      <c r="B107" t="s">
        <v>47</v>
      </c>
      <c r="C107">
        <v>27040.92</v>
      </c>
      <c r="D107">
        <v>33423.449999999997</v>
      </c>
      <c r="E107">
        <v>66.33</v>
      </c>
      <c r="F107">
        <v>0</v>
      </c>
    </row>
    <row r="108" spans="1:6" x14ac:dyDescent="0.2">
      <c r="A108" s="4">
        <v>45596</v>
      </c>
      <c r="B108" t="s">
        <v>47</v>
      </c>
      <c r="C108">
        <v>27218.13</v>
      </c>
      <c r="D108">
        <v>33708.28</v>
      </c>
      <c r="E108">
        <v>67.2</v>
      </c>
      <c r="F108">
        <v>0</v>
      </c>
    </row>
    <row r="109" spans="1:6" x14ac:dyDescent="0.2">
      <c r="A109" s="4">
        <v>45626</v>
      </c>
      <c r="B109" t="s">
        <v>47</v>
      </c>
      <c r="C109">
        <v>27151.23</v>
      </c>
      <c r="D109">
        <v>33982.699999999997</v>
      </c>
      <c r="E109">
        <v>67.28</v>
      </c>
      <c r="F109">
        <v>0</v>
      </c>
    </row>
    <row r="110" spans="1:6" x14ac:dyDescent="0.2">
      <c r="A110" s="4">
        <v>45657</v>
      </c>
      <c r="B110" t="s">
        <v>47</v>
      </c>
      <c r="C110">
        <v>27241.24</v>
      </c>
      <c r="D110">
        <v>34988.559999999998</v>
      </c>
      <c r="E110">
        <v>68.150000000000006</v>
      </c>
      <c r="F110">
        <v>0</v>
      </c>
    </row>
    <row r="111" spans="1:6" x14ac:dyDescent="0.2">
      <c r="A111" s="4">
        <v>45688</v>
      </c>
      <c r="B111" t="s">
        <v>47</v>
      </c>
      <c r="C111">
        <v>27216.83</v>
      </c>
      <c r="D111">
        <v>35289.089999999997</v>
      </c>
      <c r="E111">
        <v>69.930000000000007</v>
      </c>
      <c r="F111">
        <v>0</v>
      </c>
    </row>
    <row r="112" spans="1:6" x14ac:dyDescent="0.2">
      <c r="A112" s="4">
        <v>45716</v>
      </c>
      <c r="B112" t="s">
        <v>47</v>
      </c>
      <c r="C112">
        <v>27155.89</v>
      </c>
      <c r="D112">
        <v>35400.660000000003</v>
      </c>
      <c r="E112">
        <v>70.459999999999994</v>
      </c>
      <c r="F112">
        <v>0</v>
      </c>
    </row>
    <row r="113" spans="1:6" x14ac:dyDescent="0.2">
      <c r="A113" s="4">
        <v>45747</v>
      </c>
      <c r="B113" t="s">
        <v>47</v>
      </c>
      <c r="C113">
        <v>27640.41</v>
      </c>
      <c r="D113">
        <v>36326.94</v>
      </c>
      <c r="E113">
        <v>71.77</v>
      </c>
      <c r="F113">
        <v>0</v>
      </c>
    </row>
    <row r="114" spans="1:6" x14ac:dyDescent="0.2">
      <c r="A114" s="4">
        <v>44651</v>
      </c>
      <c r="B114" t="s">
        <v>48</v>
      </c>
      <c r="C114">
        <v>14700</v>
      </c>
      <c r="D114">
        <v>16244.65</v>
      </c>
      <c r="E114">
        <v>0</v>
      </c>
      <c r="F114">
        <v>0</v>
      </c>
    </row>
    <row r="115" spans="1:6" x14ac:dyDescent="0.2">
      <c r="A115" s="4">
        <v>44681</v>
      </c>
      <c r="B115" t="s">
        <v>48</v>
      </c>
      <c r="C115">
        <v>14802.28</v>
      </c>
      <c r="D115">
        <v>17159.990000000002</v>
      </c>
      <c r="E115">
        <v>36.78</v>
      </c>
      <c r="F115">
        <v>0</v>
      </c>
    </row>
    <row r="116" spans="1:6" x14ac:dyDescent="0.2">
      <c r="A116" s="4">
        <v>44712</v>
      </c>
      <c r="B116" t="s">
        <v>48</v>
      </c>
      <c r="C116">
        <v>14680.42</v>
      </c>
      <c r="D116">
        <v>17654.38</v>
      </c>
      <c r="E116">
        <v>38.340000000000003</v>
      </c>
      <c r="F116">
        <v>0</v>
      </c>
    </row>
    <row r="117" spans="1:6" x14ac:dyDescent="0.2">
      <c r="A117" s="4">
        <v>44742</v>
      </c>
      <c r="B117" t="s">
        <v>48</v>
      </c>
      <c r="C117">
        <v>14701.14</v>
      </c>
      <c r="D117">
        <v>17788.46</v>
      </c>
      <c r="E117">
        <v>39.770000000000003</v>
      </c>
      <c r="F117">
        <v>0</v>
      </c>
    </row>
    <row r="118" spans="1:6" x14ac:dyDescent="0.2">
      <c r="A118" s="4">
        <v>44773</v>
      </c>
      <c r="B118" t="s">
        <v>48</v>
      </c>
      <c r="C118">
        <v>14907.83</v>
      </c>
      <c r="D118">
        <v>17504.38</v>
      </c>
      <c r="E118">
        <v>40.49</v>
      </c>
      <c r="F118">
        <v>0</v>
      </c>
    </row>
    <row r="119" spans="1:6" x14ac:dyDescent="0.2">
      <c r="A119" s="4">
        <v>44804</v>
      </c>
      <c r="B119" t="s">
        <v>48</v>
      </c>
      <c r="C119">
        <v>15100.16</v>
      </c>
      <c r="D119">
        <v>17629.27</v>
      </c>
      <c r="E119">
        <v>39.82</v>
      </c>
      <c r="F119">
        <v>0</v>
      </c>
    </row>
    <row r="120" spans="1:6" x14ac:dyDescent="0.2">
      <c r="A120" s="4">
        <v>44834</v>
      </c>
      <c r="B120" t="s">
        <v>48</v>
      </c>
      <c r="C120">
        <v>15146.28</v>
      </c>
      <c r="D120">
        <v>17433.310000000001</v>
      </c>
      <c r="E120">
        <v>39.770000000000003</v>
      </c>
      <c r="F120">
        <v>0</v>
      </c>
    </row>
    <row r="121" spans="1:6" x14ac:dyDescent="0.2">
      <c r="A121" s="4">
        <v>44865</v>
      </c>
      <c r="B121" t="s">
        <v>48</v>
      </c>
      <c r="C121">
        <v>15149.95</v>
      </c>
      <c r="D121">
        <v>18750.580000000002</v>
      </c>
      <c r="E121">
        <v>39.229999999999997</v>
      </c>
      <c r="F121">
        <v>0</v>
      </c>
    </row>
    <row r="122" spans="1:6" x14ac:dyDescent="0.2">
      <c r="A122" s="4">
        <v>44895</v>
      </c>
      <c r="B122" t="s">
        <v>48</v>
      </c>
      <c r="C122">
        <v>13779.06</v>
      </c>
      <c r="D122">
        <v>17324.2</v>
      </c>
      <c r="E122">
        <v>42.55</v>
      </c>
      <c r="F122">
        <v>-37.74</v>
      </c>
    </row>
    <row r="123" spans="1:6" x14ac:dyDescent="0.2">
      <c r="A123" s="4">
        <v>44926</v>
      </c>
      <c r="B123" t="s">
        <v>48</v>
      </c>
      <c r="C123">
        <v>13756.52</v>
      </c>
      <c r="D123">
        <v>17722.849999999999</v>
      </c>
      <c r="E123">
        <v>38.93</v>
      </c>
      <c r="F123">
        <v>0</v>
      </c>
    </row>
    <row r="124" spans="1:6" x14ac:dyDescent="0.2">
      <c r="A124" s="4">
        <v>44957</v>
      </c>
      <c r="B124" t="s">
        <v>48</v>
      </c>
      <c r="C124">
        <v>13945.31</v>
      </c>
      <c r="D124">
        <v>19825.8</v>
      </c>
      <c r="E124">
        <v>40.299999999999997</v>
      </c>
      <c r="F124">
        <v>0</v>
      </c>
    </row>
    <row r="125" spans="1:6" x14ac:dyDescent="0.2">
      <c r="A125" s="4">
        <v>44985</v>
      </c>
      <c r="B125" t="s">
        <v>48</v>
      </c>
      <c r="C125">
        <v>13704.58</v>
      </c>
      <c r="D125">
        <v>18708.169999999998</v>
      </c>
      <c r="E125">
        <v>44.07</v>
      </c>
      <c r="F125">
        <v>0</v>
      </c>
    </row>
    <row r="126" spans="1:6" x14ac:dyDescent="0.2">
      <c r="A126" s="4">
        <v>45016</v>
      </c>
      <c r="B126" t="s">
        <v>48</v>
      </c>
      <c r="C126">
        <v>13829.38</v>
      </c>
      <c r="D126">
        <v>19728.39</v>
      </c>
      <c r="E126">
        <v>42.37</v>
      </c>
      <c r="F126">
        <v>0</v>
      </c>
    </row>
    <row r="127" spans="1:6" x14ac:dyDescent="0.2">
      <c r="A127" s="4">
        <v>45046</v>
      </c>
      <c r="B127" t="s">
        <v>48</v>
      </c>
      <c r="C127">
        <v>13652.36</v>
      </c>
      <c r="D127">
        <v>19685.57</v>
      </c>
      <c r="E127">
        <v>43.99</v>
      </c>
      <c r="F127">
        <v>0</v>
      </c>
    </row>
    <row r="128" spans="1:6" x14ac:dyDescent="0.2">
      <c r="A128" s="4">
        <v>45077</v>
      </c>
      <c r="B128" t="s">
        <v>48</v>
      </c>
      <c r="C128">
        <v>14000.88</v>
      </c>
      <c r="D128">
        <v>18008.63</v>
      </c>
      <c r="E128">
        <v>45.08</v>
      </c>
      <c r="F128">
        <v>0</v>
      </c>
    </row>
    <row r="129" spans="1:6" x14ac:dyDescent="0.2">
      <c r="A129" s="4">
        <v>45107</v>
      </c>
      <c r="B129" t="s">
        <v>48</v>
      </c>
      <c r="C129">
        <v>13943.01</v>
      </c>
      <c r="D129">
        <v>17315.41</v>
      </c>
      <c r="E129">
        <v>40.39</v>
      </c>
      <c r="F129">
        <v>0</v>
      </c>
    </row>
    <row r="130" spans="1:6" x14ac:dyDescent="0.2">
      <c r="A130" s="4">
        <v>45138</v>
      </c>
      <c r="B130" t="s">
        <v>48</v>
      </c>
      <c r="C130">
        <v>14178.13</v>
      </c>
      <c r="D130">
        <v>18241.95</v>
      </c>
      <c r="E130">
        <v>39.49</v>
      </c>
      <c r="F130">
        <v>0</v>
      </c>
    </row>
    <row r="131" spans="1:6" x14ac:dyDescent="0.2">
      <c r="A131" s="4">
        <v>45169</v>
      </c>
      <c r="B131" t="s">
        <v>48</v>
      </c>
      <c r="C131">
        <v>14085.65</v>
      </c>
      <c r="D131">
        <v>18516.62</v>
      </c>
      <c r="E131">
        <v>40.840000000000003</v>
      </c>
      <c r="F131">
        <v>0</v>
      </c>
    </row>
    <row r="132" spans="1:6" x14ac:dyDescent="0.2">
      <c r="A132" s="4">
        <v>45199</v>
      </c>
      <c r="B132" t="s">
        <v>48</v>
      </c>
      <c r="C132">
        <v>14247.22</v>
      </c>
      <c r="D132">
        <v>19360.91</v>
      </c>
      <c r="E132">
        <v>42.03</v>
      </c>
      <c r="F132">
        <v>0</v>
      </c>
    </row>
    <row r="133" spans="1:6" x14ac:dyDescent="0.2">
      <c r="A133" s="4">
        <v>45230</v>
      </c>
      <c r="B133" t="s">
        <v>48</v>
      </c>
      <c r="C133">
        <v>13974.72</v>
      </c>
      <c r="D133">
        <v>17795.28</v>
      </c>
      <c r="E133">
        <v>42.95</v>
      </c>
      <c r="F133">
        <v>0</v>
      </c>
    </row>
    <row r="134" spans="1:6" x14ac:dyDescent="0.2">
      <c r="A134" s="4">
        <v>45260</v>
      </c>
      <c r="B134" t="s">
        <v>48</v>
      </c>
      <c r="C134">
        <v>14216.75</v>
      </c>
      <c r="D134">
        <v>17550.05</v>
      </c>
      <c r="E134">
        <v>40.58</v>
      </c>
      <c r="F134">
        <v>0</v>
      </c>
    </row>
    <row r="135" spans="1:6" x14ac:dyDescent="0.2">
      <c r="A135" s="4">
        <v>45291</v>
      </c>
      <c r="B135" t="s">
        <v>48</v>
      </c>
      <c r="C135">
        <v>14475.68</v>
      </c>
      <c r="D135">
        <v>18230.25</v>
      </c>
      <c r="E135">
        <v>40.07</v>
      </c>
      <c r="F135">
        <v>0</v>
      </c>
    </row>
    <row r="136" spans="1:6" x14ac:dyDescent="0.2">
      <c r="A136" s="4">
        <v>45322</v>
      </c>
      <c r="B136" t="s">
        <v>48</v>
      </c>
      <c r="C136">
        <v>14474.85</v>
      </c>
      <c r="D136">
        <v>18079.77</v>
      </c>
      <c r="E136">
        <v>41.02</v>
      </c>
      <c r="F136">
        <v>0</v>
      </c>
    </row>
    <row r="137" spans="1:6" x14ac:dyDescent="0.2">
      <c r="A137" s="4">
        <v>45351</v>
      </c>
      <c r="B137" t="s">
        <v>48</v>
      </c>
      <c r="C137">
        <v>14325.29</v>
      </c>
      <c r="D137">
        <v>18365.349999999999</v>
      </c>
      <c r="E137">
        <v>40.340000000000003</v>
      </c>
      <c r="F137">
        <v>0</v>
      </c>
    </row>
    <row r="138" spans="1:6" x14ac:dyDescent="0.2">
      <c r="A138" s="4">
        <v>45382</v>
      </c>
      <c r="B138" t="s">
        <v>48</v>
      </c>
      <c r="C138">
        <v>14341.61</v>
      </c>
      <c r="D138">
        <v>18990.12</v>
      </c>
      <c r="E138">
        <v>41.36</v>
      </c>
      <c r="F138">
        <v>0</v>
      </c>
    </row>
    <row r="139" spans="1:6" x14ac:dyDescent="0.2">
      <c r="A139" s="4">
        <v>45412</v>
      </c>
      <c r="B139" t="s">
        <v>48</v>
      </c>
      <c r="C139">
        <v>14265.42</v>
      </c>
      <c r="D139">
        <v>19734.05</v>
      </c>
      <c r="E139">
        <v>42.56</v>
      </c>
      <c r="F139">
        <v>0</v>
      </c>
    </row>
    <row r="140" spans="1:6" x14ac:dyDescent="0.2">
      <c r="A140" s="4">
        <v>45443</v>
      </c>
      <c r="B140" t="s">
        <v>48</v>
      </c>
      <c r="C140">
        <v>14459.5</v>
      </c>
      <c r="D140">
        <v>20149.73</v>
      </c>
      <c r="E140">
        <v>44.84</v>
      </c>
      <c r="F140">
        <v>0</v>
      </c>
    </row>
    <row r="141" spans="1:6" x14ac:dyDescent="0.2">
      <c r="A141" s="4">
        <v>45473</v>
      </c>
      <c r="B141" t="s">
        <v>48</v>
      </c>
      <c r="C141">
        <v>14303.74</v>
      </c>
      <c r="D141">
        <v>20245.400000000001</v>
      </c>
      <c r="E141">
        <v>44.99</v>
      </c>
      <c r="F141">
        <v>0</v>
      </c>
    </row>
    <row r="142" spans="1:6" x14ac:dyDescent="0.2">
      <c r="A142" s="4">
        <v>45504</v>
      </c>
      <c r="B142" t="s">
        <v>48</v>
      </c>
      <c r="C142">
        <v>14385.99</v>
      </c>
      <c r="D142">
        <v>22883.88</v>
      </c>
      <c r="E142">
        <v>45.74</v>
      </c>
      <c r="F142">
        <v>0</v>
      </c>
    </row>
    <row r="143" spans="1:6" x14ac:dyDescent="0.2">
      <c r="A143" s="4">
        <v>45535</v>
      </c>
      <c r="B143" t="s">
        <v>48</v>
      </c>
      <c r="C143">
        <v>14210.39</v>
      </c>
      <c r="D143">
        <v>25419.26</v>
      </c>
      <c r="E143">
        <v>51.09</v>
      </c>
      <c r="F143">
        <v>0</v>
      </c>
    </row>
    <row r="144" spans="1:6" x14ac:dyDescent="0.2">
      <c r="A144" s="4">
        <v>45565</v>
      </c>
      <c r="B144" t="s">
        <v>48</v>
      </c>
      <c r="C144">
        <v>14458.56</v>
      </c>
      <c r="D144">
        <v>25711.98</v>
      </c>
      <c r="E144">
        <v>57.75</v>
      </c>
      <c r="F144">
        <v>0</v>
      </c>
    </row>
    <row r="145" spans="1:6" x14ac:dyDescent="0.2">
      <c r="A145" s="4">
        <v>45596</v>
      </c>
      <c r="B145" t="s">
        <v>48</v>
      </c>
      <c r="C145">
        <v>14304.44</v>
      </c>
      <c r="D145">
        <v>24634.38</v>
      </c>
      <c r="E145">
        <v>57.51</v>
      </c>
      <c r="F145">
        <v>0</v>
      </c>
    </row>
    <row r="146" spans="1:6" x14ac:dyDescent="0.2">
      <c r="A146" s="4">
        <v>45626</v>
      </c>
      <c r="B146" t="s">
        <v>48</v>
      </c>
      <c r="C146">
        <v>13858.53</v>
      </c>
      <c r="D146">
        <v>25667.72</v>
      </c>
      <c r="E146">
        <v>54.42</v>
      </c>
      <c r="F146">
        <v>0</v>
      </c>
    </row>
    <row r="147" spans="1:6" x14ac:dyDescent="0.2">
      <c r="A147" s="4">
        <v>45657</v>
      </c>
      <c r="B147" t="s">
        <v>48</v>
      </c>
      <c r="C147">
        <v>14340.1</v>
      </c>
      <c r="D147">
        <v>26809.77</v>
      </c>
      <c r="E147">
        <v>58.84</v>
      </c>
      <c r="F147">
        <v>0</v>
      </c>
    </row>
    <row r="148" spans="1:6" x14ac:dyDescent="0.2">
      <c r="A148" s="4">
        <v>45688</v>
      </c>
      <c r="B148" t="s">
        <v>48</v>
      </c>
      <c r="C148">
        <v>14600.29</v>
      </c>
      <c r="D148">
        <v>28076.65</v>
      </c>
      <c r="E148">
        <v>60.91</v>
      </c>
      <c r="F148">
        <v>0</v>
      </c>
    </row>
    <row r="149" spans="1:6" x14ac:dyDescent="0.2">
      <c r="A149" s="4">
        <v>45716</v>
      </c>
      <c r="B149" t="s">
        <v>48</v>
      </c>
      <c r="C149">
        <v>15114.5</v>
      </c>
      <c r="D149">
        <v>26843.919999999998</v>
      </c>
      <c r="E149">
        <v>64.33</v>
      </c>
      <c r="F149">
        <v>0</v>
      </c>
    </row>
    <row r="150" spans="1:6" x14ac:dyDescent="0.2">
      <c r="A150" s="4">
        <v>45747</v>
      </c>
      <c r="B150" t="s">
        <v>48</v>
      </c>
      <c r="C150">
        <v>15038.74</v>
      </c>
      <c r="D150">
        <v>26866.54</v>
      </c>
      <c r="E150">
        <v>60.23</v>
      </c>
      <c r="F150">
        <v>0</v>
      </c>
    </row>
    <row r="151" spans="1:6" x14ac:dyDescent="0.2">
      <c r="A151" s="4">
        <v>44651</v>
      </c>
      <c r="B151" t="s">
        <v>49</v>
      </c>
      <c r="C151">
        <v>4900</v>
      </c>
      <c r="D151">
        <v>4728.28</v>
      </c>
      <c r="E151">
        <v>0</v>
      </c>
      <c r="F151">
        <v>0</v>
      </c>
    </row>
    <row r="152" spans="1:6" x14ac:dyDescent="0.2">
      <c r="A152" s="4">
        <v>44681</v>
      </c>
      <c r="B152" t="s">
        <v>49</v>
      </c>
      <c r="C152">
        <v>4898.5200000000004</v>
      </c>
      <c r="D152">
        <v>4972.12</v>
      </c>
      <c r="E152">
        <v>14.18</v>
      </c>
      <c r="F152">
        <v>0</v>
      </c>
    </row>
    <row r="153" spans="1:6" x14ac:dyDescent="0.2">
      <c r="A153" s="4">
        <v>44712</v>
      </c>
      <c r="B153" t="s">
        <v>49</v>
      </c>
      <c r="C153">
        <v>4897.2700000000004</v>
      </c>
      <c r="D153">
        <v>5208.8599999999997</v>
      </c>
      <c r="E153">
        <v>14.91</v>
      </c>
      <c r="F153">
        <v>0</v>
      </c>
    </row>
    <row r="154" spans="1:6" x14ac:dyDescent="0.2">
      <c r="A154" s="4">
        <v>44742</v>
      </c>
      <c r="B154" t="s">
        <v>49</v>
      </c>
      <c r="C154">
        <v>4901.88</v>
      </c>
      <c r="D154">
        <v>5229.5200000000004</v>
      </c>
      <c r="E154">
        <v>15.64</v>
      </c>
      <c r="F154">
        <v>0</v>
      </c>
    </row>
    <row r="155" spans="1:6" x14ac:dyDescent="0.2">
      <c r="A155" s="4">
        <v>44773</v>
      </c>
      <c r="B155" t="s">
        <v>49</v>
      </c>
      <c r="C155">
        <v>4889.87</v>
      </c>
      <c r="D155">
        <v>5252.09</v>
      </c>
      <c r="E155">
        <v>15.65</v>
      </c>
      <c r="F155">
        <v>0</v>
      </c>
    </row>
    <row r="156" spans="1:6" x14ac:dyDescent="0.2">
      <c r="A156" s="4">
        <v>44804</v>
      </c>
      <c r="B156" t="s">
        <v>49</v>
      </c>
      <c r="C156">
        <v>4900.5600000000004</v>
      </c>
      <c r="D156">
        <v>4997.57</v>
      </c>
      <c r="E156">
        <v>15.79</v>
      </c>
      <c r="F156">
        <v>0</v>
      </c>
    </row>
    <row r="157" spans="1:6" x14ac:dyDescent="0.2">
      <c r="A157" s="4">
        <v>44834</v>
      </c>
      <c r="B157" t="s">
        <v>49</v>
      </c>
      <c r="C157">
        <v>4957.72</v>
      </c>
      <c r="D157">
        <v>5170.08</v>
      </c>
      <c r="E157">
        <v>15.16</v>
      </c>
      <c r="F157">
        <v>0</v>
      </c>
    </row>
    <row r="158" spans="1:6" x14ac:dyDescent="0.2">
      <c r="A158" s="4">
        <v>44865</v>
      </c>
      <c r="B158" t="s">
        <v>49</v>
      </c>
      <c r="C158">
        <v>4979.21</v>
      </c>
      <c r="D158">
        <v>5494.73</v>
      </c>
      <c r="E158">
        <v>15.57</v>
      </c>
      <c r="F158">
        <v>0</v>
      </c>
    </row>
    <row r="159" spans="1:6" x14ac:dyDescent="0.2">
      <c r="A159" s="4">
        <v>44895</v>
      </c>
      <c r="B159" t="s">
        <v>49</v>
      </c>
      <c r="C159">
        <v>4990.1000000000004</v>
      </c>
      <c r="D159">
        <v>5390.4</v>
      </c>
      <c r="E159">
        <v>16.52</v>
      </c>
      <c r="F159">
        <v>0</v>
      </c>
    </row>
    <row r="160" spans="1:6" x14ac:dyDescent="0.2">
      <c r="A160" s="4">
        <v>44926</v>
      </c>
      <c r="B160" t="s">
        <v>49</v>
      </c>
      <c r="C160">
        <v>5105.68</v>
      </c>
      <c r="D160">
        <v>5829.38</v>
      </c>
      <c r="E160">
        <v>16.52</v>
      </c>
      <c r="F160">
        <v>0</v>
      </c>
    </row>
    <row r="161" spans="1:6" x14ac:dyDescent="0.2">
      <c r="A161" s="4">
        <v>44957</v>
      </c>
      <c r="B161" t="s">
        <v>49</v>
      </c>
      <c r="C161">
        <v>4545.95</v>
      </c>
      <c r="D161">
        <v>5483.47</v>
      </c>
      <c r="E161">
        <v>17.32</v>
      </c>
      <c r="F161">
        <v>166.2</v>
      </c>
    </row>
    <row r="162" spans="1:6" x14ac:dyDescent="0.2">
      <c r="A162" s="4">
        <v>44985</v>
      </c>
      <c r="B162" t="s">
        <v>49</v>
      </c>
      <c r="C162">
        <v>4585.91</v>
      </c>
      <c r="D162">
        <v>5499.56</v>
      </c>
      <c r="E162">
        <v>16.57</v>
      </c>
      <c r="F162">
        <v>0</v>
      </c>
    </row>
    <row r="163" spans="1:6" x14ac:dyDescent="0.2">
      <c r="A163" s="4">
        <v>45016</v>
      </c>
      <c r="B163" t="s">
        <v>49</v>
      </c>
      <c r="C163">
        <v>4109.9799999999996</v>
      </c>
      <c r="D163">
        <v>5191.18</v>
      </c>
      <c r="E163">
        <v>16.440000000000001</v>
      </c>
      <c r="F163">
        <v>119.67</v>
      </c>
    </row>
    <row r="164" spans="1:6" x14ac:dyDescent="0.2">
      <c r="A164" s="4">
        <v>45046</v>
      </c>
      <c r="B164" t="s">
        <v>49</v>
      </c>
      <c r="C164">
        <v>4169.25</v>
      </c>
      <c r="D164">
        <v>5214.4399999999996</v>
      </c>
      <c r="E164">
        <v>15.75</v>
      </c>
      <c r="F164">
        <v>0</v>
      </c>
    </row>
    <row r="165" spans="1:6" x14ac:dyDescent="0.2">
      <c r="A165" s="4">
        <v>45077</v>
      </c>
      <c r="B165" t="s">
        <v>49</v>
      </c>
      <c r="C165">
        <v>4219.8</v>
      </c>
      <c r="D165">
        <v>4970.55</v>
      </c>
      <c r="E165">
        <v>15.79</v>
      </c>
      <c r="F165">
        <v>0</v>
      </c>
    </row>
    <row r="166" spans="1:6" x14ac:dyDescent="0.2">
      <c r="A166" s="4">
        <v>45107</v>
      </c>
      <c r="B166" t="s">
        <v>49</v>
      </c>
      <c r="C166">
        <v>4298.6099999999997</v>
      </c>
      <c r="D166">
        <v>5050.6400000000003</v>
      </c>
      <c r="E166">
        <v>15.15</v>
      </c>
      <c r="F166">
        <v>0</v>
      </c>
    </row>
    <row r="167" spans="1:6" x14ac:dyDescent="0.2">
      <c r="A167" s="4">
        <v>45138</v>
      </c>
      <c r="B167" t="s">
        <v>49</v>
      </c>
      <c r="C167">
        <v>4352.3999999999996</v>
      </c>
      <c r="D167">
        <v>5143.04</v>
      </c>
      <c r="E167">
        <v>15.31</v>
      </c>
      <c r="F167">
        <v>0</v>
      </c>
    </row>
    <row r="168" spans="1:6" x14ac:dyDescent="0.2">
      <c r="A168" s="4">
        <v>45169</v>
      </c>
      <c r="B168" t="s">
        <v>49</v>
      </c>
      <c r="C168">
        <v>4269.08</v>
      </c>
      <c r="D168">
        <v>5142.99</v>
      </c>
      <c r="E168">
        <v>15.18</v>
      </c>
      <c r="F168">
        <v>0</v>
      </c>
    </row>
    <row r="169" spans="1:6" x14ac:dyDescent="0.2">
      <c r="A169" s="4">
        <v>45199</v>
      </c>
      <c r="B169" t="s">
        <v>49</v>
      </c>
      <c r="C169">
        <v>4273.05</v>
      </c>
      <c r="D169">
        <v>5162.78</v>
      </c>
      <c r="E169">
        <v>15.44</v>
      </c>
      <c r="F169">
        <v>0</v>
      </c>
    </row>
    <row r="170" spans="1:6" x14ac:dyDescent="0.2">
      <c r="A170" s="4">
        <v>45230</v>
      </c>
      <c r="B170" t="s">
        <v>49</v>
      </c>
      <c r="C170">
        <v>4210</v>
      </c>
      <c r="D170">
        <v>5196.45</v>
      </c>
      <c r="E170">
        <v>15.3</v>
      </c>
      <c r="F170">
        <v>0</v>
      </c>
    </row>
    <row r="171" spans="1:6" x14ac:dyDescent="0.2">
      <c r="A171" s="4">
        <v>45260</v>
      </c>
      <c r="B171" t="s">
        <v>49</v>
      </c>
      <c r="C171">
        <v>4157.1000000000004</v>
      </c>
      <c r="D171">
        <v>5288.6</v>
      </c>
      <c r="E171">
        <v>15.43</v>
      </c>
      <c r="F171">
        <v>0</v>
      </c>
    </row>
    <row r="172" spans="1:6" x14ac:dyDescent="0.2">
      <c r="A172" s="4">
        <v>45291</v>
      </c>
      <c r="B172" t="s">
        <v>49</v>
      </c>
      <c r="C172">
        <v>4158.2</v>
      </c>
      <c r="D172">
        <v>5405.5</v>
      </c>
      <c r="E172">
        <v>15.87</v>
      </c>
      <c r="F172">
        <v>0</v>
      </c>
    </row>
    <row r="173" spans="1:6" x14ac:dyDescent="0.2">
      <c r="A173" s="4">
        <v>45322</v>
      </c>
      <c r="B173" t="s">
        <v>49</v>
      </c>
      <c r="C173">
        <v>3724.7</v>
      </c>
      <c r="D173">
        <v>5098.32</v>
      </c>
      <c r="E173">
        <v>16.16</v>
      </c>
      <c r="F173">
        <v>78.81</v>
      </c>
    </row>
    <row r="174" spans="1:6" x14ac:dyDescent="0.2">
      <c r="A174" s="4">
        <v>45351</v>
      </c>
      <c r="B174" t="s">
        <v>49</v>
      </c>
      <c r="C174">
        <v>3701.91</v>
      </c>
      <c r="D174">
        <v>5017.28</v>
      </c>
      <c r="E174">
        <v>15.23</v>
      </c>
      <c r="F174">
        <v>0</v>
      </c>
    </row>
    <row r="175" spans="1:6" x14ac:dyDescent="0.2">
      <c r="A175" s="4">
        <v>45382</v>
      </c>
      <c r="B175" t="s">
        <v>49</v>
      </c>
      <c r="C175">
        <v>3634.14</v>
      </c>
      <c r="D175">
        <v>4838.3100000000004</v>
      </c>
      <c r="E175">
        <v>14.85</v>
      </c>
      <c r="F175">
        <v>0</v>
      </c>
    </row>
    <row r="176" spans="1:6" x14ac:dyDescent="0.2">
      <c r="A176" s="4">
        <v>45412</v>
      </c>
      <c r="B176" t="s">
        <v>49</v>
      </c>
      <c r="C176">
        <v>3359.91</v>
      </c>
      <c r="D176">
        <v>4559.0600000000004</v>
      </c>
      <c r="E176">
        <v>14.81</v>
      </c>
      <c r="F176">
        <v>-3.05</v>
      </c>
    </row>
    <row r="177" spans="1:6" x14ac:dyDescent="0.2">
      <c r="A177" s="4">
        <v>45443</v>
      </c>
      <c r="B177" t="s">
        <v>49</v>
      </c>
      <c r="C177">
        <v>3387.17</v>
      </c>
      <c r="D177">
        <v>4614.8599999999997</v>
      </c>
      <c r="E177">
        <v>13.76</v>
      </c>
      <c r="F177">
        <v>0</v>
      </c>
    </row>
    <row r="178" spans="1:6" x14ac:dyDescent="0.2">
      <c r="A178" s="4">
        <v>45473</v>
      </c>
      <c r="B178" t="s">
        <v>49</v>
      </c>
      <c r="C178">
        <v>3385.83</v>
      </c>
      <c r="D178">
        <v>4829.1099999999997</v>
      </c>
      <c r="E178">
        <v>13.84</v>
      </c>
      <c r="F178">
        <v>0</v>
      </c>
    </row>
    <row r="179" spans="1:6" x14ac:dyDescent="0.2">
      <c r="A179" s="4">
        <v>45504</v>
      </c>
      <c r="B179" t="s">
        <v>49</v>
      </c>
      <c r="C179">
        <v>3354.3</v>
      </c>
      <c r="D179">
        <v>4784.83</v>
      </c>
      <c r="E179">
        <v>14.39</v>
      </c>
      <c r="F179">
        <v>0</v>
      </c>
    </row>
    <row r="180" spans="1:6" x14ac:dyDescent="0.2">
      <c r="A180" s="4">
        <v>45535</v>
      </c>
      <c r="B180" t="s">
        <v>49</v>
      </c>
      <c r="C180">
        <v>3345.12</v>
      </c>
      <c r="D180">
        <v>4895.41</v>
      </c>
      <c r="E180">
        <v>14.33</v>
      </c>
      <c r="F180">
        <v>0</v>
      </c>
    </row>
    <row r="181" spans="1:6" x14ac:dyDescent="0.2">
      <c r="A181" s="4">
        <v>45565</v>
      </c>
      <c r="B181" t="s">
        <v>49</v>
      </c>
      <c r="C181">
        <v>3318.53</v>
      </c>
      <c r="D181">
        <v>4504.92</v>
      </c>
      <c r="E181">
        <v>14.61</v>
      </c>
      <c r="F181">
        <v>0</v>
      </c>
    </row>
    <row r="182" spans="1:6" x14ac:dyDescent="0.2">
      <c r="A182" s="4">
        <v>45596</v>
      </c>
      <c r="B182" t="s">
        <v>49</v>
      </c>
      <c r="C182">
        <v>3348.26</v>
      </c>
      <c r="D182">
        <v>4212.97</v>
      </c>
      <c r="E182">
        <v>13.6</v>
      </c>
      <c r="F182">
        <v>0</v>
      </c>
    </row>
    <row r="183" spans="1:6" x14ac:dyDescent="0.2">
      <c r="A183" s="4">
        <v>45626</v>
      </c>
      <c r="B183" t="s">
        <v>49</v>
      </c>
      <c r="C183">
        <v>3310.81</v>
      </c>
      <c r="D183">
        <v>4241.41</v>
      </c>
      <c r="E183">
        <v>12.53</v>
      </c>
      <c r="F183">
        <v>0</v>
      </c>
    </row>
    <row r="184" spans="1:6" x14ac:dyDescent="0.2">
      <c r="A184" s="4">
        <v>45657</v>
      </c>
      <c r="B184" t="s">
        <v>49</v>
      </c>
      <c r="C184">
        <v>3246.21</v>
      </c>
      <c r="D184">
        <v>4209.2</v>
      </c>
      <c r="E184">
        <v>12.53</v>
      </c>
      <c r="F184">
        <v>0</v>
      </c>
    </row>
    <row r="185" spans="1:6" x14ac:dyDescent="0.2">
      <c r="A185" s="4">
        <v>45688</v>
      </c>
      <c r="B185" t="s">
        <v>49</v>
      </c>
      <c r="C185">
        <v>3241.85</v>
      </c>
      <c r="D185">
        <v>4255.5</v>
      </c>
      <c r="E185">
        <v>12.61</v>
      </c>
      <c r="F185">
        <v>0</v>
      </c>
    </row>
    <row r="186" spans="1:6" x14ac:dyDescent="0.2">
      <c r="A186" s="4">
        <v>45716</v>
      </c>
      <c r="B186" t="s">
        <v>49</v>
      </c>
      <c r="C186">
        <v>3217.88</v>
      </c>
      <c r="D186">
        <v>4245.68</v>
      </c>
      <c r="E186">
        <v>12.69</v>
      </c>
      <c r="F186">
        <v>0</v>
      </c>
    </row>
    <row r="187" spans="1:6" x14ac:dyDescent="0.2">
      <c r="A187" s="4">
        <v>45747</v>
      </c>
      <c r="B187" t="s">
        <v>49</v>
      </c>
      <c r="C187">
        <v>3230.68</v>
      </c>
      <c r="D187">
        <v>4120.2299999999996</v>
      </c>
      <c r="E187">
        <v>12.78</v>
      </c>
      <c r="F187">
        <v>0</v>
      </c>
    </row>
    <row r="188" spans="1:6" x14ac:dyDescent="0.2">
      <c r="A188" s="4">
        <v>44651</v>
      </c>
      <c r="B188" t="s">
        <v>50</v>
      </c>
      <c r="C188">
        <v>7840</v>
      </c>
      <c r="D188">
        <v>8243.6200000000008</v>
      </c>
      <c r="E188">
        <v>0</v>
      </c>
      <c r="F188">
        <v>0</v>
      </c>
    </row>
    <row r="189" spans="1:6" x14ac:dyDescent="0.2">
      <c r="A189" s="4">
        <v>44681</v>
      </c>
      <c r="B189" t="s">
        <v>50</v>
      </c>
      <c r="C189">
        <v>7975.74</v>
      </c>
      <c r="D189">
        <v>8412.34</v>
      </c>
      <c r="E189">
        <v>17.46</v>
      </c>
      <c r="F189">
        <v>0</v>
      </c>
    </row>
    <row r="190" spans="1:6" x14ac:dyDescent="0.2">
      <c r="A190" s="4">
        <v>44712</v>
      </c>
      <c r="B190" t="s">
        <v>50</v>
      </c>
      <c r="C190">
        <v>8075.11</v>
      </c>
      <c r="D190">
        <v>9130.58</v>
      </c>
      <c r="E190">
        <v>17.73</v>
      </c>
      <c r="F190">
        <v>0</v>
      </c>
    </row>
    <row r="191" spans="1:6" x14ac:dyDescent="0.2">
      <c r="A191" s="4">
        <v>44742</v>
      </c>
      <c r="B191" t="s">
        <v>50</v>
      </c>
      <c r="C191">
        <v>8072.95</v>
      </c>
      <c r="D191">
        <v>8893.1200000000008</v>
      </c>
      <c r="E191">
        <v>19.02</v>
      </c>
      <c r="F191">
        <v>0</v>
      </c>
    </row>
    <row r="192" spans="1:6" x14ac:dyDescent="0.2">
      <c r="A192" s="4">
        <v>44773</v>
      </c>
      <c r="B192" t="s">
        <v>50</v>
      </c>
      <c r="C192">
        <v>7971.3</v>
      </c>
      <c r="D192">
        <v>9182.33</v>
      </c>
      <c r="E192">
        <v>18.32</v>
      </c>
      <c r="F192">
        <v>0</v>
      </c>
    </row>
    <row r="193" spans="1:6" x14ac:dyDescent="0.2">
      <c r="A193" s="4">
        <v>44804</v>
      </c>
      <c r="B193" t="s">
        <v>50</v>
      </c>
      <c r="C193">
        <v>8038.3</v>
      </c>
      <c r="D193">
        <v>8914.44</v>
      </c>
      <c r="E193">
        <v>19.27</v>
      </c>
      <c r="F193">
        <v>0</v>
      </c>
    </row>
    <row r="194" spans="1:6" x14ac:dyDescent="0.2">
      <c r="A194" s="4">
        <v>44834</v>
      </c>
      <c r="B194" t="s">
        <v>50</v>
      </c>
      <c r="C194">
        <v>7997.35</v>
      </c>
      <c r="D194">
        <v>8793.1200000000008</v>
      </c>
      <c r="E194">
        <v>18.489999999999998</v>
      </c>
      <c r="F194">
        <v>0</v>
      </c>
    </row>
    <row r="195" spans="1:6" x14ac:dyDescent="0.2">
      <c r="A195" s="4">
        <v>44865</v>
      </c>
      <c r="B195" t="s">
        <v>50</v>
      </c>
      <c r="C195">
        <v>7936.03</v>
      </c>
      <c r="D195">
        <v>8618.86</v>
      </c>
      <c r="E195">
        <v>18.190000000000001</v>
      </c>
      <c r="F195">
        <v>0</v>
      </c>
    </row>
    <row r="196" spans="1:6" x14ac:dyDescent="0.2">
      <c r="A196" s="4">
        <v>44895</v>
      </c>
      <c r="B196" t="s">
        <v>50</v>
      </c>
      <c r="C196">
        <v>8009.41</v>
      </c>
      <c r="D196">
        <v>8100.45</v>
      </c>
      <c r="E196">
        <v>18.11</v>
      </c>
      <c r="F196">
        <v>0</v>
      </c>
    </row>
    <row r="197" spans="1:6" x14ac:dyDescent="0.2">
      <c r="A197" s="4">
        <v>44926</v>
      </c>
      <c r="B197" t="s">
        <v>50</v>
      </c>
      <c r="C197">
        <v>7949.39</v>
      </c>
      <c r="D197">
        <v>8018.48</v>
      </c>
      <c r="E197">
        <v>16.75</v>
      </c>
      <c r="F197">
        <v>0</v>
      </c>
    </row>
    <row r="198" spans="1:6" x14ac:dyDescent="0.2">
      <c r="A198" s="4">
        <v>44957</v>
      </c>
      <c r="B198" t="s">
        <v>50</v>
      </c>
      <c r="C198">
        <v>7984.69</v>
      </c>
      <c r="D198">
        <v>8142.51</v>
      </c>
      <c r="E198">
        <v>16.78</v>
      </c>
      <c r="F198">
        <v>0</v>
      </c>
    </row>
    <row r="199" spans="1:6" x14ac:dyDescent="0.2">
      <c r="A199" s="4">
        <v>44985</v>
      </c>
      <c r="B199" t="s">
        <v>50</v>
      </c>
      <c r="C199">
        <v>7918.66</v>
      </c>
      <c r="D199">
        <v>8226.92</v>
      </c>
      <c r="E199">
        <v>16.829999999999998</v>
      </c>
      <c r="F199">
        <v>0</v>
      </c>
    </row>
    <row r="200" spans="1:6" x14ac:dyDescent="0.2">
      <c r="A200" s="4">
        <v>45016</v>
      </c>
      <c r="B200" t="s">
        <v>50</v>
      </c>
      <c r="C200">
        <v>8065.62</v>
      </c>
      <c r="D200">
        <v>8902.7099999999991</v>
      </c>
      <c r="E200">
        <v>17.45</v>
      </c>
      <c r="F200">
        <v>0</v>
      </c>
    </row>
    <row r="201" spans="1:6" x14ac:dyDescent="0.2">
      <c r="A201" s="4">
        <v>45046</v>
      </c>
      <c r="B201" t="s">
        <v>50</v>
      </c>
      <c r="C201">
        <v>8131.26</v>
      </c>
      <c r="D201">
        <v>8834.16</v>
      </c>
      <c r="E201">
        <v>18.68</v>
      </c>
      <c r="F201">
        <v>0</v>
      </c>
    </row>
    <row r="202" spans="1:6" x14ac:dyDescent="0.2">
      <c r="A202" s="4">
        <v>45077</v>
      </c>
      <c r="B202" t="s">
        <v>50</v>
      </c>
      <c r="C202">
        <v>7903.84</v>
      </c>
      <c r="D202">
        <v>8712.1200000000008</v>
      </c>
      <c r="E202">
        <v>17.93</v>
      </c>
      <c r="F202">
        <v>0</v>
      </c>
    </row>
    <row r="203" spans="1:6" x14ac:dyDescent="0.2">
      <c r="A203" s="4">
        <v>45107</v>
      </c>
      <c r="B203" t="s">
        <v>50</v>
      </c>
      <c r="C203">
        <v>7839.58</v>
      </c>
      <c r="D203">
        <v>8748.7199999999993</v>
      </c>
      <c r="E203">
        <v>18.02</v>
      </c>
      <c r="F203">
        <v>0</v>
      </c>
    </row>
    <row r="204" spans="1:6" x14ac:dyDescent="0.2">
      <c r="A204" s="4">
        <v>45138</v>
      </c>
      <c r="B204" t="s">
        <v>50</v>
      </c>
      <c r="C204">
        <v>7877.58</v>
      </c>
      <c r="D204">
        <v>8534.39</v>
      </c>
      <c r="E204">
        <v>18.309999999999999</v>
      </c>
      <c r="F204">
        <v>0</v>
      </c>
    </row>
    <row r="205" spans="1:6" x14ac:dyDescent="0.2">
      <c r="A205" s="4">
        <v>45169</v>
      </c>
      <c r="B205" t="s">
        <v>50</v>
      </c>
      <c r="C205">
        <v>7895.85</v>
      </c>
      <c r="D205">
        <v>8427.36</v>
      </c>
      <c r="E205">
        <v>17.82</v>
      </c>
      <c r="F205">
        <v>0</v>
      </c>
    </row>
    <row r="206" spans="1:6" x14ac:dyDescent="0.2">
      <c r="A206" s="4">
        <v>45199</v>
      </c>
      <c r="B206" t="s">
        <v>50</v>
      </c>
      <c r="C206">
        <v>7973.96</v>
      </c>
      <c r="D206">
        <v>8393.1200000000008</v>
      </c>
      <c r="E206">
        <v>17.72</v>
      </c>
      <c r="F206">
        <v>0</v>
      </c>
    </row>
    <row r="207" spans="1:6" x14ac:dyDescent="0.2">
      <c r="A207" s="4">
        <v>45230</v>
      </c>
      <c r="B207" t="s">
        <v>50</v>
      </c>
      <c r="C207">
        <v>8108.95</v>
      </c>
      <c r="D207">
        <v>8694.06</v>
      </c>
      <c r="E207">
        <v>17.77</v>
      </c>
      <c r="F207">
        <v>0</v>
      </c>
    </row>
    <row r="208" spans="1:6" x14ac:dyDescent="0.2">
      <c r="A208" s="4">
        <v>45260</v>
      </c>
      <c r="B208" t="s">
        <v>50</v>
      </c>
      <c r="C208">
        <v>8033.66</v>
      </c>
      <c r="D208">
        <v>8214.24</v>
      </c>
      <c r="E208">
        <v>17.96</v>
      </c>
      <c r="F208">
        <v>0</v>
      </c>
    </row>
    <row r="209" spans="1:6" x14ac:dyDescent="0.2">
      <c r="A209" s="4">
        <v>45291</v>
      </c>
      <c r="B209" t="s">
        <v>50</v>
      </c>
      <c r="C209">
        <v>7997.74</v>
      </c>
      <c r="D209">
        <v>8300.02</v>
      </c>
      <c r="E209">
        <v>17.04</v>
      </c>
      <c r="F209">
        <v>0</v>
      </c>
    </row>
    <row r="210" spans="1:6" x14ac:dyDescent="0.2">
      <c r="A210" s="4">
        <v>45322</v>
      </c>
      <c r="B210" t="s">
        <v>50</v>
      </c>
      <c r="C210">
        <v>8142.72</v>
      </c>
      <c r="D210">
        <v>8599.17</v>
      </c>
      <c r="E210">
        <v>17.59</v>
      </c>
      <c r="F210">
        <v>0</v>
      </c>
    </row>
    <row r="211" spans="1:6" x14ac:dyDescent="0.2">
      <c r="A211" s="4">
        <v>45351</v>
      </c>
      <c r="B211" t="s">
        <v>50</v>
      </c>
      <c r="C211">
        <v>8121.63</v>
      </c>
      <c r="D211">
        <v>8697.43</v>
      </c>
      <c r="E211">
        <v>17.87</v>
      </c>
      <c r="F211">
        <v>0</v>
      </c>
    </row>
    <row r="212" spans="1:6" x14ac:dyDescent="0.2">
      <c r="A212" s="4">
        <v>45382</v>
      </c>
      <c r="B212" t="s">
        <v>50</v>
      </c>
      <c r="C212">
        <v>8108.38</v>
      </c>
      <c r="D212">
        <v>8640.52</v>
      </c>
      <c r="E212">
        <v>18.09</v>
      </c>
      <c r="F212">
        <v>0</v>
      </c>
    </row>
    <row r="213" spans="1:6" x14ac:dyDescent="0.2">
      <c r="A213" s="4">
        <v>45412</v>
      </c>
      <c r="B213" t="s">
        <v>50</v>
      </c>
      <c r="C213">
        <v>8302.11</v>
      </c>
      <c r="D213">
        <v>8944.9500000000007</v>
      </c>
      <c r="E213">
        <v>18.399999999999999</v>
      </c>
      <c r="F213">
        <v>0</v>
      </c>
    </row>
    <row r="214" spans="1:6" x14ac:dyDescent="0.2">
      <c r="A214" s="4">
        <v>45443</v>
      </c>
      <c r="B214" t="s">
        <v>50</v>
      </c>
      <c r="C214">
        <v>8401.7800000000007</v>
      </c>
      <c r="D214">
        <v>9011.76</v>
      </c>
      <c r="E214">
        <v>18.84</v>
      </c>
      <c r="F214">
        <v>0</v>
      </c>
    </row>
    <row r="215" spans="1:6" x14ac:dyDescent="0.2">
      <c r="A215" s="4">
        <v>45473</v>
      </c>
      <c r="B215" t="s">
        <v>50</v>
      </c>
      <c r="C215">
        <v>8325.9500000000007</v>
      </c>
      <c r="D215">
        <v>8447.42</v>
      </c>
      <c r="E215">
        <v>18.62</v>
      </c>
      <c r="F215">
        <v>0</v>
      </c>
    </row>
    <row r="216" spans="1:6" x14ac:dyDescent="0.2">
      <c r="A216" s="4">
        <v>45504</v>
      </c>
      <c r="B216" t="s">
        <v>50</v>
      </c>
      <c r="C216">
        <v>8268.77</v>
      </c>
      <c r="D216">
        <v>8679.9</v>
      </c>
      <c r="E216">
        <v>17.48</v>
      </c>
      <c r="F216">
        <v>0</v>
      </c>
    </row>
    <row r="217" spans="1:6" x14ac:dyDescent="0.2">
      <c r="A217" s="4">
        <v>45535</v>
      </c>
      <c r="B217" t="s">
        <v>50</v>
      </c>
      <c r="C217">
        <v>8264.2199999999993</v>
      </c>
      <c r="D217">
        <v>8793.3700000000008</v>
      </c>
      <c r="E217">
        <v>18.07</v>
      </c>
      <c r="F217">
        <v>0</v>
      </c>
    </row>
    <row r="218" spans="1:6" x14ac:dyDescent="0.2">
      <c r="A218" s="4">
        <v>45565</v>
      </c>
      <c r="B218" t="s">
        <v>50</v>
      </c>
      <c r="C218">
        <v>8287.2900000000009</v>
      </c>
      <c r="D218">
        <v>9080.2900000000009</v>
      </c>
      <c r="E218">
        <v>18.37</v>
      </c>
      <c r="F218">
        <v>0</v>
      </c>
    </row>
    <row r="219" spans="1:6" x14ac:dyDescent="0.2">
      <c r="A219" s="4">
        <v>45596</v>
      </c>
      <c r="B219" t="s">
        <v>50</v>
      </c>
      <c r="C219">
        <v>8406.2800000000007</v>
      </c>
      <c r="D219">
        <v>8844.9599999999991</v>
      </c>
      <c r="E219">
        <v>19.170000000000002</v>
      </c>
      <c r="F219">
        <v>0</v>
      </c>
    </row>
    <row r="220" spans="1:6" x14ac:dyDescent="0.2">
      <c r="A220" s="4">
        <v>45626</v>
      </c>
      <c r="B220" t="s">
        <v>50</v>
      </c>
      <c r="C220">
        <v>8531.34</v>
      </c>
      <c r="D220">
        <v>9139.2999999999993</v>
      </c>
      <c r="E220">
        <v>18.690000000000001</v>
      </c>
      <c r="F220">
        <v>0</v>
      </c>
    </row>
    <row r="221" spans="1:6" x14ac:dyDescent="0.2">
      <c r="A221" s="4">
        <v>45657</v>
      </c>
      <c r="B221" t="s">
        <v>50</v>
      </c>
      <c r="C221">
        <v>8569.26</v>
      </c>
      <c r="D221">
        <v>9263.64</v>
      </c>
      <c r="E221">
        <v>19.12</v>
      </c>
      <c r="F221">
        <v>0</v>
      </c>
    </row>
    <row r="222" spans="1:6" x14ac:dyDescent="0.2">
      <c r="A222" s="4">
        <v>45688</v>
      </c>
      <c r="B222" t="s">
        <v>50</v>
      </c>
      <c r="C222">
        <v>8509.02</v>
      </c>
      <c r="D222">
        <v>8951.7800000000007</v>
      </c>
      <c r="E222">
        <v>19.170000000000002</v>
      </c>
      <c r="F222">
        <v>0</v>
      </c>
    </row>
    <row r="223" spans="1:6" x14ac:dyDescent="0.2">
      <c r="A223" s="4">
        <v>45716</v>
      </c>
      <c r="B223" t="s">
        <v>50</v>
      </c>
      <c r="C223">
        <v>8481.18</v>
      </c>
      <c r="D223">
        <v>8979.56</v>
      </c>
      <c r="E223">
        <v>18.59</v>
      </c>
      <c r="F223">
        <v>0</v>
      </c>
    </row>
    <row r="224" spans="1:6" x14ac:dyDescent="0.2">
      <c r="A224" s="4">
        <v>45747</v>
      </c>
      <c r="B224" t="s">
        <v>50</v>
      </c>
      <c r="C224">
        <v>8570.6</v>
      </c>
      <c r="D224">
        <v>9015.7900000000009</v>
      </c>
      <c r="E224">
        <v>18.89</v>
      </c>
      <c r="F224">
        <v>0</v>
      </c>
    </row>
    <row r="225" spans="1:6" x14ac:dyDescent="0.2">
      <c r="A225" s="4">
        <v>44651</v>
      </c>
      <c r="B225" t="s">
        <v>51</v>
      </c>
      <c r="C225">
        <v>9800</v>
      </c>
      <c r="D225">
        <v>9918.1</v>
      </c>
      <c r="E225">
        <v>0</v>
      </c>
      <c r="F225">
        <v>0</v>
      </c>
    </row>
    <row r="226" spans="1:6" x14ac:dyDescent="0.2">
      <c r="A226" s="4">
        <v>44681</v>
      </c>
      <c r="B226" t="s">
        <v>51</v>
      </c>
      <c r="C226">
        <v>9747.67</v>
      </c>
      <c r="D226">
        <v>9421.57</v>
      </c>
      <c r="E226">
        <v>17.27</v>
      </c>
      <c r="F226">
        <v>0</v>
      </c>
    </row>
    <row r="227" spans="1:6" x14ac:dyDescent="0.2">
      <c r="A227" s="4">
        <v>44712</v>
      </c>
      <c r="B227" t="s">
        <v>51</v>
      </c>
      <c r="C227">
        <v>9830.6299999999992</v>
      </c>
      <c r="D227">
        <v>9746.31</v>
      </c>
      <c r="E227">
        <v>16.63</v>
      </c>
      <c r="F227">
        <v>0</v>
      </c>
    </row>
    <row r="228" spans="1:6" x14ac:dyDescent="0.2">
      <c r="A228" s="4">
        <v>44742</v>
      </c>
      <c r="B228" t="s">
        <v>51</v>
      </c>
      <c r="C228">
        <v>9862.7999999999993</v>
      </c>
      <c r="D228">
        <v>10330.19</v>
      </c>
      <c r="E228">
        <v>17.11</v>
      </c>
      <c r="F228">
        <v>0</v>
      </c>
    </row>
    <row r="229" spans="1:6" x14ac:dyDescent="0.2">
      <c r="A229" s="4">
        <v>44773</v>
      </c>
      <c r="B229" t="s">
        <v>51</v>
      </c>
      <c r="C229">
        <v>9744.86</v>
      </c>
      <c r="D229">
        <v>11267.73</v>
      </c>
      <c r="E229">
        <v>17.87</v>
      </c>
      <c r="F229">
        <v>0</v>
      </c>
    </row>
    <row r="230" spans="1:6" x14ac:dyDescent="0.2">
      <c r="A230" s="4">
        <v>44804</v>
      </c>
      <c r="B230" t="s">
        <v>51</v>
      </c>
      <c r="C230">
        <v>9535.0499999999993</v>
      </c>
      <c r="D230">
        <v>10827.71</v>
      </c>
      <c r="E230">
        <v>19.350000000000001</v>
      </c>
      <c r="F230">
        <v>0</v>
      </c>
    </row>
    <row r="231" spans="1:6" x14ac:dyDescent="0.2">
      <c r="A231" s="4">
        <v>44834</v>
      </c>
      <c r="B231" t="s">
        <v>51</v>
      </c>
      <c r="C231">
        <v>9545.57</v>
      </c>
      <c r="D231">
        <v>11743.99</v>
      </c>
      <c r="E231">
        <v>18.97</v>
      </c>
      <c r="F231">
        <v>0</v>
      </c>
    </row>
    <row r="232" spans="1:6" x14ac:dyDescent="0.2">
      <c r="A232" s="4">
        <v>44865</v>
      </c>
      <c r="B232" t="s">
        <v>51</v>
      </c>
      <c r="C232">
        <v>9548.6299999999992</v>
      </c>
      <c r="D232">
        <v>13429.19</v>
      </c>
      <c r="E232">
        <v>20.56</v>
      </c>
      <c r="F232">
        <v>0</v>
      </c>
    </row>
    <row r="233" spans="1:6" x14ac:dyDescent="0.2">
      <c r="A233" s="4">
        <v>44895</v>
      </c>
      <c r="B233" t="s">
        <v>51</v>
      </c>
      <c r="C233">
        <v>9566.56</v>
      </c>
      <c r="D233">
        <v>14032.68</v>
      </c>
      <c r="E233">
        <v>23.53</v>
      </c>
      <c r="F233">
        <v>0</v>
      </c>
    </row>
    <row r="234" spans="1:6" x14ac:dyDescent="0.2">
      <c r="A234" s="4">
        <v>44926</v>
      </c>
      <c r="B234" t="s">
        <v>51</v>
      </c>
      <c r="C234">
        <v>9818.9699999999993</v>
      </c>
      <c r="D234">
        <v>14696.59</v>
      </c>
      <c r="E234">
        <v>25</v>
      </c>
      <c r="F234">
        <v>0</v>
      </c>
    </row>
    <row r="235" spans="1:6" x14ac:dyDescent="0.2">
      <c r="A235" s="4">
        <v>44957</v>
      </c>
      <c r="B235" t="s">
        <v>51</v>
      </c>
      <c r="C235">
        <v>9833.75</v>
      </c>
      <c r="D235">
        <v>15825.66</v>
      </c>
      <c r="E235">
        <v>25.74</v>
      </c>
      <c r="F235">
        <v>0</v>
      </c>
    </row>
    <row r="236" spans="1:6" x14ac:dyDescent="0.2">
      <c r="A236" s="4">
        <v>44985</v>
      </c>
      <c r="B236" t="s">
        <v>51</v>
      </c>
      <c r="C236">
        <v>9663.9500000000007</v>
      </c>
      <c r="D236">
        <v>15828.61</v>
      </c>
      <c r="E236">
        <v>27.4</v>
      </c>
      <c r="F236">
        <v>0</v>
      </c>
    </row>
    <row r="237" spans="1:6" x14ac:dyDescent="0.2">
      <c r="A237" s="4">
        <v>45016</v>
      </c>
      <c r="B237" t="s">
        <v>51</v>
      </c>
      <c r="C237">
        <v>10052.6</v>
      </c>
      <c r="D237">
        <v>16205.86</v>
      </c>
      <c r="E237">
        <v>28.38</v>
      </c>
      <c r="F237">
        <v>0</v>
      </c>
    </row>
    <row r="238" spans="1:6" x14ac:dyDescent="0.2">
      <c r="A238" s="4">
        <v>45046</v>
      </c>
      <c r="B238" t="s">
        <v>51</v>
      </c>
      <c r="C238">
        <v>10013.48</v>
      </c>
      <c r="D238">
        <v>16701.2</v>
      </c>
      <c r="E238">
        <v>28.29</v>
      </c>
      <c r="F238">
        <v>0</v>
      </c>
    </row>
    <row r="239" spans="1:6" x14ac:dyDescent="0.2">
      <c r="A239" s="4">
        <v>45077</v>
      </c>
      <c r="B239" t="s">
        <v>51</v>
      </c>
      <c r="C239">
        <v>10141.9</v>
      </c>
      <c r="D239">
        <v>16554.490000000002</v>
      </c>
      <c r="E239">
        <v>29.45</v>
      </c>
      <c r="F239">
        <v>0</v>
      </c>
    </row>
    <row r="240" spans="1:6" x14ac:dyDescent="0.2">
      <c r="A240" s="4">
        <v>45107</v>
      </c>
      <c r="B240" t="s">
        <v>51</v>
      </c>
      <c r="C240">
        <v>9914.56</v>
      </c>
      <c r="D240">
        <v>14453.51</v>
      </c>
      <c r="E240">
        <v>28.57</v>
      </c>
      <c r="F240">
        <v>0</v>
      </c>
    </row>
    <row r="241" spans="1:6" x14ac:dyDescent="0.2">
      <c r="A241" s="4">
        <v>45138</v>
      </c>
      <c r="B241" t="s">
        <v>51</v>
      </c>
      <c r="C241">
        <v>9685.31</v>
      </c>
      <c r="D241">
        <v>13350.03</v>
      </c>
      <c r="E241">
        <v>24.89</v>
      </c>
      <c r="F241">
        <v>0</v>
      </c>
    </row>
    <row r="242" spans="1:6" x14ac:dyDescent="0.2">
      <c r="A242" s="4">
        <v>45169</v>
      </c>
      <c r="B242" t="s">
        <v>51</v>
      </c>
      <c r="C242">
        <v>9641.3799999999992</v>
      </c>
      <c r="D242">
        <v>13203.44</v>
      </c>
      <c r="E242">
        <v>23.29</v>
      </c>
      <c r="F242">
        <v>0</v>
      </c>
    </row>
    <row r="243" spans="1:6" x14ac:dyDescent="0.2">
      <c r="A243" s="4">
        <v>45199</v>
      </c>
      <c r="B243" t="s">
        <v>51</v>
      </c>
      <c r="C243">
        <v>9736.59</v>
      </c>
      <c r="D243">
        <v>13187.77</v>
      </c>
      <c r="E243">
        <v>23.27</v>
      </c>
      <c r="F243">
        <v>0</v>
      </c>
    </row>
    <row r="244" spans="1:6" x14ac:dyDescent="0.2">
      <c r="A244" s="4">
        <v>45230</v>
      </c>
      <c r="B244" t="s">
        <v>51</v>
      </c>
      <c r="C244">
        <v>8972.49</v>
      </c>
      <c r="D244">
        <v>12403.97</v>
      </c>
      <c r="E244">
        <v>23.49</v>
      </c>
      <c r="F244">
        <v>-11.64</v>
      </c>
    </row>
    <row r="245" spans="1:6" x14ac:dyDescent="0.2">
      <c r="A245" s="4">
        <v>45260</v>
      </c>
      <c r="B245" t="s">
        <v>51</v>
      </c>
      <c r="C245">
        <v>8835.99</v>
      </c>
      <c r="D245">
        <v>13057.14</v>
      </c>
      <c r="E245">
        <v>21.47</v>
      </c>
      <c r="F245">
        <v>0</v>
      </c>
    </row>
    <row r="246" spans="1:6" x14ac:dyDescent="0.2">
      <c r="A246" s="4">
        <v>45291</v>
      </c>
      <c r="B246" t="s">
        <v>51</v>
      </c>
      <c r="C246">
        <v>8790</v>
      </c>
      <c r="D246">
        <v>13436.35</v>
      </c>
      <c r="E246">
        <v>22.77</v>
      </c>
      <c r="F246">
        <v>0</v>
      </c>
    </row>
    <row r="247" spans="1:6" x14ac:dyDescent="0.2">
      <c r="A247" s="4">
        <v>45322</v>
      </c>
      <c r="B247" t="s">
        <v>51</v>
      </c>
      <c r="C247">
        <v>8778.89</v>
      </c>
      <c r="D247">
        <v>12731.66</v>
      </c>
      <c r="E247">
        <v>23.49</v>
      </c>
      <c r="F247">
        <v>0</v>
      </c>
    </row>
    <row r="248" spans="1:6" x14ac:dyDescent="0.2">
      <c r="A248" s="4">
        <v>45351</v>
      </c>
      <c r="B248" t="s">
        <v>51</v>
      </c>
      <c r="C248">
        <v>8770.06</v>
      </c>
      <c r="D248">
        <v>12901.66</v>
      </c>
      <c r="E248">
        <v>22.26</v>
      </c>
      <c r="F248">
        <v>0</v>
      </c>
    </row>
    <row r="249" spans="1:6" x14ac:dyDescent="0.2">
      <c r="A249" s="4">
        <v>45382</v>
      </c>
      <c r="B249" t="s">
        <v>51</v>
      </c>
      <c r="C249">
        <v>8744.49</v>
      </c>
      <c r="D249">
        <v>12935.06</v>
      </c>
      <c r="E249">
        <v>22.53</v>
      </c>
      <c r="F249">
        <v>0</v>
      </c>
    </row>
    <row r="250" spans="1:6" x14ac:dyDescent="0.2">
      <c r="A250" s="4">
        <v>45412</v>
      </c>
      <c r="B250" t="s">
        <v>51</v>
      </c>
      <c r="C250">
        <v>8729.4699999999993</v>
      </c>
      <c r="D250">
        <v>13099.49</v>
      </c>
      <c r="E250">
        <v>22.61</v>
      </c>
      <c r="F250">
        <v>0</v>
      </c>
    </row>
    <row r="251" spans="1:6" x14ac:dyDescent="0.2">
      <c r="A251" s="4">
        <v>45443</v>
      </c>
      <c r="B251" t="s">
        <v>51</v>
      </c>
      <c r="C251">
        <v>8900.4500000000007</v>
      </c>
      <c r="D251">
        <v>12973.17</v>
      </c>
      <c r="E251">
        <v>23.22</v>
      </c>
      <c r="F251">
        <v>0</v>
      </c>
    </row>
    <row r="252" spans="1:6" x14ac:dyDescent="0.2">
      <c r="A252" s="4">
        <v>45473</v>
      </c>
      <c r="B252" t="s">
        <v>51</v>
      </c>
      <c r="C252">
        <v>9051.2999999999993</v>
      </c>
      <c r="D252">
        <v>11387.04</v>
      </c>
      <c r="E252">
        <v>22.97</v>
      </c>
      <c r="F252">
        <v>0</v>
      </c>
    </row>
    <row r="253" spans="1:6" x14ac:dyDescent="0.2">
      <c r="A253" s="4">
        <v>45504</v>
      </c>
      <c r="B253" t="s">
        <v>51</v>
      </c>
      <c r="C253">
        <v>9074.81</v>
      </c>
      <c r="D253">
        <v>10247.780000000001</v>
      </c>
      <c r="E253">
        <v>19.97</v>
      </c>
      <c r="F253">
        <v>0</v>
      </c>
    </row>
    <row r="254" spans="1:6" x14ac:dyDescent="0.2">
      <c r="A254" s="4">
        <v>45535</v>
      </c>
      <c r="B254" t="s">
        <v>51</v>
      </c>
      <c r="C254">
        <v>8922.0400000000009</v>
      </c>
      <c r="D254">
        <v>10020.23</v>
      </c>
      <c r="E254">
        <v>17.670000000000002</v>
      </c>
      <c r="F254">
        <v>0</v>
      </c>
    </row>
    <row r="255" spans="1:6" x14ac:dyDescent="0.2">
      <c r="A255" s="4">
        <v>45565</v>
      </c>
      <c r="B255" t="s">
        <v>51</v>
      </c>
      <c r="C255">
        <v>8877.42</v>
      </c>
      <c r="D255">
        <v>9630.6200000000008</v>
      </c>
      <c r="E255">
        <v>17.46</v>
      </c>
      <c r="F255">
        <v>0</v>
      </c>
    </row>
    <row r="256" spans="1:6" x14ac:dyDescent="0.2">
      <c r="A256" s="4">
        <v>45596</v>
      </c>
      <c r="B256" t="s">
        <v>51</v>
      </c>
      <c r="C256">
        <v>8063.56</v>
      </c>
      <c r="D256">
        <v>8828.36</v>
      </c>
      <c r="E256">
        <v>17</v>
      </c>
      <c r="F256">
        <v>9.93</v>
      </c>
    </row>
    <row r="257" spans="1:6" x14ac:dyDescent="0.2">
      <c r="A257" s="4">
        <v>45626</v>
      </c>
      <c r="B257" t="s">
        <v>51</v>
      </c>
      <c r="C257">
        <v>7994.01</v>
      </c>
      <c r="D257">
        <v>9388.6200000000008</v>
      </c>
      <c r="E257">
        <v>15.33</v>
      </c>
      <c r="F257">
        <v>0</v>
      </c>
    </row>
    <row r="258" spans="1:6" x14ac:dyDescent="0.2">
      <c r="A258" s="4">
        <v>45657</v>
      </c>
      <c r="B258" t="s">
        <v>51</v>
      </c>
      <c r="C258">
        <v>7936.94</v>
      </c>
      <c r="D258">
        <v>9032.84</v>
      </c>
      <c r="E258">
        <v>16.329999999999998</v>
      </c>
      <c r="F258">
        <v>0</v>
      </c>
    </row>
    <row r="259" spans="1:6" x14ac:dyDescent="0.2">
      <c r="A259" s="4">
        <v>45688</v>
      </c>
      <c r="B259" t="s">
        <v>51</v>
      </c>
      <c r="C259">
        <v>7897.74</v>
      </c>
      <c r="D259">
        <v>9274.7900000000009</v>
      </c>
      <c r="E259">
        <v>15.74</v>
      </c>
      <c r="F259">
        <v>0</v>
      </c>
    </row>
    <row r="260" spans="1:6" x14ac:dyDescent="0.2">
      <c r="A260" s="4">
        <v>45716</v>
      </c>
      <c r="B260" t="s">
        <v>51</v>
      </c>
      <c r="C260">
        <v>7955.95</v>
      </c>
      <c r="D260">
        <v>9276.2800000000007</v>
      </c>
      <c r="E260">
        <v>16.329999999999998</v>
      </c>
      <c r="F260">
        <v>0</v>
      </c>
    </row>
    <row r="261" spans="1:6" x14ac:dyDescent="0.2">
      <c r="A261" s="4">
        <v>45747</v>
      </c>
      <c r="B261" t="s">
        <v>51</v>
      </c>
      <c r="C261">
        <v>8100.94</v>
      </c>
      <c r="D261">
        <v>9693.7199999999993</v>
      </c>
      <c r="E261">
        <v>16.489999999999998</v>
      </c>
      <c r="F261">
        <v>0</v>
      </c>
    </row>
  </sheetData>
  <phoneticPr fontId="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8"/>
  <sheetViews>
    <sheetView workbookViewId="0">
      <pane ySplit="2" topLeftCell="A3" activePane="bottomLeft" state="frozen"/>
      <selection pane="bottomLeft"/>
    </sheetView>
  </sheetViews>
  <sheetFormatPr defaultRowHeight="13" x14ac:dyDescent="0.2"/>
  <cols>
    <col min="1" max="1" width="12" style="4" customWidth="1"/>
    <col min="2" max="2" width="30" customWidth="1"/>
    <col min="3" max="3" width="15" customWidth="1"/>
  </cols>
  <sheetData>
    <row r="1" spans="1:3" x14ac:dyDescent="0.2">
      <c r="A1" s="4" t="s">
        <v>6</v>
      </c>
    </row>
    <row r="2" spans="1:3" ht="30" customHeight="1" x14ac:dyDescent="0.2">
      <c r="A2" s="7" t="s">
        <v>0</v>
      </c>
      <c r="B2" s="1" t="s">
        <v>7</v>
      </c>
      <c r="C2" s="1" t="s">
        <v>8</v>
      </c>
    </row>
    <row r="3" spans="1:3" x14ac:dyDescent="0.2">
      <c r="A3" s="4">
        <v>44681</v>
      </c>
      <c r="B3" t="s">
        <v>52</v>
      </c>
      <c r="C3">
        <v>-0.53979999999999995</v>
      </c>
    </row>
    <row r="4" spans="1:3" x14ac:dyDescent="0.2">
      <c r="A4" s="4">
        <v>44712</v>
      </c>
      <c r="B4" t="s">
        <v>52</v>
      </c>
      <c r="C4">
        <v>0.3841</v>
      </c>
    </row>
    <row r="5" spans="1:3" x14ac:dyDescent="0.2">
      <c r="A5" s="4">
        <v>44742</v>
      </c>
      <c r="B5" t="s">
        <v>52</v>
      </c>
      <c r="C5">
        <v>-0.1371</v>
      </c>
    </row>
    <row r="6" spans="1:3" x14ac:dyDescent="0.2">
      <c r="A6" s="4">
        <v>44773</v>
      </c>
      <c r="B6" t="s">
        <v>52</v>
      </c>
      <c r="C6">
        <v>0.23</v>
      </c>
    </row>
    <row r="7" spans="1:3" x14ac:dyDescent="0.2">
      <c r="A7" s="4">
        <v>44804</v>
      </c>
      <c r="B7" t="s">
        <v>52</v>
      </c>
      <c r="C7">
        <v>-0.68069999999999997</v>
      </c>
    </row>
    <row r="8" spans="1:3" x14ac:dyDescent="0.2">
      <c r="A8" s="4">
        <v>44834</v>
      </c>
      <c r="B8" t="s">
        <v>52</v>
      </c>
      <c r="C8">
        <v>0.57520000000000004</v>
      </c>
    </row>
    <row r="9" spans="1:3" x14ac:dyDescent="0.2">
      <c r="A9" s="4">
        <v>44865</v>
      </c>
      <c r="B9" t="s">
        <v>52</v>
      </c>
      <c r="C9">
        <v>-6.5100000000000005E-2</v>
      </c>
    </row>
    <row r="10" spans="1:3" x14ac:dyDescent="0.2">
      <c r="A10" s="4">
        <v>44895</v>
      </c>
      <c r="B10" t="s">
        <v>52</v>
      </c>
      <c r="C10">
        <v>-0.2601</v>
      </c>
    </row>
    <row r="11" spans="1:3" x14ac:dyDescent="0.2">
      <c r="A11" s="4">
        <v>44926</v>
      </c>
      <c r="B11" t="s">
        <v>52</v>
      </c>
      <c r="C11">
        <v>0.64729999999999999</v>
      </c>
    </row>
    <row r="12" spans="1:3" x14ac:dyDescent="0.2">
      <c r="A12" s="4">
        <v>44957</v>
      </c>
      <c r="B12" t="s">
        <v>52</v>
      </c>
      <c r="C12">
        <v>-0.36499999999999999</v>
      </c>
    </row>
    <row r="13" spans="1:3" x14ac:dyDescent="0.2">
      <c r="A13" s="4">
        <v>44985</v>
      </c>
      <c r="B13" t="s">
        <v>52</v>
      </c>
      <c r="C13">
        <v>-0.77149999999999996</v>
      </c>
    </row>
    <row r="14" spans="1:3" x14ac:dyDescent="0.2">
      <c r="A14" s="4">
        <v>45016</v>
      </c>
      <c r="B14" t="s">
        <v>52</v>
      </c>
      <c r="C14">
        <v>-0.85709999999999997</v>
      </c>
    </row>
    <row r="15" spans="1:3" x14ac:dyDescent="0.2">
      <c r="A15" s="4">
        <v>45046</v>
      </c>
      <c r="B15" t="s">
        <v>52</v>
      </c>
      <c r="C15">
        <v>0.39150000000000001</v>
      </c>
    </row>
    <row r="16" spans="1:3" x14ac:dyDescent="0.2">
      <c r="A16" s="4">
        <v>45077</v>
      </c>
      <c r="B16" t="s">
        <v>52</v>
      </c>
      <c r="C16">
        <v>-0.6976</v>
      </c>
    </row>
    <row r="17" spans="1:3" x14ac:dyDescent="0.2">
      <c r="A17" s="4">
        <v>45107</v>
      </c>
      <c r="B17" t="s">
        <v>52</v>
      </c>
      <c r="C17">
        <v>1.0548</v>
      </c>
    </row>
    <row r="18" spans="1:3" x14ac:dyDescent="0.2">
      <c r="A18" s="4">
        <v>45138</v>
      </c>
      <c r="B18" t="s">
        <v>52</v>
      </c>
      <c r="C18">
        <v>-1.1603000000000001</v>
      </c>
    </row>
    <row r="19" spans="1:3" x14ac:dyDescent="0.2">
      <c r="A19" s="4">
        <v>45169</v>
      </c>
      <c r="B19" t="s">
        <v>52</v>
      </c>
      <c r="C19">
        <v>1.0210999999999999</v>
      </c>
    </row>
    <row r="20" spans="1:3" x14ac:dyDescent="0.2">
      <c r="A20" s="4">
        <v>45199</v>
      </c>
      <c r="B20" t="s">
        <v>52</v>
      </c>
      <c r="C20">
        <v>0.16350000000000001</v>
      </c>
    </row>
    <row r="21" spans="1:3" x14ac:dyDescent="0.2">
      <c r="A21" s="4">
        <v>45230</v>
      </c>
      <c r="B21" t="s">
        <v>52</v>
      </c>
      <c r="C21">
        <v>-1.4200000000000001E-2</v>
      </c>
    </row>
    <row r="22" spans="1:3" x14ac:dyDescent="0.2">
      <c r="A22" s="4">
        <v>45260</v>
      </c>
      <c r="B22" t="s">
        <v>52</v>
      </c>
      <c r="C22">
        <v>-0.27289999999999998</v>
      </c>
    </row>
    <row r="23" spans="1:3" x14ac:dyDescent="0.2">
      <c r="A23" s="4">
        <v>45291</v>
      </c>
      <c r="B23" t="s">
        <v>52</v>
      </c>
      <c r="C23">
        <v>0.27210000000000001</v>
      </c>
    </row>
    <row r="24" spans="1:3" x14ac:dyDescent="0.2">
      <c r="A24" s="4">
        <v>45322</v>
      </c>
      <c r="B24" t="s">
        <v>52</v>
      </c>
      <c r="C24">
        <v>1.9900000000000001E-2</v>
      </c>
    </row>
    <row r="25" spans="1:3" x14ac:dyDescent="0.2">
      <c r="A25" s="4">
        <v>45351</v>
      </c>
      <c r="B25" t="s">
        <v>52</v>
      </c>
      <c r="C25">
        <v>0.67869999999999997</v>
      </c>
    </row>
    <row r="26" spans="1:3" x14ac:dyDescent="0.2">
      <c r="A26" s="4">
        <v>45382</v>
      </c>
      <c r="B26" t="s">
        <v>52</v>
      </c>
      <c r="C26">
        <v>0.1076</v>
      </c>
    </row>
    <row r="27" spans="1:3" x14ac:dyDescent="0.2">
      <c r="A27" s="4">
        <v>45412</v>
      </c>
      <c r="B27" t="s">
        <v>52</v>
      </c>
      <c r="C27">
        <v>0.12839999999999999</v>
      </c>
    </row>
    <row r="28" spans="1:3" x14ac:dyDescent="0.2">
      <c r="A28" s="4">
        <v>45443</v>
      </c>
      <c r="B28" t="s">
        <v>52</v>
      </c>
      <c r="C28">
        <v>-0.16830000000000001</v>
      </c>
    </row>
    <row r="29" spans="1:3" x14ac:dyDescent="0.2">
      <c r="A29" s="4">
        <v>45473</v>
      </c>
      <c r="B29" t="s">
        <v>52</v>
      </c>
      <c r="C29">
        <v>8.8000000000000005E-3</v>
      </c>
    </row>
    <row r="30" spans="1:3" x14ac:dyDescent="0.2">
      <c r="A30" s="4">
        <v>45504</v>
      </c>
      <c r="B30" t="s">
        <v>52</v>
      </c>
      <c r="C30">
        <v>0.21940000000000001</v>
      </c>
    </row>
    <row r="31" spans="1:3" x14ac:dyDescent="0.2">
      <c r="A31" s="4">
        <v>45535</v>
      </c>
      <c r="B31" t="s">
        <v>52</v>
      </c>
      <c r="C31">
        <v>-0.94569999999999999</v>
      </c>
    </row>
    <row r="32" spans="1:3" x14ac:dyDescent="0.2">
      <c r="A32" s="4">
        <v>45565</v>
      </c>
      <c r="B32" t="s">
        <v>52</v>
      </c>
      <c r="C32">
        <v>-0.73670000000000002</v>
      </c>
    </row>
    <row r="33" spans="1:3" x14ac:dyDescent="0.2">
      <c r="A33" s="4">
        <v>45596</v>
      </c>
      <c r="B33" t="s">
        <v>52</v>
      </c>
      <c r="C33">
        <v>0.4708</v>
      </c>
    </row>
    <row r="34" spans="1:3" x14ac:dyDescent="0.2">
      <c r="A34" s="4">
        <v>45626</v>
      </c>
      <c r="B34" t="s">
        <v>52</v>
      </c>
      <c r="C34">
        <v>0.14030000000000001</v>
      </c>
    </row>
    <row r="35" spans="1:3" x14ac:dyDescent="0.2">
      <c r="A35" s="4">
        <v>45657</v>
      </c>
      <c r="B35" t="s">
        <v>52</v>
      </c>
      <c r="C35">
        <v>-6.4600000000000005E-2</v>
      </c>
    </row>
    <row r="36" spans="1:3" x14ac:dyDescent="0.2">
      <c r="A36" s="4">
        <v>45688</v>
      </c>
      <c r="B36" t="s">
        <v>52</v>
      </c>
      <c r="C36">
        <v>5.2299999999999999E-2</v>
      </c>
    </row>
    <row r="37" spans="1:3" x14ac:dyDescent="0.2">
      <c r="A37" s="4">
        <v>45716</v>
      </c>
      <c r="B37" t="s">
        <v>52</v>
      </c>
      <c r="C37">
        <v>0.24229999999999999</v>
      </c>
    </row>
    <row r="38" spans="1:3" x14ac:dyDescent="0.2">
      <c r="A38" s="4">
        <v>45747</v>
      </c>
      <c r="B38" t="s">
        <v>52</v>
      </c>
      <c r="C38">
        <v>-0.27</v>
      </c>
    </row>
    <row r="39" spans="1:3" x14ac:dyDescent="0.2">
      <c r="A39" s="4">
        <v>44681</v>
      </c>
      <c r="B39" t="s">
        <v>53</v>
      </c>
      <c r="C39">
        <v>-2.9000000000000001E-2</v>
      </c>
    </row>
    <row r="40" spans="1:3" x14ac:dyDescent="0.2">
      <c r="A40" s="4">
        <v>44712</v>
      </c>
      <c r="B40" t="s">
        <v>53</v>
      </c>
      <c r="C40">
        <v>0.1116</v>
      </c>
    </row>
    <row r="41" spans="1:3" x14ac:dyDescent="0.2">
      <c r="A41" s="4">
        <v>44742</v>
      </c>
      <c r="B41" t="s">
        <v>53</v>
      </c>
      <c r="C41">
        <v>-5.79E-2</v>
      </c>
    </row>
    <row r="42" spans="1:3" x14ac:dyDescent="0.2">
      <c r="A42" s="4">
        <v>44773</v>
      </c>
      <c r="B42" t="s">
        <v>53</v>
      </c>
      <c r="C42">
        <v>0.14230000000000001</v>
      </c>
    </row>
    <row r="43" spans="1:3" x14ac:dyDescent="0.2">
      <c r="A43" s="4">
        <v>44804</v>
      </c>
      <c r="B43" t="s">
        <v>53</v>
      </c>
      <c r="C43">
        <v>-0.16239999999999999</v>
      </c>
    </row>
    <row r="44" spans="1:3" x14ac:dyDescent="0.2">
      <c r="A44" s="4">
        <v>44834</v>
      </c>
      <c r="B44" t="s">
        <v>53</v>
      </c>
      <c r="C44">
        <v>0.2319</v>
      </c>
    </row>
    <row r="45" spans="1:3" x14ac:dyDescent="0.2">
      <c r="A45" s="4">
        <v>44865</v>
      </c>
      <c r="B45" t="s">
        <v>53</v>
      </c>
      <c r="C45">
        <v>0.1515</v>
      </c>
    </row>
    <row r="46" spans="1:3" x14ac:dyDescent="0.2">
      <c r="A46" s="4">
        <v>44895</v>
      </c>
      <c r="B46" t="s">
        <v>53</v>
      </c>
      <c r="C46">
        <v>0.1203</v>
      </c>
    </row>
    <row r="47" spans="1:3" x14ac:dyDescent="0.2">
      <c r="A47" s="4">
        <v>44926</v>
      </c>
      <c r="B47" t="s">
        <v>53</v>
      </c>
      <c r="C47">
        <v>0.22520000000000001</v>
      </c>
    </row>
    <row r="48" spans="1:3" x14ac:dyDescent="0.2">
      <c r="A48" s="4">
        <v>44957</v>
      </c>
      <c r="B48" t="s">
        <v>53</v>
      </c>
      <c r="C48">
        <v>0.32369999999999999</v>
      </c>
    </row>
    <row r="49" spans="1:3" x14ac:dyDescent="0.2">
      <c r="A49" s="4">
        <v>44985</v>
      </c>
      <c r="B49" t="s">
        <v>53</v>
      </c>
      <c r="C49">
        <v>0.22969999999999999</v>
      </c>
    </row>
    <row r="50" spans="1:3" x14ac:dyDescent="0.2">
      <c r="A50" s="4">
        <v>45016</v>
      </c>
      <c r="B50" t="s">
        <v>53</v>
      </c>
      <c r="C50">
        <v>-0.18240000000000001</v>
      </c>
    </row>
    <row r="51" spans="1:3" x14ac:dyDescent="0.2">
      <c r="A51" s="4">
        <v>45046</v>
      </c>
      <c r="B51" t="s">
        <v>53</v>
      </c>
      <c r="C51">
        <v>-0.1014</v>
      </c>
    </row>
    <row r="52" spans="1:3" x14ac:dyDescent="0.2">
      <c r="A52" s="4">
        <v>45077</v>
      </c>
      <c r="B52" t="s">
        <v>53</v>
      </c>
      <c r="C52">
        <v>-6.8999999999999999E-3</v>
      </c>
    </row>
    <row r="53" spans="1:3" x14ac:dyDescent="0.2">
      <c r="A53" s="4">
        <v>45107</v>
      </c>
      <c r="B53" t="s">
        <v>53</v>
      </c>
      <c r="C53">
        <v>8.7099999999999997E-2</v>
      </c>
    </row>
    <row r="54" spans="1:3" x14ac:dyDescent="0.2">
      <c r="A54" s="4">
        <v>45138</v>
      </c>
      <c r="B54" t="s">
        <v>53</v>
      </c>
      <c r="C54">
        <v>0.15809999999999999</v>
      </c>
    </row>
    <row r="55" spans="1:3" x14ac:dyDescent="0.2">
      <c r="A55" s="4">
        <v>45169</v>
      </c>
      <c r="B55" t="s">
        <v>53</v>
      </c>
      <c r="C55">
        <v>-2.1399999999999999E-2</v>
      </c>
    </row>
    <row r="56" spans="1:3" x14ac:dyDescent="0.2">
      <c r="A56" s="4">
        <v>45199</v>
      </c>
      <c r="B56" t="s">
        <v>53</v>
      </c>
      <c r="C56">
        <v>0.1103</v>
      </c>
    </row>
    <row r="57" spans="1:3" x14ac:dyDescent="0.2">
      <c r="A57" s="4">
        <v>45230</v>
      </c>
      <c r="B57" t="s">
        <v>53</v>
      </c>
      <c r="C57">
        <v>-2.5700000000000001E-2</v>
      </c>
    </row>
    <row r="58" spans="1:3" x14ac:dyDescent="0.2">
      <c r="A58" s="4">
        <v>45260</v>
      </c>
      <c r="B58" t="s">
        <v>53</v>
      </c>
      <c r="C58">
        <v>-4.8999999999999998E-3</v>
      </c>
    </row>
    <row r="59" spans="1:3" x14ac:dyDescent="0.2">
      <c r="A59" s="4">
        <v>45291</v>
      </c>
      <c r="B59" t="s">
        <v>53</v>
      </c>
      <c r="C59">
        <v>-0.1197</v>
      </c>
    </row>
    <row r="60" spans="1:3" x14ac:dyDescent="0.2">
      <c r="A60" s="4">
        <v>45322</v>
      </c>
      <c r="B60" t="s">
        <v>53</v>
      </c>
      <c r="C60">
        <v>-4.99E-2</v>
      </c>
    </row>
    <row r="61" spans="1:3" x14ac:dyDescent="0.2">
      <c r="A61" s="4">
        <v>45351</v>
      </c>
      <c r="B61" t="s">
        <v>53</v>
      </c>
      <c r="C61">
        <v>-0.1118</v>
      </c>
    </row>
    <row r="62" spans="1:3" x14ac:dyDescent="0.2">
      <c r="A62" s="4">
        <v>45382</v>
      </c>
      <c r="B62" t="s">
        <v>53</v>
      </c>
      <c r="C62">
        <v>-5.7500000000000002E-2</v>
      </c>
    </row>
    <row r="63" spans="1:3" x14ac:dyDescent="0.2">
      <c r="A63" s="4">
        <v>45412</v>
      </c>
      <c r="B63" t="s">
        <v>53</v>
      </c>
      <c r="C63">
        <v>0.2354</v>
      </c>
    </row>
    <row r="64" spans="1:3" x14ac:dyDescent="0.2">
      <c r="A64" s="4">
        <v>45443</v>
      </c>
      <c r="B64" t="s">
        <v>53</v>
      </c>
      <c r="C64">
        <v>-5.3699999999999998E-2</v>
      </c>
    </row>
    <row r="65" spans="1:3" x14ac:dyDescent="0.2">
      <c r="A65" s="4">
        <v>45473</v>
      </c>
      <c r="B65" t="s">
        <v>53</v>
      </c>
      <c r="C65">
        <v>0.46329999999999999</v>
      </c>
    </row>
    <row r="66" spans="1:3" x14ac:dyDescent="0.2">
      <c r="A66" s="4">
        <v>45504</v>
      </c>
      <c r="B66" t="s">
        <v>53</v>
      </c>
      <c r="C66">
        <v>0.1545</v>
      </c>
    </row>
    <row r="67" spans="1:3" x14ac:dyDescent="0.2">
      <c r="A67" s="4">
        <v>45535</v>
      </c>
      <c r="B67" t="s">
        <v>53</v>
      </c>
      <c r="C67">
        <v>0.11</v>
      </c>
    </row>
    <row r="68" spans="1:3" x14ac:dyDescent="0.2">
      <c r="A68" s="4">
        <v>45565</v>
      </c>
      <c r="B68" t="s">
        <v>53</v>
      </c>
      <c r="C68">
        <v>-4.0599999999999997E-2</v>
      </c>
    </row>
    <row r="69" spans="1:3" x14ac:dyDescent="0.2">
      <c r="A69" s="4">
        <v>45596</v>
      </c>
      <c r="B69" t="s">
        <v>53</v>
      </c>
      <c r="C69">
        <v>0.18440000000000001</v>
      </c>
    </row>
    <row r="70" spans="1:3" x14ac:dyDescent="0.2">
      <c r="A70" s="4">
        <v>45626</v>
      </c>
      <c r="B70" t="s">
        <v>53</v>
      </c>
      <c r="C70">
        <v>2.0000000000000001E-4</v>
      </c>
    </row>
    <row r="71" spans="1:3" x14ac:dyDescent="0.2">
      <c r="A71" s="4">
        <v>45657</v>
      </c>
      <c r="B71" t="s">
        <v>53</v>
      </c>
      <c r="C71">
        <v>0.1009</v>
      </c>
    </row>
    <row r="72" spans="1:3" x14ac:dyDescent="0.2">
      <c r="A72" s="4">
        <v>45688</v>
      </c>
      <c r="B72" t="s">
        <v>53</v>
      </c>
      <c r="C72">
        <v>0.45279999999999998</v>
      </c>
    </row>
    <row r="73" spans="1:3" x14ac:dyDescent="0.2">
      <c r="A73" s="4">
        <v>45716</v>
      </c>
      <c r="B73" t="s">
        <v>53</v>
      </c>
      <c r="C73">
        <v>6.9500000000000006E-2</v>
      </c>
    </row>
    <row r="74" spans="1:3" x14ac:dyDescent="0.2">
      <c r="A74" s="4">
        <v>45747</v>
      </c>
      <c r="B74" t="s">
        <v>53</v>
      </c>
      <c r="C74">
        <v>0.2492</v>
      </c>
    </row>
    <row r="75" spans="1:3" x14ac:dyDescent="0.2">
      <c r="A75" s="4">
        <v>44681</v>
      </c>
      <c r="B75" t="s">
        <v>54</v>
      </c>
      <c r="C75">
        <v>-0.60360000000000003</v>
      </c>
    </row>
    <row r="76" spans="1:3" x14ac:dyDescent="0.2">
      <c r="A76" s="4">
        <v>44712</v>
      </c>
      <c r="B76" t="s">
        <v>54</v>
      </c>
      <c r="C76">
        <v>0.16789999999999999</v>
      </c>
    </row>
    <row r="77" spans="1:3" x14ac:dyDescent="0.2">
      <c r="A77" s="4">
        <v>44742</v>
      </c>
      <c r="B77" t="s">
        <v>54</v>
      </c>
      <c r="C77">
        <v>2.2530999999999999</v>
      </c>
    </row>
    <row r="78" spans="1:3" x14ac:dyDescent="0.2">
      <c r="A78" s="4">
        <v>44773</v>
      </c>
      <c r="B78" t="s">
        <v>54</v>
      </c>
      <c r="C78">
        <v>-0.51559999999999995</v>
      </c>
    </row>
    <row r="79" spans="1:3" x14ac:dyDescent="0.2">
      <c r="A79" s="4">
        <v>44804</v>
      </c>
      <c r="B79" t="s">
        <v>54</v>
      </c>
      <c r="C79">
        <v>2.3012000000000001</v>
      </c>
    </row>
    <row r="80" spans="1:3" x14ac:dyDescent="0.2">
      <c r="A80" s="4">
        <v>44834</v>
      </c>
      <c r="B80" t="s">
        <v>54</v>
      </c>
      <c r="C80">
        <v>1.0256000000000001</v>
      </c>
    </row>
    <row r="81" spans="1:3" x14ac:dyDescent="0.2">
      <c r="A81" s="4">
        <v>44865</v>
      </c>
      <c r="B81" t="s">
        <v>54</v>
      </c>
      <c r="C81">
        <v>-0.44109999999999999</v>
      </c>
    </row>
    <row r="82" spans="1:3" x14ac:dyDescent="0.2">
      <c r="A82" s="4">
        <v>44895</v>
      </c>
      <c r="B82" t="s">
        <v>54</v>
      </c>
      <c r="C82">
        <v>0.93859999999999999</v>
      </c>
    </row>
    <row r="83" spans="1:3" x14ac:dyDescent="0.2">
      <c r="A83" s="4">
        <v>44926</v>
      </c>
      <c r="B83" t="s">
        <v>54</v>
      </c>
      <c r="C83">
        <v>1.3312999999999999</v>
      </c>
    </row>
    <row r="84" spans="1:3" x14ac:dyDescent="0.2">
      <c r="A84" s="4">
        <v>44957</v>
      </c>
      <c r="B84" t="s">
        <v>54</v>
      </c>
      <c r="C84">
        <v>0.92630000000000001</v>
      </c>
    </row>
    <row r="85" spans="1:3" x14ac:dyDescent="0.2">
      <c r="A85" s="4">
        <v>44985</v>
      </c>
      <c r="B85" t="s">
        <v>54</v>
      </c>
      <c r="C85">
        <v>-1.6048</v>
      </c>
    </row>
    <row r="86" spans="1:3" x14ac:dyDescent="0.2">
      <c r="A86" s="4">
        <v>45016</v>
      </c>
      <c r="B86" t="s">
        <v>54</v>
      </c>
      <c r="C86">
        <v>-0.63129999999999997</v>
      </c>
    </row>
    <row r="87" spans="1:3" x14ac:dyDescent="0.2">
      <c r="A87" s="4">
        <v>45046</v>
      </c>
      <c r="B87" t="s">
        <v>54</v>
      </c>
      <c r="C87">
        <v>-7.7499999999999999E-2</v>
      </c>
    </row>
    <row r="88" spans="1:3" x14ac:dyDescent="0.2">
      <c r="A88" s="4">
        <v>45077</v>
      </c>
      <c r="B88" t="s">
        <v>54</v>
      </c>
      <c r="C88">
        <v>0.12239999999999999</v>
      </c>
    </row>
    <row r="89" spans="1:3" x14ac:dyDescent="0.2">
      <c r="A89" s="4">
        <v>45107</v>
      </c>
      <c r="B89" t="s">
        <v>54</v>
      </c>
      <c r="C89">
        <v>0.92500000000000004</v>
      </c>
    </row>
    <row r="90" spans="1:3" x14ac:dyDescent="0.2">
      <c r="A90" s="4">
        <v>45138</v>
      </c>
      <c r="B90" t="s">
        <v>54</v>
      </c>
      <c r="C90">
        <v>0.41349999999999998</v>
      </c>
    </row>
    <row r="91" spans="1:3" x14ac:dyDescent="0.2">
      <c r="A91" s="4">
        <v>45169</v>
      </c>
      <c r="B91" t="s">
        <v>54</v>
      </c>
      <c r="C91">
        <v>-1.3335999999999999</v>
      </c>
    </row>
    <row r="92" spans="1:3" x14ac:dyDescent="0.2">
      <c r="A92" s="4">
        <v>45199</v>
      </c>
      <c r="B92" t="s">
        <v>54</v>
      </c>
      <c r="C92">
        <v>0.64729999999999999</v>
      </c>
    </row>
    <row r="93" spans="1:3" x14ac:dyDescent="0.2">
      <c r="A93" s="4">
        <v>45230</v>
      </c>
      <c r="B93" t="s">
        <v>54</v>
      </c>
      <c r="C93">
        <v>0.91339999999999999</v>
      </c>
    </row>
    <row r="94" spans="1:3" x14ac:dyDescent="0.2">
      <c r="A94" s="4">
        <v>45260</v>
      </c>
      <c r="B94" t="s">
        <v>54</v>
      </c>
      <c r="C94">
        <v>0.85470000000000002</v>
      </c>
    </row>
    <row r="95" spans="1:3" x14ac:dyDescent="0.2">
      <c r="A95" s="4">
        <v>45291</v>
      </c>
      <c r="B95" t="s">
        <v>54</v>
      </c>
      <c r="C95">
        <v>1.4562999999999999</v>
      </c>
    </row>
    <row r="96" spans="1:3" x14ac:dyDescent="0.2">
      <c r="A96" s="4">
        <v>45322</v>
      </c>
      <c r="B96" t="s">
        <v>54</v>
      </c>
      <c r="C96">
        <v>1.1713</v>
      </c>
    </row>
    <row r="97" spans="1:3" x14ac:dyDescent="0.2">
      <c r="A97" s="4">
        <v>45351</v>
      </c>
      <c r="B97" t="s">
        <v>54</v>
      </c>
      <c r="C97">
        <v>0.73850000000000005</v>
      </c>
    </row>
    <row r="98" spans="1:3" x14ac:dyDescent="0.2">
      <c r="A98" s="4">
        <v>45382</v>
      </c>
      <c r="B98" t="s">
        <v>54</v>
      </c>
      <c r="C98">
        <v>0.1273</v>
      </c>
    </row>
    <row r="99" spans="1:3" x14ac:dyDescent="0.2">
      <c r="A99" s="4">
        <v>45412</v>
      </c>
      <c r="B99" t="s">
        <v>54</v>
      </c>
      <c r="C99">
        <v>-1.7096</v>
      </c>
    </row>
    <row r="100" spans="1:3" x14ac:dyDescent="0.2">
      <c r="A100" s="4">
        <v>45443</v>
      </c>
      <c r="B100" t="s">
        <v>54</v>
      </c>
      <c r="C100">
        <v>0.70440000000000003</v>
      </c>
    </row>
    <row r="101" spans="1:3" x14ac:dyDescent="0.2">
      <c r="A101" s="4">
        <v>45473</v>
      </c>
      <c r="B101" t="s">
        <v>54</v>
      </c>
      <c r="C101">
        <v>0.44819999999999999</v>
      </c>
    </row>
    <row r="102" spans="1:3" x14ac:dyDescent="0.2">
      <c r="A102" s="4">
        <v>45504</v>
      </c>
      <c r="B102" t="s">
        <v>54</v>
      </c>
      <c r="C102">
        <v>0.52190000000000003</v>
      </c>
    </row>
    <row r="103" spans="1:3" x14ac:dyDescent="0.2">
      <c r="A103" s="4">
        <v>45535</v>
      </c>
      <c r="B103" t="s">
        <v>54</v>
      </c>
      <c r="C103">
        <v>-1.2659</v>
      </c>
    </row>
    <row r="104" spans="1:3" x14ac:dyDescent="0.2">
      <c r="A104" s="4">
        <v>45565</v>
      </c>
      <c r="B104" t="s">
        <v>54</v>
      </c>
      <c r="C104">
        <v>-1.04</v>
      </c>
    </row>
    <row r="105" spans="1:3" x14ac:dyDescent="0.2">
      <c r="A105" s="4">
        <v>45596</v>
      </c>
      <c r="B105" t="s">
        <v>54</v>
      </c>
      <c r="C105">
        <v>1.4244000000000001</v>
      </c>
    </row>
    <row r="106" spans="1:3" x14ac:dyDescent="0.2">
      <c r="A106" s="4">
        <v>45626</v>
      </c>
      <c r="B106" t="s">
        <v>54</v>
      </c>
      <c r="C106">
        <v>0.16270000000000001</v>
      </c>
    </row>
    <row r="107" spans="1:3" x14ac:dyDescent="0.2">
      <c r="A107" s="4">
        <v>45657</v>
      </c>
      <c r="B107" t="s">
        <v>54</v>
      </c>
      <c r="C107">
        <v>0.99529999999999996</v>
      </c>
    </row>
    <row r="108" spans="1:3" x14ac:dyDescent="0.2">
      <c r="A108" s="4">
        <v>45688</v>
      </c>
      <c r="B108" t="s">
        <v>54</v>
      </c>
      <c r="C108">
        <v>0.24099999999999999</v>
      </c>
    </row>
    <row r="109" spans="1:3" x14ac:dyDescent="0.2">
      <c r="A109" s="4">
        <v>45716</v>
      </c>
      <c r="B109" t="s">
        <v>54</v>
      </c>
      <c r="C109">
        <v>0.2427</v>
      </c>
    </row>
    <row r="110" spans="1:3" x14ac:dyDescent="0.2">
      <c r="A110" s="4">
        <v>45747</v>
      </c>
      <c r="B110" t="s">
        <v>54</v>
      </c>
      <c r="C110">
        <v>1.2918000000000001</v>
      </c>
    </row>
    <row r="111" spans="1:3" x14ac:dyDescent="0.2">
      <c r="A111" s="4">
        <v>44681</v>
      </c>
      <c r="B111" t="s">
        <v>55</v>
      </c>
      <c r="C111">
        <v>-2.0148000000000001</v>
      </c>
    </row>
    <row r="112" spans="1:3" x14ac:dyDescent="0.2">
      <c r="A112" s="4">
        <v>44712</v>
      </c>
      <c r="B112" t="s">
        <v>55</v>
      </c>
      <c r="C112">
        <v>1.1660999999999999</v>
      </c>
    </row>
    <row r="113" spans="1:3" x14ac:dyDescent="0.2">
      <c r="A113" s="4">
        <v>44742</v>
      </c>
      <c r="B113" t="s">
        <v>55</v>
      </c>
      <c r="C113">
        <v>-1.7354000000000001</v>
      </c>
    </row>
    <row r="114" spans="1:3" x14ac:dyDescent="0.2">
      <c r="A114" s="4">
        <v>44773</v>
      </c>
      <c r="B114" t="s">
        <v>55</v>
      </c>
      <c r="C114">
        <v>-1.591</v>
      </c>
    </row>
    <row r="115" spans="1:3" x14ac:dyDescent="0.2">
      <c r="A115" s="4">
        <v>44804</v>
      </c>
      <c r="B115" t="s">
        <v>55</v>
      </c>
      <c r="C115">
        <v>-0.93979999999999997</v>
      </c>
    </row>
    <row r="116" spans="1:3" x14ac:dyDescent="0.2">
      <c r="A116" s="4">
        <v>44834</v>
      </c>
      <c r="B116" t="s">
        <v>55</v>
      </c>
      <c r="C116">
        <v>1.8209</v>
      </c>
    </row>
    <row r="117" spans="1:3" x14ac:dyDescent="0.2">
      <c r="A117" s="4">
        <v>44865</v>
      </c>
      <c r="B117" t="s">
        <v>55</v>
      </c>
      <c r="C117">
        <v>-1.821</v>
      </c>
    </row>
    <row r="118" spans="1:3" x14ac:dyDescent="0.2">
      <c r="A118" s="4">
        <v>44895</v>
      </c>
      <c r="B118" t="s">
        <v>55</v>
      </c>
      <c r="C118">
        <v>7.1917999999999997</v>
      </c>
    </row>
    <row r="119" spans="1:3" x14ac:dyDescent="0.2">
      <c r="A119" s="4">
        <v>44926</v>
      </c>
      <c r="B119" t="s">
        <v>55</v>
      </c>
      <c r="C119">
        <v>-3.9817999999999998</v>
      </c>
    </row>
    <row r="120" spans="1:3" x14ac:dyDescent="0.2">
      <c r="A120" s="4">
        <v>44957</v>
      </c>
      <c r="B120" t="s">
        <v>55</v>
      </c>
      <c r="C120">
        <v>-0.30430000000000001</v>
      </c>
    </row>
    <row r="121" spans="1:3" x14ac:dyDescent="0.2">
      <c r="A121" s="4">
        <v>44985</v>
      </c>
      <c r="B121" t="s">
        <v>55</v>
      </c>
      <c r="C121">
        <v>-1.6182000000000001</v>
      </c>
    </row>
    <row r="122" spans="1:3" x14ac:dyDescent="0.2">
      <c r="A122" s="4">
        <v>45016</v>
      </c>
      <c r="B122" t="s">
        <v>55</v>
      </c>
      <c r="C122">
        <v>8.1853999999999996</v>
      </c>
    </row>
    <row r="123" spans="1:3" x14ac:dyDescent="0.2">
      <c r="A123" s="4">
        <v>45046</v>
      </c>
      <c r="B123" t="s">
        <v>55</v>
      </c>
      <c r="C123">
        <v>1.6879999999999999</v>
      </c>
    </row>
    <row r="124" spans="1:3" x14ac:dyDescent="0.2">
      <c r="A124" s="4">
        <v>45077</v>
      </c>
      <c r="B124" t="s">
        <v>55</v>
      </c>
      <c r="C124">
        <v>6.0282999999999998</v>
      </c>
    </row>
    <row r="125" spans="1:3" x14ac:dyDescent="0.2">
      <c r="A125" s="4">
        <v>45107</v>
      </c>
      <c r="B125" t="s">
        <v>55</v>
      </c>
      <c r="C125">
        <v>-7.0525000000000002</v>
      </c>
    </row>
    <row r="126" spans="1:3" x14ac:dyDescent="0.2">
      <c r="A126" s="4">
        <v>45138</v>
      </c>
      <c r="B126" t="s">
        <v>55</v>
      </c>
      <c r="C126">
        <v>2.0543</v>
      </c>
    </row>
    <row r="127" spans="1:3" x14ac:dyDescent="0.2">
      <c r="A127" s="4">
        <v>45169</v>
      </c>
      <c r="B127" t="s">
        <v>55</v>
      </c>
      <c r="C127">
        <v>5.2892999999999999</v>
      </c>
    </row>
    <row r="128" spans="1:3" x14ac:dyDescent="0.2">
      <c r="A128" s="4">
        <v>45199</v>
      </c>
      <c r="B128" t="s">
        <v>55</v>
      </c>
      <c r="C128">
        <v>1.0942000000000001</v>
      </c>
    </row>
    <row r="129" spans="1:3" x14ac:dyDescent="0.2">
      <c r="A129" s="4">
        <v>45230</v>
      </c>
      <c r="B129" t="s">
        <v>55</v>
      </c>
      <c r="C129">
        <v>6.2031000000000001</v>
      </c>
    </row>
    <row r="130" spans="1:3" x14ac:dyDescent="0.2">
      <c r="A130" s="4">
        <v>45260</v>
      </c>
      <c r="B130" t="s">
        <v>55</v>
      </c>
      <c r="C130">
        <v>-2.0211999999999999</v>
      </c>
    </row>
    <row r="131" spans="1:3" x14ac:dyDescent="0.2">
      <c r="A131" s="4">
        <v>45291</v>
      </c>
      <c r="B131" t="s">
        <v>55</v>
      </c>
      <c r="C131">
        <v>7.9898999999999996</v>
      </c>
    </row>
    <row r="132" spans="1:3" x14ac:dyDescent="0.2">
      <c r="A132" s="4">
        <v>45322</v>
      </c>
      <c r="B132" t="s">
        <v>55</v>
      </c>
      <c r="C132">
        <v>12.6121</v>
      </c>
    </row>
    <row r="133" spans="1:3" x14ac:dyDescent="0.2">
      <c r="A133" s="4">
        <v>45351</v>
      </c>
      <c r="B133" t="s">
        <v>55</v>
      </c>
      <c r="C133">
        <v>-1.2186999999999999</v>
      </c>
    </row>
    <row r="134" spans="1:3" x14ac:dyDescent="0.2">
      <c r="A134" s="4">
        <v>45382</v>
      </c>
      <c r="B134" t="s">
        <v>55</v>
      </c>
      <c r="C134">
        <v>-1.6482000000000001</v>
      </c>
    </row>
    <row r="135" spans="1:3" x14ac:dyDescent="0.2">
      <c r="A135" s="4">
        <v>45412</v>
      </c>
      <c r="B135" t="s">
        <v>55</v>
      </c>
      <c r="C135">
        <v>8.2187000000000001</v>
      </c>
    </row>
    <row r="136" spans="1:3" x14ac:dyDescent="0.2">
      <c r="A136" s="4">
        <v>45443</v>
      </c>
      <c r="B136" t="s">
        <v>55</v>
      </c>
      <c r="C136">
        <v>8.8743999999999996</v>
      </c>
    </row>
    <row r="137" spans="1:3" x14ac:dyDescent="0.2">
      <c r="A137" s="4">
        <v>45473</v>
      </c>
      <c r="B137" t="s">
        <v>55</v>
      </c>
      <c r="C137">
        <v>-2.0501999999999998</v>
      </c>
    </row>
    <row r="138" spans="1:3" x14ac:dyDescent="0.2">
      <c r="A138" s="4">
        <v>45504</v>
      </c>
      <c r="B138" t="s">
        <v>55</v>
      </c>
      <c r="C138">
        <v>-1.5166999999999999</v>
      </c>
    </row>
    <row r="139" spans="1:3" x14ac:dyDescent="0.2">
      <c r="A139" s="4">
        <v>45535</v>
      </c>
      <c r="B139" t="s">
        <v>55</v>
      </c>
      <c r="C139">
        <v>-0.79749999999999999</v>
      </c>
    </row>
    <row r="140" spans="1:3" x14ac:dyDescent="0.2">
      <c r="A140" s="4">
        <v>45565</v>
      </c>
      <c r="B140" t="s">
        <v>55</v>
      </c>
      <c r="C140">
        <v>-6.3193000000000001</v>
      </c>
    </row>
    <row r="141" spans="1:3" x14ac:dyDescent="0.2">
      <c r="A141" s="4">
        <v>45596</v>
      </c>
      <c r="B141" t="s">
        <v>55</v>
      </c>
      <c r="C141">
        <v>-4.1067999999999998</v>
      </c>
    </row>
    <row r="142" spans="1:3" x14ac:dyDescent="0.2">
      <c r="A142" s="4">
        <v>45626</v>
      </c>
      <c r="B142" t="s">
        <v>55</v>
      </c>
      <c r="C142">
        <v>-4.5510000000000002</v>
      </c>
    </row>
    <row r="143" spans="1:3" x14ac:dyDescent="0.2">
      <c r="A143" s="4">
        <v>45657</v>
      </c>
      <c r="B143" t="s">
        <v>55</v>
      </c>
      <c r="C143">
        <v>-3.3229000000000002</v>
      </c>
    </row>
    <row r="144" spans="1:3" x14ac:dyDescent="0.2">
      <c r="A144" s="4">
        <v>45688</v>
      </c>
      <c r="B144" t="s">
        <v>55</v>
      </c>
      <c r="C144">
        <v>0.4864</v>
      </c>
    </row>
    <row r="145" spans="1:3" x14ac:dyDescent="0.2">
      <c r="A145" s="4">
        <v>45716</v>
      </c>
      <c r="B145" t="s">
        <v>55</v>
      </c>
      <c r="C145">
        <v>1.8836999999999999</v>
      </c>
    </row>
    <row r="146" spans="1:3" x14ac:dyDescent="0.2">
      <c r="A146" s="4">
        <v>45747</v>
      </c>
      <c r="B146" t="s">
        <v>55</v>
      </c>
      <c r="C146">
        <v>8.7233000000000001</v>
      </c>
    </row>
    <row r="147" spans="1:3" x14ac:dyDescent="0.2">
      <c r="A147" s="4">
        <v>44681</v>
      </c>
      <c r="B147" t="s">
        <v>56</v>
      </c>
      <c r="C147">
        <v>-3.0417000000000001</v>
      </c>
    </row>
    <row r="148" spans="1:3" x14ac:dyDescent="0.2">
      <c r="A148" s="4">
        <v>44712</v>
      </c>
      <c r="B148" t="s">
        <v>56</v>
      </c>
      <c r="C148">
        <v>3.8264999999999998</v>
      </c>
    </row>
    <row r="149" spans="1:3" x14ac:dyDescent="0.2">
      <c r="A149" s="4">
        <v>44742</v>
      </c>
      <c r="B149" t="s">
        <v>56</v>
      </c>
      <c r="C149">
        <v>-0.3246</v>
      </c>
    </row>
    <row r="150" spans="1:3" x14ac:dyDescent="0.2">
      <c r="A150" s="4">
        <v>44773</v>
      </c>
      <c r="B150" t="s">
        <v>56</v>
      </c>
      <c r="C150">
        <v>0.24529999999999999</v>
      </c>
    </row>
    <row r="151" spans="1:3" x14ac:dyDescent="0.2">
      <c r="A151" s="4">
        <v>44804</v>
      </c>
      <c r="B151" t="s">
        <v>56</v>
      </c>
      <c r="C151">
        <v>2.7543000000000002</v>
      </c>
    </row>
    <row r="152" spans="1:3" x14ac:dyDescent="0.2">
      <c r="A152" s="4">
        <v>44834</v>
      </c>
      <c r="B152" t="s">
        <v>56</v>
      </c>
      <c r="C152">
        <v>-3.4725999999999999</v>
      </c>
    </row>
    <row r="153" spans="1:3" x14ac:dyDescent="0.2">
      <c r="A153" s="4">
        <v>44865</v>
      </c>
      <c r="B153" t="s">
        <v>56</v>
      </c>
      <c r="C153">
        <v>1.7414000000000001</v>
      </c>
    </row>
    <row r="154" spans="1:3" x14ac:dyDescent="0.2">
      <c r="A154" s="4">
        <v>44895</v>
      </c>
      <c r="B154" t="s">
        <v>56</v>
      </c>
      <c r="C154">
        <v>0.99329999999999996</v>
      </c>
    </row>
    <row r="155" spans="1:3" x14ac:dyDescent="0.2">
      <c r="A155" s="4">
        <v>44926</v>
      </c>
      <c r="B155" t="s">
        <v>56</v>
      </c>
      <c r="C155">
        <v>2.1225999999999998</v>
      </c>
    </row>
    <row r="156" spans="1:3" x14ac:dyDescent="0.2">
      <c r="A156" s="4">
        <v>44957</v>
      </c>
      <c r="B156" t="s">
        <v>56</v>
      </c>
      <c r="C156">
        <v>1.4184000000000001</v>
      </c>
    </row>
    <row r="157" spans="1:3" x14ac:dyDescent="0.2">
      <c r="A157" s="4">
        <v>44985</v>
      </c>
      <c r="B157" t="s">
        <v>56</v>
      </c>
      <c r="C157">
        <v>8.9221000000000004</v>
      </c>
    </row>
    <row r="158" spans="1:3" x14ac:dyDescent="0.2">
      <c r="A158" s="4">
        <v>45016</v>
      </c>
      <c r="B158" t="s">
        <v>56</v>
      </c>
      <c r="C158">
        <v>-1.7925</v>
      </c>
    </row>
    <row r="159" spans="1:3" x14ac:dyDescent="0.2">
      <c r="A159" s="4">
        <v>45046</v>
      </c>
      <c r="B159" t="s">
        <v>56</v>
      </c>
      <c r="C159">
        <v>-1.4228000000000001</v>
      </c>
    </row>
    <row r="160" spans="1:3" x14ac:dyDescent="0.2">
      <c r="A160" s="4">
        <v>45077</v>
      </c>
      <c r="B160" t="s">
        <v>56</v>
      </c>
      <c r="C160">
        <v>-1.742</v>
      </c>
    </row>
    <row r="161" spans="1:3" x14ac:dyDescent="0.2">
      <c r="A161" s="4">
        <v>45107</v>
      </c>
      <c r="B161" t="s">
        <v>56</v>
      </c>
      <c r="C161">
        <v>-1.5076000000000001</v>
      </c>
    </row>
    <row r="162" spans="1:3" x14ac:dyDescent="0.2">
      <c r="A162" s="4">
        <v>45138</v>
      </c>
      <c r="B162" t="s">
        <v>56</v>
      </c>
      <c r="C162">
        <v>-1.7912999999999999</v>
      </c>
    </row>
    <row r="163" spans="1:3" x14ac:dyDescent="0.2">
      <c r="A163" s="4">
        <v>45169</v>
      </c>
      <c r="B163" t="s">
        <v>56</v>
      </c>
      <c r="C163">
        <v>4.5354999999999999</v>
      </c>
    </row>
    <row r="164" spans="1:3" x14ac:dyDescent="0.2">
      <c r="A164" s="4">
        <v>45199</v>
      </c>
      <c r="B164" t="s">
        <v>56</v>
      </c>
      <c r="C164">
        <v>5.3373999999999997</v>
      </c>
    </row>
    <row r="165" spans="1:3" x14ac:dyDescent="0.2">
      <c r="A165" s="4">
        <v>45230</v>
      </c>
      <c r="B165" t="s">
        <v>56</v>
      </c>
      <c r="C165">
        <v>-1.5605</v>
      </c>
    </row>
    <row r="166" spans="1:3" x14ac:dyDescent="0.2">
      <c r="A166" s="4">
        <v>45260</v>
      </c>
      <c r="B166" t="s">
        <v>56</v>
      </c>
      <c r="C166">
        <v>-2.4666999999999999</v>
      </c>
    </row>
    <row r="167" spans="1:3" x14ac:dyDescent="0.2">
      <c r="A167" s="4">
        <v>45291</v>
      </c>
      <c r="B167" t="s">
        <v>56</v>
      </c>
      <c r="C167">
        <v>2.0497000000000001</v>
      </c>
    </row>
    <row r="168" spans="1:3" x14ac:dyDescent="0.2">
      <c r="A168" s="4">
        <v>45322</v>
      </c>
      <c r="B168" t="s">
        <v>56</v>
      </c>
      <c r="C168">
        <v>-1.4963</v>
      </c>
    </row>
    <row r="169" spans="1:3" x14ac:dyDescent="0.2">
      <c r="A169" s="4">
        <v>45351</v>
      </c>
      <c r="B169" t="s">
        <v>56</v>
      </c>
      <c r="C169">
        <v>2.6092</v>
      </c>
    </row>
    <row r="170" spans="1:3" x14ac:dyDescent="0.2">
      <c r="A170" s="4">
        <v>45382</v>
      </c>
      <c r="B170" t="s">
        <v>56</v>
      </c>
      <c r="C170">
        <v>1.1195999999999999</v>
      </c>
    </row>
    <row r="171" spans="1:3" x14ac:dyDescent="0.2">
      <c r="A171" s="4">
        <v>45412</v>
      </c>
      <c r="B171" t="s">
        <v>56</v>
      </c>
      <c r="C171">
        <v>-4.8339999999999996</v>
      </c>
    </row>
    <row r="172" spans="1:3" x14ac:dyDescent="0.2">
      <c r="A172" s="4">
        <v>45443</v>
      </c>
      <c r="B172" t="s">
        <v>56</v>
      </c>
      <c r="C172">
        <v>5.7774000000000001</v>
      </c>
    </row>
    <row r="173" spans="1:3" x14ac:dyDescent="0.2">
      <c r="A173" s="4">
        <v>45473</v>
      </c>
      <c r="B173" t="s">
        <v>56</v>
      </c>
      <c r="C173">
        <v>6.6378000000000004</v>
      </c>
    </row>
    <row r="174" spans="1:3" x14ac:dyDescent="0.2">
      <c r="A174" s="4">
        <v>45504</v>
      </c>
      <c r="B174" t="s">
        <v>56</v>
      </c>
      <c r="C174">
        <v>-1.7060999999999999</v>
      </c>
    </row>
    <row r="175" spans="1:3" x14ac:dyDescent="0.2">
      <c r="A175" s="4">
        <v>45535</v>
      </c>
      <c r="B175" t="s">
        <v>56</v>
      </c>
      <c r="C175">
        <v>-0.9264</v>
      </c>
    </row>
    <row r="176" spans="1:3" x14ac:dyDescent="0.2">
      <c r="A176" s="4">
        <v>45565</v>
      </c>
      <c r="B176" t="s">
        <v>56</v>
      </c>
      <c r="C176">
        <v>1.4069</v>
      </c>
    </row>
    <row r="177" spans="1:3" x14ac:dyDescent="0.2">
      <c r="A177" s="4">
        <v>45596</v>
      </c>
      <c r="B177" t="s">
        <v>56</v>
      </c>
      <c r="C177">
        <v>1.5752999999999999</v>
      </c>
    </row>
    <row r="178" spans="1:3" x14ac:dyDescent="0.2">
      <c r="A178" s="4">
        <v>45626</v>
      </c>
      <c r="B178" t="s">
        <v>56</v>
      </c>
      <c r="C178">
        <v>2.6979000000000002</v>
      </c>
    </row>
    <row r="179" spans="1:3" x14ac:dyDescent="0.2">
      <c r="A179" s="4">
        <v>45657</v>
      </c>
      <c r="B179" t="s">
        <v>56</v>
      </c>
      <c r="C179">
        <v>7.3802000000000003</v>
      </c>
    </row>
    <row r="180" spans="1:3" x14ac:dyDescent="0.2">
      <c r="A180" s="4">
        <v>45688</v>
      </c>
      <c r="B180" t="s">
        <v>56</v>
      </c>
      <c r="C180">
        <v>-0.1963</v>
      </c>
    </row>
    <row r="181" spans="1:3" x14ac:dyDescent="0.2">
      <c r="A181" s="4">
        <v>45716</v>
      </c>
      <c r="B181" t="s">
        <v>56</v>
      </c>
      <c r="C181">
        <v>-2.3487</v>
      </c>
    </row>
    <row r="182" spans="1:3" x14ac:dyDescent="0.2">
      <c r="A182" s="4">
        <v>45747</v>
      </c>
      <c r="B182" t="s">
        <v>56</v>
      </c>
      <c r="C182">
        <v>-4.3613999999999997</v>
      </c>
    </row>
    <row r="183" spans="1:3" x14ac:dyDescent="0.2">
      <c r="A183" s="4">
        <v>44681</v>
      </c>
      <c r="B183" t="s">
        <v>57</v>
      </c>
      <c r="C183">
        <v>-1.7350000000000001</v>
      </c>
    </row>
    <row r="184" spans="1:3" x14ac:dyDescent="0.2">
      <c r="A184" s="4">
        <v>44712</v>
      </c>
      <c r="B184" t="s">
        <v>57</v>
      </c>
      <c r="C184">
        <v>0.27939999999999998</v>
      </c>
    </row>
    <row r="185" spans="1:3" x14ac:dyDescent="0.2">
      <c r="A185" s="4">
        <v>44742</v>
      </c>
      <c r="B185" t="s">
        <v>57</v>
      </c>
      <c r="C185">
        <v>5.5553999999999997</v>
      </c>
    </row>
    <row r="186" spans="1:3" x14ac:dyDescent="0.2">
      <c r="A186" s="4">
        <v>44773</v>
      </c>
      <c r="B186" t="s">
        <v>57</v>
      </c>
      <c r="C186">
        <v>-1.1192</v>
      </c>
    </row>
    <row r="187" spans="1:3" x14ac:dyDescent="0.2">
      <c r="A187" s="4">
        <v>44804</v>
      </c>
      <c r="B187" t="s">
        <v>57</v>
      </c>
      <c r="C187">
        <v>1.0209999999999999</v>
      </c>
    </row>
    <row r="188" spans="1:3" x14ac:dyDescent="0.2">
      <c r="A188" s="4">
        <v>44834</v>
      </c>
      <c r="B188" t="s">
        <v>57</v>
      </c>
      <c r="C188">
        <v>0.3276</v>
      </c>
    </row>
    <row r="189" spans="1:3" x14ac:dyDescent="0.2">
      <c r="A189" s="4">
        <v>44865</v>
      </c>
      <c r="B189" t="s">
        <v>57</v>
      </c>
      <c r="C189">
        <v>3.8056000000000001</v>
      </c>
    </row>
    <row r="190" spans="1:3" x14ac:dyDescent="0.2">
      <c r="A190" s="4">
        <v>44895</v>
      </c>
      <c r="B190" t="s">
        <v>57</v>
      </c>
      <c r="C190">
        <v>7.6696</v>
      </c>
    </row>
    <row r="191" spans="1:3" x14ac:dyDescent="0.2">
      <c r="A191" s="4">
        <v>44926</v>
      </c>
      <c r="B191" t="s">
        <v>57</v>
      </c>
      <c r="C191">
        <v>-1.1575</v>
      </c>
    </row>
    <row r="192" spans="1:3" x14ac:dyDescent="0.2">
      <c r="A192" s="4">
        <v>44957</v>
      </c>
      <c r="B192" t="s">
        <v>57</v>
      </c>
      <c r="C192">
        <v>-1.0379</v>
      </c>
    </row>
    <row r="193" spans="1:3" x14ac:dyDescent="0.2">
      <c r="A193" s="4">
        <v>44985</v>
      </c>
      <c r="B193" t="s">
        <v>57</v>
      </c>
      <c r="C193">
        <v>3.3892000000000002</v>
      </c>
    </row>
    <row r="194" spans="1:3" x14ac:dyDescent="0.2">
      <c r="A194" s="4">
        <v>45016</v>
      </c>
      <c r="B194" t="s">
        <v>57</v>
      </c>
      <c r="C194">
        <v>2.3435000000000001</v>
      </c>
    </row>
    <row r="195" spans="1:3" x14ac:dyDescent="0.2">
      <c r="A195" s="4">
        <v>45046</v>
      </c>
      <c r="B195" t="s">
        <v>57</v>
      </c>
      <c r="C195">
        <v>5.7060000000000004</v>
      </c>
    </row>
    <row r="196" spans="1:3" x14ac:dyDescent="0.2">
      <c r="A196" s="4">
        <v>45077</v>
      </c>
      <c r="B196" t="s">
        <v>57</v>
      </c>
      <c r="C196">
        <v>2.0607000000000002</v>
      </c>
    </row>
    <row r="197" spans="1:3" x14ac:dyDescent="0.2">
      <c r="A197" s="4">
        <v>45107</v>
      </c>
      <c r="B197" t="s">
        <v>57</v>
      </c>
      <c r="C197">
        <v>-0.66220000000000001</v>
      </c>
    </row>
    <row r="198" spans="1:3" x14ac:dyDescent="0.2">
      <c r="A198" s="4">
        <v>45138</v>
      </c>
      <c r="B198" t="s">
        <v>57</v>
      </c>
      <c r="C198">
        <v>2.0800999999999998</v>
      </c>
    </row>
    <row r="199" spans="1:3" x14ac:dyDescent="0.2">
      <c r="A199" s="4">
        <v>45169</v>
      </c>
      <c r="B199" t="s">
        <v>57</v>
      </c>
      <c r="C199">
        <v>3.5756000000000001</v>
      </c>
    </row>
    <row r="200" spans="1:3" x14ac:dyDescent="0.2">
      <c r="A200" s="4">
        <v>45199</v>
      </c>
      <c r="B200" t="s">
        <v>57</v>
      </c>
      <c r="C200">
        <v>2.7435</v>
      </c>
    </row>
    <row r="201" spans="1:3" x14ac:dyDescent="0.2">
      <c r="A201" s="4">
        <v>45230</v>
      </c>
      <c r="B201" t="s">
        <v>57</v>
      </c>
      <c r="C201">
        <v>1.8393999999999999</v>
      </c>
    </row>
    <row r="202" spans="1:3" x14ac:dyDescent="0.2">
      <c r="A202" s="4">
        <v>45260</v>
      </c>
      <c r="B202" t="s">
        <v>57</v>
      </c>
      <c r="C202">
        <v>3.4542000000000002</v>
      </c>
    </row>
    <row r="203" spans="1:3" x14ac:dyDescent="0.2">
      <c r="A203" s="4">
        <v>45291</v>
      </c>
      <c r="B203" t="s">
        <v>57</v>
      </c>
      <c r="C203">
        <v>3.7505000000000002</v>
      </c>
    </row>
    <row r="204" spans="1:3" x14ac:dyDescent="0.2">
      <c r="A204" s="4">
        <v>45322</v>
      </c>
      <c r="B204" t="s">
        <v>57</v>
      </c>
      <c r="C204">
        <v>4.3648999999999996</v>
      </c>
    </row>
    <row r="205" spans="1:3" x14ac:dyDescent="0.2">
      <c r="A205" s="4">
        <v>45351</v>
      </c>
      <c r="B205" t="s">
        <v>57</v>
      </c>
      <c r="C205">
        <v>2.2477</v>
      </c>
    </row>
    <row r="206" spans="1:3" x14ac:dyDescent="0.2">
      <c r="A206" s="4">
        <v>45382</v>
      </c>
      <c r="B206" t="s">
        <v>57</v>
      </c>
      <c r="C206">
        <v>-0.1074</v>
      </c>
    </row>
    <row r="207" spans="1:3" x14ac:dyDescent="0.2">
      <c r="A207" s="4">
        <v>45412</v>
      </c>
      <c r="B207" t="s">
        <v>57</v>
      </c>
      <c r="C207">
        <v>0.79849999999999999</v>
      </c>
    </row>
    <row r="208" spans="1:3" x14ac:dyDescent="0.2">
      <c r="A208" s="4">
        <v>45443</v>
      </c>
      <c r="B208" t="s">
        <v>57</v>
      </c>
      <c r="C208">
        <v>3.8578999999999999</v>
      </c>
    </row>
    <row r="209" spans="1:3" x14ac:dyDescent="0.2">
      <c r="A209" s="4">
        <v>45473</v>
      </c>
      <c r="B209" t="s">
        <v>57</v>
      </c>
      <c r="C209">
        <v>-1.9833000000000001</v>
      </c>
    </row>
    <row r="210" spans="1:3" x14ac:dyDescent="0.2">
      <c r="A210" s="4">
        <v>45504</v>
      </c>
      <c r="B210" t="s">
        <v>57</v>
      </c>
      <c r="C210">
        <v>1.4393</v>
      </c>
    </row>
    <row r="211" spans="1:3" x14ac:dyDescent="0.2">
      <c r="A211" s="4">
        <v>45535</v>
      </c>
      <c r="B211" t="s">
        <v>57</v>
      </c>
      <c r="C211">
        <v>-0.76049999999999995</v>
      </c>
    </row>
    <row r="212" spans="1:3" x14ac:dyDescent="0.2">
      <c r="A212" s="4">
        <v>45565</v>
      </c>
      <c r="B212" t="s">
        <v>57</v>
      </c>
      <c r="C212">
        <v>0.45800000000000002</v>
      </c>
    </row>
    <row r="213" spans="1:3" x14ac:dyDescent="0.2">
      <c r="A213" s="4">
        <v>45596</v>
      </c>
      <c r="B213" t="s">
        <v>57</v>
      </c>
      <c r="C213">
        <v>4.0655999999999999</v>
      </c>
    </row>
    <row r="214" spans="1:3" x14ac:dyDescent="0.2">
      <c r="A214" s="4">
        <v>45626</v>
      </c>
      <c r="B214" t="s">
        <v>57</v>
      </c>
      <c r="C214">
        <v>0.92669999999999997</v>
      </c>
    </row>
    <row r="215" spans="1:3" x14ac:dyDescent="0.2">
      <c r="A215" s="4">
        <v>45657</v>
      </c>
      <c r="B215" t="s">
        <v>57</v>
      </c>
      <c r="C215">
        <v>0.5091</v>
      </c>
    </row>
    <row r="216" spans="1:3" x14ac:dyDescent="0.2">
      <c r="A216" s="4">
        <v>45688</v>
      </c>
      <c r="B216" t="s">
        <v>57</v>
      </c>
      <c r="C216">
        <v>-3.5506000000000002</v>
      </c>
    </row>
    <row r="217" spans="1:3" x14ac:dyDescent="0.2">
      <c r="A217" s="4">
        <v>45716</v>
      </c>
      <c r="B217" t="s">
        <v>57</v>
      </c>
      <c r="C217">
        <v>2.5291999999999999</v>
      </c>
    </row>
    <row r="218" spans="1:3" x14ac:dyDescent="0.2">
      <c r="A218" s="4">
        <v>45747</v>
      </c>
      <c r="B218" t="s">
        <v>57</v>
      </c>
      <c r="C218">
        <v>2.2383999999999999</v>
      </c>
    </row>
  </sheetData>
  <phoneticPr fontId="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2" topLeftCell="A3" activePane="bottomLeft" state="frozen"/>
      <selection pane="bottomLeft"/>
    </sheetView>
  </sheetViews>
  <sheetFormatPr defaultRowHeight="13" x14ac:dyDescent="0.2"/>
  <cols>
    <col min="1" max="1" width="30" customWidth="1"/>
    <col min="2" max="2" width="15" customWidth="1"/>
    <col min="3" max="3" width="30" customWidth="1"/>
  </cols>
  <sheetData>
    <row r="1" spans="1:3" x14ac:dyDescent="0.2">
      <c r="A1" s="8" t="s">
        <v>58</v>
      </c>
      <c r="B1" s="8"/>
      <c r="C1" s="8"/>
    </row>
    <row r="2" spans="1:3" ht="30" customHeight="1" x14ac:dyDescent="0.2">
      <c r="A2" s="1" t="s">
        <v>1</v>
      </c>
      <c r="B2" s="1" t="s">
        <v>9</v>
      </c>
      <c r="C2" s="1" t="s">
        <v>10</v>
      </c>
    </row>
    <row r="3" spans="1:3" x14ac:dyDescent="0.2">
      <c r="A3" t="s">
        <v>45</v>
      </c>
      <c r="B3">
        <v>39.06</v>
      </c>
      <c r="C3" t="s">
        <v>52</v>
      </c>
    </row>
    <row r="4" spans="1:3" x14ac:dyDescent="0.2">
      <c r="A4" t="s">
        <v>46</v>
      </c>
      <c r="B4">
        <v>15.62</v>
      </c>
      <c r="C4" t="s">
        <v>53</v>
      </c>
    </row>
    <row r="5" spans="1:3" x14ac:dyDescent="0.2">
      <c r="A5" t="s">
        <v>47</v>
      </c>
      <c r="B5">
        <v>23.44</v>
      </c>
      <c r="C5" t="s">
        <v>54</v>
      </c>
    </row>
    <row r="6" spans="1:3" x14ac:dyDescent="0.2">
      <c r="A6" t="s">
        <v>48</v>
      </c>
      <c r="B6">
        <v>11.72</v>
      </c>
      <c r="C6" t="s">
        <v>55</v>
      </c>
    </row>
    <row r="7" spans="1:3" x14ac:dyDescent="0.2">
      <c r="A7" t="s">
        <v>49</v>
      </c>
      <c r="B7">
        <v>3.91</v>
      </c>
      <c r="C7" t="s">
        <v>56</v>
      </c>
    </row>
    <row r="8" spans="1:3" x14ac:dyDescent="0.2">
      <c r="A8" t="s">
        <v>50</v>
      </c>
      <c r="B8">
        <v>6.25</v>
      </c>
      <c r="C8" t="s">
        <v>57</v>
      </c>
    </row>
    <row r="9" spans="1:3" x14ac:dyDescent="0.2">
      <c r="A9" t="s">
        <v>51</v>
      </c>
      <c r="C9" t="s">
        <v>55</v>
      </c>
    </row>
  </sheetData>
  <phoneticPr fontId="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W2000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3" x14ac:dyDescent="0.2"/>
  <cols>
    <col min="1" max="1" width="12" style="4" customWidth="1"/>
    <col min="2" max="2" width="25" customWidth="1"/>
    <col min="3" max="6" width="14" customWidth="1"/>
    <col min="7" max="7" width="12" customWidth="1"/>
    <col min="8" max="15" width="14" customWidth="1"/>
    <col min="16" max="16" width="12" customWidth="1"/>
    <col min="17" max="17" width="25" customWidth="1"/>
    <col min="18" max="19" width="12" customWidth="1"/>
    <col min="20" max="20" width="14" customWidth="1"/>
    <col min="21" max="23" width="12" customWidth="1"/>
  </cols>
  <sheetData>
    <row r="1" spans="1:23" ht="30" customHeight="1" x14ac:dyDescent="0.2">
      <c r="A1" s="7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</row>
    <row r="2" spans="1:23" x14ac:dyDescent="0.2">
      <c r="A2" s="4">
        <f>IF(ポートフォリオ実績!A3="","", ポートフォリオ実績!A3)</f>
        <v>44651</v>
      </c>
      <c r="B2" t="str">
        <f>IF(ポートフォリオ実績!B3="","", ポートフォリオ実績!B3)</f>
        <v>国内債券（固定金利・国債中心）</v>
      </c>
      <c r="C2" s="10">
        <f>IF(ポートフォリオ実績!C3="","", ポートフォリオ実績!C3)</f>
        <v>49000</v>
      </c>
      <c r="D2" s="10">
        <f>IF(ポートフォリオ実績!D3="","", ポートフォリオ実績!D3)</f>
        <v>50185.06</v>
      </c>
      <c r="E2" s="10">
        <f>IF(ポートフォリオ実績!E3="","", ポートフォリオ実績!E3)</f>
        <v>0</v>
      </c>
      <c r="F2" s="10">
        <f>IF(ポートフォリオ実績!F3="","", ポートフォリオ実績!F3)</f>
        <v>0</v>
      </c>
      <c r="G2">
        <f t="shared" ref="G2:G64" si="0">IF(A2&lt;&gt;"", EOMONTH(A2, -1), "")</f>
        <v>44620</v>
      </c>
      <c r="H2">
        <f>IF(B2&lt;&gt;"", SUMIFS(ポートフォリオ実績!$D$2:$D$2001, ポートフォリオ実績!$B$2:$B$2001, B2, ポートフォリオ実績!$A$2:$A$2001, G2), 0)</f>
        <v>0</v>
      </c>
      <c r="I2">
        <f>IF(B2&lt;&gt;"", SUMIFS(ポートフォリオ実績!$C$2:$C$2001, ポートフォリオ実績!$B$2:$B$2001, B2, ポートフォリオ実績!$A$2:$A$2001, G2), 0)</f>
        <v>0</v>
      </c>
      <c r="J2">
        <f t="shared" ref="J2:J64" si="1">IF(A2&lt;&gt;"", D2-C2, 0)</f>
        <v>1185.0599999999977</v>
      </c>
      <c r="K2">
        <f t="shared" ref="K2:K64" si="2">IF(A2&lt;&gt;"", H2-I2, 0)</f>
        <v>0</v>
      </c>
      <c r="L2">
        <f t="shared" ref="L2:L64" si="3">IF(H2=0, 0, J2-K2)</f>
        <v>0</v>
      </c>
      <c r="M2">
        <f t="shared" ref="M2:M64" si="4">IF(A2&lt;&gt;"", E2+F2+L2, 0)</f>
        <v>0</v>
      </c>
      <c r="N2">
        <f t="shared" ref="N2:N64" si="5">IF(H2=0, 0, (D2-H2)-M2)</f>
        <v>0</v>
      </c>
      <c r="O2">
        <f t="shared" ref="O2:O64" si="6">IF(A2&lt;&gt;"", H2+N2*0.5, 0)</f>
        <v>0</v>
      </c>
      <c r="P2">
        <f t="shared" ref="P2:P64" si="7">IF(A2="","", IF(O2&gt;0.000001, M2/O2, IF(ABS(M2)&lt;0.000001, 0, 0)))</f>
        <v>0</v>
      </c>
      <c r="Q2" t="str">
        <f>IF(B2="","", IFERROR(VLOOKUP(B2, '基準資産配分（設定）'!$A$2:$C$2001, 3, FALSE), ""))</f>
        <v>NOMURA-BPI総合</v>
      </c>
      <c r="R2">
        <f>IF(B2="","", IFERROR(VLOOKUP(B2, '基準資産配分（設定）'!$A$2:$C$2001, 2, FALSE)/100, 0))</f>
        <v>0.3906</v>
      </c>
      <c r="S2">
        <f>IF(B2="","", IFERROR(SUMIFS(ベンチマークリターン!$C$2:$C$2001, ベンチマークリターン!$A$2:$A$2001, A2, ベンチマークリターン!$B$2:$B$2001, Q2) / 100, 0))</f>
        <v>0</v>
      </c>
      <c r="T2">
        <f>IF(A2="","", SUMIFS($H$2:$H$2000, $A$2:$A$2000, A2))</f>
        <v>0</v>
      </c>
      <c r="U2">
        <f t="shared" ref="U2:U64" si="8">IF(A2="","", IFERROR(H2/T2, 0))</f>
        <v>0</v>
      </c>
      <c r="V2">
        <f t="shared" ref="V2:V64" si="9">IF(A2="","", U2*P2)</f>
        <v>0</v>
      </c>
      <c r="W2">
        <f t="shared" ref="W2:W64" si="10">IF(A2="","", R2*S2)</f>
        <v>0</v>
      </c>
    </row>
    <row r="3" spans="1:23" x14ac:dyDescent="0.2">
      <c r="A3" s="4">
        <f>IF(ポートフォリオ実績!A4="","", ポートフォリオ実績!A4)</f>
        <v>44681</v>
      </c>
      <c r="B3" t="str">
        <f>IF(ポートフォリオ実績!B4="","", ポートフォリオ実績!B4)</f>
        <v>国内債券（固定金利・国債中心）</v>
      </c>
      <c r="C3" s="10">
        <f>IF(ポートフォリオ実績!C4="","", ポートフォリオ実績!C4)</f>
        <v>49408.68</v>
      </c>
      <c r="D3" s="10">
        <f>IF(ポートフォリオ実績!D4="","", ポートフォリオ実績!D4)</f>
        <v>50595.51</v>
      </c>
      <c r="E3" s="10">
        <f>IF(ポートフォリオ実績!E4="","", ポートフォリオ実績!E4)</f>
        <v>37.950000000000003</v>
      </c>
      <c r="F3" s="10">
        <f>IF(ポートフォリオ実績!F4="","", ポートフォリオ実績!F4)</f>
        <v>0</v>
      </c>
      <c r="G3">
        <f t="shared" si="0"/>
        <v>44651</v>
      </c>
      <c r="H3">
        <f>IF(B3&lt;&gt;"", SUMIFS(ポートフォリオ実績!$D$2:$D$2001, ポートフォリオ実績!$B$2:$B$2001, B3, ポートフォリオ実績!$A$2:$A$2001, G3), 0)</f>
        <v>50185.06</v>
      </c>
      <c r="I3">
        <f>IF(B3&lt;&gt;"", SUMIFS(ポートフォリオ実績!$C$2:$C$2001, ポートフォリオ実績!$B$2:$B$2001, B3, ポートフォリオ実績!$A$2:$A$2001, G3), 0)</f>
        <v>49000</v>
      </c>
      <c r="J3">
        <f t="shared" si="1"/>
        <v>1186.8300000000017</v>
      </c>
      <c r="K3">
        <f t="shared" si="2"/>
        <v>1185.0599999999977</v>
      </c>
      <c r="L3">
        <f t="shared" si="3"/>
        <v>1.7700000000040745</v>
      </c>
      <c r="M3">
        <f t="shared" si="4"/>
        <v>39.720000000004077</v>
      </c>
      <c r="N3">
        <f t="shared" si="5"/>
        <v>370.7300000000003</v>
      </c>
      <c r="O3">
        <f t="shared" si="6"/>
        <v>50370.424999999996</v>
      </c>
      <c r="P3">
        <f t="shared" si="7"/>
        <v>7.8855796829199038E-4</v>
      </c>
      <c r="Q3" t="str">
        <f>IF(B3="","", IFERROR(VLOOKUP(B3, '基準資産配分（設定）'!$A$2:$C$2001, 3, FALSE), ""))</f>
        <v>NOMURA-BPI総合</v>
      </c>
      <c r="R3">
        <f>IF(B3="","", IFERROR(VLOOKUP(B3, '基準資産配分（設定）'!$A$2:$C$2001, 2, FALSE)/100, 0))</f>
        <v>0.3906</v>
      </c>
      <c r="S3">
        <f>IF(B3="","", IFERROR(SUMIFS(ベンチマークリターン!$C$2:$C$2001, ベンチマークリターン!$A$2:$A$2001, A3, ベンチマークリターン!$B$2:$B$2001, Q3) / 100, 0))</f>
        <v>-5.3979999999999992E-3</v>
      </c>
      <c r="T3">
        <f>IF(A3="","", SUMIFS($H$2:$H$2000, $A$2:$A$2000, A3))</f>
        <v>139117.94</v>
      </c>
      <c r="U3">
        <f t="shared" si="8"/>
        <v>0.36073751523347741</v>
      </c>
      <c r="V3">
        <f t="shared" si="9"/>
        <v>2.8446244209921187E-4</v>
      </c>
      <c r="W3">
        <f t="shared" si="10"/>
        <v>-2.1084587999999995E-3</v>
      </c>
    </row>
    <row r="4" spans="1:23" x14ac:dyDescent="0.2">
      <c r="A4" s="4">
        <f>IF(ポートフォリオ実績!A5="","", ポートフォリオ実績!A5)</f>
        <v>44712</v>
      </c>
      <c r="B4" t="str">
        <f>IF(ポートフォリオ実績!B5="","", ポートフォリオ実績!B5)</f>
        <v>国内債券（固定金利・国債中心）</v>
      </c>
      <c r="C4" s="10">
        <f>IF(ポートフォリオ実績!C5="","", ポートフォリオ実績!C5)</f>
        <v>49634.19</v>
      </c>
      <c r="D4" s="10">
        <f>IF(ポートフォリオ実績!D5="","", ポートフォリオ実績!D5)</f>
        <v>51310.25</v>
      </c>
      <c r="E4" s="10">
        <f>IF(ポートフォリオ実績!E5="","", ポートフォリオ実績!E5)</f>
        <v>38.119999999999997</v>
      </c>
      <c r="F4" s="10">
        <f>IF(ポートフォリオ実績!F5="","", ポートフォリオ実績!F5)</f>
        <v>0</v>
      </c>
      <c r="G4">
        <f t="shared" si="0"/>
        <v>44681</v>
      </c>
      <c r="H4">
        <f>IF(B4&lt;&gt;"", SUMIFS(ポートフォリオ実績!$D$2:$D$2001, ポートフォリオ実績!$B$2:$B$2001, B4, ポートフォリオ実績!$A$2:$A$2001, G4), 0)</f>
        <v>50595.51</v>
      </c>
      <c r="I4">
        <f>IF(B4&lt;&gt;"", SUMIFS(ポートフォリオ実績!$C$2:$C$2001, ポートフォリオ実績!$B$2:$B$2001, B4, ポートフォリオ実績!$A$2:$A$2001, G4), 0)</f>
        <v>49408.68</v>
      </c>
      <c r="J4">
        <f t="shared" si="1"/>
        <v>1676.0599999999977</v>
      </c>
      <c r="K4">
        <f t="shared" si="2"/>
        <v>1186.8300000000017</v>
      </c>
      <c r="L4">
        <f t="shared" si="3"/>
        <v>489.22999999999593</v>
      </c>
      <c r="M4">
        <f t="shared" si="4"/>
        <v>527.34999999999593</v>
      </c>
      <c r="N4">
        <f t="shared" si="5"/>
        <v>187.39000000000203</v>
      </c>
      <c r="O4">
        <f t="shared" si="6"/>
        <v>50689.205000000002</v>
      </c>
      <c r="P4">
        <f t="shared" si="7"/>
        <v>1.0403595795199311E-2</v>
      </c>
      <c r="Q4" t="str">
        <f>IF(B4="","", IFERROR(VLOOKUP(B4, '基準資産配分（設定）'!$A$2:$C$2001, 3, FALSE), ""))</f>
        <v>NOMURA-BPI総合</v>
      </c>
      <c r="R4">
        <f>IF(B4="","", IFERROR(VLOOKUP(B4, '基準資産配分（設定）'!$A$2:$C$2001, 2, FALSE)/100, 0))</f>
        <v>0.3906</v>
      </c>
      <c r="S4">
        <f>IF(B4="","", IFERROR(SUMIFS(ベンチマークリターン!$C$2:$C$2001, ベンチマークリターン!$A$2:$A$2001, A4, ベンチマークリターン!$B$2:$B$2001, Q4) / 100, 0))</f>
        <v>3.8409999999999998E-3</v>
      </c>
      <c r="T4">
        <f>IF(A4="","", SUMIFS($H$2:$H$2000, $A$2:$A$2000, A4))</f>
        <v>139899.38</v>
      </c>
      <c r="U4">
        <f t="shared" si="8"/>
        <v>0.36165642764106604</v>
      </c>
      <c r="V4">
        <f t="shared" si="9"/>
        <v>3.7625272899133983E-3</v>
      </c>
      <c r="W4">
        <f t="shared" si="10"/>
        <v>1.5002945999999999E-3</v>
      </c>
    </row>
    <row r="5" spans="1:23" x14ac:dyDescent="0.2">
      <c r="A5" s="4">
        <f>IF(ポートフォリオ実績!A6="","", ポートフォリオ実績!A6)</f>
        <v>44742</v>
      </c>
      <c r="B5" t="str">
        <f>IF(ポートフォリオ実績!B6="","", ポートフォリオ実績!B6)</f>
        <v>国内債券（固定金利・国債中心）</v>
      </c>
      <c r="C5" s="10">
        <f>IF(ポートフォリオ実績!C6="","", ポートフォリオ実績!C6)</f>
        <v>49478.82</v>
      </c>
      <c r="D5" s="10">
        <f>IF(ポートフォリオ実績!D6="","", ポートフォリオ実績!D6)</f>
        <v>51495.96</v>
      </c>
      <c r="E5" s="10">
        <f>IF(ポートフォリオ実績!E6="","", ポートフォリオ実績!E6)</f>
        <v>38.369999999999997</v>
      </c>
      <c r="F5" s="10">
        <f>IF(ポートフォリオ実績!F6="","", ポートフォリオ実績!F6)</f>
        <v>0</v>
      </c>
      <c r="G5">
        <f t="shared" si="0"/>
        <v>44712</v>
      </c>
      <c r="H5">
        <f>IF(B5&lt;&gt;"", SUMIFS(ポートフォリオ実績!$D$2:$D$2001, ポートフォリオ実績!$B$2:$B$2001, B5, ポートフォリオ実績!$A$2:$A$2001, G5), 0)</f>
        <v>51310.25</v>
      </c>
      <c r="I5">
        <f>IF(B5&lt;&gt;"", SUMIFS(ポートフォリオ実績!$C$2:$C$2001, ポートフォリオ実績!$B$2:$B$2001, B5, ポートフォリオ実績!$A$2:$A$2001, G5), 0)</f>
        <v>49634.19</v>
      </c>
      <c r="J5">
        <f t="shared" si="1"/>
        <v>2017.1399999999994</v>
      </c>
      <c r="K5">
        <f t="shared" si="2"/>
        <v>1676.0599999999977</v>
      </c>
      <c r="L5">
        <f t="shared" si="3"/>
        <v>341.08000000000175</v>
      </c>
      <c r="M5">
        <f t="shared" si="4"/>
        <v>379.45000000000175</v>
      </c>
      <c r="N5">
        <f t="shared" si="5"/>
        <v>-193.74000000000262</v>
      </c>
      <c r="O5">
        <f t="shared" si="6"/>
        <v>51213.38</v>
      </c>
      <c r="P5">
        <f t="shared" si="7"/>
        <v>7.4091965810497524E-3</v>
      </c>
      <c r="Q5" t="str">
        <f>IF(B5="","", IFERROR(VLOOKUP(B5, '基準資産配分（設定）'!$A$2:$C$2001, 3, FALSE), ""))</f>
        <v>NOMURA-BPI総合</v>
      </c>
      <c r="R5">
        <f>IF(B5="","", IFERROR(VLOOKUP(B5, '基準資産配分（設定）'!$A$2:$C$2001, 2, FALSE)/100, 0))</f>
        <v>0.3906</v>
      </c>
      <c r="S5">
        <f>IF(B5="","", IFERROR(SUMIFS(ベンチマークリターン!$C$2:$C$2001, ベンチマークリターン!$A$2:$A$2001, A5, ベンチマークリターン!$B$2:$B$2001, Q5) / 100, 0))</f>
        <v>-1.371E-3</v>
      </c>
      <c r="T5">
        <f>IF(A5="","", SUMIFS($H$2:$H$2000, $A$2:$A$2000, A5))</f>
        <v>143058.46</v>
      </c>
      <c r="U5">
        <f t="shared" si="8"/>
        <v>0.35866631026225226</v>
      </c>
      <c r="V5">
        <f t="shared" si="9"/>
        <v>2.6574291997328091E-3</v>
      </c>
      <c r="W5">
        <f t="shared" si="10"/>
        <v>-5.3551260000000002E-4</v>
      </c>
    </row>
    <row r="6" spans="1:23" x14ac:dyDescent="0.2">
      <c r="A6" s="4">
        <f>IF(ポートフォリオ実績!A7="","", ポートフォリオ実績!A7)</f>
        <v>44773</v>
      </c>
      <c r="B6" t="str">
        <f>IF(ポートフォリオ実績!B7="","", ポートフォリオ実績!B7)</f>
        <v>国内債券（固定金利・国債中心）</v>
      </c>
      <c r="C6" s="10">
        <f>IF(ポートフォリオ実績!C7="","", ポートフォリオ実績!C7)</f>
        <v>49270.41</v>
      </c>
      <c r="D6" s="10">
        <f>IF(ポートフォリオ実績!D7="","", ポートフォリオ実績!D7)</f>
        <v>51490.95</v>
      </c>
      <c r="E6" s="10">
        <f>IF(ポートフォリオ実績!E7="","", ポートフォリオ実績!E7)</f>
        <v>38.47</v>
      </c>
      <c r="F6" s="10">
        <f>IF(ポートフォリオ実績!F7="","", ポートフォリオ実績!F7)</f>
        <v>0</v>
      </c>
      <c r="G6">
        <f t="shared" si="0"/>
        <v>44742</v>
      </c>
      <c r="H6">
        <f>IF(B6&lt;&gt;"", SUMIFS(ポートフォリオ実績!$D$2:$D$2001, ポートフォリオ実績!$B$2:$B$2001, B6, ポートフォリオ実績!$A$2:$A$2001, G6), 0)</f>
        <v>51495.96</v>
      </c>
      <c r="I6">
        <f>IF(B6&lt;&gt;"", SUMIFS(ポートフォリオ実績!$C$2:$C$2001, ポートフォリオ実績!$B$2:$B$2001, B6, ポートフォリオ実績!$A$2:$A$2001, G6), 0)</f>
        <v>49478.82</v>
      </c>
      <c r="J6">
        <f t="shared" si="1"/>
        <v>2220.5399999999936</v>
      </c>
      <c r="K6">
        <f t="shared" si="2"/>
        <v>2017.1399999999994</v>
      </c>
      <c r="L6">
        <f t="shared" si="3"/>
        <v>203.39999999999418</v>
      </c>
      <c r="M6">
        <f t="shared" si="4"/>
        <v>241.86999999999418</v>
      </c>
      <c r="N6">
        <f t="shared" si="5"/>
        <v>-246.87999999999622</v>
      </c>
      <c r="O6">
        <f t="shared" si="6"/>
        <v>51372.520000000004</v>
      </c>
      <c r="P6">
        <f t="shared" si="7"/>
        <v>4.7081591481203215E-3</v>
      </c>
      <c r="Q6" t="str">
        <f>IF(B6="","", IFERROR(VLOOKUP(B6, '基準資産配分（設定）'!$A$2:$C$2001, 3, FALSE), ""))</f>
        <v>NOMURA-BPI総合</v>
      </c>
      <c r="R6">
        <f>IF(B6="","", IFERROR(VLOOKUP(B6, '基準資産配分（設定）'!$A$2:$C$2001, 2, FALSE)/100, 0))</f>
        <v>0.3906</v>
      </c>
      <c r="S6">
        <f>IF(B6="","", IFERROR(SUMIFS(ベンチマークリターン!$C$2:$C$2001, ベンチマークリターン!$A$2:$A$2001, A6, ベンチマークリターン!$B$2:$B$2001, Q6) / 100, 0))</f>
        <v>2.3E-3</v>
      </c>
      <c r="T6">
        <f>IF(A6="","", SUMIFS($H$2:$H$2000, $A$2:$A$2000, A6))</f>
        <v>143829.51</v>
      </c>
      <c r="U6">
        <f t="shared" si="8"/>
        <v>0.35803473153735971</v>
      </c>
      <c r="V6">
        <f t="shared" si="9"/>
        <v>1.6856844966324236E-3</v>
      </c>
      <c r="W6">
        <f t="shared" si="10"/>
        <v>8.9837999999999995E-4</v>
      </c>
    </row>
    <row r="7" spans="1:23" x14ac:dyDescent="0.2">
      <c r="A7" s="4">
        <f>IF(ポートフォリオ実績!A8="","", ポートフォリオ実績!A8)</f>
        <v>44804</v>
      </c>
      <c r="B7" t="str">
        <f>IF(ポートフォリオ実績!B8="","", ポートフォリオ実績!B8)</f>
        <v>国内債券（固定金利・国債中心）</v>
      </c>
      <c r="C7" s="10">
        <f>IF(ポートフォリオ実績!C8="","", ポートフォリオ実績!C8)</f>
        <v>48468.05</v>
      </c>
      <c r="D7" s="10">
        <f>IF(ポートフォリオ実績!D8="","", ポートフォリオ実績!D8)</f>
        <v>50460.39</v>
      </c>
      <c r="E7" s="10">
        <f>IF(ポートフォリオ実績!E8="","", ポートフォリオ実績!E8)</f>
        <v>38.020000000000003</v>
      </c>
      <c r="F7" s="10">
        <f>IF(ポートフォリオ実績!F8="","", ポートフォリオ実績!F8)</f>
        <v>0</v>
      </c>
      <c r="G7">
        <f t="shared" si="0"/>
        <v>44773</v>
      </c>
      <c r="H7">
        <f>IF(B7&lt;&gt;"", SUMIFS(ポートフォリオ実績!$D$2:$D$2001, ポートフォリオ実績!$B$2:$B$2001, B7, ポートフォリオ実績!$A$2:$A$2001, G7), 0)</f>
        <v>51490.95</v>
      </c>
      <c r="I7">
        <f>IF(B7&lt;&gt;"", SUMIFS(ポートフォリオ実績!$C$2:$C$2001, ポートフォリオ実績!$B$2:$B$2001, B7, ポートフォリオ実績!$A$2:$A$2001, G7), 0)</f>
        <v>49270.41</v>
      </c>
      <c r="J7">
        <f t="shared" si="1"/>
        <v>1992.3399999999965</v>
      </c>
      <c r="K7">
        <f t="shared" si="2"/>
        <v>2220.5399999999936</v>
      </c>
      <c r="L7">
        <f t="shared" si="3"/>
        <v>-228.19999999999709</v>
      </c>
      <c r="M7">
        <f t="shared" si="4"/>
        <v>-190.17999999999708</v>
      </c>
      <c r="N7">
        <f t="shared" si="5"/>
        <v>-840.38000000000056</v>
      </c>
      <c r="O7">
        <f t="shared" si="6"/>
        <v>51070.759999999995</v>
      </c>
      <c r="P7">
        <f t="shared" si="7"/>
        <v>-3.7238529444245023E-3</v>
      </c>
      <c r="Q7" t="str">
        <f>IF(B7="","", IFERROR(VLOOKUP(B7, '基準資産配分（設定）'!$A$2:$C$2001, 3, FALSE), ""))</f>
        <v>NOMURA-BPI総合</v>
      </c>
      <c r="R7">
        <f>IF(B7="","", IFERROR(VLOOKUP(B7, '基準資産配分（設定）'!$A$2:$C$2001, 2, FALSE)/100, 0))</f>
        <v>0.3906</v>
      </c>
      <c r="S7">
        <f>IF(B7="","", IFERROR(SUMIFS(ベンチマークリターン!$C$2:$C$2001, ベンチマークリターン!$A$2:$A$2001, A7, ベンチマークリターン!$B$2:$B$2001, Q7) / 100, 0))</f>
        <v>-6.8069999999999997E-3</v>
      </c>
      <c r="T7">
        <f>IF(A7="","", SUMIFS($H$2:$H$2000, $A$2:$A$2000, A7))</f>
        <v>145658.63</v>
      </c>
      <c r="U7">
        <f t="shared" si="8"/>
        <v>0.3535042860144984</v>
      </c>
      <c r="V7">
        <f t="shared" si="9"/>
        <v>-1.3163979763417713E-3</v>
      </c>
      <c r="W7">
        <f t="shared" si="10"/>
        <v>-2.6588141999999999E-3</v>
      </c>
    </row>
    <row r="8" spans="1:23" x14ac:dyDescent="0.2">
      <c r="A8" s="4">
        <f>IF(ポートフォリオ実績!A9="","", ポートフォリオ実績!A9)</f>
        <v>44834</v>
      </c>
      <c r="B8" t="str">
        <f>IF(ポートフォリオ実績!B9="","", ポートフォリオ実績!B9)</f>
        <v>国内債券（固定金利・国債中心）</v>
      </c>
      <c r="C8" s="10">
        <f>IF(ポートフォリオ実績!C9="","", ポートフォリオ実績!C9)</f>
        <v>48336.160000000003</v>
      </c>
      <c r="D8" s="10">
        <f>IF(ポートフォリオ実績!D9="","", ポートフォリオ実績!D9)</f>
        <v>50207.06</v>
      </c>
      <c r="E8" s="10">
        <f>IF(ポートフォリオ実績!E9="","", ポートフォリオ実績!E9)</f>
        <v>37.75</v>
      </c>
      <c r="F8" s="10">
        <f>IF(ポートフォリオ実績!F9="","", ポートフォリオ実績!F9)</f>
        <v>0</v>
      </c>
      <c r="G8">
        <f t="shared" si="0"/>
        <v>44804</v>
      </c>
      <c r="H8">
        <f>IF(B8&lt;&gt;"", SUMIFS(ポートフォリオ実績!$D$2:$D$2001, ポートフォリオ実績!$B$2:$B$2001, B8, ポートフォリオ実績!$A$2:$A$2001, G8), 0)</f>
        <v>50460.39</v>
      </c>
      <c r="I8">
        <f>IF(B8&lt;&gt;"", SUMIFS(ポートフォリオ実績!$C$2:$C$2001, ポートフォリオ実績!$B$2:$B$2001, B8, ポートフォリオ実績!$A$2:$A$2001, G8), 0)</f>
        <v>48468.05</v>
      </c>
      <c r="J8">
        <f t="shared" si="1"/>
        <v>1870.8999999999942</v>
      </c>
      <c r="K8">
        <f t="shared" si="2"/>
        <v>1992.3399999999965</v>
      </c>
      <c r="L8">
        <f t="shared" si="3"/>
        <v>-121.44000000000233</v>
      </c>
      <c r="M8">
        <f t="shared" si="4"/>
        <v>-83.690000000002328</v>
      </c>
      <c r="N8">
        <f t="shared" si="5"/>
        <v>-169.63999999999942</v>
      </c>
      <c r="O8">
        <f t="shared" si="6"/>
        <v>50375.57</v>
      </c>
      <c r="P8">
        <f t="shared" si="7"/>
        <v>-1.6613211522966854E-3</v>
      </c>
      <c r="Q8" t="str">
        <f>IF(B8="","", IFERROR(VLOOKUP(B8, '基準資産配分（設定）'!$A$2:$C$2001, 3, FALSE), ""))</f>
        <v>NOMURA-BPI総合</v>
      </c>
      <c r="R8">
        <f>IF(B8="","", IFERROR(VLOOKUP(B8, '基準資産配分（設定）'!$A$2:$C$2001, 2, FALSE)/100, 0))</f>
        <v>0.3906</v>
      </c>
      <c r="S8">
        <f>IF(B8="","", IFERROR(SUMIFS(ベンチマークリターン!$C$2:$C$2001, ベンチマークリターン!$A$2:$A$2001, A8, ベンチマークリターン!$B$2:$B$2001, Q8) / 100, 0))</f>
        <v>5.7520000000000002E-3</v>
      </c>
      <c r="T8">
        <f>IF(A8="","", SUMIFS($H$2:$H$2000, $A$2:$A$2000, A8))</f>
        <v>144325.42000000001</v>
      </c>
      <c r="U8">
        <f t="shared" si="8"/>
        <v>0.34962926142879053</v>
      </c>
      <c r="V8">
        <f t="shared" si="9"/>
        <v>-5.8084648747351738E-4</v>
      </c>
      <c r="W8">
        <f t="shared" si="10"/>
        <v>2.2467312000000001E-3</v>
      </c>
    </row>
    <row r="9" spans="1:23" x14ac:dyDescent="0.2">
      <c r="A9" s="4">
        <f>IF(ポートフォリオ実績!A10="","", ポートフォリオ実績!A10)</f>
        <v>44865</v>
      </c>
      <c r="B9" t="str">
        <f>IF(ポートフォリオ実績!B10="","", ポートフォリオ実績!B10)</f>
        <v>国内債券（固定金利・国債中心）</v>
      </c>
      <c r="C9" s="10">
        <f>IF(ポートフォリオ実績!C10="","", ポートフォリオ実績!C10)</f>
        <v>49155.7</v>
      </c>
      <c r="D9" s="10">
        <f>IF(ポートフォリオ実績!D10="","", ポートフォリオ実績!D10)</f>
        <v>50850.400000000001</v>
      </c>
      <c r="E9" s="10">
        <f>IF(ポートフォリオ実績!E10="","", ポートフォリオ実績!E10)</f>
        <v>38.270000000000003</v>
      </c>
      <c r="F9" s="10">
        <f>IF(ポートフォリオ実績!F10="","", ポートフォリオ実績!F10)</f>
        <v>0</v>
      </c>
      <c r="G9">
        <f t="shared" si="0"/>
        <v>44834</v>
      </c>
      <c r="H9">
        <f>IF(B9&lt;&gt;"", SUMIFS(ポートフォリオ実績!$D$2:$D$2001, ポートフォリオ実績!$B$2:$B$2001, B9, ポートフォリオ実績!$A$2:$A$2001, G9), 0)</f>
        <v>50207.06</v>
      </c>
      <c r="I9">
        <f>IF(B9&lt;&gt;"", SUMIFS(ポートフォリオ実績!$C$2:$C$2001, ポートフォリオ実績!$B$2:$B$2001, B9, ポートフォリオ実績!$A$2:$A$2001, G9), 0)</f>
        <v>48336.160000000003</v>
      </c>
      <c r="J9">
        <f t="shared" si="1"/>
        <v>1694.7000000000044</v>
      </c>
      <c r="K9">
        <f t="shared" si="2"/>
        <v>1870.8999999999942</v>
      </c>
      <c r="L9">
        <f t="shared" si="3"/>
        <v>-176.19999999998981</v>
      </c>
      <c r="M9">
        <f t="shared" si="4"/>
        <v>-137.9299999999898</v>
      </c>
      <c r="N9">
        <f t="shared" si="5"/>
        <v>781.26999999999362</v>
      </c>
      <c r="O9">
        <f t="shared" si="6"/>
        <v>50597.694999999992</v>
      </c>
      <c r="P9">
        <f t="shared" si="7"/>
        <v>-2.7260135071368336E-3</v>
      </c>
      <c r="Q9" t="str">
        <f>IF(B9="","", IFERROR(VLOOKUP(B9, '基準資産配分（設定）'!$A$2:$C$2001, 3, FALSE), ""))</f>
        <v>NOMURA-BPI総合</v>
      </c>
      <c r="R9">
        <f>IF(B9="","", IFERROR(VLOOKUP(B9, '基準資産配分（設定）'!$A$2:$C$2001, 2, FALSE)/100, 0))</f>
        <v>0.3906</v>
      </c>
      <c r="S9">
        <f>IF(B9="","", IFERROR(SUMIFS(ベンチマークリターン!$C$2:$C$2001, ベンチマークリターン!$A$2:$A$2001, A9, ベンチマークリターン!$B$2:$B$2001, Q9) / 100, 0))</f>
        <v>-6.510000000000001E-4</v>
      </c>
      <c r="T9">
        <f>IF(A9="","", SUMIFS($H$2:$H$2000, $A$2:$A$2000, A9))</f>
        <v>145674.57</v>
      </c>
      <c r="U9">
        <f t="shared" si="8"/>
        <v>0.34465219289818394</v>
      </c>
      <c r="V9">
        <f t="shared" si="9"/>
        <v>-9.3952653310477895E-4</v>
      </c>
      <c r="W9">
        <f t="shared" si="10"/>
        <v>-2.5428060000000005E-4</v>
      </c>
    </row>
    <row r="10" spans="1:23" x14ac:dyDescent="0.2">
      <c r="A10" s="4">
        <f>IF(ポートフォリオ実績!A11="","", ポートフォリオ実績!A11)</f>
        <v>44895</v>
      </c>
      <c r="B10" t="str">
        <f>IF(ポートフォリオ実績!B11="","", ポートフォリオ実績!B11)</f>
        <v>国内債券（固定金利・国債中心）</v>
      </c>
      <c r="C10" s="10">
        <f>IF(ポートフォリオ実績!C11="","", ポートフォリオ実績!C11)</f>
        <v>45487.76</v>
      </c>
      <c r="D10" s="10">
        <f>IF(ポートフォリオ実績!D11="","", ポートフォリオ実績!D11)</f>
        <v>47169.79</v>
      </c>
      <c r="E10" s="10">
        <f>IF(ポートフォリオ実績!E11="","", ポートフォリオ実績!E11)</f>
        <v>39.18</v>
      </c>
      <c r="F10" s="10">
        <f>IF(ポートフォリオ実績!F11="","", ポートフォリオ実績!F11)</f>
        <v>-11.88</v>
      </c>
      <c r="G10">
        <f t="shared" si="0"/>
        <v>44865</v>
      </c>
      <c r="H10">
        <f>IF(B10&lt;&gt;"", SUMIFS(ポートフォリオ実績!$D$2:$D$2001, ポートフォリオ実績!$B$2:$B$2001, B10, ポートフォリオ実績!$A$2:$A$2001, G10), 0)</f>
        <v>50850.400000000001</v>
      </c>
      <c r="I10">
        <f>IF(B10&lt;&gt;"", SUMIFS(ポートフォリオ実績!$C$2:$C$2001, ポートフォリオ実績!$B$2:$B$2001, B10, ポートフォリオ実績!$A$2:$A$2001, G10), 0)</f>
        <v>49155.7</v>
      </c>
      <c r="J10">
        <f t="shared" si="1"/>
        <v>1682.0299999999988</v>
      </c>
      <c r="K10">
        <f t="shared" si="2"/>
        <v>1694.7000000000044</v>
      </c>
      <c r="L10">
        <f t="shared" si="3"/>
        <v>-12.67000000000553</v>
      </c>
      <c r="M10">
        <f t="shared" si="4"/>
        <v>14.629999999994467</v>
      </c>
      <c r="N10">
        <f t="shared" si="5"/>
        <v>-3695.2399999999952</v>
      </c>
      <c r="O10">
        <f t="shared" si="6"/>
        <v>49002.780000000006</v>
      </c>
      <c r="P10">
        <f t="shared" si="7"/>
        <v>2.9855449017370986E-4</v>
      </c>
      <c r="Q10" t="str">
        <f>IF(B10="","", IFERROR(VLOOKUP(B10, '基準資産配分（設定）'!$A$2:$C$2001, 3, FALSE), ""))</f>
        <v>NOMURA-BPI総合</v>
      </c>
      <c r="R10">
        <f>IF(B10="","", IFERROR(VLOOKUP(B10, '基準資産配分（設定）'!$A$2:$C$2001, 2, FALSE)/100, 0))</f>
        <v>0.3906</v>
      </c>
      <c r="S10">
        <f>IF(B10="","", IFERROR(SUMIFS(ベンチマークリターン!$C$2:$C$2001, ベンチマークリターン!$A$2:$A$2001, A10, ベンチマークリターン!$B$2:$B$2001, Q10) / 100, 0))</f>
        <v>-2.601E-3</v>
      </c>
      <c r="T10">
        <f>IF(A10="","", SUMIFS($H$2:$H$2000, $A$2:$A$2000, A10))</f>
        <v>149722.51</v>
      </c>
      <c r="U10">
        <f t="shared" si="8"/>
        <v>0.33963096130301312</v>
      </c>
      <c r="V10">
        <f t="shared" si="9"/>
        <v>1.0139834849902806E-4</v>
      </c>
      <c r="W10">
        <f t="shared" si="10"/>
        <v>-1.0159506E-3</v>
      </c>
    </row>
    <row r="11" spans="1:23" x14ac:dyDescent="0.2">
      <c r="A11" s="4">
        <f>IF(ポートフォリオ実績!A12="","", ポートフォリオ実績!A12)</f>
        <v>44926</v>
      </c>
      <c r="B11" t="str">
        <f>IF(ポートフォリオ実績!B12="","", ポートフォリオ実績!B12)</f>
        <v>国内債券（固定金利・国債中心）</v>
      </c>
      <c r="C11" s="10">
        <f>IF(ポートフォリオ実績!C12="","", ポートフォリオ実績!C12)</f>
        <v>45023.46</v>
      </c>
      <c r="D11" s="10">
        <f>IF(ポートフォリオ実績!D12="","", ポートフォリオ実績!D12)</f>
        <v>46850.71</v>
      </c>
      <c r="E11" s="10">
        <f>IF(ポートフォリオ実績!E12="","", ポートフォリオ実績!E12)</f>
        <v>35.03</v>
      </c>
      <c r="F11" s="10">
        <f>IF(ポートフォリオ実績!F12="","", ポートフォリオ実績!F12)</f>
        <v>0</v>
      </c>
      <c r="G11">
        <f t="shared" si="0"/>
        <v>44895</v>
      </c>
      <c r="H11">
        <f>IF(B11&lt;&gt;"", SUMIFS(ポートフォリオ実績!$D$2:$D$2001, ポートフォリオ実績!$B$2:$B$2001, B11, ポートフォリオ実績!$A$2:$A$2001, G11), 0)</f>
        <v>47169.79</v>
      </c>
      <c r="I11">
        <f>IF(B11&lt;&gt;"", SUMIFS(ポートフォリオ実績!$C$2:$C$2001, ポートフォリオ実績!$B$2:$B$2001, B11, ポートフォリオ実績!$A$2:$A$2001, G11), 0)</f>
        <v>45487.76</v>
      </c>
      <c r="J11">
        <f t="shared" si="1"/>
        <v>1827.25</v>
      </c>
      <c r="K11">
        <f t="shared" si="2"/>
        <v>1682.0299999999988</v>
      </c>
      <c r="L11">
        <f t="shared" si="3"/>
        <v>145.22000000000116</v>
      </c>
      <c r="M11">
        <f t="shared" si="4"/>
        <v>180.25000000000117</v>
      </c>
      <c r="N11">
        <f t="shared" si="5"/>
        <v>-499.33000000000288</v>
      </c>
      <c r="O11">
        <f t="shared" si="6"/>
        <v>46920.125</v>
      </c>
      <c r="P11">
        <f t="shared" si="7"/>
        <v>3.8416351192585517E-3</v>
      </c>
      <c r="Q11" t="str">
        <f>IF(B11="","", IFERROR(VLOOKUP(B11, '基準資産配分（設定）'!$A$2:$C$2001, 3, FALSE), ""))</f>
        <v>NOMURA-BPI総合</v>
      </c>
      <c r="R11">
        <f>IF(B11="","", IFERROR(VLOOKUP(B11, '基準資産配分（設定）'!$A$2:$C$2001, 2, FALSE)/100, 0))</f>
        <v>0.3906</v>
      </c>
      <c r="S11">
        <f>IF(B11="","", IFERROR(SUMIFS(ベンチマークリターン!$C$2:$C$2001, ベンチマークリターン!$A$2:$A$2001, A11, ベンチマークリターン!$B$2:$B$2001, Q11) / 100, 0))</f>
        <v>6.4729999999999996E-3</v>
      </c>
      <c r="T11">
        <f>IF(A11="","", SUMIFS($H$2:$H$2000, $A$2:$A$2000, A11))</f>
        <v>146745.91999999998</v>
      </c>
      <c r="U11">
        <f t="shared" si="8"/>
        <v>0.32143851086285741</v>
      </c>
      <c r="V11">
        <f t="shared" si="9"/>
        <v>1.2348494720129245E-3</v>
      </c>
      <c r="W11">
        <f t="shared" si="10"/>
        <v>2.5283537999999999E-3</v>
      </c>
    </row>
    <row r="12" spans="1:23" x14ac:dyDescent="0.2">
      <c r="A12" s="4">
        <f>IF(ポートフォリオ実績!A13="","", ポートフォリオ実績!A13)</f>
        <v>44957</v>
      </c>
      <c r="B12" t="str">
        <f>IF(ポートフォリオ実績!B13="","", ポートフォリオ実績!B13)</f>
        <v>国内債券（固定金利・国債中心）</v>
      </c>
      <c r="C12" s="10">
        <f>IF(ポートフォリオ実績!C13="","", ポートフォリオ実績!C13)</f>
        <v>44820.32</v>
      </c>
      <c r="D12" s="10">
        <f>IF(ポートフォリオ実績!D13="","", ポートフォリオ実績!D13)</f>
        <v>46787.63</v>
      </c>
      <c r="E12" s="10">
        <f>IF(ポートフォリオ実績!E13="","", ポートフォリオ実績!E13)</f>
        <v>34.99</v>
      </c>
      <c r="F12" s="10">
        <f>IF(ポートフォリオ実績!F13="","", ポートフォリオ実績!F13)</f>
        <v>0</v>
      </c>
      <c r="G12">
        <f t="shared" si="0"/>
        <v>44926</v>
      </c>
      <c r="H12">
        <f>IF(B12&lt;&gt;"", SUMIFS(ポートフォリオ実績!$D$2:$D$2001, ポートフォリオ実績!$B$2:$B$2001, B12, ポートフォリオ実績!$A$2:$A$2001, G12), 0)</f>
        <v>46850.71</v>
      </c>
      <c r="I12">
        <f>IF(B12&lt;&gt;"", SUMIFS(ポートフォリオ実績!$C$2:$C$2001, ポートフォリオ実績!$B$2:$B$2001, B12, ポートフォリオ実績!$A$2:$A$2001, G12), 0)</f>
        <v>45023.46</v>
      </c>
      <c r="J12">
        <f t="shared" si="1"/>
        <v>1967.3099999999977</v>
      </c>
      <c r="K12">
        <f t="shared" si="2"/>
        <v>1827.25</v>
      </c>
      <c r="L12">
        <f t="shared" si="3"/>
        <v>140.05999999999767</v>
      </c>
      <c r="M12">
        <f t="shared" si="4"/>
        <v>175.04999999999768</v>
      </c>
      <c r="N12">
        <f t="shared" si="5"/>
        <v>-238.12999999999943</v>
      </c>
      <c r="O12">
        <f t="shared" si="6"/>
        <v>46731.644999999997</v>
      </c>
      <c r="P12">
        <f t="shared" si="7"/>
        <v>3.7458557258148667E-3</v>
      </c>
      <c r="Q12" t="str">
        <f>IF(B12="","", IFERROR(VLOOKUP(B12, '基準資産配分（設定）'!$A$2:$C$2001, 3, FALSE), ""))</f>
        <v>NOMURA-BPI総合</v>
      </c>
      <c r="R12">
        <f>IF(B12="","", IFERROR(VLOOKUP(B12, '基準資産配分（設定）'!$A$2:$C$2001, 2, FALSE)/100, 0))</f>
        <v>0.3906</v>
      </c>
      <c r="S12">
        <f>IF(B12="","", IFERROR(SUMIFS(ベンチマークリターン!$C$2:$C$2001, ベンチマークリターン!$A$2:$A$2001, A12, ベンチマークリターン!$B$2:$B$2001, Q12) / 100, 0))</f>
        <v>-3.65E-3</v>
      </c>
      <c r="T12">
        <f>IF(A12="","", SUMIFS($H$2:$H$2000, $A$2:$A$2000, A12))</f>
        <v>148588.96000000002</v>
      </c>
      <c r="U12">
        <f t="shared" si="8"/>
        <v>0.31530411142254439</v>
      </c>
      <c r="V12">
        <f t="shared" si="9"/>
        <v>1.1810837111451067E-3</v>
      </c>
      <c r="W12">
        <f t="shared" si="10"/>
        <v>-1.4256900000000001E-3</v>
      </c>
    </row>
    <row r="13" spans="1:23" x14ac:dyDescent="0.2">
      <c r="A13" s="4">
        <f>IF(ポートフォリオ実績!A14="","", ポートフォリオ実績!A14)</f>
        <v>44985</v>
      </c>
      <c r="B13" t="str">
        <f>IF(ポートフォリオ実績!B14="","", ポートフォリオ実績!B14)</f>
        <v>国内債券（固定金利・国債中心）</v>
      </c>
      <c r="C13" s="10">
        <f>IF(ポートフォリオ実績!C14="","", ポートフォリオ実績!C14)</f>
        <v>44616.77</v>
      </c>
      <c r="D13" s="10">
        <f>IF(ポートフォリオ実績!D14="","", ポートフォリオ実績!D14)</f>
        <v>46877.72</v>
      </c>
      <c r="E13" s="10">
        <f>IF(ポートフォリオ実績!E14="","", ポートフォリオ実績!E14)</f>
        <v>34.94</v>
      </c>
      <c r="F13" s="10">
        <f>IF(ポートフォリオ実績!F14="","", ポートフォリオ実績!F14)</f>
        <v>0</v>
      </c>
      <c r="G13">
        <f t="shared" si="0"/>
        <v>44957</v>
      </c>
      <c r="H13">
        <f>IF(B13&lt;&gt;"", SUMIFS(ポートフォリオ実績!$D$2:$D$2001, ポートフォリオ実績!$B$2:$B$2001, B13, ポートフォリオ実績!$A$2:$A$2001, G13), 0)</f>
        <v>46787.63</v>
      </c>
      <c r="I13">
        <f>IF(B13&lt;&gt;"", SUMIFS(ポートフォリオ実績!$C$2:$C$2001, ポートフォリオ実績!$B$2:$B$2001, B13, ポートフォリオ実績!$A$2:$A$2001, G13), 0)</f>
        <v>44820.32</v>
      </c>
      <c r="J13">
        <f t="shared" si="1"/>
        <v>2260.9500000000044</v>
      </c>
      <c r="K13">
        <f t="shared" si="2"/>
        <v>1967.3099999999977</v>
      </c>
      <c r="L13">
        <f t="shared" si="3"/>
        <v>293.64000000000669</v>
      </c>
      <c r="M13">
        <f t="shared" si="4"/>
        <v>328.58000000000669</v>
      </c>
      <c r="N13">
        <f t="shared" si="5"/>
        <v>-238.49000000000291</v>
      </c>
      <c r="O13">
        <f t="shared" si="6"/>
        <v>46668.384999999995</v>
      </c>
      <c r="P13">
        <f t="shared" si="7"/>
        <v>7.0407407498675328E-3</v>
      </c>
      <c r="Q13" t="str">
        <f>IF(B13="","", IFERROR(VLOOKUP(B13, '基準資産配分（設定）'!$A$2:$C$2001, 3, FALSE), ""))</f>
        <v>NOMURA-BPI総合</v>
      </c>
      <c r="R13">
        <f>IF(B13="","", IFERROR(VLOOKUP(B13, '基準資産配分（設定）'!$A$2:$C$2001, 2, FALSE)/100, 0))</f>
        <v>0.3906</v>
      </c>
      <c r="S13">
        <f>IF(B13="","", IFERROR(SUMIFS(ベンチマークリターン!$C$2:$C$2001, ベンチマークリターン!$A$2:$A$2001, A13, ベンチマークリターン!$B$2:$B$2001, Q13) / 100, 0))</f>
        <v>-7.7149999999999996E-3</v>
      </c>
      <c r="T13">
        <f>IF(A13="","", SUMIFS($H$2:$H$2000, $A$2:$A$2000, A13))</f>
        <v>149058.73000000001</v>
      </c>
      <c r="U13">
        <f t="shared" si="8"/>
        <v>0.31388721747461551</v>
      </c>
      <c r="V13">
        <f t="shared" si="9"/>
        <v>2.2099985229360576E-3</v>
      </c>
      <c r="W13">
        <f t="shared" si="10"/>
        <v>-3.0134789999999999E-3</v>
      </c>
    </row>
    <row r="14" spans="1:23" x14ac:dyDescent="0.2">
      <c r="A14" s="4">
        <f>IF(ポートフォリオ実績!A15="","", ポートフォリオ実績!A15)</f>
        <v>45016</v>
      </c>
      <c r="B14" t="str">
        <f>IF(ポートフォリオ実績!B15="","", ポートフォリオ実績!B15)</f>
        <v>国内債券（固定金利・国債中心）</v>
      </c>
      <c r="C14" s="10">
        <f>IF(ポートフォリオ実績!C15="","", ポートフォリオ実績!C15)</f>
        <v>44444.74</v>
      </c>
      <c r="D14" s="10">
        <f>IF(ポートフォリオ実績!D15="","", ポートフォリオ実績!D15)</f>
        <v>47244.09</v>
      </c>
      <c r="E14" s="10">
        <f>IF(ポートフォリオ実績!E15="","", ポートフォリオ実績!E15)</f>
        <v>35.03</v>
      </c>
      <c r="F14" s="10">
        <f>IF(ポートフォリオ実績!F15="","", ポートフォリオ実績!F15)</f>
        <v>0</v>
      </c>
      <c r="G14">
        <f t="shared" si="0"/>
        <v>44985</v>
      </c>
      <c r="H14">
        <f>IF(B14&lt;&gt;"", SUMIFS(ポートフォリオ実績!$D$2:$D$2001, ポートフォリオ実績!$B$2:$B$2001, B14, ポートフォリオ実績!$A$2:$A$2001, G14), 0)</f>
        <v>46877.72</v>
      </c>
      <c r="I14">
        <f>IF(B14&lt;&gt;"", SUMIFS(ポートフォリオ実績!$C$2:$C$2001, ポートフォリオ実績!$B$2:$B$2001, B14, ポートフォリオ実績!$A$2:$A$2001, G14), 0)</f>
        <v>44616.77</v>
      </c>
      <c r="J14">
        <f t="shared" si="1"/>
        <v>2799.3499999999985</v>
      </c>
      <c r="K14">
        <f t="shared" si="2"/>
        <v>2260.9500000000044</v>
      </c>
      <c r="L14">
        <f t="shared" si="3"/>
        <v>538.39999999999418</v>
      </c>
      <c r="M14">
        <f t="shared" si="4"/>
        <v>573.42999999999415</v>
      </c>
      <c r="N14">
        <f t="shared" si="5"/>
        <v>-207.05999999999881</v>
      </c>
      <c r="O14">
        <f t="shared" si="6"/>
        <v>46774.19</v>
      </c>
      <c r="P14">
        <f t="shared" si="7"/>
        <v>1.225953886106834E-2</v>
      </c>
      <c r="Q14" t="str">
        <f>IF(B14="","", IFERROR(VLOOKUP(B14, '基準資産配分（設定）'!$A$2:$C$2001, 3, FALSE), ""))</f>
        <v>NOMURA-BPI総合</v>
      </c>
      <c r="R14">
        <f>IF(B14="","", IFERROR(VLOOKUP(B14, '基準資産配分（設定）'!$A$2:$C$2001, 2, FALSE)/100, 0))</f>
        <v>0.3906</v>
      </c>
      <c r="S14">
        <f>IF(B14="","", IFERROR(SUMIFS(ベンチマークリターン!$C$2:$C$2001, ベンチマークリターン!$A$2:$A$2001, A14, ベンチマークリターン!$B$2:$B$2001, Q14) / 100, 0))</f>
        <v>-8.5710000000000005E-3</v>
      </c>
      <c r="T14">
        <f>IF(A14="","", SUMIFS($H$2:$H$2000, $A$2:$A$2000, A14))</f>
        <v>149288.46000000002</v>
      </c>
      <c r="U14">
        <f t="shared" si="8"/>
        <v>0.31400766006963965</v>
      </c>
      <c r="V14">
        <f t="shared" si="9"/>
        <v>3.8495891112968845E-3</v>
      </c>
      <c r="W14">
        <f t="shared" si="10"/>
        <v>-3.3478326E-3</v>
      </c>
    </row>
    <row r="15" spans="1:23" x14ac:dyDescent="0.2">
      <c r="A15" s="4">
        <f>IF(ポートフォリオ実績!A16="","", ポートフォリオ実績!A16)</f>
        <v>45046</v>
      </c>
      <c r="B15" t="str">
        <f>IF(ポートフォリオ実績!B16="","", ポートフォリオ実績!B16)</f>
        <v>国内債券（固定金利・国債中心）</v>
      </c>
      <c r="C15" s="10">
        <f>IF(ポートフォリオ実績!C16="","", ポートフォリオ実績!C16)</f>
        <v>44912.08</v>
      </c>
      <c r="D15" s="10">
        <f>IF(ポートフォリオ実績!D16="","", ポートフォリオ実績!D16)</f>
        <v>47749.67</v>
      </c>
      <c r="E15" s="10">
        <f>IF(ポートフォリオ実績!E16="","", ポートフォリオ実績!E16)</f>
        <v>35.78</v>
      </c>
      <c r="F15" s="10">
        <f>IF(ポートフォリオ実績!F16="","", ポートフォリオ実績!F16)</f>
        <v>0</v>
      </c>
      <c r="G15">
        <f t="shared" si="0"/>
        <v>45016</v>
      </c>
      <c r="H15">
        <f>IF(B15&lt;&gt;"", SUMIFS(ポートフォリオ実績!$D$2:$D$2001, ポートフォリオ実績!$B$2:$B$2001, B15, ポートフォリオ実績!$A$2:$A$2001, G15), 0)</f>
        <v>47244.09</v>
      </c>
      <c r="I15">
        <f>IF(B15&lt;&gt;"", SUMIFS(ポートフォリオ実績!$C$2:$C$2001, ポートフォリオ実績!$B$2:$B$2001, B15, ポートフォリオ実績!$A$2:$A$2001, G15), 0)</f>
        <v>44444.74</v>
      </c>
      <c r="J15">
        <f t="shared" si="1"/>
        <v>2837.5899999999965</v>
      </c>
      <c r="K15">
        <f t="shared" si="2"/>
        <v>2799.3499999999985</v>
      </c>
      <c r="L15">
        <f t="shared" si="3"/>
        <v>38.239999999997963</v>
      </c>
      <c r="M15">
        <f t="shared" si="4"/>
        <v>74.019999999997964</v>
      </c>
      <c r="N15">
        <f t="shared" si="5"/>
        <v>431.56000000000381</v>
      </c>
      <c r="O15">
        <f t="shared" si="6"/>
        <v>47459.869999999995</v>
      </c>
      <c r="P15">
        <f t="shared" si="7"/>
        <v>1.5596334334670105E-3</v>
      </c>
      <c r="Q15" t="str">
        <f>IF(B15="","", IFERROR(VLOOKUP(B15, '基準資産配分（設定）'!$A$2:$C$2001, 3, FALSE), ""))</f>
        <v>NOMURA-BPI総合</v>
      </c>
      <c r="R15">
        <f>IF(B15="","", IFERROR(VLOOKUP(B15, '基準資産配分（設定）'!$A$2:$C$2001, 2, FALSE)/100, 0))</f>
        <v>0.3906</v>
      </c>
      <c r="S15">
        <f>IF(B15="","", IFERROR(SUMIFS(ベンチマークリターン!$C$2:$C$2001, ベンチマークリターン!$A$2:$A$2001, A15, ベンチマークリターン!$B$2:$B$2001, Q15) / 100, 0))</f>
        <v>3.9150000000000001E-3</v>
      </c>
      <c r="T15">
        <f>IF(A15="","", SUMIFS($H$2:$H$2000, $A$2:$A$2000, A15))</f>
        <v>148343.76</v>
      </c>
      <c r="U15">
        <f t="shared" si="8"/>
        <v>0.31847709671104463</v>
      </c>
      <c r="V15">
        <f t="shared" si="9"/>
        <v>4.967075278240517E-4</v>
      </c>
      <c r="W15">
        <f t="shared" si="10"/>
        <v>1.529199E-3</v>
      </c>
    </row>
    <row r="16" spans="1:23" x14ac:dyDescent="0.2">
      <c r="A16" s="4">
        <f>IF(ポートフォリオ実績!A17="","", ポートフォリオ実績!A17)</f>
        <v>45077</v>
      </c>
      <c r="B16" t="str">
        <f>IF(ポートフォリオ実績!B17="","", ポートフォリオ実績!B17)</f>
        <v>国内債券（固定金利・国債中心）</v>
      </c>
      <c r="C16" s="10">
        <f>IF(ポートフォリオ実績!C17="","", ポートフォリオ実績!C17)</f>
        <v>46318.3</v>
      </c>
      <c r="D16" s="10">
        <f>IF(ポートフォリオ実績!D17="","", ポートフォリオ実績!D17)</f>
        <v>48850.37</v>
      </c>
      <c r="E16" s="10">
        <f>IF(ポートフォリオ実績!E17="","", ポートフォリオ実績!E17)</f>
        <v>36.869999999999997</v>
      </c>
      <c r="F16" s="10">
        <f>IF(ポートフォリオ実績!F17="","", ポートフォリオ実績!F17)</f>
        <v>0</v>
      </c>
      <c r="G16">
        <f t="shared" si="0"/>
        <v>45046</v>
      </c>
      <c r="H16">
        <f>IF(B16&lt;&gt;"", SUMIFS(ポートフォリオ実績!$D$2:$D$2001, ポートフォリオ実績!$B$2:$B$2001, B16, ポートフォリオ実績!$A$2:$A$2001, G16), 0)</f>
        <v>47749.67</v>
      </c>
      <c r="I16">
        <f>IF(B16&lt;&gt;"", SUMIFS(ポートフォリオ実績!$C$2:$C$2001, ポートフォリオ実績!$B$2:$B$2001, B16, ポートフォリオ実績!$A$2:$A$2001, G16), 0)</f>
        <v>44912.08</v>
      </c>
      <c r="J16">
        <f t="shared" si="1"/>
        <v>2532.0699999999997</v>
      </c>
      <c r="K16">
        <f t="shared" si="2"/>
        <v>2837.5899999999965</v>
      </c>
      <c r="L16">
        <f t="shared" si="3"/>
        <v>-305.5199999999968</v>
      </c>
      <c r="M16">
        <f t="shared" si="4"/>
        <v>-268.64999999999679</v>
      </c>
      <c r="N16">
        <f t="shared" si="5"/>
        <v>1369.3500000000013</v>
      </c>
      <c r="O16">
        <f t="shared" si="6"/>
        <v>48434.345000000001</v>
      </c>
      <c r="P16">
        <f t="shared" si="7"/>
        <v>-5.5466838665826244E-3</v>
      </c>
      <c r="Q16" t="str">
        <f>IF(B16="","", IFERROR(VLOOKUP(B16, '基準資産配分（設定）'!$A$2:$C$2001, 3, FALSE), ""))</f>
        <v>NOMURA-BPI総合</v>
      </c>
      <c r="R16">
        <f>IF(B16="","", IFERROR(VLOOKUP(B16, '基準資産配分（設定）'!$A$2:$C$2001, 2, FALSE)/100, 0))</f>
        <v>0.3906</v>
      </c>
      <c r="S16">
        <f>IF(B16="","", IFERROR(SUMIFS(ベンチマークリターン!$C$2:$C$2001, ベンチマークリターン!$A$2:$A$2001, A16, ベンチマークリターン!$B$2:$B$2001, Q16) / 100, 0))</f>
        <v>-6.9759999999999996E-3</v>
      </c>
      <c r="T16">
        <f>IF(A16="","", SUMIFS($H$2:$H$2000, $A$2:$A$2000, A16))</f>
        <v>149279.44000000003</v>
      </c>
      <c r="U16">
        <f t="shared" si="8"/>
        <v>0.3198676924297143</v>
      </c>
      <c r="V16">
        <f t="shared" si="9"/>
        <v>-1.7742049690409093E-3</v>
      </c>
      <c r="W16">
        <f t="shared" si="10"/>
        <v>-2.7248255999999999E-3</v>
      </c>
    </row>
    <row r="17" spans="1:23" x14ac:dyDescent="0.2">
      <c r="A17" s="4">
        <f>IF(ポートフォリオ実績!A18="","", ポートフォリオ実績!A18)</f>
        <v>45107</v>
      </c>
      <c r="B17" t="str">
        <f>IF(ポートフォリオ実績!B18="","", ポートフォリオ実績!B18)</f>
        <v>国内債券（固定金利・国債中心）</v>
      </c>
      <c r="C17" s="10">
        <f>IF(ポートフォリオ実績!C18="","", ポートフォリオ実績!C18)</f>
        <v>46760.46</v>
      </c>
      <c r="D17" s="10">
        <f>IF(ポートフォリオ実績!D18="","", ポートフォリオ実績!D18)</f>
        <v>49673.31</v>
      </c>
      <c r="E17" s="10">
        <f>IF(ポートフォリオ実績!E18="","", ポートフォリオ実績!E18)</f>
        <v>36.97</v>
      </c>
      <c r="F17" s="10">
        <f>IF(ポートフォリオ実績!F18="","", ポートフォリオ実績!F18)</f>
        <v>0</v>
      </c>
      <c r="G17">
        <f t="shared" si="0"/>
        <v>45077</v>
      </c>
      <c r="H17">
        <f>IF(B17&lt;&gt;"", SUMIFS(ポートフォリオ実績!$D$2:$D$2001, ポートフォリオ実績!$B$2:$B$2001, B17, ポートフォリオ実績!$A$2:$A$2001, G17), 0)</f>
        <v>48850.37</v>
      </c>
      <c r="I17">
        <f>IF(B17&lt;&gt;"", SUMIFS(ポートフォリオ実績!$C$2:$C$2001, ポートフォリオ実績!$B$2:$B$2001, B17, ポートフォリオ実績!$A$2:$A$2001, G17), 0)</f>
        <v>46318.3</v>
      </c>
      <c r="J17">
        <f t="shared" si="1"/>
        <v>2912.8499999999985</v>
      </c>
      <c r="K17">
        <f t="shared" si="2"/>
        <v>2532.0699999999997</v>
      </c>
      <c r="L17">
        <f t="shared" si="3"/>
        <v>380.77999999999884</v>
      </c>
      <c r="M17">
        <f t="shared" si="4"/>
        <v>417.74999999999886</v>
      </c>
      <c r="N17">
        <f t="shared" si="5"/>
        <v>405.18999999999619</v>
      </c>
      <c r="O17">
        <f t="shared" si="6"/>
        <v>49052.965000000004</v>
      </c>
      <c r="P17">
        <f t="shared" si="7"/>
        <v>8.516304773829652E-3</v>
      </c>
      <c r="Q17" t="str">
        <f>IF(B17="","", IFERROR(VLOOKUP(B17, '基準資産配分（設定）'!$A$2:$C$2001, 3, FALSE), ""))</f>
        <v>NOMURA-BPI総合</v>
      </c>
      <c r="R17">
        <f>IF(B17="","", IFERROR(VLOOKUP(B17, '基準資産配分（設定）'!$A$2:$C$2001, 2, FALSE)/100, 0))</f>
        <v>0.3906</v>
      </c>
      <c r="S17">
        <f>IF(B17="","", IFERROR(SUMIFS(ベンチマークリターン!$C$2:$C$2001, ベンチマークリターン!$A$2:$A$2001, A17, ベンチマークリターン!$B$2:$B$2001, Q17) / 100, 0))</f>
        <v>1.0548E-2</v>
      </c>
      <c r="T17">
        <f>IF(A17="","", SUMIFS($H$2:$H$2000, $A$2:$A$2000, A17))</f>
        <v>149189.19</v>
      </c>
      <c r="U17">
        <f t="shared" si="8"/>
        <v>0.32743907249580217</v>
      </c>
      <c r="V17">
        <f t="shared" si="9"/>
        <v>2.7885709362343537E-3</v>
      </c>
      <c r="W17">
        <f t="shared" si="10"/>
        <v>4.1200487999999997E-3</v>
      </c>
    </row>
    <row r="18" spans="1:23" x14ac:dyDescent="0.2">
      <c r="A18" s="4">
        <f>IF(ポートフォリオ実績!A19="","", ポートフォリオ実績!A19)</f>
        <v>45138</v>
      </c>
      <c r="B18" t="str">
        <f>IF(ポートフォリオ実績!B19="","", ポートフォリオ実績!B19)</f>
        <v>国内債券（固定金利・国債中心）</v>
      </c>
      <c r="C18" s="10">
        <f>IF(ポートフォリオ実績!C19="","", ポートフォリオ実績!C19)</f>
        <v>46342.01</v>
      </c>
      <c r="D18" s="10">
        <f>IF(ポートフォリオ実績!D19="","", ポートフォリオ実績!D19)</f>
        <v>49344.63</v>
      </c>
      <c r="E18" s="10">
        <f>IF(ポートフォリオ実績!E19="","", ポートフォリオ実績!E19)</f>
        <v>36.94</v>
      </c>
      <c r="F18" s="10">
        <f>IF(ポートフォリオ実績!F19="","", ポートフォリオ実績!F19)</f>
        <v>0</v>
      </c>
      <c r="G18">
        <f t="shared" si="0"/>
        <v>45107</v>
      </c>
      <c r="H18">
        <f>IF(B18&lt;&gt;"", SUMIFS(ポートフォリオ実績!$D$2:$D$2001, ポートフォリオ実績!$B$2:$B$2001, B18, ポートフォリオ実績!$A$2:$A$2001, G18), 0)</f>
        <v>49673.31</v>
      </c>
      <c r="I18">
        <f>IF(B18&lt;&gt;"", SUMIFS(ポートフォリオ実績!$C$2:$C$2001, ポートフォリオ実績!$B$2:$B$2001, B18, ポートフォリオ実績!$A$2:$A$2001, G18), 0)</f>
        <v>46760.46</v>
      </c>
      <c r="J18">
        <f t="shared" si="1"/>
        <v>3002.6199999999953</v>
      </c>
      <c r="K18">
        <f t="shared" si="2"/>
        <v>2912.8499999999985</v>
      </c>
      <c r="L18">
        <f t="shared" si="3"/>
        <v>89.769999999996799</v>
      </c>
      <c r="M18">
        <f t="shared" si="4"/>
        <v>126.7099999999968</v>
      </c>
      <c r="N18">
        <f t="shared" si="5"/>
        <v>-455.38999999999709</v>
      </c>
      <c r="O18">
        <f t="shared" si="6"/>
        <v>49445.614999999998</v>
      </c>
      <c r="P18">
        <f t="shared" si="7"/>
        <v>2.5626134895884458E-3</v>
      </c>
      <c r="Q18" t="str">
        <f>IF(B18="","", IFERROR(VLOOKUP(B18, '基準資産配分（設定）'!$A$2:$C$2001, 3, FALSE), ""))</f>
        <v>NOMURA-BPI総合</v>
      </c>
      <c r="R18">
        <f>IF(B18="","", IFERROR(VLOOKUP(B18, '基準資産配分（設定）'!$A$2:$C$2001, 2, FALSE)/100, 0))</f>
        <v>0.3906</v>
      </c>
      <c r="S18">
        <f>IF(B18="","", IFERROR(SUMIFS(ベンチマークリターン!$C$2:$C$2001, ベンチマークリターン!$A$2:$A$2001, A18, ベンチマークリターン!$B$2:$B$2001, Q18) / 100, 0))</f>
        <v>-1.1603E-2</v>
      </c>
      <c r="T18">
        <f>IF(A18="","", SUMIFS($H$2:$H$2000, $A$2:$A$2000, A18))</f>
        <v>147474.57</v>
      </c>
      <c r="U18">
        <f t="shared" si="8"/>
        <v>0.33682627452312625</v>
      </c>
      <c r="V18">
        <f t="shared" si="9"/>
        <v>8.6315555474078434E-4</v>
      </c>
      <c r="W18">
        <f t="shared" si="10"/>
        <v>-4.5321318000000003E-3</v>
      </c>
    </row>
    <row r="19" spans="1:23" x14ac:dyDescent="0.2">
      <c r="A19" s="4">
        <f>IF(ポートフォリオ実績!A20="","", ポートフォリオ実績!A20)</f>
        <v>45169</v>
      </c>
      <c r="B19" t="str">
        <f>IF(ポートフォリオ実績!B20="","", ポートフォリオ実績!B20)</f>
        <v>国内債券（固定金利・国債中心）</v>
      </c>
      <c r="C19" s="10">
        <f>IF(ポートフォリオ実績!C20="","", ポートフォリオ実績!C20)</f>
        <v>46196.95</v>
      </c>
      <c r="D19" s="10">
        <f>IF(ポートフォリオ実績!D20="","", ポートフォリオ実績!D20)</f>
        <v>48790.83</v>
      </c>
      <c r="E19" s="10">
        <f>IF(ポートフォリオ実績!E20="","", ポートフォリオ実績!E20)</f>
        <v>36.9</v>
      </c>
      <c r="F19" s="10">
        <f>IF(ポートフォリオ実績!F20="","", ポートフォリオ実績!F20)</f>
        <v>0</v>
      </c>
      <c r="G19">
        <f t="shared" si="0"/>
        <v>45138</v>
      </c>
      <c r="H19">
        <f>IF(B19&lt;&gt;"", SUMIFS(ポートフォリオ実績!$D$2:$D$2001, ポートフォリオ実績!$B$2:$B$2001, B19, ポートフォリオ実績!$A$2:$A$2001, G19), 0)</f>
        <v>49344.63</v>
      </c>
      <c r="I19">
        <f>IF(B19&lt;&gt;"", SUMIFS(ポートフォリオ実績!$C$2:$C$2001, ポートフォリオ実績!$B$2:$B$2001, B19, ポートフォリオ実績!$A$2:$A$2001, G19), 0)</f>
        <v>46342.01</v>
      </c>
      <c r="J19">
        <f t="shared" si="1"/>
        <v>2593.8800000000047</v>
      </c>
      <c r="K19">
        <f t="shared" si="2"/>
        <v>3002.6199999999953</v>
      </c>
      <c r="L19">
        <f t="shared" si="3"/>
        <v>-408.73999999999069</v>
      </c>
      <c r="M19">
        <f t="shared" si="4"/>
        <v>-371.83999999999071</v>
      </c>
      <c r="N19">
        <f t="shared" si="5"/>
        <v>-181.96000000000492</v>
      </c>
      <c r="O19">
        <f t="shared" si="6"/>
        <v>49253.649999999994</v>
      </c>
      <c r="P19">
        <f t="shared" si="7"/>
        <v>-7.5494912559777956E-3</v>
      </c>
      <c r="Q19" t="str">
        <f>IF(B19="","", IFERROR(VLOOKUP(B19, '基準資産配分（設定）'!$A$2:$C$2001, 3, FALSE), ""))</f>
        <v>NOMURA-BPI総合</v>
      </c>
      <c r="R19">
        <f>IF(B19="","", IFERROR(VLOOKUP(B19, '基準資産配分（設定）'!$A$2:$C$2001, 2, FALSE)/100, 0))</f>
        <v>0.3906</v>
      </c>
      <c r="S19">
        <f>IF(B19="","", IFERROR(SUMIFS(ベンチマークリターン!$C$2:$C$2001, ベンチマークリターン!$A$2:$A$2001, A19, ベンチマークリターン!$B$2:$B$2001, Q19) / 100, 0))</f>
        <v>1.0211E-2</v>
      </c>
      <c r="T19">
        <f>IF(A19="","", SUMIFS($H$2:$H$2000, $A$2:$A$2000, A19))</f>
        <v>147887.32999999999</v>
      </c>
      <c r="U19">
        <f t="shared" si="8"/>
        <v>0.33366367490710663</v>
      </c>
      <c r="V19">
        <f t="shared" si="9"/>
        <v>-2.5189909961486194E-3</v>
      </c>
      <c r="W19">
        <f t="shared" si="10"/>
        <v>3.9884166E-3</v>
      </c>
    </row>
    <row r="20" spans="1:23" x14ac:dyDescent="0.2">
      <c r="A20" s="4">
        <f>IF(ポートフォリオ実績!A21="","", ポートフォリオ実績!A21)</f>
        <v>45199</v>
      </c>
      <c r="B20" t="str">
        <f>IF(ポートフォリオ実績!B21="","", ポートフォリオ実績!B21)</f>
        <v>国内債券（固定金利・国債中心）</v>
      </c>
      <c r="C20" s="10">
        <f>IF(ポートフォリオ実績!C21="","", ポートフォリオ実績!C21)</f>
        <v>45726.66</v>
      </c>
      <c r="D20" s="10">
        <f>IF(ポートフォリオ実績!D21="","", ポートフォリオ実績!D21)</f>
        <v>48655.72</v>
      </c>
      <c r="E20" s="10">
        <f>IF(ポートフォリオ実績!E21="","", ポートフォリオ実績!E21)</f>
        <v>36.24</v>
      </c>
      <c r="F20" s="10">
        <f>IF(ポートフォリオ実績!F21="","", ポートフォリオ実績!F21)</f>
        <v>0</v>
      </c>
      <c r="G20">
        <f t="shared" si="0"/>
        <v>45169</v>
      </c>
      <c r="H20">
        <f>IF(B20&lt;&gt;"", SUMIFS(ポートフォリオ実績!$D$2:$D$2001, ポートフォリオ実績!$B$2:$B$2001, B20, ポートフォリオ実績!$A$2:$A$2001, G20), 0)</f>
        <v>48790.83</v>
      </c>
      <c r="I20">
        <f>IF(B20&lt;&gt;"", SUMIFS(ポートフォリオ実績!$C$2:$C$2001, ポートフォリオ実績!$B$2:$B$2001, B20, ポートフォリオ実績!$A$2:$A$2001, G20), 0)</f>
        <v>46196.95</v>
      </c>
      <c r="J20">
        <f t="shared" si="1"/>
        <v>2929.0599999999977</v>
      </c>
      <c r="K20">
        <f t="shared" si="2"/>
        <v>2593.8800000000047</v>
      </c>
      <c r="L20">
        <f t="shared" si="3"/>
        <v>335.17999999999302</v>
      </c>
      <c r="M20">
        <f t="shared" si="4"/>
        <v>371.41999999999302</v>
      </c>
      <c r="N20">
        <f t="shared" si="5"/>
        <v>-506.52999999999361</v>
      </c>
      <c r="O20">
        <f t="shared" si="6"/>
        <v>48537.565000000002</v>
      </c>
      <c r="P20">
        <f t="shared" si="7"/>
        <v>7.6522174114006958E-3</v>
      </c>
      <c r="Q20" t="str">
        <f>IF(B20="","", IFERROR(VLOOKUP(B20, '基準資産配分（設定）'!$A$2:$C$2001, 3, FALSE), ""))</f>
        <v>NOMURA-BPI総合</v>
      </c>
      <c r="R20">
        <f>IF(B20="","", IFERROR(VLOOKUP(B20, '基準資産配分（設定）'!$A$2:$C$2001, 2, FALSE)/100, 0))</f>
        <v>0.3906</v>
      </c>
      <c r="S20">
        <f>IF(B20="","", IFERROR(SUMIFS(ベンチマークリターン!$C$2:$C$2001, ベンチマークリターン!$A$2:$A$2001, A20, ベンチマークリターン!$B$2:$B$2001, Q20) / 100, 0))</f>
        <v>1.6350000000000002E-3</v>
      </c>
      <c r="T20">
        <f>IF(A20="","", SUMIFS($H$2:$H$2000, $A$2:$A$2000, A20))</f>
        <v>147535.20000000001</v>
      </c>
      <c r="U20">
        <f t="shared" si="8"/>
        <v>0.33070636702292061</v>
      </c>
      <c r="V20">
        <f t="shared" si="9"/>
        <v>2.5306370197938619E-3</v>
      </c>
      <c r="W20">
        <f t="shared" si="10"/>
        <v>6.3863100000000007E-4</v>
      </c>
    </row>
    <row r="21" spans="1:23" x14ac:dyDescent="0.2">
      <c r="A21" s="4">
        <f>IF(ポートフォリオ実績!A22="","", ポートフォリオ実績!A22)</f>
        <v>45230</v>
      </c>
      <c r="B21" t="str">
        <f>IF(ポートフォリオ実績!B22="","", ポートフォリオ実績!B22)</f>
        <v>国内債券（固定金利・国債中心）</v>
      </c>
      <c r="C21" s="10">
        <f>IF(ポートフォリオ実績!C22="","", ポートフォリオ実績!C22)</f>
        <v>40930.550000000003</v>
      </c>
      <c r="D21" s="10">
        <f>IF(ポートフォリオ実績!D22="","", ポートフォリオ実績!D22)</f>
        <v>43900.93</v>
      </c>
      <c r="E21" s="10">
        <f>IF(ポートフォリオ実績!E22="","", ポートフォリオ実績!E22)</f>
        <v>36.31</v>
      </c>
      <c r="F21" s="10">
        <f>IF(ポートフォリオ実績!F22="","", ポートフォリオ実績!F22)</f>
        <v>36.6</v>
      </c>
      <c r="G21">
        <f t="shared" si="0"/>
        <v>45199</v>
      </c>
      <c r="H21">
        <f>IF(B21&lt;&gt;"", SUMIFS(ポートフォリオ実績!$D$2:$D$2001, ポートフォリオ実績!$B$2:$B$2001, B21, ポートフォリオ実績!$A$2:$A$2001, G21), 0)</f>
        <v>48655.72</v>
      </c>
      <c r="I21">
        <f>IF(B21&lt;&gt;"", SUMIFS(ポートフォリオ実績!$C$2:$C$2001, ポートフォリオ実績!$B$2:$B$2001, B21, ポートフォリオ実績!$A$2:$A$2001, G21), 0)</f>
        <v>45726.66</v>
      </c>
      <c r="J21">
        <f t="shared" si="1"/>
        <v>2970.3799999999974</v>
      </c>
      <c r="K21">
        <f t="shared" si="2"/>
        <v>2929.0599999999977</v>
      </c>
      <c r="L21">
        <f t="shared" si="3"/>
        <v>41.319999999999709</v>
      </c>
      <c r="M21">
        <f t="shared" si="4"/>
        <v>114.22999999999971</v>
      </c>
      <c r="N21">
        <f t="shared" si="5"/>
        <v>-4869.0200000000004</v>
      </c>
      <c r="O21">
        <f t="shared" si="6"/>
        <v>46221.21</v>
      </c>
      <c r="P21">
        <f t="shared" si="7"/>
        <v>2.4713762361478573E-3</v>
      </c>
      <c r="Q21" t="str">
        <f>IF(B21="","", IFERROR(VLOOKUP(B21, '基準資産配分（設定）'!$A$2:$C$2001, 3, FALSE), ""))</f>
        <v>NOMURA-BPI総合</v>
      </c>
      <c r="R21">
        <f>IF(B21="","", IFERROR(VLOOKUP(B21, '基準資産配分（設定）'!$A$2:$C$2001, 2, FALSE)/100, 0))</f>
        <v>0.3906</v>
      </c>
      <c r="S21">
        <f>IF(B21="","", IFERROR(SUMIFS(ベンチマークリターン!$C$2:$C$2001, ベンチマークリターン!$A$2:$A$2001, A21, ベンチマークリターン!$B$2:$B$2001, Q21) / 100, 0))</f>
        <v>-1.4200000000000001E-4</v>
      </c>
      <c r="T21">
        <f>IF(A21="","", SUMIFS($H$2:$H$2000, $A$2:$A$2000, A21))</f>
        <v>148508.15</v>
      </c>
      <c r="U21">
        <f t="shared" si="8"/>
        <v>0.32762996508945808</v>
      </c>
      <c r="V21">
        <f t="shared" si="9"/>
        <v>8.0969690997203874E-4</v>
      </c>
      <c r="W21">
        <f t="shared" si="10"/>
        <v>-5.5465200000000006E-5</v>
      </c>
    </row>
    <row r="22" spans="1:23" x14ac:dyDescent="0.2">
      <c r="A22" s="4">
        <f>IF(ポートフォリオ実績!A23="","", ポートフォリオ実績!A23)</f>
        <v>45260</v>
      </c>
      <c r="B22" t="str">
        <f>IF(ポートフォリオ実績!B23="","", ポートフォリオ実績!B23)</f>
        <v>国内債券（固定金利・国債中心）</v>
      </c>
      <c r="C22" s="10">
        <f>IF(ポートフォリオ実績!C23="","", ポートフォリオ実績!C23)</f>
        <v>41259.279999999999</v>
      </c>
      <c r="D22" s="10">
        <f>IF(ポートフォリオ実績!D23="","", ポートフォリオ実績!D23)</f>
        <v>44422.71</v>
      </c>
      <c r="E22" s="10">
        <f>IF(ポートフォリオ実績!E23="","", ポートフォリオ実績!E23)</f>
        <v>33.17</v>
      </c>
      <c r="F22" s="10">
        <f>IF(ポートフォリオ実績!F23="","", ポートフォリオ実績!F23)</f>
        <v>0</v>
      </c>
      <c r="G22">
        <f t="shared" si="0"/>
        <v>45230</v>
      </c>
      <c r="H22">
        <f>IF(B22&lt;&gt;"", SUMIFS(ポートフォリオ実績!$D$2:$D$2001, ポートフォリオ実績!$B$2:$B$2001, B22, ポートフォリオ実績!$A$2:$A$2001, G22), 0)</f>
        <v>43900.93</v>
      </c>
      <c r="I22">
        <f>IF(B22&lt;&gt;"", SUMIFS(ポートフォリオ実績!$C$2:$C$2001, ポートフォリオ実績!$B$2:$B$2001, B22, ポートフォリオ実績!$A$2:$A$2001, G22), 0)</f>
        <v>40930.550000000003</v>
      </c>
      <c r="J22">
        <f t="shared" si="1"/>
        <v>3163.4300000000003</v>
      </c>
      <c r="K22">
        <f t="shared" si="2"/>
        <v>2970.3799999999974</v>
      </c>
      <c r="L22">
        <f t="shared" si="3"/>
        <v>193.05000000000291</v>
      </c>
      <c r="M22">
        <f t="shared" si="4"/>
        <v>226.22000000000293</v>
      </c>
      <c r="N22">
        <f t="shared" si="5"/>
        <v>295.55999999999591</v>
      </c>
      <c r="O22">
        <f t="shared" si="6"/>
        <v>44048.71</v>
      </c>
      <c r="P22">
        <f t="shared" si="7"/>
        <v>5.1356782071484714E-3</v>
      </c>
      <c r="Q22" t="str">
        <f>IF(B22="","", IFERROR(VLOOKUP(B22, '基準資産配分（設定）'!$A$2:$C$2001, 3, FALSE), ""))</f>
        <v>NOMURA-BPI総合</v>
      </c>
      <c r="R22">
        <f>IF(B22="","", IFERROR(VLOOKUP(B22, '基準資産配分（設定）'!$A$2:$C$2001, 2, FALSE)/100, 0))</f>
        <v>0.3906</v>
      </c>
      <c r="S22">
        <f>IF(B22="","", IFERROR(SUMIFS(ベンチマークリターン!$C$2:$C$2001, ベンチマークリターン!$A$2:$A$2001, A22, ベンチマークリターン!$B$2:$B$2001, Q22) / 100, 0))</f>
        <v>-2.7289999999999997E-3</v>
      </c>
      <c r="T22">
        <f>IF(A22="","", SUMIFS($H$2:$H$2000, $A$2:$A$2000, A22))</f>
        <v>141833.18</v>
      </c>
      <c r="U22">
        <f t="shared" si="8"/>
        <v>0.30952510547955003</v>
      </c>
      <c r="V22">
        <f t="shared" si="9"/>
        <v>1.5896213387766569E-3</v>
      </c>
      <c r="W22">
        <f t="shared" si="10"/>
        <v>-1.0659474E-3</v>
      </c>
    </row>
    <row r="23" spans="1:23" x14ac:dyDescent="0.2">
      <c r="A23" s="4">
        <f>IF(ポートフォリオ実績!A24="","", ポートフォリオ実績!A24)</f>
        <v>45291</v>
      </c>
      <c r="B23" t="str">
        <f>IF(ポートフォリオ実績!B24="","", ポートフォリオ実績!B24)</f>
        <v>国内債券（固定金利・国債中心）</v>
      </c>
      <c r="C23" s="10">
        <f>IF(ポートフォリオ実績!C24="","", ポートフォリオ実績!C24)</f>
        <v>40960.51</v>
      </c>
      <c r="D23" s="10">
        <f>IF(ポートフォリオ実績!D24="","", ポートフォリオ実績!D24)</f>
        <v>44386.86</v>
      </c>
      <c r="E23" s="10">
        <f>IF(ポートフォリオ実績!E24="","", ポートフォリオ実績!E24)</f>
        <v>33.090000000000003</v>
      </c>
      <c r="F23" s="10">
        <f>IF(ポートフォリオ実績!F24="","", ポートフォリオ実績!F24)</f>
        <v>0</v>
      </c>
      <c r="G23">
        <f t="shared" si="0"/>
        <v>45260</v>
      </c>
      <c r="H23">
        <f>IF(B23&lt;&gt;"", SUMIFS(ポートフォリオ実績!$D$2:$D$2001, ポートフォリオ実績!$B$2:$B$2001, B23, ポートフォリオ実績!$A$2:$A$2001, G23), 0)</f>
        <v>44422.71</v>
      </c>
      <c r="I23">
        <f>IF(B23&lt;&gt;"", SUMIFS(ポートフォリオ実績!$C$2:$C$2001, ポートフォリオ実績!$B$2:$B$2001, B23, ポートフォリオ実績!$A$2:$A$2001, G23), 0)</f>
        <v>41259.279999999999</v>
      </c>
      <c r="J23">
        <f t="shared" si="1"/>
        <v>3426.3499999999985</v>
      </c>
      <c r="K23">
        <f t="shared" si="2"/>
        <v>3163.4300000000003</v>
      </c>
      <c r="L23">
        <f t="shared" si="3"/>
        <v>262.91999999999825</v>
      </c>
      <c r="M23">
        <f t="shared" si="4"/>
        <v>296.00999999999829</v>
      </c>
      <c r="N23">
        <f t="shared" si="5"/>
        <v>-331.85999999999683</v>
      </c>
      <c r="O23">
        <f t="shared" si="6"/>
        <v>44256.78</v>
      </c>
      <c r="P23">
        <f t="shared" si="7"/>
        <v>6.6884667162861438E-3</v>
      </c>
      <c r="Q23" t="str">
        <f>IF(B23="","", IFERROR(VLOOKUP(B23, '基準資産配分（設定）'!$A$2:$C$2001, 3, FALSE), ""))</f>
        <v>NOMURA-BPI総合</v>
      </c>
      <c r="R23">
        <f>IF(B23="","", IFERROR(VLOOKUP(B23, '基準資産配分（設定）'!$A$2:$C$2001, 2, FALSE)/100, 0))</f>
        <v>0.3906</v>
      </c>
      <c r="S23">
        <f>IF(B23="","", IFERROR(SUMIFS(ベンチマークリターン!$C$2:$C$2001, ベンチマークリターン!$A$2:$A$2001, A23, ベンチマークリターン!$B$2:$B$2001, Q23) / 100, 0))</f>
        <v>2.7209999999999999E-3</v>
      </c>
      <c r="T23">
        <f>IF(A23="","", SUMIFS($H$2:$H$2000, $A$2:$A$2000, A23))</f>
        <v>142786.25</v>
      </c>
      <c r="U23">
        <f t="shared" si="8"/>
        <v>0.31111336000490242</v>
      </c>
      <c r="V23">
        <f t="shared" si="9"/>
        <v>2.0808713533847388E-3</v>
      </c>
      <c r="W23">
        <f t="shared" si="10"/>
        <v>1.0628225999999999E-3</v>
      </c>
    </row>
    <row r="24" spans="1:23" x14ac:dyDescent="0.2">
      <c r="A24" s="4">
        <f>IF(ポートフォリオ実績!A25="","", ポートフォリオ実績!A25)</f>
        <v>45322</v>
      </c>
      <c r="B24" t="str">
        <f>IF(ポートフォリオ実績!B25="","", ポートフォリオ実績!B25)</f>
        <v>国内債券（固定金利・国債中心）</v>
      </c>
      <c r="C24" s="10">
        <f>IF(ポートフォリオ実績!C25="","", ポートフォリオ実績!C25)</f>
        <v>40365.07</v>
      </c>
      <c r="D24" s="10">
        <f>IF(ポートフォリオ実績!D25="","", ポートフォリオ実績!D25)</f>
        <v>43749.74</v>
      </c>
      <c r="E24" s="10">
        <f>IF(ポートフォリオ実績!E25="","", ポートフォリオ実績!E25)</f>
        <v>32.840000000000003</v>
      </c>
      <c r="F24" s="10">
        <f>IF(ポートフォリオ実績!F25="","", ポートフォリオ実績!F25)</f>
        <v>0</v>
      </c>
      <c r="G24">
        <f t="shared" si="0"/>
        <v>45291</v>
      </c>
      <c r="H24">
        <f>IF(B24&lt;&gt;"", SUMIFS(ポートフォリオ実績!$D$2:$D$2001, ポートフォリオ実績!$B$2:$B$2001, B24, ポートフォリオ実績!$A$2:$A$2001, G24), 0)</f>
        <v>44386.86</v>
      </c>
      <c r="I24">
        <f>IF(B24&lt;&gt;"", SUMIFS(ポートフォリオ実績!$C$2:$C$2001, ポートフォリオ実績!$B$2:$B$2001, B24, ポートフォリオ実績!$A$2:$A$2001, G24), 0)</f>
        <v>40960.51</v>
      </c>
      <c r="J24">
        <f t="shared" si="1"/>
        <v>3384.6699999999983</v>
      </c>
      <c r="K24">
        <f t="shared" si="2"/>
        <v>3426.3499999999985</v>
      </c>
      <c r="L24">
        <f t="shared" si="3"/>
        <v>-41.680000000000291</v>
      </c>
      <c r="M24">
        <f t="shared" si="4"/>
        <v>-8.8400000000002876</v>
      </c>
      <c r="N24">
        <f t="shared" si="5"/>
        <v>-628.28000000000236</v>
      </c>
      <c r="O24">
        <f t="shared" si="6"/>
        <v>44072.72</v>
      </c>
      <c r="P24">
        <f t="shared" si="7"/>
        <v>-2.0057759085439445E-4</v>
      </c>
      <c r="Q24" t="str">
        <f>IF(B24="","", IFERROR(VLOOKUP(B24, '基準資産配分（設定）'!$A$2:$C$2001, 3, FALSE), ""))</f>
        <v>NOMURA-BPI総合</v>
      </c>
      <c r="R24">
        <f>IF(B24="","", IFERROR(VLOOKUP(B24, '基準資産配分（設定）'!$A$2:$C$2001, 2, FALSE)/100, 0))</f>
        <v>0.3906</v>
      </c>
      <c r="S24">
        <f>IF(B24="","", IFERROR(SUMIFS(ベンチマークリターン!$C$2:$C$2001, ベンチマークリターン!$A$2:$A$2001, A24, ベンチマークリターン!$B$2:$B$2001, Q24) / 100, 0))</f>
        <v>1.9900000000000001E-4</v>
      </c>
      <c r="T24">
        <f>IF(A24="","", SUMIFS($H$2:$H$2000, $A$2:$A$2000, A24))</f>
        <v>144901.44999999998</v>
      </c>
      <c r="U24">
        <f t="shared" si="8"/>
        <v>0.30632447087313486</v>
      </c>
      <c r="V24">
        <f t="shared" si="9"/>
        <v>-6.1441824387480518E-5</v>
      </c>
      <c r="W24">
        <f t="shared" si="10"/>
        <v>7.7729400000000002E-5</v>
      </c>
    </row>
    <row r="25" spans="1:23" x14ac:dyDescent="0.2">
      <c r="A25" s="4">
        <f>IF(ポートフォリオ実績!A26="","", ポートフォリオ実績!A26)</f>
        <v>45351</v>
      </c>
      <c r="B25" t="str">
        <f>IF(ポートフォリオ実績!B26="","", ポートフォリオ実績!B26)</f>
        <v>国内債券（固定金利・国債中心）</v>
      </c>
      <c r="C25" s="10">
        <f>IF(ポートフォリオ実績!C26="","", ポートフォリオ実績!C26)</f>
        <v>39953.97</v>
      </c>
      <c r="D25" s="10">
        <f>IF(ポートフォリオ実績!D26="","", ポートフォリオ実績!D26)</f>
        <v>43649.9</v>
      </c>
      <c r="E25" s="10">
        <f>IF(ポートフォリオ実績!E26="","", ポートフォリオ実績!E26)</f>
        <v>32.5</v>
      </c>
      <c r="F25" s="10">
        <f>IF(ポートフォリオ実績!F26="","", ポートフォリオ実績!F26)</f>
        <v>0</v>
      </c>
      <c r="G25">
        <f t="shared" si="0"/>
        <v>45322</v>
      </c>
      <c r="H25">
        <f>IF(B25&lt;&gt;"", SUMIFS(ポートフォリオ実績!$D$2:$D$2001, ポートフォリオ実績!$B$2:$B$2001, B25, ポートフォリオ実績!$A$2:$A$2001, G25), 0)</f>
        <v>43749.74</v>
      </c>
      <c r="I25">
        <f>IF(B25&lt;&gt;"", SUMIFS(ポートフォリオ実績!$C$2:$C$2001, ポートフォリオ実績!$B$2:$B$2001, B25, ポートフォリオ実績!$A$2:$A$2001, G25), 0)</f>
        <v>40365.07</v>
      </c>
      <c r="J25">
        <f t="shared" si="1"/>
        <v>3695.9300000000003</v>
      </c>
      <c r="K25">
        <f t="shared" si="2"/>
        <v>3384.6699999999983</v>
      </c>
      <c r="L25">
        <f t="shared" si="3"/>
        <v>311.26000000000204</v>
      </c>
      <c r="M25">
        <f t="shared" si="4"/>
        <v>343.76000000000204</v>
      </c>
      <c r="N25">
        <f t="shared" si="5"/>
        <v>-443.59999999999854</v>
      </c>
      <c r="O25">
        <f t="shared" si="6"/>
        <v>43527.94</v>
      </c>
      <c r="P25">
        <f t="shared" si="7"/>
        <v>7.8974562085869903E-3</v>
      </c>
      <c r="Q25" t="str">
        <f>IF(B25="","", IFERROR(VLOOKUP(B25, '基準資産配分（設定）'!$A$2:$C$2001, 3, FALSE), ""))</f>
        <v>NOMURA-BPI総合</v>
      </c>
      <c r="R25">
        <f>IF(B25="","", IFERROR(VLOOKUP(B25, '基準資産配分（設定）'!$A$2:$C$2001, 2, FALSE)/100, 0))</f>
        <v>0.3906</v>
      </c>
      <c r="S25">
        <f>IF(B25="","", IFERROR(SUMIFS(ベンチマークリターン!$C$2:$C$2001, ベンチマークリターン!$A$2:$A$2001, A25, ベンチマークリターン!$B$2:$B$2001, Q25) / 100, 0))</f>
        <v>6.7869999999999996E-3</v>
      </c>
      <c r="T25">
        <f>IF(A25="","", SUMIFS($H$2:$H$2000, $A$2:$A$2000, A25))</f>
        <v>143790.06</v>
      </c>
      <c r="U25">
        <f t="shared" si="8"/>
        <v>0.30426122640188064</v>
      </c>
      <c r="V25">
        <f t="shared" si="9"/>
        <v>2.4028897114798239E-3</v>
      </c>
      <c r="W25">
        <f t="shared" si="10"/>
        <v>2.6510022E-3</v>
      </c>
    </row>
    <row r="26" spans="1:23" x14ac:dyDescent="0.2">
      <c r="A26" s="4">
        <f>IF(ポートフォリオ実績!A27="","", ポートフォリオ実績!A27)</f>
        <v>45382</v>
      </c>
      <c r="B26" t="str">
        <f>IF(ポートフォリオ実績!B27="","", ポートフォリオ実績!B27)</f>
        <v>国内債券（固定金利・国債中心）</v>
      </c>
      <c r="C26" s="10">
        <f>IF(ポートフォリオ実績!C27="","", ポートフォリオ実績!C27)</f>
        <v>40391.1</v>
      </c>
      <c r="D26" s="10">
        <f>IF(ポートフォリオ実績!D27="","", ポートフォリオ実績!D27)</f>
        <v>43819.3</v>
      </c>
      <c r="E26" s="10">
        <f>IF(ポートフォリオ実績!E27="","", ポートフォリオ実績!E27)</f>
        <v>33.07</v>
      </c>
      <c r="F26" s="10">
        <f>IF(ポートフォリオ実績!F27="","", ポートフォリオ実績!F27)</f>
        <v>0</v>
      </c>
      <c r="G26">
        <f t="shared" si="0"/>
        <v>45351</v>
      </c>
      <c r="H26">
        <f>IF(B26&lt;&gt;"", SUMIFS(ポートフォリオ実績!$D$2:$D$2001, ポートフォリオ実績!$B$2:$B$2001, B26, ポートフォリオ実績!$A$2:$A$2001, G26), 0)</f>
        <v>43649.9</v>
      </c>
      <c r="I26">
        <f>IF(B26&lt;&gt;"", SUMIFS(ポートフォリオ実績!$C$2:$C$2001, ポートフォリオ実績!$B$2:$B$2001, B26, ポートフォリオ実績!$A$2:$A$2001, G26), 0)</f>
        <v>39953.97</v>
      </c>
      <c r="J26">
        <f t="shared" si="1"/>
        <v>3428.2000000000044</v>
      </c>
      <c r="K26">
        <f t="shared" si="2"/>
        <v>3695.9300000000003</v>
      </c>
      <c r="L26">
        <f t="shared" si="3"/>
        <v>-267.72999999999593</v>
      </c>
      <c r="M26">
        <f t="shared" si="4"/>
        <v>-234.65999999999593</v>
      </c>
      <c r="N26">
        <f t="shared" si="5"/>
        <v>404.05999999999739</v>
      </c>
      <c r="O26">
        <f t="shared" si="6"/>
        <v>43851.93</v>
      </c>
      <c r="P26">
        <f t="shared" si="7"/>
        <v>-5.3511897879978355E-3</v>
      </c>
      <c r="Q26" t="str">
        <f>IF(B26="","", IFERROR(VLOOKUP(B26, '基準資産配分（設定）'!$A$2:$C$2001, 3, FALSE), ""))</f>
        <v>NOMURA-BPI総合</v>
      </c>
      <c r="R26">
        <f>IF(B26="","", IFERROR(VLOOKUP(B26, '基準資産配分（設定）'!$A$2:$C$2001, 2, FALSE)/100, 0))</f>
        <v>0.3906</v>
      </c>
      <c r="S26">
        <f>IF(B26="","", IFERROR(SUMIFS(ベンチマークリターン!$C$2:$C$2001, ベンチマークリターン!$A$2:$A$2001, A26, ベンチマークリターン!$B$2:$B$2001, Q26) / 100, 0))</f>
        <v>1.0759999999999999E-3</v>
      </c>
      <c r="T26">
        <f>IF(A26="","", SUMIFS($H$2:$H$2000, $A$2:$A$2000, A26))</f>
        <v>144636.99</v>
      </c>
      <c r="U26">
        <f t="shared" si="8"/>
        <v>0.30178932788908291</v>
      </c>
      <c r="V26">
        <f t="shared" si="9"/>
        <v>-1.6149319695267909E-3</v>
      </c>
      <c r="W26">
        <f t="shared" si="10"/>
        <v>4.2028559999999999E-4</v>
      </c>
    </row>
    <row r="27" spans="1:23" x14ac:dyDescent="0.2">
      <c r="A27" s="4">
        <f>IF(ポートフォリオ実績!A28="","", ポートフォリオ実績!A28)</f>
        <v>45412</v>
      </c>
      <c r="B27" t="str">
        <f>IF(ポートフォリオ実績!B28="","", ポートフォリオ実績!B28)</f>
        <v>国内債券（固定金利・国債中心）</v>
      </c>
      <c r="C27" s="10">
        <f>IF(ポートフォリオ実績!C28="","", ポートフォリオ実績!C28)</f>
        <v>40622.6</v>
      </c>
      <c r="D27" s="10">
        <f>IF(ポートフォリオ実績!D28="","", ポートフォリオ実績!D28)</f>
        <v>44162.93</v>
      </c>
      <c r="E27" s="10">
        <f>IF(ポートフォリオ実績!E28="","", ポートフォリオ実績!E28)</f>
        <v>33.04</v>
      </c>
      <c r="F27" s="10">
        <f>IF(ポートフォリオ実績!F28="","", ポートフォリオ実績!F28)</f>
        <v>0</v>
      </c>
      <c r="G27">
        <f t="shared" si="0"/>
        <v>45382</v>
      </c>
      <c r="H27">
        <f>IF(B27&lt;&gt;"", SUMIFS(ポートフォリオ実績!$D$2:$D$2001, ポートフォリオ実績!$B$2:$B$2001, B27, ポートフォリオ実績!$A$2:$A$2001, G27), 0)</f>
        <v>43819.3</v>
      </c>
      <c r="I27">
        <f>IF(B27&lt;&gt;"", SUMIFS(ポートフォリオ実績!$C$2:$C$2001, ポートフォリオ実績!$B$2:$B$2001, B27, ポートフォリオ実績!$A$2:$A$2001, G27), 0)</f>
        <v>40391.1</v>
      </c>
      <c r="J27">
        <f t="shared" si="1"/>
        <v>3540.3300000000017</v>
      </c>
      <c r="K27">
        <f t="shared" si="2"/>
        <v>3428.2000000000044</v>
      </c>
      <c r="L27">
        <f t="shared" si="3"/>
        <v>112.12999999999738</v>
      </c>
      <c r="M27">
        <f t="shared" si="4"/>
        <v>145.16999999999737</v>
      </c>
      <c r="N27">
        <f t="shared" si="5"/>
        <v>198.46</v>
      </c>
      <c r="O27">
        <f t="shared" si="6"/>
        <v>43918.530000000006</v>
      </c>
      <c r="P27">
        <f t="shared" si="7"/>
        <v>3.3054385016984254E-3</v>
      </c>
      <c r="Q27" t="str">
        <f>IF(B27="","", IFERROR(VLOOKUP(B27, '基準資産配分（設定）'!$A$2:$C$2001, 3, FALSE), ""))</f>
        <v>NOMURA-BPI総合</v>
      </c>
      <c r="R27">
        <f>IF(B27="","", IFERROR(VLOOKUP(B27, '基準資産配分（設定）'!$A$2:$C$2001, 2, FALSE)/100, 0))</f>
        <v>0.3906</v>
      </c>
      <c r="S27">
        <f>IF(B27="","", IFERROR(SUMIFS(ベンチマークリターン!$C$2:$C$2001, ベンチマークリターン!$A$2:$A$2001, A27, ベンチマークリターン!$B$2:$B$2001, Q27) / 100, 0))</f>
        <v>1.2839999999999998E-3</v>
      </c>
      <c r="T27">
        <f>IF(A27="","", SUMIFS($H$2:$H$2000, $A$2:$A$2000, A27))</f>
        <v>143236.52000000002</v>
      </c>
      <c r="U27">
        <f t="shared" si="8"/>
        <v>0.30592267949542473</v>
      </c>
      <c r="V27">
        <f t="shared" si="9"/>
        <v>1.0112086033469243E-3</v>
      </c>
      <c r="W27">
        <f t="shared" si="10"/>
        <v>5.0153039999999995E-4</v>
      </c>
    </row>
    <row r="28" spans="1:23" x14ac:dyDescent="0.2">
      <c r="A28" s="4">
        <f>IF(ポートフォリオ実績!A29="","", ポートフォリオ実績!A29)</f>
        <v>45443</v>
      </c>
      <c r="B28" t="str">
        <f>IF(ポートフォリオ実績!B29="","", ポートフォリオ実績!B29)</f>
        <v>国内債券（固定金利・国債中心）</v>
      </c>
      <c r="C28" s="10">
        <f>IF(ポートフォリオ実績!C29="","", ポートフォリオ実績!C29)</f>
        <v>41356.629999999997</v>
      </c>
      <c r="D28" s="10">
        <f>IF(ポートフォリオ実績!D29="","", ポートフォリオ実績!D29)</f>
        <v>44767.15</v>
      </c>
      <c r="E28" s="10">
        <f>IF(ポートフォリオ実績!E29="","", ポートフォリオ実績!E29)</f>
        <v>33.67</v>
      </c>
      <c r="F28" s="10">
        <f>IF(ポートフォリオ実績!F29="","", ポートフォリオ実績!F29)</f>
        <v>0</v>
      </c>
      <c r="G28">
        <f t="shared" si="0"/>
        <v>45412</v>
      </c>
      <c r="H28">
        <f>IF(B28&lt;&gt;"", SUMIFS(ポートフォリオ実績!$D$2:$D$2001, ポートフォリオ実績!$B$2:$B$2001, B28, ポートフォリオ実績!$A$2:$A$2001, G28), 0)</f>
        <v>44162.93</v>
      </c>
      <c r="I28">
        <f>IF(B28&lt;&gt;"", SUMIFS(ポートフォリオ実績!$C$2:$C$2001, ポートフォリオ実績!$B$2:$B$2001, B28, ポートフォリオ実績!$A$2:$A$2001, G28), 0)</f>
        <v>40622.6</v>
      </c>
      <c r="J28">
        <f t="shared" si="1"/>
        <v>3410.5200000000041</v>
      </c>
      <c r="K28">
        <f t="shared" si="2"/>
        <v>3540.3300000000017</v>
      </c>
      <c r="L28">
        <f t="shared" si="3"/>
        <v>-129.80999999999767</v>
      </c>
      <c r="M28">
        <f t="shared" si="4"/>
        <v>-96.13999999999767</v>
      </c>
      <c r="N28">
        <f t="shared" si="5"/>
        <v>700.35999999999888</v>
      </c>
      <c r="O28">
        <f t="shared" si="6"/>
        <v>44513.11</v>
      </c>
      <c r="P28">
        <f t="shared" si="7"/>
        <v>-2.1598131426898205E-3</v>
      </c>
      <c r="Q28" t="str">
        <f>IF(B28="","", IFERROR(VLOOKUP(B28, '基準資産配分（設定）'!$A$2:$C$2001, 3, FALSE), ""))</f>
        <v>NOMURA-BPI総合</v>
      </c>
      <c r="R28">
        <f>IF(B28="","", IFERROR(VLOOKUP(B28, '基準資産配分（設定）'!$A$2:$C$2001, 2, FALSE)/100, 0))</f>
        <v>0.3906</v>
      </c>
      <c r="S28">
        <f>IF(B28="","", IFERROR(SUMIFS(ベンチマークリターン!$C$2:$C$2001, ベンチマークリターン!$A$2:$A$2001, A28, ベンチマークリターン!$B$2:$B$2001, Q28) / 100, 0))</f>
        <v>-1.683E-3</v>
      </c>
      <c r="T28">
        <f>IF(A28="","", SUMIFS($H$2:$H$2000, $A$2:$A$2000, A28))</f>
        <v>142294.85999999999</v>
      </c>
      <c r="U28">
        <f t="shared" si="8"/>
        <v>0.3103620889749637</v>
      </c>
      <c r="V28">
        <f t="shared" si="9"/>
        <v>-6.7032411876079409E-4</v>
      </c>
      <c r="W28">
        <f t="shared" si="10"/>
        <v>-6.5737979999999998E-4</v>
      </c>
    </row>
    <row r="29" spans="1:23" x14ac:dyDescent="0.2">
      <c r="A29" s="4">
        <f>IF(ポートフォリオ実績!A30="","", ポートフォリオ実績!A30)</f>
        <v>45473</v>
      </c>
      <c r="B29" t="str">
        <f>IF(ポートフォリオ実績!B30="","", ポートフォリオ実績!B30)</f>
        <v>国内債券（固定金利・国債中心）</v>
      </c>
      <c r="C29" s="10">
        <f>IF(ポートフォリオ実績!C30="","", ポートフォリオ実績!C30)</f>
        <v>36232.61</v>
      </c>
      <c r="D29" s="10">
        <f>IF(ポートフォリオ実績!D30="","", ポートフォリオ実績!D30)</f>
        <v>39708.71</v>
      </c>
      <c r="E29" s="10">
        <f>IF(ポートフォリオ実績!E30="","", ポートフォリオ実績!E30)</f>
        <v>32.75</v>
      </c>
      <c r="F29" s="10">
        <f>IF(ポートフォリオ実績!F30="","", ポートフォリオ実績!F30)</f>
        <v>56.08</v>
      </c>
      <c r="G29">
        <f t="shared" si="0"/>
        <v>45443</v>
      </c>
      <c r="H29">
        <f>IF(B29&lt;&gt;"", SUMIFS(ポートフォリオ実績!$D$2:$D$2001, ポートフォリオ実績!$B$2:$B$2001, B29, ポートフォリオ実績!$A$2:$A$2001, G29), 0)</f>
        <v>44767.15</v>
      </c>
      <c r="I29">
        <f>IF(B29&lt;&gt;"", SUMIFS(ポートフォリオ実績!$C$2:$C$2001, ポートフォリオ実績!$B$2:$B$2001, B29, ポートフォリオ実績!$A$2:$A$2001, G29), 0)</f>
        <v>41356.629999999997</v>
      </c>
      <c r="J29">
        <f t="shared" si="1"/>
        <v>3476.0999999999985</v>
      </c>
      <c r="K29">
        <f t="shared" si="2"/>
        <v>3410.5200000000041</v>
      </c>
      <c r="L29">
        <f t="shared" si="3"/>
        <v>65.57999999999447</v>
      </c>
      <c r="M29">
        <f t="shared" si="4"/>
        <v>154.40999999999445</v>
      </c>
      <c r="N29">
        <f t="shared" si="5"/>
        <v>-5212.8499999999967</v>
      </c>
      <c r="O29">
        <f t="shared" si="6"/>
        <v>42160.725000000006</v>
      </c>
      <c r="P29">
        <f t="shared" si="7"/>
        <v>3.66241330053016E-3</v>
      </c>
      <c r="Q29" t="str">
        <f>IF(B29="","", IFERROR(VLOOKUP(B29, '基準資産配分（設定）'!$A$2:$C$2001, 3, FALSE), ""))</f>
        <v>NOMURA-BPI総合</v>
      </c>
      <c r="R29">
        <f>IF(B29="","", IFERROR(VLOOKUP(B29, '基準資産配分（設定）'!$A$2:$C$2001, 2, FALSE)/100, 0))</f>
        <v>0.3906</v>
      </c>
      <c r="S29">
        <f>IF(B29="","", IFERROR(SUMIFS(ベンチマークリターン!$C$2:$C$2001, ベンチマークリターン!$A$2:$A$2001, A29, ベンチマークリターン!$B$2:$B$2001, Q29) / 100, 0))</f>
        <v>8.8000000000000011E-5</v>
      </c>
      <c r="T29">
        <f>IF(A29="","", SUMIFS($H$2:$H$2000, $A$2:$A$2000, A29))</f>
        <v>142297.76999999999</v>
      </c>
      <c r="U29">
        <f t="shared" si="8"/>
        <v>0.31460190837846586</v>
      </c>
      <c r="V29">
        <f t="shared" si="9"/>
        <v>1.1522022136174642E-3</v>
      </c>
      <c r="W29">
        <f t="shared" si="10"/>
        <v>3.4372800000000004E-5</v>
      </c>
    </row>
    <row r="30" spans="1:23" x14ac:dyDescent="0.2">
      <c r="A30" s="4">
        <f>IF(ポートフォリオ実績!A31="","", ポートフォリオ実績!A31)</f>
        <v>45504</v>
      </c>
      <c r="B30" t="str">
        <f>IF(ポートフォリオ実績!B31="","", ポートフォリオ実績!B31)</f>
        <v>国内債券（固定金利・国債中心）</v>
      </c>
      <c r="C30" s="10">
        <f>IF(ポートフォリオ実績!C31="","", ポートフォリオ実績!C31)</f>
        <v>35735.43</v>
      </c>
      <c r="D30" s="10">
        <f>IF(ポートフォリオ実績!D31="","", ポートフォリオ実績!D31)</f>
        <v>39430.269999999997</v>
      </c>
      <c r="E30" s="10">
        <f>IF(ポートフォリオ実績!E31="","", ポートフォリオ実績!E31)</f>
        <v>29.41</v>
      </c>
      <c r="F30" s="10">
        <f>IF(ポートフォリオ実績!F31="","", ポートフォリオ実績!F31)</f>
        <v>0</v>
      </c>
      <c r="G30">
        <f t="shared" si="0"/>
        <v>45473</v>
      </c>
      <c r="H30">
        <f>IF(B30&lt;&gt;"", SUMIFS(ポートフォリオ実績!$D$2:$D$2001, ポートフォリオ実績!$B$2:$B$2001, B30, ポートフォリオ実績!$A$2:$A$2001, G30), 0)</f>
        <v>39708.71</v>
      </c>
      <c r="I30">
        <f>IF(B30&lt;&gt;"", SUMIFS(ポートフォリオ実績!$C$2:$C$2001, ポートフォリオ実績!$B$2:$B$2001, B30, ポートフォリオ実績!$A$2:$A$2001, G30), 0)</f>
        <v>36232.61</v>
      </c>
      <c r="J30">
        <f t="shared" si="1"/>
        <v>3694.8399999999965</v>
      </c>
      <c r="K30">
        <f t="shared" si="2"/>
        <v>3476.0999999999985</v>
      </c>
      <c r="L30">
        <f t="shared" si="3"/>
        <v>218.73999999999796</v>
      </c>
      <c r="M30">
        <f t="shared" si="4"/>
        <v>248.14999999999796</v>
      </c>
      <c r="N30">
        <f t="shared" si="5"/>
        <v>-526.59000000000026</v>
      </c>
      <c r="O30">
        <f t="shared" si="6"/>
        <v>39445.415000000001</v>
      </c>
      <c r="P30">
        <f t="shared" si="7"/>
        <v>6.2909719672108394E-3</v>
      </c>
      <c r="Q30" t="str">
        <f>IF(B30="","", IFERROR(VLOOKUP(B30, '基準資産配分（設定）'!$A$2:$C$2001, 3, FALSE), ""))</f>
        <v>NOMURA-BPI総合</v>
      </c>
      <c r="R30">
        <f>IF(B30="","", IFERROR(VLOOKUP(B30, '基準資産配分（設定）'!$A$2:$C$2001, 2, FALSE)/100, 0))</f>
        <v>0.3906</v>
      </c>
      <c r="S30">
        <f>IF(B30="","", IFERROR(SUMIFS(ベンチマークリターン!$C$2:$C$2001, ベンチマークリターン!$A$2:$A$2001, A30, ベンチマークリターン!$B$2:$B$2001, Q30) / 100, 0))</f>
        <v>2.1940000000000002E-3</v>
      </c>
      <c r="T30">
        <f>IF(A30="","", SUMIFS($H$2:$H$2000, $A$2:$A$2000, A30))</f>
        <v>135112.08000000002</v>
      </c>
      <c r="U30">
        <f t="shared" si="8"/>
        <v>0.2938945947690243</v>
      </c>
      <c r="V30">
        <f t="shared" si="9"/>
        <v>1.8488826570067212E-3</v>
      </c>
      <c r="W30">
        <f t="shared" si="10"/>
        <v>8.569764000000001E-4</v>
      </c>
    </row>
    <row r="31" spans="1:23" x14ac:dyDescent="0.2">
      <c r="A31" s="4">
        <f>IF(ポートフォリオ実績!A32="","", ポートフォリオ実績!A32)</f>
        <v>45535</v>
      </c>
      <c r="B31" t="str">
        <f>IF(ポートフォリオ実績!B32="","", ポートフォリオ実績!B32)</f>
        <v>国内債券（固定金利・国債中心）</v>
      </c>
      <c r="C31" s="10">
        <f>IF(ポートフォリオ実績!C32="","", ポートフォリオ実績!C32)</f>
        <v>35714.53</v>
      </c>
      <c r="D31" s="10">
        <f>IF(ポートフォリオ実績!D32="","", ポートフォリオ実績!D32)</f>
        <v>39679.410000000003</v>
      </c>
      <c r="E31" s="10">
        <f>IF(ポートフォリオ実績!E32="","", ポートフォリオ実績!E32)</f>
        <v>29.56</v>
      </c>
      <c r="F31" s="10">
        <f>IF(ポートフォリオ実績!F32="","", ポートフォリオ実績!F32)</f>
        <v>0</v>
      </c>
      <c r="G31">
        <f t="shared" si="0"/>
        <v>45504</v>
      </c>
      <c r="H31">
        <f>IF(B31&lt;&gt;"", SUMIFS(ポートフォリオ実績!$D$2:$D$2001, ポートフォリオ実績!$B$2:$B$2001, B31, ポートフォリオ実績!$A$2:$A$2001, G31), 0)</f>
        <v>39430.269999999997</v>
      </c>
      <c r="I31">
        <f>IF(B31&lt;&gt;"", SUMIFS(ポートフォリオ実績!$C$2:$C$2001, ポートフォリオ実績!$B$2:$B$2001, B31, ポートフォリオ実績!$A$2:$A$2001, G31), 0)</f>
        <v>35735.43</v>
      </c>
      <c r="J31">
        <f t="shared" si="1"/>
        <v>3964.8800000000047</v>
      </c>
      <c r="K31">
        <f t="shared" si="2"/>
        <v>3694.8399999999965</v>
      </c>
      <c r="L31">
        <f t="shared" si="3"/>
        <v>270.04000000000815</v>
      </c>
      <c r="M31">
        <f t="shared" si="4"/>
        <v>299.60000000000815</v>
      </c>
      <c r="N31">
        <f t="shared" si="5"/>
        <v>-50.460000000001457</v>
      </c>
      <c r="O31">
        <f t="shared" si="6"/>
        <v>39405.039999999994</v>
      </c>
      <c r="P31">
        <f t="shared" si="7"/>
        <v>7.6030883359085085E-3</v>
      </c>
      <c r="Q31" t="str">
        <f>IF(B31="","", IFERROR(VLOOKUP(B31, '基準資産配分（設定）'!$A$2:$C$2001, 3, FALSE), ""))</f>
        <v>NOMURA-BPI総合</v>
      </c>
      <c r="R31">
        <f>IF(B31="","", IFERROR(VLOOKUP(B31, '基準資産配分（設定）'!$A$2:$C$2001, 2, FALSE)/100, 0))</f>
        <v>0.3906</v>
      </c>
      <c r="S31">
        <f>IF(B31="","", IFERROR(SUMIFS(ベンチマークリターン!$C$2:$C$2001, ベンチマークリターン!$A$2:$A$2001, A31, ベンチマークリターン!$B$2:$B$2001, Q31) / 100, 0))</f>
        <v>-9.4570000000000001E-3</v>
      </c>
      <c r="T31">
        <f>IF(A31="","", SUMIFS($H$2:$H$2000, $A$2:$A$2000, A31))</f>
        <v>136612.22</v>
      </c>
      <c r="U31">
        <f t="shared" si="8"/>
        <v>0.28862915777226955</v>
      </c>
      <c r="V31">
        <f t="shared" si="9"/>
        <v>2.1944729828614392E-3</v>
      </c>
      <c r="W31">
        <f t="shared" si="10"/>
        <v>-3.6939042000000001E-3</v>
      </c>
    </row>
    <row r="32" spans="1:23" x14ac:dyDescent="0.2">
      <c r="A32" s="4">
        <f>IF(ポートフォリオ実績!A33="","", ポートフォリオ実績!A33)</f>
        <v>45565</v>
      </c>
      <c r="B32" t="str">
        <f>IF(ポートフォリオ実績!B33="","", ポートフォリオ実績!B33)</f>
        <v>国内債券（固定金利・国債中心）</v>
      </c>
      <c r="C32" s="10">
        <f>IF(ポートフォリオ実績!C33="","", ポートフォリオ実績!C33)</f>
        <v>35467.49</v>
      </c>
      <c r="D32" s="10">
        <f>IF(ポートフォリオ実績!D33="","", ポートフォリオ実績!D33)</f>
        <v>39546.53</v>
      </c>
      <c r="E32" s="10">
        <f>IF(ポートフォリオ実績!E33="","", ポートフォリオ実績!E33)</f>
        <v>29.57</v>
      </c>
      <c r="F32" s="10">
        <f>IF(ポートフォリオ実績!F33="","", ポートフォリオ実績!F33)</f>
        <v>0</v>
      </c>
      <c r="G32">
        <f t="shared" si="0"/>
        <v>45535</v>
      </c>
      <c r="H32">
        <f>IF(B32&lt;&gt;"", SUMIFS(ポートフォリオ実績!$D$2:$D$2001, ポートフォリオ実績!$B$2:$B$2001, B32, ポートフォリオ実績!$A$2:$A$2001, G32), 0)</f>
        <v>39679.410000000003</v>
      </c>
      <c r="I32">
        <f>IF(B32&lt;&gt;"", SUMIFS(ポートフォリオ実績!$C$2:$C$2001, ポートフォリオ実績!$B$2:$B$2001, B32, ポートフォリオ実績!$A$2:$A$2001, G32), 0)</f>
        <v>35714.53</v>
      </c>
      <c r="J32">
        <f t="shared" si="1"/>
        <v>4079.0400000000009</v>
      </c>
      <c r="K32">
        <f t="shared" si="2"/>
        <v>3964.8800000000047</v>
      </c>
      <c r="L32">
        <f t="shared" si="3"/>
        <v>114.15999999999622</v>
      </c>
      <c r="M32">
        <f t="shared" si="4"/>
        <v>143.72999999999621</v>
      </c>
      <c r="N32">
        <f t="shared" si="5"/>
        <v>-276.61000000000087</v>
      </c>
      <c r="O32">
        <f t="shared" si="6"/>
        <v>39541.105000000003</v>
      </c>
      <c r="P32">
        <f t="shared" si="7"/>
        <v>3.6349515270247554E-3</v>
      </c>
      <c r="Q32" t="str">
        <f>IF(B32="","", IFERROR(VLOOKUP(B32, '基準資産配分（設定）'!$A$2:$C$2001, 3, FALSE), ""))</f>
        <v>NOMURA-BPI総合</v>
      </c>
      <c r="R32">
        <f>IF(B32="","", IFERROR(VLOOKUP(B32, '基準資産配分（設定）'!$A$2:$C$2001, 2, FALSE)/100, 0))</f>
        <v>0.3906</v>
      </c>
      <c r="S32">
        <f>IF(B32="","", IFERROR(SUMIFS(ベンチマークリターン!$C$2:$C$2001, ベンチマークリターン!$A$2:$A$2001, A32, ベンチマークリターン!$B$2:$B$2001, Q32) / 100, 0))</f>
        <v>-7.3670000000000003E-3</v>
      </c>
      <c r="T32">
        <f>IF(A32="","", SUMIFS($H$2:$H$2000, $A$2:$A$2000, A32))</f>
        <v>140301.49</v>
      </c>
      <c r="U32">
        <f t="shared" si="8"/>
        <v>0.28281531436337565</v>
      </c>
      <c r="V32">
        <f t="shared" si="9"/>
        <v>1.0280199588111386E-3</v>
      </c>
      <c r="W32">
        <f t="shared" si="10"/>
        <v>-2.8775502000000001E-3</v>
      </c>
    </row>
    <row r="33" spans="1:23" x14ac:dyDescent="0.2">
      <c r="A33" s="4">
        <f>IF(ポートフォリオ実績!A34="","", ポートフォリオ実績!A34)</f>
        <v>45596</v>
      </c>
      <c r="B33" t="str">
        <f>IF(ポートフォリオ実績!B34="","", ポートフォリオ実績!B34)</f>
        <v>国内債券（固定金利・国債中心）</v>
      </c>
      <c r="C33" s="10">
        <f>IF(ポートフォリオ実績!C34="","", ポートフォリオ実績!C34)</f>
        <v>35213.67</v>
      </c>
      <c r="D33" s="10">
        <f>IF(ポートフォリオ実績!D34="","", ポートフォリオ実績!D34)</f>
        <v>39494.17</v>
      </c>
      <c r="E33" s="10">
        <f>IF(ポートフォリオ実績!E34="","", ポートフォリオ実績!E34)</f>
        <v>29.47</v>
      </c>
      <c r="F33" s="10">
        <f>IF(ポートフォリオ実績!F34="","", ポートフォリオ実績!F34)</f>
        <v>0</v>
      </c>
      <c r="G33">
        <f t="shared" si="0"/>
        <v>45565</v>
      </c>
      <c r="H33">
        <f>IF(B33&lt;&gt;"", SUMIFS(ポートフォリオ実績!$D$2:$D$2001, ポートフォリオ実績!$B$2:$B$2001, B33, ポートフォリオ実績!$A$2:$A$2001, G33), 0)</f>
        <v>39546.53</v>
      </c>
      <c r="I33">
        <f>IF(B33&lt;&gt;"", SUMIFS(ポートフォリオ実績!$C$2:$C$2001, ポートフォリオ実績!$B$2:$B$2001, B33, ポートフォリオ実績!$A$2:$A$2001, G33), 0)</f>
        <v>35467.49</v>
      </c>
      <c r="J33">
        <f t="shared" si="1"/>
        <v>4280.5</v>
      </c>
      <c r="K33">
        <f t="shared" si="2"/>
        <v>4079.0400000000009</v>
      </c>
      <c r="L33">
        <f t="shared" si="3"/>
        <v>201.45999999999913</v>
      </c>
      <c r="M33">
        <f t="shared" si="4"/>
        <v>230.92999999999913</v>
      </c>
      <c r="N33">
        <f t="shared" si="5"/>
        <v>-283.28999999999974</v>
      </c>
      <c r="O33">
        <f t="shared" si="6"/>
        <v>39404.885000000002</v>
      </c>
      <c r="P33">
        <f t="shared" si="7"/>
        <v>5.8604409072631255E-3</v>
      </c>
      <c r="Q33" t="str">
        <f>IF(B33="","", IFERROR(VLOOKUP(B33, '基準資産配分（設定）'!$A$2:$C$2001, 3, FALSE), ""))</f>
        <v>NOMURA-BPI総合</v>
      </c>
      <c r="R33">
        <f>IF(B33="","", IFERROR(VLOOKUP(B33, '基準資産配分（設定）'!$A$2:$C$2001, 2, FALSE)/100, 0))</f>
        <v>0.3906</v>
      </c>
      <c r="S33">
        <f>IF(B33="","", IFERROR(SUMIFS(ベンチマークリターン!$C$2:$C$2001, ベンチマークリターン!$A$2:$A$2001, A33, ベンチマークリターン!$B$2:$B$2001, Q33) / 100, 0))</f>
        <v>4.7080000000000004E-3</v>
      </c>
      <c r="T33">
        <f>IF(A33="","", SUMIFS($H$2:$H$2000, $A$2:$A$2000, A33))</f>
        <v>140341.03999999998</v>
      </c>
      <c r="U33">
        <f t="shared" si="8"/>
        <v>0.28178877682536774</v>
      </c>
      <c r="V33">
        <f t="shared" si="9"/>
        <v>1.6514064749150244E-3</v>
      </c>
      <c r="W33">
        <f t="shared" si="10"/>
        <v>1.8389448000000002E-3</v>
      </c>
    </row>
    <row r="34" spans="1:23" x14ac:dyDescent="0.2">
      <c r="A34" s="4">
        <f>IF(ポートフォリオ実績!A35="","", ポートフォリオ実績!A35)</f>
        <v>45626</v>
      </c>
      <c r="B34" t="str">
        <f>IF(ポートフォリオ実績!B35="","", ポートフォリオ実績!B35)</f>
        <v>国内債券（固定金利・国債中心）</v>
      </c>
      <c r="C34" s="10">
        <f>IF(ポートフォリオ実績!C35="","", ポートフォリオ実績!C35)</f>
        <v>35477.53</v>
      </c>
      <c r="D34" s="10">
        <f>IF(ポートフォリオ実績!D35="","", ポートフォリオ実績!D35)</f>
        <v>39675.99</v>
      </c>
      <c r="E34" s="10">
        <f>IF(ポートフォリオ実績!E35="","", ポートフォリオ実績!E35)</f>
        <v>29.82</v>
      </c>
      <c r="F34" s="10">
        <f>IF(ポートフォリオ実績!F35="","", ポートフォリオ実績!F35)</f>
        <v>0</v>
      </c>
      <c r="G34">
        <f t="shared" si="0"/>
        <v>45596</v>
      </c>
      <c r="H34">
        <f>IF(B34&lt;&gt;"", SUMIFS(ポートフォリオ実績!$D$2:$D$2001, ポートフォリオ実績!$B$2:$B$2001, B34, ポートフォリオ実績!$A$2:$A$2001, G34), 0)</f>
        <v>39494.17</v>
      </c>
      <c r="I34">
        <f>IF(B34&lt;&gt;"", SUMIFS(ポートフォリオ実績!$C$2:$C$2001, ポートフォリオ実績!$B$2:$B$2001, B34, ポートフォリオ実績!$A$2:$A$2001, G34), 0)</f>
        <v>35213.67</v>
      </c>
      <c r="J34">
        <f t="shared" si="1"/>
        <v>4198.4599999999991</v>
      </c>
      <c r="K34">
        <f t="shared" si="2"/>
        <v>4280.5</v>
      </c>
      <c r="L34">
        <f t="shared" si="3"/>
        <v>-82.040000000000873</v>
      </c>
      <c r="M34">
        <f t="shared" si="4"/>
        <v>-52.220000000000873</v>
      </c>
      <c r="N34">
        <f t="shared" si="5"/>
        <v>234.04000000000059</v>
      </c>
      <c r="O34">
        <f t="shared" si="6"/>
        <v>39611.189999999995</v>
      </c>
      <c r="P34">
        <f t="shared" si="7"/>
        <v>-1.3183143450121262E-3</v>
      </c>
      <c r="Q34" t="str">
        <f>IF(B34="","", IFERROR(VLOOKUP(B34, '基準資産配分（設定）'!$A$2:$C$2001, 3, FALSE), ""))</f>
        <v>NOMURA-BPI総合</v>
      </c>
      <c r="R34">
        <f>IF(B34="","", IFERROR(VLOOKUP(B34, '基準資産配分（設定）'!$A$2:$C$2001, 2, FALSE)/100, 0))</f>
        <v>0.3906</v>
      </c>
      <c r="S34">
        <f>IF(B34="","", IFERROR(SUMIFS(ベンチマークリターン!$C$2:$C$2001, ベンチマークリターン!$A$2:$A$2001, A34, ベンチマークリターン!$B$2:$B$2001, Q34) / 100, 0))</f>
        <v>1.4030000000000002E-3</v>
      </c>
      <c r="T34">
        <f>IF(A34="","", SUMIFS($H$2:$H$2000, $A$2:$A$2000, A34))</f>
        <v>138030.65999999997</v>
      </c>
      <c r="U34">
        <f t="shared" si="8"/>
        <v>0.28612606793302303</v>
      </c>
      <c r="V34">
        <f t="shared" si="9"/>
        <v>-3.772040998380184E-4</v>
      </c>
      <c r="W34">
        <f t="shared" si="10"/>
        <v>5.4801180000000011E-4</v>
      </c>
    </row>
    <row r="35" spans="1:23" x14ac:dyDescent="0.2">
      <c r="A35" s="4">
        <f>IF(ポートフォリオ実績!A36="","", ポートフォリオ実績!A36)</f>
        <v>45657</v>
      </c>
      <c r="B35" t="str">
        <f>IF(ポートフォリオ実績!B36="","", ポートフォリオ実績!B36)</f>
        <v>国内債券（固定金利・国債中心）</v>
      </c>
      <c r="C35" s="10">
        <f>IF(ポートフォリオ実績!C36="","", ポートフォリオ実績!C36)</f>
        <v>35333.47</v>
      </c>
      <c r="D35" s="10">
        <f>IF(ポートフォリオ実績!D36="","", ポートフォリオ実績!D36)</f>
        <v>39829.21</v>
      </c>
      <c r="E35" s="10">
        <f>IF(ポートフォリオ実績!E36="","", ポートフォリオ実績!E36)</f>
        <v>29.65</v>
      </c>
      <c r="F35" s="10">
        <f>IF(ポートフォリオ実績!F36="","", ポートフォリオ実績!F36)</f>
        <v>0</v>
      </c>
      <c r="G35">
        <f t="shared" si="0"/>
        <v>45626</v>
      </c>
      <c r="H35">
        <f>IF(B35&lt;&gt;"", SUMIFS(ポートフォリオ実績!$D$2:$D$2001, ポートフォリオ実績!$B$2:$B$2001, B35, ポートフォリオ実績!$A$2:$A$2001, G35), 0)</f>
        <v>39675.99</v>
      </c>
      <c r="I35">
        <f>IF(B35&lt;&gt;"", SUMIFS(ポートフォリオ実績!$C$2:$C$2001, ポートフォリオ実績!$B$2:$B$2001, B35, ポートフォリオ実績!$A$2:$A$2001, G35), 0)</f>
        <v>35477.53</v>
      </c>
      <c r="J35">
        <f t="shared" si="1"/>
        <v>4495.739999999998</v>
      </c>
      <c r="K35">
        <f t="shared" si="2"/>
        <v>4198.4599999999991</v>
      </c>
      <c r="L35">
        <f t="shared" si="3"/>
        <v>297.27999999999884</v>
      </c>
      <c r="M35">
        <f t="shared" si="4"/>
        <v>326.92999999999881</v>
      </c>
      <c r="N35">
        <f t="shared" si="5"/>
        <v>-173.70999999999765</v>
      </c>
      <c r="O35">
        <f t="shared" si="6"/>
        <v>39589.135000000002</v>
      </c>
      <c r="P35">
        <f t="shared" si="7"/>
        <v>8.2580738376829606E-3</v>
      </c>
      <c r="Q35" t="str">
        <f>IF(B35="","", IFERROR(VLOOKUP(B35, '基準資産配分（設定）'!$A$2:$C$2001, 3, FALSE), ""))</f>
        <v>NOMURA-BPI総合</v>
      </c>
      <c r="R35">
        <f>IF(B35="","", IFERROR(VLOOKUP(B35, '基準資産配分（設定）'!$A$2:$C$2001, 2, FALSE)/100, 0))</f>
        <v>0.3906</v>
      </c>
      <c r="S35">
        <f>IF(B35="","", IFERROR(SUMIFS(ベンチマークリターン!$C$2:$C$2001, ベンチマークリターン!$A$2:$A$2001, A35, ベンチマークリターン!$B$2:$B$2001, Q35) / 100, 0))</f>
        <v>-6.4600000000000009E-4</v>
      </c>
      <c r="T35">
        <f>IF(A35="","", SUMIFS($H$2:$H$2000, $A$2:$A$2000, A35))</f>
        <v>140420.70000000001</v>
      </c>
      <c r="U35">
        <f t="shared" si="8"/>
        <v>0.28255086322743012</v>
      </c>
      <c r="V35">
        <f t="shared" si="9"/>
        <v>2.3333258914331771E-3</v>
      </c>
      <c r="W35">
        <f t="shared" si="10"/>
        <v>-2.5232760000000004E-4</v>
      </c>
    </row>
    <row r="36" spans="1:23" x14ac:dyDescent="0.2">
      <c r="A36" s="4">
        <f>IF(ポートフォリオ実績!A37="","", ポートフォリオ実績!A37)</f>
        <v>45688</v>
      </c>
      <c r="B36" t="str">
        <f>IF(ポートフォリオ実績!B37="","", ポートフォリオ実績!B37)</f>
        <v>国内債券（固定金利・国債中心）</v>
      </c>
      <c r="C36" s="10">
        <f>IF(ポートフォリオ実績!C37="","", ポートフォリオ実績!C37)</f>
        <v>35946.26</v>
      </c>
      <c r="D36" s="10">
        <f>IF(ポートフォリオ実績!D37="","", ポートフォリオ実績!D37)</f>
        <v>40595.54</v>
      </c>
      <c r="E36" s="10">
        <f>IF(ポートフォリオ実績!E37="","", ポートフォリオ実績!E37)</f>
        <v>30.33</v>
      </c>
      <c r="F36" s="10">
        <f>IF(ポートフォリオ実績!F37="","", ポートフォリオ実績!F37)</f>
        <v>0</v>
      </c>
      <c r="G36">
        <f t="shared" si="0"/>
        <v>45657</v>
      </c>
      <c r="H36">
        <f>IF(B36&lt;&gt;"", SUMIFS(ポートフォリオ実績!$D$2:$D$2001, ポートフォリオ実績!$B$2:$B$2001, B36, ポートフォリオ実績!$A$2:$A$2001, G36), 0)</f>
        <v>39829.21</v>
      </c>
      <c r="I36">
        <f>IF(B36&lt;&gt;"", SUMIFS(ポートフォリオ実績!$C$2:$C$2001, ポートフォリオ実績!$B$2:$B$2001, B36, ポートフォリオ実績!$A$2:$A$2001, G36), 0)</f>
        <v>35333.47</v>
      </c>
      <c r="J36">
        <f t="shared" si="1"/>
        <v>4649.2799999999988</v>
      </c>
      <c r="K36">
        <f t="shared" si="2"/>
        <v>4495.739999999998</v>
      </c>
      <c r="L36">
        <f t="shared" si="3"/>
        <v>153.54000000000087</v>
      </c>
      <c r="M36">
        <f t="shared" si="4"/>
        <v>183.87000000000086</v>
      </c>
      <c r="N36">
        <f t="shared" si="5"/>
        <v>582.46000000000095</v>
      </c>
      <c r="O36">
        <f t="shared" si="6"/>
        <v>40120.44</v>
      </c>
      <c r="P36">
        <f t="shared" si="7"/>
        <v>4.5829507353359247E-3</v>
      </c>
      <c r="Q36" t="str">
        <f>IF(B36="","", IFERROR(VLOOKUP(B36, '基準資産配分（設定）'!$A$2:$C$2001, 3, FALSE), ""))</f>
        <v>NOMURA-BPI総合</v>
      </c>
      <c r="R36">
        <f>IF(B36="","", IFERROR(VLOOKUP(B36, '基準資産配分（設定）'!$A$2:$C$2001, 2, FALSE)/100, 0))</f>
        <v>0.3906</v>
      </c>
      <c r="S36">
        <f>IF(B36="","", IFERROR(SUMIFS(ベンチマークリターン!$C$2:$C$2001, ベンチマークリターン!$A$2:$A$2001, A36, ベンチマークリターン!$B$2:$B$2001, Q36) / 100, 0))</f>
        <v>5.2300000000000003E-4</v>
      </c>
      <c r="T36">
        <f>IF(A36="","", SUMIFS($H$2:$H$2000, $A$2:$A$2000, A36))</f>
        <v>142763.42000000001</v>
      </c>
      <c r="U36">
        <f t="shared" si="8"/>
        <v>0.27898750254091698</v>
      </c>
      <c r="V36">
        <f t="shared" si="9"/>
        <v>1.2785859799194286E-3</v>
      </c>
      <c r="W36">
        <f t="shared" si="10"/>
        <v>2.0428380000000001E-4</v>
      </c>
    </row>
    <row r="37" spans="1:23" x14ac:dyDescent="0.2">
      <c r="A37" s="4">
        <f>IF(ポートフォリオ実績!A38="","", ポートフォリオ実績!A38)</f>
        <v>45716</v>
      </c>
      <c r="B37" t="str">
        <f>IF(ポートフォリオ実績!B38="","", ポートフォリオ実績!B38)</f>
        <v>国内債券（固定金利・国債中心）</v>
      </c>
      <c r="C37" s="10">
        <f>IF(ポートフォリオ実績!C38="","", ポートフォリオ実績!C38)</f>
        <v>35728.910000000003</v>
      </c>
      <c r="D37" s="10">
        <f>IF(ポートフォリオ実績!D38="","", ポートフォリオ実績!D38)</f>
        <v>40452.769999999997</v>
      </c>
      <c r="E37" s="10">
        <f>IF(ポートフォリオ実績!E38="","", ポートフォリオ実績!E38)</f>
        <v>30.28</v>
      </c>
      <c r="F37" s="10">
        <f>IF(ポートフォリオ実績!F38="","", ポートフォリオ実績!F38)</f>
        <v>0</v>
      </c>
      <c r="G37">
        <f t="shared" si="0"/>
        <v>45688</v>
      </c>
      <c r="H37">
        <f>IF(B37&lt;&gt;"", SUMIFS(ポートフォリオ実績!$D$2:$D$2001, ポートフォリオ実績!$B$2:$B$2001, B37, ポートフォリオ実績!$A$2:$A$2001, G37), 0)</f>
        <v>40595.54</v>
      </c>
      <c r="I37">
        <f>IF(B37&lt;&gt;"", SUMIFS(ポートフォリオ実績!$C$2:$C$2001, ポートフォリオ実績!$B$2:$B$2001, B37, ポートフォリオ実績!$A$2:$A$2001, G37), 0)</f>
        <v>35946.26</v>
      </c>
      <c r="J37">
        <f t="shared" si="1"/>
        <v>4723.8599999999933</v>
      </c>
      <c r="K37">
        <f t="shared" si="2"/>
        <v>4649.2799999999988</v>
      </c>
      <c r="L37">
        <f t="shared" si="3"/>
        <v>74.57999999999447</v>
      </c>
      <c r="M37">
        <f t="shared" si="4"/>
        <v>104.85999999999447</v>
      </c>
      <c r="N37">
        <f t="shared" si="5"/>
        <v>-247.62999999999855</v>
      </c>
      <c r="O37">
        <f t="shared" si="6"/>
        <v>40471.724999999999</v>
      </c>
      <c r="P37">
        <f t="shared" si="7"/>
        <v>2.5909446656893049E-3</v>
      </c>
      <c r="Q37" t="str">
        <f>IF(B37="","", IFERROR(VLOOKUP(B37, '基準資産配分（設定）'!$A$2:$C$2001, 3, FALSE), ""))</f>
        <v>NOMURA-BPI総合</v>
      </c>
      <c r="R37">
        <f>IF(B37="","", IFERROR(VLOOKUP(B37, '基準資産配分（設定）'!$A$2:$C$2001, 2, FALSE)/100, 0))</f>
        <v>0.3906</v>
      </c>
      <c r="S37">
        <f>IF(B37="","", IFERROR(SUMIFS(ベンチマークリターン!$C$2:$C$2001, ベンチマークリターン!$A$2:$A$2001, A37, ベンチマークリターン!$B$2:$B$2001, Q37) / 100, 0))</f>
        <v>2.4229999999999998E-3</v>
      </c>
      <c r="T37">
        <f>IF(A37="","", SUMIFS($H$2:$H$2000, $A$2:$A$2000, A37))</f>
        <v>145068.1</v>
      </c>
      <c r="U37">
        <f t="shared" si="8"/>
        <v>0.27983781410248015</v>
      </c>
      <c r="V37">
        <f t="shared" si="9"/>
        <v>7.2504429170697627E-4</v>
      </c>
      <c r="W37">
        <f t="shared" si="10"/>
        <v>9.464237999999999E-4</v>
      </c>
    </row>
    <row r="38" spans="1:23" x14ac:dyDescent="0.2">
      <c r="A38" s="4">
        <f>IF(ポートフォリオ実績!A39="","", ポートフォリオ実績!A39)</f>
        <v>45747</v>
      </c>
      <c r="B38" t="str">
        <f>IF(ポートフォリオ実績!B39="","", ポートフォリオ実績!B39)</f>
        <v>国内債券（固定金利・国債中心）</v>
      </c>
      <c r="C38" s="10">
        <f>IF(ポートフォリオ実績!C39="","", ポートフォリオ実績!C39)</f>
        <v>36311.589999999997</v>
      </c>
      <c r="D38" s="10">
        <f>IF(ポートフォリオ実績!D39="","", ポートフォリオ実績!D39)</f>
        <v>40992.019999999997</v>
      </c>
      <c r="E38" s="10">
        <f>IF(ポートフォリオ実績!E39="","", ポートフォリオ実績!E39)</f>
        <v>30.78</v>
      </c>
      <c r="F38" s="10">
        <f>IF(ポートフォリオ実績!F39="","", ポートフォリオ実績!F39)</f>
        <v>0</v>
      </c>
      <c r="G38">
        <f t="shared" si="0"/>
        <v>45716</v>
      </c>
      <c r="H38">
        <f>IF(B38&lt;&gt;"", SUMIFS(ポートフォリオ実績!$D$2:$D$2001, ポートフォリオ実績!$B$2:$B$2001, B38, ポートフォリオ実績!$A$2:$A$2001, G38), 0)</f>
        <v>40452.769999999997</v>
      </c>
      <c r="I38">
        <f>IF(B38&lt;&gt;"", SUMIFS(ポートフォリオ実績!$C$2:$C$2001, ポートフォリオ実績!$B$2:$B$2001, B38, ポートフォリオ実績!$A$2:$A$2001, G38), 0)</f>
        <v>35728.910000000003</v>
      </c>
      <c r="J38">
        <f t="shared" si="1"/>
        <v>4680.43</v>
      </c>
      <c r="K38">
        <f t="shared" si="2"/>
        <v>4723.8599999999933</v>
      </c>
      <c r="L38">
        <f t="shared" si="3"/>
        <v>-43.429999999993015</v>
      </c>
      <c r="M38">
        <f t="shared" si="4"/>
        <v>-12.649999999993014</v>
      </c>
      <c r="N38">
        <f t="shared" si="5"/>
        <v>551.89999999999304</v>
      </c>
      <c r="O38">
        <f t="shared" si="6"/>
        <v>40728.719999999994</v>
      </c>
      <c r="P38">
        <f t="shared" si="7"/>
        <v>-3.1059164147542609E-4</v>
      </c>
      <c r="Q38" t="str">
        <f>IF(B38="","", IFERROR(VLOOKUP(B38, '基準資産配分（設定）'!$A$2:$C$2001, 3, FALSE), ""))</f>
        <v>NOMURA-BPI総合</v>
      </c>
      <c r="R38">
        <f>IF(B38="","", IFERROR(VLOOKUP(B38, '基準資産配分（設定）'!$A$2:$C$2001, 2, FALSE)/100, 0))</f>
        <v>0.3906</v>
      </c>
      <c r="S38">
        <f>IF(B38="","", IFERROR(SUMIFS(ベンチマークリターン!$C$2:$C$2001, ベンチマークリターン!$A$2:$A$2001, A38, ベンチマークリターン!$B$2:$B$2001, Q38) / 100, 0))</f>
        <v>-2.7000000000000001E-3</v>
      </c>
      <c r="T38">
        <f>IF(A38="","", SUMIFS($H$2:$H$2000, $A$2:$A$2000, A38))</f>
        <v>143923.46</v>
      </c>
      <c r="U38">
        <f t="shared" si="8"/>
        <v>0.28107141115145506</v>
      </c>
      <c r="V38">
        <f t="shared" si="9"/>
        <v>-8.7298430961344807E-5</v>
      </c>
      <c r="W38">
        <f t="shared" si="10"/>
        <v>-1.05462E-3</v>
      </c>
    </row>
    <row r="39" spans="1:23" x14ac:dyDescent="0.2">
      <c r="A39" s="4">
        <f>IF(ポートフォリオ実績!A40="","", ポートフォリオ実績!A40)</f>
        <v>44651</v>
      </c>
      <c r="B39" t="str">
        <f>IF(ポートフォリオ実績!B40="","", ポートフォリオ実績!B40)</f>
        <v>国内債券（変動/ASW）</v>
      </c>
      <c r="C39" s="10">
        <f>IF(ポートフォリオ実績!C40="","", ポートフォリオ実績!C40)</f>
        <v>19600</v>
      </c>
      <c r="D39" s="10">
        <f>IF(ポートフォリオ実績!D40="","", ポートフォリオ実績!D40)</f>
        <v>20016.57</v>
      </c>
      <c r="E39" s="10">
        <f>IF(ポートフォリオ実績!E40="","", ポートフォリオ実績!E40)</f>
        <v>0</v>
      </c>
      <c r="F39" s="10">
        <f>IF(ポートフォリオ実績!F40="","", ポートフォリオ実績!F40)</f>
        <v>0</v>
      </c>
      <c r="G39">
        <f t="shared" si="0"/>
        <v>44620</v>
      </c>
      <c r="H39">
        <f>IF(B39&lt;&gt;"", SUMIFS(ポートフォリオ実績!$D$2:$D$2001, ポートフォリオ実績!$B$2:$B$2001, B39, ポートフォリオ実績!$A$2:$A$2001, G39), 0)</f>
        <v>0</v>
      </c>
      <c r="I39">
        <f>IF(B39&lt;&gt;"", SUMIFS(ポートフォリオ実績!$C$2:$C$2001, ポートフォリオ実績!$B$2:$B$2001, B39, ポートフォリオ実績!$A$2:$A$2001, G39), 0)</f>
        <v>0</v>
      </c>
      <c r="J39">
        <f t="shared" si="1"/>
        <v>416.56999999999971</v>
      </c>
      <c r="K39">
        <f t="shared" si="2"/>
        <v>0</v>
      </c>
      <c r="L39">
        <f t="shared" si="3"/>
        <v>0</v>
      </c>
      <c r="M39">
        <f t="shared" si="4"/>
        <v>0</v>
      </c>
      <c r="N39">
        <f t="shared" si="5"/>
        <v>0</v>
      </c>
      <c r="O39">
        <f t="shared" si="6"/>
        <v>0</v>
      </c>
      <c r="P39">
        <f t="shared" si="7"/>
        <v>0</v>
      </c>
      <c r="Q39" t="str">
        <f>IF(B39="","", IFERROR(VLOOKUP(B39, '基準資産配分（設定）'!$A$2:$C$2001, 3, FALSE), ""))</f>
        <v>TONA複利</v>
      </c>
      <c r="R39">
        <f>IF(B39="","", IFERROR(VLOOKUP(B39, '基準資産配分（設定）'!$A$2:$C$2001, 2, FALSE)/100, 0))</f>
        <v>0.15620000000000001</v>
      </c>
      <c r="S39">
        <f>IF(B39="","", IFERROR(SUMIFS(ベンチマークリターン!$C$2:$C$2001, ベンチマークリターン!$A$2:$A$2001, A39, ベンチマークリターン!$B$2:$B$2001, Q39) / 100, 0))</f>
        <v>0</v>
      </c>
      <c r="T39">
        <f>IF(A39="","", SUMIFS($H$2:$H$2000, $A$2:$A$2000, A39))</f>
        <v>0</v>
      </c>
      <c r="U39">
        <f t="shared" si="8"/>
        <v>0</v>
      </c>
      <c r="V39">
        <f t="shared" si="9"/>
        <v>0</v>
      </c>
      <c r="W39">
        <f t="shared" si="10"/>
        <v>0</v>
      </c>
    </row>
    <row r="40" spans="1:23" x14ac:dyDescent="0.2">
      <c r="A40" s="4">
        <f>IF(ポートフォリオ実績!A41="","", ポートフォリオ実績!A41)</f>
        <v>44681</v>
      </c>
      <c r="B40" t="str">
        <f>IF(ポートフォリオ実績!B41="","", ポートフォリオ実績!B41)</f>
        <v>国内債券（変動/ASW）</v>
      </c>
      <c r="C40" s="10">
        <f>IF(ポートフォリオ実績!C41="","", ポートフォリオ実績!C41)</f>
        <v>19569.72</v>
      </c>
      <c r="D40" s="10">
        <f>IF(ポートフォリオ実績!D41="","", ポートフォリオ実績!D41)</f>
        <v>20011.43</v>
      </c>
      <c r="E40" s="10">
        <f>IF(ポートフォリオ実績!E41="","", ポートフォリオ実績!E41)</f>
        <v>24.98</v>
      </c>
      <c r="F40" s="10">
        <f>IF(ポートフォリオ実績!F41="","", ポートフォリオ実績!F41)</f>
        <v>0</v>
      </c>
      <c r="G40">
        <f t="shared" si="0"/>
        <v>44651</v>
      </c>
      <c r="H40">
        <f>IF(B40&lt;&gt;"", SUMIFS(ポートフォリオ実績!$D$2:$D$2001, ポートフォリオ実績!$B$2:$B$2001, B40, ポートフォリオ実績!$A$2:$A$2001, G40), 0)</f>
        <v>20016.57</v>
      </c>
      <c r="I40">
        <f>IF(B40&lt;&gt;"", SUMIFS(ポートフォリオ実績!$C$2:$C$2001, ポートフォリオ実績!$B$2:$B$2001, B40, ポートフォリオ実績!$A$2:$A$2001, G40), 0)</f>
        <v>19600</v>
      </c>
      <c r="J40">
        <f t="shared" si="1"/>
        <v>441.70999999999913</v>
      </c>
      <c r="K40">
        <f t="shared" si="2"/>
        <v>416.56999999999971</v>
      </c>
      <c r="L40">
        <f t="shared" si="3"/>
        <v>25.139999999999418</v>
      </c>
      <c r="M40">
        <f t="shared" si="4"/>
        <v>50.119999999999422</v>
      </c>
      <c r="N40">
        <f t="shared" si="5"/>
        <v>-55.25999999999884</v>
      </c>
      <c r="O40">
        <f t="shared" si="6"/>
        <v>19988.939999999999</v>
      </c>
      <c r="P40">
        <f t="shared" si="7"/>
        <v>2.5073865847813552E-3</v>
      </c>
      <c r="Q40" t="str">
        <f>IF(B40="","", IFERROR(VLOOKUP(B40, '基準資産配分（設定）'!$A$2:$C$2001, 3, FALSE), ""))</f>
        <v>TONA複利</v>
      </c>
      <c r="R40">
        <f>IF(B40="","", IFERROR(VLOOKUP(B40, '基準資産配分（設定）'!$A$2:$C$2001, 2, FALSE)/100, 0))</f>
        <v>0.15620000000000001</v>
      </c>
      <c r="S40">
        <f>IF(B40="","", IFERROR(SUMIFS(ベンチマークリターン!$C$2:$C$2001, ベンチマークリターン!$A$2:$A$2001, A40, ベンチマークリターン!$B$2:$B$2001, Q40) / 100, 0))</f>
        <v>-2.9E-4</v>
      </c>
      <c r="T40">
        <f>IF(A40="","", SUMIFS($H$2:$H$2000, $A$2:$A$2000, A40))</f>
        <v>139117.94</v>
      </c>
      <c r="U40">
        <f t="shared" si="8"/>
        <v>0.14388201837951309</v>
      </c>
      <c r="V40">
        <f t="shared" si="9"/>
        <v>3.6076784267605552E-4</v>
      </c>
      <c r="W40">
        <f t="shared" si="10"/>
        <v>-4.5297999999999999E-5</v>
      </c>
    </row>
    <row r="41" spans="1:23" x14ac:dyDescent="0.2">
      <c r="A41" s="4">
        <f>IF(ポートフォリオ実績!A42="","", ポートフォリオ実績!A42)</f>
        <v>44712</v>
      </c>
      <c r="B41" t="str">
        <f>IF(ポートフォリオ実績!B42="","", ポートフォリオ実績!B42)</f>
        <v>国内債券（変動/ASW）</v>
      </c>
      <c r="C41" s="10">
        <f>IF(ポートフォリオ実績!C42="","", ポートフォリオ実績!C42)</f>
        <v>19528.54</v>
      </c>
      <c r="D41" s="10">
        <f>IF(ポートフォリオ実績!D42="","", ポートフォリオ実績!D42)</f>
        <v>19983.8</v>
      </c>
      <c r="E41" s="10">
        <f>IF(ポートフォリオ実績!E42="","", ポートフォリオ実績!E42)</f>
        <v>24.96</v>
      </c>
      <c r="F41" s="10">
        <f>IF(ポートフォリオ実績!F42="","", ポートフォリオ実績!F42)</f>
        <v>0</v>
      </c>
      <c r="G41">
        <f t="shared" si="0"/>
        <v>44681</v>
      </c>
      <c r="H41">
        <f>IF(B41&lt;&gt;"", SUMIFS(ポートフォリオ実績!$D$2:$D$2001, ポートフォリオ実績!$B$2:$B$2001, B41, ポートフォリオ実績!$A$2:$A$2001, G41), 0)</f>
        <v>20011.43</v>
      </c>
      <c r="I41">
        <f>IF(B41&lt;&gt;"", SUMIFS(ポートフォリオ実績!$C$2:$C$2001, ポートフォリオ実績!$B$2:$B$2001, B41, ポートフォリオ実績!$A$2:$A$2001, G41), 0)</f>
        <v>19569.72</v>
      </c>
      <c r="J41">
        <f t="shared" si="1"/>
        <v>455.2599999999984</v>
      </c>
      <c r="K41">
        <f t="shared" si="2"/>
        <v>441.70999999999913</v>
      </c>
      <c r="L41">
        <f t="shared" si="3"/>
        <v>13.549999999999272</v>
      </c>
      <c r="M41">
        <f t="shared" si="4"/>
        <v>38.509999999999273</v>
      </c>
      <c r="N41">
        <f t="shared" si="5"/>
        <v>-66.140000000000299</v>
      </c>
      <c r="O41">
        <f t="shared" si="6"/>
        <v>19978.36</v>
      </c>
      <c r="P41">
        <f t="shared" si="7"/>
        <v>1.9275856476707433E-3</v>
      </c>
      <c r="Q41" t="str">
        <f>IF(B41="","", IFERROR(VLOOKUP(B41, '基準資産配分（設定）'!$A$2:$C$2001, 3, FALSE), ""))</f>
        <v>TONA複利</v>
      </c>
      <c r="R41">
        <f>IF(B41="","", IFERROR(VLOOKUP(B41, '基準資産配分（設定）'!$A$2:$C$2001, 2, FALSE)/100, 0))</f>
        <v>0.15620000000000001</v>
      </c>
      <c r="S41">
        <f>IF(B41="","", IFERROR(SUMIFS(ベンチマークリターン!$C$2:$C$2001, ベンチマークリターン!$A$2:$A$2001, A41, ベンチマークリターン!$B$2:$B$2001, Q41) / 100, 0))</f>
        <v>1.116E-3</v>
      </c>
      <c r="T41">
        <f>IF(A41="","", SUMIFS($H$2:$H$2000, $A$2:$A$2000, A41))</f>
        <v>139899.38</v>
      </c>
      <c r="U41">
        <f t="shared" si="8"/>
        <v>0.14304159174972755</v>
      </c>
      <c r="V41">
        <f t="shared" si="9"/>
        <v>2.7572491927675263E-4</v>
      </c>
      <c r="W41">
        <f t="shared" si="10"/>
        <v>1.743192E-4</v>
      </c>
    </row>
    <row r="42" spans="1:23" x14ac:dyDescent="0.2">
      <c r="A42" s="4">
        <f>IF(ポートフォリオ実績!A43="","", ポートフォリオ実績!A43)</f>
        <v>44742</v>
      </c>
      <c r="B42" t="str">
        <f>IF(ポートフォリオ実績!B43="","", ポートフォリオ実績!B43)</f>
        <v>国内債券（変動/ASW）</v>
      </c>
      <c r="C42" s="10">
        <f>IF(ポートフォリオ実績!C43="","", ポートフォリオ実績!C43)</f>
        <v>19625.939999999999</v>
      </c>
      <c r="D42" s="10">
        <f>IF(ポートフォリオ実績!D43="","", ポートフォリオ実績!D43)</f>
        <v>20101.63</v>
      </c>
      <c r="E42" s="10">
        <f>IF(ポートフォリオ実績!E43="","", ポートフォリオ実績!E43)</f>
        <v>25.1</v>
      </c>
      <c r="F42" s="10">
        <f>IF(ポートフォリオ実績!F43="","", ポートフォリオ実績!F43)</f>
        <v>0</v>
      </c>
      <c r="G42">
        <f t="shared" si="0"/>
        <v>44712</v>
      </c>
      <c r="H42">
        <f>IF(B42&lt;&gt;"", SUMIFS(ポートフォリオ実績!$D$2:$D$2001, ポートフォリオ実績!$B$2:$B$2001, B42, ポートフォリオ実績!$A$2:$A$2001, G42), 0)</f>
        <v>19983.8</v>
      </c>
      <c r="I42">
        <f>IF(B42&lt;&gt;"", SUMIFS(ポートフォリオ実績!$C$2:$C$2001, ポートフォリオ実績!$B$2:$B$2001, B42, ポートフォリオ実績!$A$2:$A$2001, G42), 0)</f>
        <v>19528.54</v>
      </c>
      <c r="J42">
        <f t="shared" si="1"/>
        <v>475.69000000000233</v>
      </c>
      <c r="K42">
        <f t="shared" si="2"/>
        <v>455.2599999999984</v>
      </c>
      <c r="L42">
        <f t="shared" si="3"/>
        <v>20.430000000003929</v>
      </c>
      <c r="M42">
        <f t="shared" si="4"/>
        <v>45.53000000000393</v>
      </c>
      <c r="N42">
        <f t="shared" si="5"/>
        <v>72.299999999997823</v>
      </c>
      <c r="O42">
        <f t="shared" si="6"/>
        <v>20019.949999999997</v>
      </c>
      <c r="P42">
        <f t="shared" si="7"/>
        <v>2.2742314541247073E-3</v>
      </c>
      <c r="Q42" t="str">
        <f>IF(B42="","", IFERROR(VLOOKUP(B42, '基準資産配分（設定）'!$A$2:$C$2001, 3, FALSE), ""))</f>
        <v>TONA複利</v>
      </c>
      <c r="R42">
        <f>IF(B42="","", IFERROR(VLOOKUP(B42, '基準資産配分（設定）'!$A$2:$C$2001, 2, FALSE)/100, 0))</f>
        <v>0.15620000000000001</v>
      </c>
      <c r="S42">
        <f>IF(B42="","", IFERROR(SUMIFS(ベンチマークリターン!$C$2:$C$2001, ベンチマークリターン!$A$2:$A$2001, A42, ベンチマークリターン!$B$2:$B$2001, Q42) / 100, 0))</f>
        <v>-5.7899999999999998E-4</v>
      </c>
      <c r="T42">
        <f>IF(A42="","", SUMIFS($H$2:$H$2000, $A$2:$A$2000, A42))</f>
        <v>143058.46</v>
      </c>
      <c r="U42">
        <f t="shared" si="8"/>
        <v>0.13968974641555626</v>
      </c>
      <c r="V42">
        <f t="shared" si="9"/>
        <v>3.1768681511696212E-4</v>
      </c>
      <c r="W42">
        <f t="shared" si="10"/>
        <v>-9.0439799999999994E-5</v>
      </c>
    </row>
    <row r="43" spans="1:23" x14ac:dyDescent="0.2">
      <c r="A43" s="4">
        <f>IF(ポートフォリオ実績!A44="","", ポートフォリオ実績!A44)</f>
        <v>44773</v>
      </c>
      <c r="B43" t="str">
        <f>IF(ポートフォリオ実績!B44="","", ポートフォリオ実績!B44)</f>
        <v>国内債券（変動/ASW）</v>
      </c>
      <c r="C43" s="10">
        <f>IF(ポートフォリオ実績!C44="","", ポートフォリオ実績!C44)</f>
        <v>19924.91</v>
      </c>
      <c r="D43" s="10">
        <f>IF(ポートフォリオ実績!D44="","", ポートフォリオ実績!D44)</f>
        <v>20398.330000000002</v>
      </c>
      <c r="E43" s="10">
        <f>IF(ポートフォリオ実績!E44="","", ポートフォリオ実績!E44)</f>
        <v>25.5</v>
      </c>
      <c r="F43" s="10">
        <f>IF(ポートフォリオ実績!F44="","", ポートフォリオ実績!F44)</f>
        <v>0</v>
      </c>
      <c r="G43">
        <f t="shared" si="0"/>
        <v>44742</v>
      </c>
      <c r="H43">
        <f>IF(B43&lt;&gt;"", SUMIFS(ポートフォリオ実績!$D$2:$D$2001, ポートフォリオ実績!$B$2:$B$2001, B43, ポートフォリオ実績!$A$2:$A$2001, G43), 0)</f>
        <v>20101.63</v>
      </c>
      <c r="I43">
        <f>IF(B43&lt;&gt;"", SUMIFS(ポートフォリオ実績!$C$2:$C$2001, ポートフォリオ実績!$B$2:$B$2001, B43, ポートフォリオ実績!$A$2:$A$2001, G43), 0)</f>
        <v>19625.939999999999</v>
      </c>
      <c r="J43">
        <f t="shared" si="1"/>
        <v>473.42000000000189</v>
      </c>
      <c r="K43">
        <f t="shared" si="2"/>
        <v>475.69000000000233</v>
      </c>
      <c r="L43">
        <f t="shared" si="3"/>
        <v>-2.2700000000004366</v>
      </c>
      <c r="M43">
        <f t="shared" si="4"/>
        <v>23.229999999999563</v>
      </c>
      <c r="N43">
        <f t="shared" si="5"/>
        <v>273.47000000000116</v>
      </c>
      <c r="O43">
        <f t="shared" si="6"/>
        <v>20238.365000000002</v>
      </c>
      <c r="P43">
        <f t="shared" si="7"/>
        <v>1.1478199943522889E-3</v>
      </c>
      <c r="Q43" t="str">
        <f>IF(B43="","", IFERROR(VLOOKUP(B43, '基準資産配分（設定）'!$A$2:$C$2001, 3, FALSE), ""))</f>
        <v>TONA複利</v>
      </c>
      <c r="R43">
        <f>IF(B43="","", IFERROR(VLOOKUP(B43, '基準資産配分（設定）'!$A$2:$C$2001, 2, FALSE)/100, 0))</f>
        <v>0.15620000000000001</v>
      </c>
      <c r="S43">
        <f>IF(B43="","", IFERROR(SUMIFS(ベンチマークリターン!$C$2:$C$2001, ベンチマークリターン!$A$2:$A$2001, A43, ベンチマークリターン!$B$2:$B$2001, Q43) / 100, 0))</f>
        <v>1.423E-3</v>
      </c>
      <c r="T43">
        <f>IF(A43="","", SUMIFS($H$2:$H$2000, $A$2:$A$2000, A43))</f>
        <v>143829.51</v>
      </c>
      <c r="U43">
        <f t="shared" si="8"/>
        <v>0.13976012294000029</v>
      </c>
      <c r="V43">
        <f t="shared" si="9"/>
        <v>1.6041946352366633E-4</v>
      </c>
      <c r="W43">
        <f t="shared" si="10"/>
        <v>2.2227260000000002E-4</v>
      </c>
    </row>
    <row r="44" spans="1:23" x14ac:dyDescent="0.2">
      <c r="A44" s="4">
        <f>IF(ポートフォリオ実績!A45="","", ポートフォリオ実績!A45)</f>
        <v>44804</v>
      </c>
      <c r="B44" t="str">
        <f>IF(ポートフォリオ実績!B45="","", ポートフォリオ実績!B45)</f>
        <v>国内債券（変動/ASW）</v>
      </c>
      <c r="C44" s="10">
        <f>IF(ポートフォリオ実績!C45="","", ポートフォリオ実績!C45)</f>
        <v>19936.5</v>
      </c>
      <c r="D44" s="10">
        <f>IF(ポートフォリオ実績!D45="","", ポートフォリオ実績!D45)</f>
        <v>20378.91</v>
      </c>
      <c r="E44" s="10">
        <f>IF(ポートフォリオ実績!E45="","", ポートフォリオ実績!E45)</f>
        <v>25.51</v>
      </c>
      <c r="F44" s="10">
        <f>IF(ポートフォリオ実績!F45="","", ポートフォリオ実績!F45)</f>
        <v>0</v>
      </c>
      <c r="G44">
        <f t="shared" si="0"/>
        <v>44773</v>
      </c>
      <c r="H44">
        <f>IF(B44&lt;&gt;"", SUMIFS(ポートフォリオ実績!$D$2:$D$2001, ポートフォリオ実績!$B$2:$B$2001, B44, ポートフォリオ実績!$A$2:$A$2001, G44), 0)</f>
        <v>20398.330000000002</v>
      </c>
      <c r="I44">
        <f>IF(B44&lt;&gt;"", SUMIFS(ポートフォリオ実績!$C$2:$C$2001, ポートフォリオ実績!$B$2:$B$2001, B44, ポートフォリオ実績!$A$2:$A$2001, G44), 0)</f>
        <v>19924.91</v>
      </c>
      <c r="J44">
        <f t="shared" si="1"/>
        <v>442.40999999999985</v>
      </c>
      <c r="K44">
        <f t="shared" si="2"/>
        <v>473.42000000000189</v>
      </c>
      <c r="L44">
        <f t="shared" si="3"/>
        <v>-31.010000000002037</v>
      </c>
      <c r="M44">
        <f t="shared" si="4"/>
        <v>-5.5000000000020357</v>
      </c>
      <c r="N44">
        <f t="shared" si="5"/>
        <v>-13.919999999999856</v>
      </c>
      <c r="O44">
        <f t="shared" si="6"/>
        <v>20391.370000000003</v>
      </c>
      <c r="P44">
        <f t="shared" si="7"/>
        <v>-2.6972194609788526E-4</v>
      </c>
      <c r="Q44" t="str">
        <f>IF(B44="","", IFERROR(VLOOKUP(B44, '基準資産配分（設定）'!$A$2:$C$2001, 3, FALSE), ""))</f>
        <v>TONA複利</v>
      </c>
      <c r="R44">
        <f>IF(B44="","", IFERROR(VLOOKUP(B44, '基準資産配分（設定）'!$A$2:$C$2001, 2, FALSE)/100, 0))</f>
        <v>0.15620000000000001</v>
      </c>
      <c r="S44">
        <f>IF(B44="","", IFERROR(SUMIFS(ベンチマークリターン!$C$2:$C$2001, ベンチマークリターン!$A$2:$A$2001, A44, ベンチマークリターン!$B$2:$B$2001, Q44) / 100, 0))</f>
        <v>-1.6239999999999998E-3</v>
      </c>
      <c r="T44">
        <f>IF(A44="","", SUMIFS($H$2:$H$2000, $A$2:$A$2000, A44))</f>
        <v>145658.63</v>
      </c>
      <c r="U44">
        <f t="shared" si="8"/>
        <v>0.14004202840573196</v>
      </c>
      <c r="V44">
        <f t="shared" si="9"/>
        <v>-3.777240843708935E-5</v>
      </c>
      <c r="W44">
        <f t="shared" si="10"/>
        <v>-2.5366879999999997E-4</v>
      </c>
    </row>
    <row r="45" spans="1:23" x14ac:dyDescent="0.2">
      <c r="A45" s="4">
        <f>IF(ポートフォリオ実績!A46="","", ポートフォリオ実績!A46)</f>
        <v>44834</v>
      </c>
      <c r="B45" t="str">
        <f>IF(ポートフォリオ実績!B46="","", ポートフォリオ実績!B46)</f>
        <v>国内債券（変動/ASW）</v>
      </c>
      <c r="C45" s="10">
        <f>IF(ポートフォリオ実績!C46="","", ポートフォリオ実績!C46)</f>
        <v>19865.32</v>
      </c>
      <c r="D45" s="10">
        <f>IF(ポートフォリオ実績!D46="","", ポートフォリオ実績!D46)</f>
        <v>20336.11</v>
      </c>
      <c r="E45" s="10">
        <f>IF(ポートフォリオ実績!E46="","", ポートフォリオ実績!E46)</f>
        <v>25.38</v>
      </c>
      <c r="F45" s="10">
        <f>IF(ポートフォリオ実績!F46="","", ポートフォリオ実績!F46)</f>
        <v>0</v>
      </c>
      <c r="G45">
        <f t="shared" si="0"/>
        <v>44804</v>
      </c>
      <c r="H45">
        <f>IF(B45&lt;&gt;"", SUMIFS(ポートフォリオ実績!$D$2:$D$2001, ポートフォリオ実績!$B$2:$B$2001, B45, ポートフォリオ実績!$A$2:$A$2001, G45), 0)</f>
        <v>20378.91</v>
      </c>
      <c r="I45">
        <f>IF(B45&lt;&gt;"", SUMIFS(ポートフォリオ実績!$C$2:$C$2001, ポートフォリオ実績!$B$2:$B$2001, B45, ポートフォリオ実績!$A$2:$A$2001, G45), 0)</f>
        <v>19936.5</v>
      </c>
      <c r="J45">
        <f t="shared" si="1"/>
        <v>470.79000000000087</v>
      </c>
      <c r="K45">
        <f t="shared" si="2"/>
        <v>442.40999999999985</v>
      </c>
      <c r="L45">
        <f t="shared" si="3"/>
        <v>28.380000000001019</v>
      </c>
      <c r="M45">
        <f t="shared" si="4"/>
        <v>53.760000000001014</v>
      </c>
      <c r="N45">
        <f t="shared" si="5"/>
        <v>-96.560000000000286</v>
      </c>
      <c r="O45">
        <f t="shared" si="6"/>
        <v>20330.63</v>
      </c>
      <c r="P45">
        <f t="shared" si="7"/>
        <v>2.6442859862188732E-3</v>
      </c>
      <c r="Q45" t="str">
        <f>IF(B45="","", IFERROR(VLOOKUP(B45, '基準資産配分（設定）'!$A$2:$C$2001, 3, FALSE), ""))</f>
        <v>TONA複利</v>
      </c>
      <c r="R45">
        <f>IF(B45="","", IFERROR(VLOOKUP(B45, '基準資産配分（設定）'!$A$2:$C$2001, 2, FALSE)/100, 0))</f>
        <v>0.15620000000000001</v>
      </c>
      <c r="S45">
        <f>IF(B45="","", IFERROR(SUMIFS(ベンチマークリターン!$C$2:$C$2001, ベンチマークリターン!$A$2:$A$2001, A45, ベンチマークリターン!$B$2:$B$2001, Q45) / 100, 0))</f>
        <v>2.3189999999999999E-3</v>
      </c>
      <c r="T45">
        <f>IF(A45="","", SUMIFS($H$2:$H$2000, $A$2:$A$2000, A45))</f>
        <v>144325.42000000001</v>
      </c>
      <c r="U45">
        <f t="shared" si="8"/>
        <v>0.14120111342825123</v>
      </c>
      <c r="V45">
        <f t="shared" si="9"/>
        <v>3.7337612547682627E-4</v>
      </c>
      <c r="W45">
        <f t="shared" si="10"/>
        <v>3.6222780000000002E-4</v>
      </c>
    </row>
    <row r="46" spans="1:23" x14ac:dyDescent="0.2">
      <c r="A46" s="4">
        <f>IF(ポートフォリオ実績!A47="","", ポートフォリオ実績!A47)</f>
        <v>44865</v>
      </c>
      <c r="B46" t="str">
        <f>IF(ポートフォリオ実績!B47="","", ポートフォリオ実績!B47)</f>
        <v>国内債券（変動/ASW）</v>
      </c>
      <c r="C46" s="10">
        <f>IF(ポートフォリオ実績!C47="","", ポートフォリオ実績!C47)</f>
        <v>19943.59</v>
      </c>
      <c r="D46" s="10">
        <f>IF(ポートフォリオ実績!D47="","", ポートフォリオ実績!D47)</f>
        <v>20434.23</v>
      </c>
      <c r="E46" s="10">
        <f>IF(ポートフォリオ実績!E47="","", ポートフォリオ実績!E47)</f>
        <v>25.52</v>
      </c>
      <c r="F46" s="10">
        <f>IF(ポートフォリオ実績!F47="","", ポートフォリオ実績!F47)</f>
        <v>0</v>
      </c>
      <c r="G46">
        <f t="shared" si="0"/>
        <v>44834</v>
      </c>
      <c r="H46">
        <f>IF(B46&lt;&gt;"", SUMIFS(ポートフォリオ実績!$D$2:$D$2001, ポートフォリオ実績!$B$2:$B$2001, B46, ポートフォリオ実績!$A$2:$A$2001, G46), 0)</f>
        <v>20336.11</v>
      </c>
      <c r="I46">
        <f>IF(B46&lt;&gt;"", SUMIFS(ポートフォリオ実績!$C$2:$C$2001, ポートフォリオ実績!$B$2:$B$2001, B46, ポートフォリオ実績!$A$2:$A$2001, G46), 0)</f>
        <v>19865.32</v>
      </c>
      <c r="J46">
        <f t="shared" si="1"/>
        <v>490.63999999999942</v>
      </c>
      <c r="K46">
        <f t="shared" si="2"/>
        <v>470.79000000000087</v>
      </c>
      <c r="L46">
        <f t="shared" si="3"/>
        <v>19.849999999998545</v>
      </c>
      <c r="M46">
        <f t="shared" si="4"/>
        <v>45.369999999998541</v>
      </c>
      <c r="N46">
        <f t="shared" si="5"/>
        <v>52.750000000000441</v>
      </c>
      <c r="O46">
        <f t="shared" si="6"/>
        <v>20362.485000000001</v>
      </c>
      <c r="P46">
        <f t="shared" si="7"/>
        <v>2.2281170495643599E-3</v>
      </c>
      <c r="Q46" t="str">
        <f>IF(B46="","", IFERROR(VLOOKUP(B46, '基準資産配分（設定）'!$A$2:$C$2001, 3, FALSE), ""))</f>
        <v>TONA複利</v>
      </c>
      <c r="R46">
        <f>IF(B46="","", IFERROR(VLOOKUP(B46, '基準資産配分（設定）'!$A$2:$C$2001, 2, FALSE)/100, 0))</f>
        <v>0.15620000000000001</v>
      </c>
      <c r="S46">
        <f>IF(B46="","", IFERROR(SUMIFS(ベンチマークリターン!$C$2:$C$2001, ベンチマークリターン!$A$2:$A$2001, A46, ベンチマークリターン!$B$2:$B$2001, Q46) / 100, 0))</f>
        <v>1.5149999999999999E-3</v>
      </c>
      <c r="T46">
        <f>IF(A46="","", SUMIFS($H$2:$H$2000, $A$2:$A$2000, A46))</f>
        <v>145674.57</v>
      </c>
      <c r="U46">
        <f t="shared" si="8"/>
        <v>0.13959958831524266</v>
      </c>
      <c r="V46">
        <f t="shared" si="9"/>
        <v>3.1104422283735779E-4</v>
      </c>
      <c r="W46">
        <f t="shared" si="10"/>
        <v>2.3664299999999998E-4</v>
      </c>
    </row>
    <row r="47" spans="1:23" x14ac:dyDescent="0.2">
      <c r="A47" s="4">
        <f>IF(ポートフォリオ実績!A48="","", ポートフォリオ実績!A48)</f>
        <v>44895</v>
      </c>
      <c r="B47" t="str">
        <f>IF(ポートフォリオ実績!B48="","", ポートフォリオ実績!B48)</f>
        <v>国内債券（変動/ASW）</v>
      </c>
      <c r="C47" s="10">
        <f>IF(ポートフォリオ実績!C48="","", ポートフォリオ実績!C48)</f>
        <v>19959.11</v>
      </c>
      <c r="D47" s="10">
        <f>IF(ポートフォリオ実績!D48="","", ポートフォリオ実績!D48)</f>
        <v>20485.349999999999</v>
      </c>
      <c r="E47" s="10">
        <f>IF(ポートフォリオ実績!E48="","", ポートフォリオ実績!E48)</f>
        <v>25.56</v>
      </c>
      <c r="F47" s="10">
        <f>IF(ポートフォリオ実績!F48="","", ポートフォリオ実績!F48)</f>
        <v>0</v>
      </c>
      <c r="G47">
        <f t="shared" si="0"/>
        <v>44865</v>
      </c>
      <c r="H47">
        <f>IF(B47&lt;&gt;"", SUMIFS(ポートフォリオ実績!$D$2:$D$2001, ポートフォリオ実績!$B$2:$B$2001, B47, ポートフォリオ実績!$A$2:$A$2001, G47), 0)</f>
        <v>20434.23</v>
      </c>
      <c r="I47">
        <f>IF(B47&lt;&gt;"", SUMIFS(ポートフォリオ実績!$C$2:$C$2001, ポートフォリオ実績!$B$2:$B$2001, B47, ポートフォリオ実績!$A$2:$A$2001, G47), 0)</f>
        <v>19943.59</v>
      </c>
      <c r="J47">
        <f t="shared" si="1"/>
        <v>526.23999999999796</v>
      </c>
      <c r="K47">
        <f t="shared" si="2"/>
        <v>490.63999999999942</v>
      </c>
      <c r="L47">
        <f t="shared" si="3"/>
        <v>35.599999999998545</v>
      </c>
      <c r="M47">
        <f t="shared" si="4"/>
        <v>61.159999999998547</v>
      </c>
      <c r="N47">
        <f t="shared" si="5"/>
        <v>-10.039999999999566</v>
      </c>
      <c r="O47">
        <f t="shared" si="6"/>
        <v>20429.21</v>
      </c>
      <c r="P47">
        <f t="shared" si="7"/>
        <v>2.9937525729090138E-3</v>
      </c>
      <c r="Q47" t="str">
        <f>IF(B47="","", IFERROR(VLOOKUP(B47, '基準資産配分（設定）'!$A$2:$C$2001, 3, FALSE), ""))</f>
        <v>TONA複利</v>
      </c>
      <c r="R47">
        <f>IF(B47="","", IFERROR(VLOOKUP(B47, '基準資産配分（設定）'!$A$2:$C$2001, 2, FALSE)/100, 0))</f>
        <v>0.15620000000000001</v>
      </c>
      <c r="S47">
        <f>IF(B47="","", IFERROR(SUMIFS(ベンチマークリターン!$C$2:$C$2001, ベンチマークリターン!$A$2:$A$2001, A47, ベンチマークリターン!$B$2:$B$2001, Q47) / 100, 0))</f>
        <v>1.2030000000000001E-3</v>
      </c>
      <c r="T47">
        <f>IF(A47="","", SUMIFS($H$2:$H$2000, $A$2:$A$2000, A47))</f>
        <v>149722.51</v>
      </c>
      <c r="U47">
        <f t="shared" si="8"/>
        <v>0.1364806801595832</v>
      </c>
      <c r="V47">
        <f t="shared" si="9"/>
        <v>4.085893873801244E-4</v>
      </c>
      <c r="W47">
        <f t="shared" si="10"/>
        <v>1.8790860000000002E-4</v>
      </c>
    </row>
    <row r="48" spans="1:23" x14ac:dyDescent="0.2">
      <c r="A48" s="4">
        <f>IF(ポートフォリオ実績!A49="","", ポートフォリオ実績!A49)</f>
        <v>44926</v>
      </c>
      <c r="B48" t="str">
        <f>IF(ポートフォリオ実績!B49="","", ポートフォリオ実績!B49)</f>
        <v>国内債券（変動/ASW）</v>
      </c>
      <c r="C48" s="10">
        <f>IF(ポートフォリオ実績!C49="","", ポートフォリオ実績!C49)</f>
        <v>20130.22</v>
      </c>
      <c r="D48" s="10">
        <f>IF(ポートフォリオ実績!D49="","", ポートフォリオ実績!D49)</f>
        <v>20716.349999999999</v>
      </c>
      <c r="E48" s="10">
        <f>IF(ポートフォリオ実績!E49="","", ポートフォリオ実績!E49)</f>
        <v>25.82</v>
      </c>
      <c r="F48" s="10">
        <f>IF(ポートフォリオ実績!F49="","", ポートフォリオ実績!F49)</f>
        <v>0</v>
      </c>
      <c r="G48">
        <f t="shared" si="0"/>
        <v>44895</v>
      </c>
      <c r="H48">
        <f>IF(B48&lt;&gt;"", SUMIFS(ポートフォリオ実績!$D$2:$D$2001, ポートフォリオ実績!$B$2:$B$2001, B48, ポートフォリオ実績!$A$2:$A$2001, G48), 0)</f>
        <v>20485.349999999999</v>
      </c>
      <c r="I48">
        <f>IF(B48&lt;&gt;"", SUMIFS(ポートフォリオ実績!$C$2:$C$2001, ポートフォリオ実績!$B$2:$B$2001, B48, ポートフォリオ実績!$A$2:$A$2001, G48), 0)</f>
        <v>19959.11</v>
      </c>
      <c r="J48">
        <f t="shared" si="1"/>
        <v>586.12999999999738</v>
      </c>
      <c r="K48">
        <f t="shared" si="2"/>
        <v>526.23999999999796</v>
      </c>
      <c r="L48">
        <f t="shared" si="3"/>
        <v>59.889999999999418</v>
      </c>
      <c r="M48">
        <f t="shared" si="4"/>
        <v>85.709999999999411</v>
      </c>
      <c r="N48">
        <f t="shared" si="5"/>
        <v>145.29000000000059</v>
      </c>
      <c r="O48">
        <f t="shared" si="6"/>
        <v>20557.994999999999</v>
      </c>
      <c r="P48">
        <f t="shared" si="7"/>
        <v>4.1691808953158811E-3</v>
      </c>
      <c r="Q48" t="str">
        <f>IF(B48="","", IFERROR(VLOOKUP(B48, '基準資産配分（設定）'!$A$2:$C$2001, 3, FALSE), ""))</f>
        <v>TONA複利</v>
      </c>
      <c r="R48">
        <f>IF(B48="","", IFERROR(VLOOKUP(B48, '基準資産配分（設定）'!$A$2:$C$2001, 2, FALSE)/100, 0))</f>
        <v>0.15620000000000001</v>
      </c>
      <c r="S48">
        <f>IF(B48="","", IFERROR(SUMIFS(ベンチマークリターン!$C$2:$C$2001, ベンチマークリターン!$A$2:$A$2001, A48, ベンチマークリターン!$B$2:$B$2001, Q48) / 100, 0))</f>
        <v>2.2520000000000001E-3</v>
      </c>
      <c r="T48">
        <f>IF(A48="","", SUMIFS($H$2:$H$2000, $A$2:$A$2000, A48))</f>
        <v>146745.91999999998</v>
      </c>
      <c r="U48">
        <f t="shared" si="8"/>
        <v>0.13959740754632224</v>
      </c>
      <c r="V48">
        <f t="shared" si="9"/>
        <v>5.8200684457775174E-4</v>
      </c>
      <c r="W48">
        <f t="shared" si="10"/>
        <v>3.5176240000000001E-4</v>
      </c>
    </row>
    <row r="49" spans="1:23" x14ac:dyDescent="0.2">
      <c r="A49" s="4">
        <f>IF(ポートフォリオ実績!A50="","", ポートフォリオ実績!A50)</f>
        <v>44957</v>
      </c>
      <c r="B49" t="str">
        <f>IF(ポートフォリオ実績!B50="","", ポートフォリオ実績!B50)</f>
        <v>国内債券（変動/ASW）</v>
      </c>
      <c r="C49" s="10">
        <f>IF(ポートフォリオ実績!C50="","", ポートフォリオ実績!C50)</f>
        <v>20434.2</v>
      </c>
      <c r="D49" s="10">
        <f>IF(ポートフォリオ実績!D50="","", ポートフォリオ実績!D50)</f>
        <v>21022.28</v>
      </c>
      <c r="E49" s="10">
        <f>IF(ポートフォリオ実績!E50="","", ポートフォリオ実績!E50)</f>
        <v>26.28</v>
      </c>
      <c r="F49" s="10">
        <f>IF(ポートフォリオ実績!F50="","", ポートフォリオ実績!F50)</f>
        <v>0</v>
      </c>
      <c r="G49">
        <f t="shared" si="0"/>
        <v>44926</v>
      </c>
      <c r="H49">
        <f>IF(B49&lt;&gt;"", SUMIFS(ポートフォリオ実績!$D$2:$D$2001, ポートフォリオ実績!$B$2:$B$2001, B49, ポートフォリオ実績!$A$2:$A$2001, G49), 0)</f>
        <v>20716.349999999999</v>
      </c>
      <c r="I49">
        <f>IF(B49&lt;&gt;"", SUMIFS(ポートフォリオ実績!$C$2:$C$2001, ポートフォリオ実績!$B$2:$B$2001, B49, ポートフォリオ実績!$A$2:$A$2001, G49), 0)</f>
        <v>20130.22</v>
      </c>
      <c r="J49">
        <f t="shared" si="1"/>
        <v>588.07999999999811</v>
      </c>
      <c r="K49">
        <f t="shared" si="2"/>
        <v>586.12999999999738</v>
      </c>
      <c r="L49">
        <f t="shared" si="3"/>
        <v>1.9500000000007276</v>
      </c>
      <c r="M49">
        <f t="shared" si="4"/>
        <v>28.230000000000729</v>
      </c>
      <c r="N49">
        <f t="shared" si="5"/>
        <v>277.69999999999959</v>
      </c>
      <c r="O49">
        <f t="shared" si="6"/>
        <v>20855.199999999997</v>
      </c>
      <c r="P49">
        <f t="shared" si="7"/>
        <v>1.353619241244425E-3</v>
      </c>
      <c r="Q49" t="str">
        <f>IF(B49="","", IFERROR(VLOOKUP(B49, '基準資産配分（設定）'!$A$2:$C$2001, 3, FALSE), ""))</f>
        <v>TONA複利</v>
      </c>
      <c r="R49">
        <f>IF(B49="","", IFERROR(VLOOKUP(B49, '基準資産配分（設定）'!$A$2:$C$2001, 2, FALSE)/100, 0))</f>
        <v>0.15620000000000001</v>
      </c>
      <c r="S49">
        <f>IF(B49="","", IFERROR(SUMIFS(ベンチマークリターン!$C$2:$C$2001, ベンチマークリターン!$A$2:$A$2001, A49, ベンチマークリターン!$B$2:$B$2001, Q49) / 100, 0))</f>
        <v>3.2369999999999999E-3</v>
      </c>
      <c r="T49">
        <f>IF(A49="","", SUMIFS($H$2:$H$2000, $A$2:$A$2000, A49))</f>
        <v>148588.96000000002</v>
      </c>
      <c r="U49">
        <f t="shared" si="8"/>
        <v>0.13942051953254128</v>
      </c>
      <c r="V49">
        <f t="shared" si="9"/>
        <v>1.8872229786354207E-4</v>
      </c>
      <c r="W49">
        <f t="shared" si="10"/>
        <v>5.0561940000000004E-4</v>
      </c>
    </row>
    <row r="50" spans="1:23" x14ac:dyDescent="0.2">
      <c r="A50" s="4">
        <f>IF(ポートフォリオ実績!A51="","", ポートフォリオ実績!A51)</f>
        <v>44985</v>
      </c>
      <c r="B50" t="str">
        <f>IF(ポートフォリオ実績!B51="","", ポートフォリオ実績!B51)</f>
        <v>国内債券（変動/ASW）</v>
      </c>
      <c r="C50" s="10">
        <f>IF(ポートフォリオ実績!C51="","", ポートフォリオ実績!C51)</f>
        <v>20912.2</v>
      </c>
      <c r="D50" s="10">
        <f>IF(ポートフォリオ実績!D51="","", ポートフォリオ実績!D51)</f>
        <v>21545.37</v>
      </c>
      <c r="E50" s="10">
        <f>IF(ポートフォリオ実績!E51="","", ポートフォリオ実績!E51)</f>
        <v>26.88</v>
      </c>
      <c r="F50" s="10">
        <f>IF(ポートフォリオ実績!F51="","", ポートフォリオ実績!F51)</f>
        <v>0</v>
      </c>
      <c r="G50">
        <f t="shared" si="0"/>
        <v>44957</v>
      </c>
      <c r="H50">
        <f>IF(B50&lt;&gt;"", SUMIFS(ポートフォリオ実績!$D$2:$D$2001, ポートフォリオ実績!$B$2:$B$2001, B50, ポートフォリオ実績!$A$2:$A$2001, G50), 0)</f>
        <v>21022.28</v>
      </c>
      <c r="I50">
        <f>IF(B50&lt;&gt;"", SUMIFS(ポートフォリオ実績!$C$2:$C$2001, ポートフォリオ実績!$B$2:$B$2001, B50, ポートフォリオ実績!$A$2:$A$2001, G50), 0)</f>
        <v>20434.2</v>
      </c>
      <c r="J50">
        <f t="shared" si="1"/>
        <v>633.16999999999825</v>
      </c>
      <c r="K50">
        <f t="shared" si="2"/>
        <v>588.07999999999811</v>
      </c>
      <c r="L50">
        <f t="shared" si="3"/>
        <v>45.090000000000146</v>
      </c>
      <c r="M50">
        <f t="shared" si="4"/>
        <v>71.970000000000141</v>
      </c>
      <c r="N50">
        <f t="shared" si="5"/>
        <v>451.12</v>
      </c>
      <c r="O50">
        <f t="shared" si="6"/>
        <v>21247.84</v>
      </c>
      <c r="P50">
        <f t="shared" si="7"/>
        <v>3.3871678250589304E-3</v>
      </c>
      <c r="Q50" t="str">
        <f>IF(B50="","", IFERROR(VLOOKUP(B50, '基準資産配分（設定）'!$A$2:$C$2001, 3, FALSE), ""))</f>
        <v>TONA複利</v>
      </c>
      <c r="R50">
        <f>IF(B50="","", IFERROR(VLOOKUP(B50, '基準資産配分（設定）'!$A$2:$C$2001, 2, FALSE)/100, 0))</f>
        <v>0.15620000000000001</v>
      </c>
      <c r="S50">
        <f>IF(B50="","", IFERROR(SUMIFS(ベンチマークリターン!$C$2:$C$2001, ベンチマークリターン!$A$2:$A$2001, A50, ベンチマークリターン!$B$2:$B$2001, Q50) / 100, 0))</f>
        <v>2.297E-3</v>
      </c>
      <c r="T50">
        <f>IF(A50="","", SUMIFS($H$2:$H$2000, $A$2:$A$2000, A50))</f>
        <v>149058.73000000001</v>
      </c>
      <c r="U50">
        <f t="shared" si="8"/>
        <v>0.14103353758615814</v>
      </c>
      <c r="V50">
        <f t="shared" si="9"/>
        <v>4.7770426076607417E-4</v>
      </c>
      <c r="W50">
        <f t="shared" si="10"/>
        <v>3.5879139999999999E-4</v>
      </c>
    </row>
    <row r="51" spans="1:23" x14ac:dyDescent="0.2">
      <c r="A51" s="4">
        <f>IF(ポートフォリオ実績!A52="","", ポートフォリオ実績!A52)</f>
        <v>45016</v>
      </c>
      <c r="B51" t="str">
        <f>IF(ポートフォリオ実績!B52="","", ポートフォリオ実績!B52)</f>
        <v>国内債券（変動/ASW）</v>
      </c>
      <c r="C51" s="10">
        <f>IF(ポートフォリオ実績!C52="","", ポートフォリオ実績!C52)</f>
        <v>21129.05</v>
      </c>
      <c r="D51" s="10">
        <f>IF(ポートフォリオ実績!D52="","", ポートフォリオ実績!D52)</f>
        <v>21773.919999999998</v>
      </c>
      <c r="E51" s="10">
        <f>IF(ポートフォリオ実績!E52="","", ポートフォリオ実績!E52)</f>
        <v>27.2</v>
      </c>
      <c r="F51" s="10">
        <f>IF(ポートフォリオ実績!F52="","", ポートフォリオ実績!F52)</f>
        <v>0</v>
      </c>
      <c r="G51">
        <f t="shared" si="0"/>
        <v>44985</v>
      </c>
      <c r="H51">
        <f>IF(B51&lt;&gt;"", SUMIFS(ポートフォリオ実績!$D$2:$D$2001, ポートフォリオ実績!$B$2:$B$2001, B51, ポートフォリオ実績!$A$2:$A$2001, G51), 0)</f>
        <v>21545.37</v>
      </c>
      <c r="I51">
        <f>IF(B51&lt;&gt;"", SUMIFS(ポートフォリオ実績!$C$2:$C$2001, ポートフォリオ実績!$B$2:$B$2001, B51, ポートフォリオ実績!$A$2:$A$2001, G51), 0)</f>
        <v>20912.2</v>
      </c>
      <c r="J51">
        <f t="shared" si="1"/>
        <v>644.86999999999898</v>
      </c>
      <c r="K51">
        <f t="shared" si="2"/>
        <v>633.16999999999825</v>
      </c>
      <c r="L51">
        <f t="shared" si="3"/>
        <v>11.700000000000728</v>
      </c>
      <c r="M51">
        <f t="shared" si="4"/>
        <v>38.90000000000073</v>
      </c>
      <c r="N51">
        <f t="shared" si="5"/>
        <v>189.64999999999856</v>
      </c>
      <c r="O51">
        <f t="shared" si="6"/>
        <v>21640.195</v>
      </c>
      <c r="P51">
        <f t="shared" si="7"/>
        <v>1.7975808443500961E-3</v>
      </c>
      <c r="Q51" t="str">
        <f>IF(B51="","", IFERROR(VLOOKUP(B51, '基準資産配分（設定）'!$A$2:$C$2001, 3, FALSE), ""))</f>
        <v>TONA複利</v>
      </c>
      <c r="R51">
        <f>IF(B51="","", IFERROR(VLOOKUP(B51, '基準資産配分（設定）'!$A$2:$C$2001, 2, FALSE)/100, 0))</f>
        <v>0.15620000000000001</v>
      </c>
      <c r="S51">
        <f>IF(B51="","", IFERROR(SUMIFS(ベンチマークリターン!$C$2:$C$2001, ベンチマークリターン!$A$2:$A$2001, A51, ベンチマークリターン!$B$2:$B$2001, Q51) / 100, 0))</f>
        <v>-1.8240000000000001E-3</v>
      </c>
      <c r="T51">
        <f>IF(A51="","", SUMIFS($H$2:$H$2000, $A$2:$A$2000, A51))</f>
        <v>149288.46000000002</v>
      </c>
      <c r="U51">
        <f t="shared" si="8"/>
        <v>0.14432039824109644</v>
      </c>
      <c r="V51">
        <f t="shared" si="9"/>
        <v>2.5942758332717227E-4</v>
      </c>
      <c r="W51">
        <f t="shared" si="10"/>
        <v>-2.8490880000000001E-4</v>
      </c>
    </row>
    <row r="52" spans="1:23" x14ac:dyDescent="0.2">
      <c r="A52" s="4">
        <f>IF(ポートフォリオ実績!A53="","", ポートフォリオ実績!A53)</f>
        <v>45046</v>
      </c>
      <c r="B52" t="str">
        <f>IF(ポートフォリオ実績!B53="","", ポートフォリオ実績!B53)</f>
        <v>国内債券（変動/ASW）</v>
      </c>
      <c r="C52" s="10">
        <f>IF(ポートフォリオ実績!C53="","", ポートフォリオ実績!C53)</f>
        <v>21037.57</v>
      </c>
      <c r="D52" s="10">
        <f>IF(ポートフォリオ実績!D53="","", ポートフォリオ実績!D53)</f>
        <v>21712.66</v>
      </c>
      <c r="E52" s="10">
        <f>IF(ポートフォリオ実績!E53="","", ポートフォリオ実績!E53)</f>
        <v>27.1</v>
      </c>
      <c r="F52" s="10">
        <f>IF(ポートフォリオ実績!F53="","", ポートフォリオ実績!F53)</f>
        <v>0</v>
      </c>
      <c r="G52">
        <f t="shared" si="0"/>
        <v>45016</v>
      </c>
      <c r="H52">
        <f>IF(B52&lt;&gt;"", SUMIFS(ポートフォリオ実績!$D$2:$D$2001, ポートフォリオ実績!$B$2:$B$2001, B52, ポートフォリオ実績!$A$2:$A$2001, G52), 0)</f>
        <v>21773.919999999998</v>
      </c>
      <c r="I52">
        <f>IF(B52&lt;&gt;"", SUMIFS(ポートフォリオ実績!$C$2:$C$2001, ポートフォリオ実績!$B$2:$B$2001, B52, ポートフォリオ実績!$A$2:$A$2001, G52), 0)</f>
        <v>21129.05</v>
      </c>
      <c r="J52">
        <f t="shared" si="1"/>
        <v>675.09000000000015</v>
      </c>
      <c r="K52">
        <f t="shared" si="2"/>
        <v>644.86999999999898</v>
      </c>
      <c r="L52">
        <f t="shared" si="3"/>
        <v>30.220000000001164</v>
      </c>
      <c r="M52">
        <f t="shared" si="4"/>
        <v>57.320000000001166</v>
      </c>
      <c r="N52">
        <f t="shared" si="5"/>
        <v>-118.57999999999956</v>
      </c>
      <c r="O52">
        <f t="shared" si="6"/>
        <v>21714.629999999997</v>
      </c>
      <c r="P52">
        <f t="shared" si="7"/>
        <v>2.6396949890466091E-3</v>
      </c>
      <c r="Q52" t="str">
        <f>IF(B52="","", IFERROR(VLOOKUP(B52, '基準資産配分（設定）'!$A$2:$C$2001, 3, FALSE), ""))</f>
        <v>TONA複利</v>
      </c>
      <c r="R52">
        <f>IF(B52="","", IFERROR(VLOOKUP(B52, '基準資産配分（設定）'!$A$2:$C$2001, 2, FALSE)/100, 0))</f>
        <v>0.15620000000000001</v>
      </c>
      <c r="S52">
        <f>IF(B52="","", IFERROR(SUMIFS(ベンチマークリターン!$C$2:$C$2001, ベンチマークリターン!$A$2:$A$2001, A52, ベンチマークリターン!$B$2:$B$2001, Q52) / 100, 0))</f>
        <v>-1.0140000000000001E-3</v>
      </c>
      <c r="T52">
        <f>IF(A52="","", SUMIFS($H$2:$H$2000, $A$2:$A$2000, A52))</f>
        <v>148343.76</v>
      </c>
      <c r="U52">
        <f t="shared" si="8"/>
        <v>0.14678015441970729</v>
      </c>
      <c r="V52">
        <f t="shared" si="9"/>
        <v>3.8745483811318884E-4</v>
      </c>
      <c r="W52">
        <f t="shared" si="10"/>
        <v>-1.5838680000000003E-4</v>
      </c>
    </row>
    <row r="53" spans="1:23" x14ac:dyDescent="0.2">
      <c r="A53" s="4">
        <f>IF(ポートフォリオ実績!A54="","", ポートフォリオ実績!A54)</f>
        <v>45077</v>
      </c>
      <c r="B53" t="str">
        <f>IF(ポートフォリオ実績!B54="","", ポートフォリオ実績!B54)</f>
        <v>国内債券（変動/ASW）</v>
      </c>
      <c r="C53" s="10">
        <f>IF(ポートフォリオ実績!C54="","", ポートフォリオ実績!C54)</f>
        <v>20976.3</v>
      </c>
      <c r="D53" s="10">
        <f>IF(ポートフォリオ実績!D54="","", ポートフォリオ実績!D54)</f>
        <v>21678.74</v>
      </c>
      <c r="E53" s="10">
        <f>IF(ポートフォリオ実績!E54="","", ポートフォリオ実績!E54)</f>
        <v>27.06</v>
      </c>
      <c r="F53" s="10">
        <f>IF(ポートフォリオ実績!F54="","", ポートフォリオ実績!F54)</f>
        <v>0</v>
      </c>
      <c r="G53">
        <f t="shared" si="0"/>
        <v>45046</v>
      </c>
      <c r="H53">
        <f>IF(B53&lt;&gt;"", SUMIFS(ポートフォリオ実績!$D$2:$D$2001, ポートフォリオ実績!$B$2:$B$2001, B53, ポートフォリオ実績!$A$2:$A$2001, G53), 0)</f>
        <v>21712.66</v>
      </c>
      <c r="I53">
        <f>IF(B53&lt;&gt;"", SUMIFS(ポートフォリオ実績!$C$2:$C$2001, ポートフォリオ実績!$B$2:$B$2001, B53, ポートフォリオ実績!$A$2:$A$2001, G53), 0)</f>
        <v>21037.57</v>
      </c>
      <c r="J53">
        <f t="shared" si="1"/>
        <v>702.44000000000233</v>
      </c>
      <c r="K53">
        <f t="shared" si="2"/>
        <v>675.09000000000015</v>
      </c>
      <c r="L53">
        <f t="shared" si="3"/>
        <v>27.350000000002183</v>
      </c>
      <c r="M53">
        <f t="shared" si="4"/>
        <v>54.410000000002185</v>
      </c>
      <c r="N53">
        <f t="shared" si="5"/>
        <v>-88.330000000000439</v>
      </c>
      <c r="O53">
        <f t="shared" si="6"/>
        <v>21668.494999999999</v>
      </c>
      <c r="P53">
        <f t="shared" si="7"/>
        <v>2.5110188778686379E-3</v>
      </c>
      <c r="Q53" t="str">
        <f>IF(B53="","", IFERROR(VLOOKUP(B53, '基準資産配分（設定）'!$A$2:$C$2001, 3, FALSE), ""))</f>
        <v>TONA複利</v>
      </c>
      <c r="R53">
        <f>IF(B53="","", IFERROR(VLOOKUP(B53, '基準資産配分（設定）'!$A$2:$C$2001, 2, FALSE)/100, 0))</f>
        <v>0.15620000000000001</v>
      </c>
      <c r="S53">
        <f>IF(B53="","", IFERROR(SUMIFS(ベンチマークリターン!$C$2:$C$2001, ベンチマークリターン!$A$2:$A$2001, A53, ベンチマークリターン!$B$2:$B$2001, Q53) / 100, 0))</f>
        <v>-6.8999999999999997E-5</v>
      </c>
      <c r="T53">
        <f>IF(A53="","", SUMIFS($H$2:$H$2000, $A$2:$A$2000, A53))</f>
        <v>149279.44000000003</v>
      </c>
      <c r="U53">
        <f t="shared" si="8"/>
        <v>0.14544976856826361</v>
      </c>
      <c r="V53">
        <f t="shared" si="9"/>
        <v>3.6522711465653435E-4</v>
      </c>
      <c r="W53">
        <f t="shared" si="10"/>
        <v>-1.07778E-5</v>
      </c>
    </row>
    <row r="54" spans="1:23" x14ac:dyDescent="0.2">
      <c r="A54" s="4">
        <f>IF(ポートフォリオ実績!A55="","", ポートフォリオ実績!A55)</f>
        <v>45107</v>
      </c>
      <c r="B54" t="str">
        <f>IF(ポートフォリオ実績!B55="","", ポートフォリオ実績!B55)</f>
        <v>国内債券（変動/ASW）</v>
      </c>
      <c r="C54" s="10">
        <f>IF(ポートフォリオ実績!C55="","", ポートフォリオ実績!C55)</f>
        <v>21097.03</v>
      </c>
      <c r="D54" s="10">
        <f>IF(ポートフォリオ実績!D55="","", ポートフォリオ実績!D55)</f>
        <v>21793.3</v>
      </c>
      <c r="E54" s="10">
        <f>IF(ポートフォリオ実績!E55="","", ポートフォリオ実績!E55)</f>
        <v>27.25</v>
      </c>
      <c r="F54" s="10">
        <f>IF(ポートフォリオ実績!F55="","", ポートフォリオ実績!F55)</f>
        <v>0</v>
      </c>
      <c r="G54">
        <f t="shared" si="0"/>
        <v>45077</v>
      </c>
      <c r="H54">
        <f>IF(B54&lt;&gt;"", SUMIFS(ポートフォリオ実績!$D$2:$D$2001, ポートフォリオ実績!$B$2:$B$2001, B54, ポートフォリオ実績!$A$2:$A$2001, G54), 0)</f>
        <v>21678.74</v>
      </c>
      <c r="I54">
        <f>IF(B54&lt;&gt;"", SUMIFS(ポートフォリオ実績!$C$2:$C$2001, ポートフォリオ実績!$B$2:$B$2001, B54, ポートフォリオ実績!$A$2:$A$2001, G54), 0)</f>
        <v>20976.3</v>
      </c>
      <c r="J54">
        <f t="shared" si="1"/>
        <v>696.27000000000044</v>
      </c>
      <c r="K54">
        <f t="shared" si="2"/>
        <v>702.44000000000233</v>
      </c>
      <c r="L54">
        <f t="shared" si="3"/>
        <v>-6.1700000000018917</v>
      </c>
      <c r="M54">
        <f t="shared" si="4"/>
        <v>21.079999999998108</v>
      </c>
      <c r="N54">
        <f t="shared" si="5"/>
        <v>93.479999999999563</v>
      </c>
      <c r="O54">
        <f t="shared" si="6"/>
        <v>21725.480000000003</v>
      </c>
      <c r="P54">
        <f t="shared" si="7"/>
        <v>9.7028926403458548E-4</v>
      </c>
      <c r="Q54" t="str">
        <f>IF(B54="","", IFERROR(VLOOKUP(B54, '基準資産配分（設定）'!$A$2:$C$2001, 3, FALSE), ""))</f>
        <v>TONA複利</v>
      </c>
      <c r="R54">
        <f>IF(B54="","", IFERROR(VLOOKUP(B54, '基準資産配分（設定）'!$A$2:$C$2001, 2, FALSE)/100, 0))</f>
        <v>0.15620000000000001</v>
      </c>
      <c r="S54">
        <f>IF(B54="","", IFERROR(SUMIFS(ベンチマークリターン!$C$2:$C$2001, ベンチマークリターン!$A$2:$A$2001, A54, ベンチマークリターン!$B$2:$B$2001, Q54) / 100, 0))</f>
        <v>8.7099999999999992E-4</v>
      </c>
      <c r="T54">
        <f>IF(A54="","", SUMIFS($H$2:$H$2000, $A$2:$A$2000, A54))</f>
        <v>149189.19</v>
      </c>
      <c r="U54">
        <f t="shared" si="8"/>
        <v>0.14531039413780583</v>
      </c>
      <c r="V54">
        <f t="shared" si="9"/>
        <v>1.4099311538454717E-4</v>
      </c>
      <c r="W54">
        <f t="shared" si="10"/>
        <v>1.3605019999999999E-4</v>
      </c>
    </row>
    <row r="55" spans="1:23" x14ac:dyDescent="0.2">
      <c r="A55" s="4">
        <f>IF(ポートフォリオ実績!A56="","", ポートフォリオ実績!A56)</f>
        <v>45138</v>
      </c>
      <c r="B55" t="str">
        <f>IF(ポートフォリオ実績!B56="","", ポートフォリオ実績!B56)</f>
        <v>国内債券（変動/ASW）</v>
      </c>
      <c r="C55" s="10">
        <f>IF(ポートフォリオ実績!C56="","", ポートフォリオ実績!C56)</f>
        <v>21080.12</v>
      </c>
      <c r="D55" s="10">
        <f>IF(ポートフォリオ実績!D56="","", ポートフォリオ実績!D56)</f>
        <v>21823.11</v>
      </c>
      <c r="E55" s="10">
        <f>IF(ポートフォリオ実績!E56="","", ポートフォリオ実績!E56)</f>
        <v>27.22</v>
      </c>
      <c r="F55" s="10">
        <f>IF(ポートフォリオ実績!F56="","", ポートフォリオ実績!F56)</f>
        <v>0</v>
      </c>
      <c r="G55">
        <f t="shared" si="0"/>
        <v>45107</v>
      </c>
      <c r="H55">
        <f>IF(B55&lt;&gt;"", SUMIFS(ポートフォリオ実績!$D$2:$D$2001, ポートフォリオ実績!$B$2:$B$2001, B55, ポートフォリオ実績!$A$2:$A$2001, G55), 0)</f>
        <v>21793.3</v>
      </c>
      <c r="I55">
        <f>IF(B55&lt;&gt;"", SUMIFS(ポートフォリオ実績!$C$2:$C$2001, ポートフォリオ実績!$B$2:$B$2001, B55, ポートフォリオ実績!$A$2:$A$2001, G55), 0)</f>
        <v>21097.03</v>
      </c>
      <c r="J55">
        <f t="shared" si="1"/>
        <v>742.9900000000016</v>
      </c>
      <c r="K55">
        <f t="shared" si="2"/>
        <v>696.27000000000044</v>
      </c>
      <c r="L55">
        <f t="shared" si="3"/>
        <v>46.720000000001164</v>
      </c>
      <c r="M55">
        <f t="shared" si="4"/>
        <v>73.940000000001163</v>
      </c>
      <c r="N55">
        <f t="shared" si="5"/>
        <v>-44.129999999999853</v>
      </c>
      <c r="O55">
        <f t="shared" si="6"/>
        <v>21771.235000000001</v>
      </c>
      <c r="P55">
        <f t="shared" si="7"/>
        <v>3.3962244218116778E-3</v>
      </c>
      <c r="Q55" t="str">
        <f>IF(B55="","", IFERROR(VLOOKUP(B55, '基準資産配分（設定）'!$A$2:$C$2001, 3, FALSE), ""))</f>
        <v>TONA複利</v>
      </c>
      <c r="R55">
        <f>IF(B55="","", IFERROR(VLOOKUP(B55, '基準資産配分（設定）'!$A$2:$C$2001, 2, FALSE)/100, 0))</f>
        <v>0.15620000000000001</v>
      </c>
      <c r="S55">
        <f>IF(B55="","", IFERROR(SUMIFS(ベンチマークリターン!$C$2:$C$2001, ベンチマークリターン!$A$2:$A$2001, A55, ベンチマークリターン!$B$2:$B$2001, Q55) / 100, 0))</f>
        <v>1.5809999999999999E-3</v>
      </c>
      <c r="T55">
        <f>IF(A55="","", SUMIFS($H$2:$H$2000, $A$2:$A$2000, A55))</f>
        <v>147474.57</v>
      </c>
      <c r="U55">
        <f t="shared" si="8"/>
        <v>0.14777666413945129</v>
      </c>
      <c r="V55">
        <f t="shared" si="9"/>
        <v>5.0188271572426646E-4</v>
      </c>
      <c r="W55">
        <f t="shared" si="10"/>
        <v>2.469522E-4</v>
      </c>
    </row>
    <row r="56" spans="1:23" x14ac:dyDescent="0.2">
      <c r="A56" s="4">
        <f>IF(ポートフォリオ実績!A57="","", ポートフォリオ実績!A57)</f>
        <v>45169</v>
      </c>
      <c r="B56" t="str">
        <f>IF(ポートフォリオ実績!B57="","", ポートフォリオ実績!B57)</f>
        <v>国内債券（変動/ASW）</v>
      </c>
      <c r="C56" s="10">
        <f>IF(ポートフォリオ実績!C57="","", ポートフォリオ実績!C57)</f>
        <v>21028.02</v>
      </c>
      <c r="D56" s="10">
        <f>IF(ポートフォリオ実績!D57="","", ポートフォリオ実績!D57)</f>
        <v>21773.61</v>
      </c>
      <c r="E56" s="10">
        <f>IF(ポートフォリオ実績!E57="","", ポートフォリオ実績!E57)</f>
        <v>27.21</v>
      </c>
      <c r="F56" s="10">
        <f>IF(ポートフォリオ実績!F57="","", ポートフォリオ実績!F57)</f>
        <v>0</v>
      </c>
      <c r="G56">
        <f t="shared" si="0"/>
        <v>45138</v>
      </c>
      <c r="H56">
        <f>IF(B56&lt;&gt;"", SUMIFS(ポートフォリオ実績!$D$2:$D$2001, ポートフォリオ実績!$B$2:$B$2001, B56, ポートフォリオ実績!$A$2:$A$2001, G56), 0)</f>
        <v>21823.11</v>
      </c>
      <c r="I56">
        <f>IF(B56&lt;&gt;"", SUMIFS(ポートフォリオ実績!$C$2:$C$2001, ポートフォリオ実績!$B$2:$B$2001, B56, ポートフォリオ実績!$A$2:$A$2001, G56), 0)</f>
        <v>21080.12</v>
      </c>
      <c r="J56">
        <f t="shared" si="1"/>
        <v>745.59000000000015</v>
      </c>
      <c r="K56">
        <f t="shared" si="2"/>
        <v>742.9900000000016</v>
      </c>
      <c r="L56">
        <f t="shared" si="3"/>
        <v>2.5999999999985448</v>
      </c>
      <c r="M56">
        <f t="shared" si="4"/>
        <v>29.809999999998546</v>
      </c>
      <c r="N56">
        <f t="shared" si="5"/>
        <v>-79.309999999998553</v>
      </c>
      <c r="O56">
        <f t="shared" si="6"/>
        <v>21783.455000000002</v>
      </c>
      <c r="P56">
        <f t="shared" si="7"/>
        <v>1.3684697858993692E-3</v>
      </c>
      <c r="Q56" t="str">
        <f>IF(B56="","", IFERROR(VLOOKUP(B56, '基準資産配分（設定）'!$A$2:$C$2001, 3, FALSE), ""))</f>
        <v>TONA複利</v>
      </c>
      <c r="R56">
        <f>IF(B56="","", IFERROR(VLOOKUP(B56, '基準資産配分（設定）'!$A$2:$C$2001, 2, FALSE)/100, 0))</f>
        <v>0.15620000000000001</v>
      </c>
      <c r="S56">
        <f>IF(B56="","", IFERROR(SUMIFS(ベンチマークリターン!$C$2:$C$2001, ベンチマークリターン!$A$2:$A$2001, A56, ベンチマークリターン!$B$2:$B$2001, Q56) / 100, 0))</f>
        <v>-2.14E-4</v>
      </c>
      <c r="T56">
        <f>IF(A56="","", SUMIFS($H$2:$H$2000, $A$2:$A$2000, A56))</f>
        <v>147887.32999999999</v>
      </c>
      <c r="U56">
        <f t="shared" si="8"/>
        <v>0.14756578538540119</v>
      </c>
      <c r="V56">
        <f t="shared" si="9"/>
        <v>2.0193931873243223E-4</v>
      </c>
      <c r="W56">
        <f t="shared" si="10"/>
        <v>-3.3426800000000003E-5</v>
      </c>
    </row>
    <row r="57" spans="1:23" x14ac:dyDescent="0.2">
      <c r="A57" s="4">
        <f>IF(ポートフォリオ実績!A58="","", ポートフォリオ実績!A58)</f>
        <v>45199</v>
      </c>
      <c r="B57" t="str">
        <f>IF(ポートフォリオ実績!B58="","", ポートフォリオ実績!B58)</f>
        <v>国内債券（変動/ASW）</v>
      </c>
      <c r="C57" s="10">
        <f>IF(ポートフォリオ実績!C58="","", ポートフォリオ実績!C58)</f>
        <v>21167.25</v>
      </c>
      <c r="D57" s="10">
        <f>IF(ポートフォリオ実績!D58="","", ポートフォリオ実績!D58)</f>
        <v>21928.95</v>
      </c>
      <c r="E57" s="10">
        <f>IF(ポートフォリオ実績!E58="","", ポートフォリオ実績!E58)</f>
        <v>27.39</v>
      </c>
      <c r="F57" s="10">
        <f>IF(ポートフォリオ実績!F58="","", ポートフォリオ実績!F58)</f>
        <v>0</v>
      </c>
      <c r="G57">
        <f t="shared" si="0"/>
        <v>45169</v>
      </c>
      <c r="H57">
        <f>IF(B57&lt;&gt;"", SUMIFS(ポートフォリオ実績!$D$2:$D$2001, ポートフォリオ実績!$B$2:$B$2001, B57, ポートフォリオ実績!$A$2:$A$2001, G57), 0)</f>
        <v>21773.61</v>
      </c>
      <c r="I57">
        <f>IF(B57&lt;&gt;"", SUMIFS(ポートフォリオ実績!$C$2:$C$2001, ポートフォリオ実績!$B$2:$B$2001, B57, ポートフォリオ実績!$A$2:$A$2001, G57), 0)</f>
        <v>21028.02</v>
      </c>
      <c r="J57">
        <f t="shared" si="1"/>
        <v>761.70000000000073</v>
      </c>
      <c r="K57">
        <f t="shared" si="2"/>
        <v>745.59000000000015</v>
      </c>
      <c r="L57">
        <f t="shared" si="3"/>
        <v>16.110000000000582</v>
      </c>
      <c r="M57">
        <f t="shared" si="4"/>
        <v>43.500000000000583</v>
      </c>
      <c r="N57">
        <f t="shared" si="5"/>
        <v>111.83999999999956</v>
      </c>
      <c r="O57">
        <f t="shared" si="6"/>
        <v>21829.53</v>
      </c>
      <c r="P57">
        <f t="shared" si="7"/>
        <v>1.9927135398701019E-3</v>
      </c>
      <c r="Q57" t="str">
        <f>IF(B57="","", IFERROR(VLOOKUP(B57, '基準資産配分（設定）'!$A$2:$C$2001, 3, FALSE), ""))</f>
        <v>TONA複利</v>
      </c>
      <c r="R57">
        <f>IF(B57="","", IFERROR(VLOOKUP(B57, '基準資産配分（設定）'!$A$2:$C$2001, 2, FALSE)/100, 0))</f>
        <v>0.15620000000000001</v>
      </c>
      <c r="S57">
        <f>IF(B57="","", IFERROR(SUMIFS(ベンチマークリターン!$C$2:$C$2001, ベンチマークリターン!$A$2:$A$2001, A57, ベンチマークリターン!$B$2:$B$2001, Q57) / 100, 0))</f>
        <v>1.103E-3</v>
      </c>
      <c r="T57">
        <f>IF(A57="","", SUMIFS($H$2:$H$2000, $A$2:$A$2000, A57))</f>
        <v>147535.20000000001</v>
      </c>
      <c r="U57">
        <f t="shared" si="8"/>
        <v>0.14758247523302911</v>
      </c>
      <c r="V57">
        <f t="shared" si="9"/>
        <v>2.9408959664440108E-4</v>
      </c>
      <c r="W57">
        <f t="shared" si="10"/>
        <v>1.722886E-4</v>
      </c>
    </row>
    <row r="58" spans="1:23" x14ac:dyDescent="0.2">
      <c r="A58" s="4">
        <f>IF(ポートフォリオ実績!A59="","", ポートフォリオ実績!A59)</f>
        <v>45230</v>
      </c>
      <c r="B58" t="str">
        <f>IF(ポートフォリオ実績!B59="","", ポートフォリオ実績!B59)</f>
        <v>国内債券（変動/ASW）</v>
      </c>
      <c r="C58" s="10">
        <f>IF(ポートフォリオ実績!C59="","", ポートフォリオ実績!C59)</f>
        <v>21472.17</v>
      </c>
      <c r="D58" s="10">
        <f>IF(ポートフォリオ実績!D59="","", ポートフォリオ実績!D59)</f>
        <v>22268.959999999999</v>
      </c>
      <c r="E58" s="10">
        <f>IF(ポートフォリオ実績!E59="","", ポートフォリオ実績!E59)</f>
        <v>27.79</v>
      </c>
      <c r="F58" s="10">
        <f>IF(ポートフォリオ実績!F59="","", ポートフォリオ実績!F59)</f>
        <v>0</v>
      </c>
      <c r="G58">
        <f t="shared" si="0"/>
        <v>45199</v>
      </c>
      <c r="H58">
        <f>IF(B58&lt;&gt;"", SUMIFS(ポートフォリオ実績!$D$2:$D$2001, ポートフォリオ実績!$B$2:$B$2001, B58, ポートフォリオ実績!$A$2:$A$2001, G58), 0)</f>
        <v>21928.95</v>
      </c>
      <c r="I58">
        <f>IF(B58&lt;&gt;"", SUMIFS(ポートフォリオ実績!$C$2:$C$2001, ポートフォリオ実績!$B$2:$B$2001, B58, ポートフォリオ実績!$A$2:$A$2001, G58), 0)</f>
        <v>21167.25</v>
      </c>
      <c r="J58">
        <f t="shared" si="1"/>
        <v>796.79000000000087</v>
      </c>
      <c r="K58">
        <f t="shared" si="2"/>
        <v>761.70000000000073</v>
      </c>
      <c r="L58">
        <f t="shared" si="3"/>
        <v>35.090000000000146</v>
      </c>
      <c r="M58">
        <f t="shared" si="4"/>
        <v>62.880000000000145</v>
      </c>
      <c r="N58">
        <f t="shared" si="5"/>
        <v>277.12999999999823</v>
      </c>
      <c r="O58">
        <f t="shared" si="6"/>
        <v>22067.514999999999</v>
      </c>
      <c r="P58">
        <f t="shared" si="7"/>
        <v>2.8494372837177249E-3</v>
      </c>
      <c r="Q58" t="str">
        <f>IF(B58="","", IFERROR(VLOOKUP(B58, '基準資産配分（設定）'!$A$2:$C$2001, 3, FALSE), ""))</f>
        <v>TONA複利</v>
      </c>
      <c r="R58">
        <f>IF(B58="","", IFERROR(VLOOKUP(B58, '基準資産配分（設定）'!$A$2:$C$2001, 2, FALSE)/100, 0))</f>
        <v>0.15620000000000001</v>
      </c>
      <c r="S58">
        <f>IF(B58="","", IFERROR(SUMIFS(ベンチマークリターン!$C$2:$C$2001, ベンチマークリターン!$A$2:$A$2001, A58, ベンチマークリターン!$B$2:$B$2001, Q58) / 100, 0))</f>
        <v>-2.5700000000000001E-4</v>
      </c>
      <c r="T58">
        <f>IF(A58="","", SUMIFS($H$2:$H$2000, $A$2:$A$2000, A58))</f>
        <v>148508.15</v>
      </c>
      <c r="U58">
        <f t="shared" si="8"/>
        <v>0.14766159298328072</v>
      </c>
      <c r="V58">
        <f t="shared" si="9"/>
        <v>4.2075244841971167E-4</v>
      </c>
      <c r="W58">
        <f t="shared" si="10"/>
        <v>-4.0143400000000006E-5</v>
      </c>
    </row>
    <row r="59" spans="1:23" x14ac:dyDescent="0.2">
      <c r="A59" s="4">
        <f>IF(ポートフォリオ実績!A60="","", ポートフォリオ実績!A60)</f>
        <v>45260</v>
      </c>
      <c r="B59" t="str">
        <f>IF(ポートフォリオ実績!B60="","", ポートフォリオ実績!B60)</f>
        <v>国内債券（変動/ASW）</v>
      </c>
      <c r="C59" s="10">
        <f>IF(ポートフォリオ実績!C60="","", ポートフォリオ実績!C60)</f>
        <v>21444.880000000001</v>
      </c>
      <c r="D59" s="10">
        <f>IF(ポートフォリオ実績!D60="","", ポートフォリオ実績!D60)</f>
        <v>22259.06</v>
      </c>
      <c r="E59" s="10">
        <f>IF(ポートフォリオ実績!E60="","", ポートフォリオ実績!E60)</f>
        <v>27.8</v>
      </c>
      <c r="F59" s="10">
        <f>IF(ポートフォリオ実績!F60="","", ポートフォリオ実績!F60)</f>
        <v>0</v>
      </c>
      <c r="G59">
        <f t="shared" si="0"/>
        <v>45230</v>
      </c>
      <c r="H59">
        <f>IF(B59&lt;&gt;"", SUMIFS(ポートフォリオ実績!$D$2:$D$2001, ポートフォリオ実績!$B$2:$B$2001, B59, ポートフォリオ実績!$A$2:$A$2001, G59), 0)</f>
        <v>22268.959999999999</v>
      </c>
      <c r="I59">
        <f>IF(B59&lt;&gt;"", SUMIFS(ポートフォリオ実績!$C$2:$C$2001, ポートフォリオ実績!$B$2:$B$2001, B59, ポートフォリオ実績!$A$2:$A$2001, G59), 0)</f>
        <v>21472.17</v>
      </c>
      <c r="J59">
        <f t="shared" si="1"/>
        <v>814.18000000000029</v>
      </c>
      <c r="K59">
        <f t="shared" si="2"/>
        <v>796.79000000000087</v>
      </c>
      <c r="L59">
        <f t="shared" si="3"/>
        <v>17.389999999999418</v>
      </c>
      <c r="M59">
        <f t="shared" si="4"/>
        <v>45.189999999999415</v>
      </c>
      <c r="N59">
        <f t="shared" si="5"/>
        <v>-55.089999999997232</v>
      </c>
      <c r="O59">
        <f t="shared" si="6"/>
        <v>22241.415000000001</v>
      </c>
      <c r="P59">
        <f t="shared" si="7"/>
        <v>2.0317951892898636E-3</v>
      </c>
      <c r="Q59" t="str">
        <f>IF(B59="","", IFERROR(VLOOKUP(B59, '基準資産配分（設定）'!$A$2:$C$2001, 3, FALSE), ""))</f>
        <v>TONA複利</v>
      </c>
      <c r="R59">
        <f>IF(B59="","", IFERROR(VLOOKUP(B59, '基準資産配分（設定）'!$A$2:$C$2001, 2, FALSE)/100, 0))</f>
        <v>0.15620000000000001</v>
      </c>
      <c r="S59">
        <f>IF(B59="","", IFERROR(SUMIFS(ベンチマークリターン!$C$2:$C$2001, ベンチマークリターン!$A$2:$A$2001, A59, ベンチマークリターン!$B$2:$B$2001, Q59) / 100, 0))</f>
        <v>-4.8999999999999998E-5</v>
      </c>
      <c r="T59">
        <f>IF(A59="","", SUMIFS($H$2:$H$2000, $A$2:$A$2000, A59))</f>
        <v>141833.18</v>
      </c>
      <c r="U59">
        <f t="shared" si="8"/>
        <v>0.15700811333427059</v>
      </c>
      <c r="V59">
        <f t="shared" si="9"/>
        <v>3.1900832935204869E-4</v>
      </c>
      <c r="W59">
        <f t="shared" si="10"/>
        <v>-7.6537999999999995E-6</v>
      </c>
    </row>
    <row r="60" spans="1:23" x14ac:dyDescent="0.2">
      <c r="A60" s="4">
        <f>IF(ポートフォリオ実績!A61="","", ポートフォリオ実績!A61)</f>
        <v>45291</v>
      </c>
      <c r="B60" t="str">
        <f>IF(ポートフォリオ実績!B61="","", ポートフォリオ実績!B61)</f>
        <v>国内債券（変動/ASW）</v>
      </c>
      <c r="C60" s="10">
        <f>IF(ポートフォリオ実績!C61="","", ポートフォリオ実績!C61)</f>
        <v>21637.46</v>
      </c>
      <c r="D60" s="10">
        <f>IF(ポートフォリオ実績!D61="","", ポートフォリオ実績!D61)</f>
        <v>22488.12</v>
      </c>
      <c r="E60" s="10">
        <f>IF(ポートフォリオ実績!E61="","", ポートフォリオ実績!E61)</f>
        <v>28.06</v>
      </c>
      <c r="F60" s="10">
        <f>IF(ポートフォリオ実績!F61="","", ポートフォリオ実績!F61)</f>
        <v>0</v>
      </c>
      <c r="G60">
        <f t="shared" si="0"/>
        <v>45260</v>
      </c>
      <c r="H60">
        <f>IF(B60&lt;&gt;"", SUMIFS(ポートフォリオ実績!$D$2:$D$2001, ポートフォリオ実績!$B$2:$B$2001, B60, ポートフォリオ実績!$A$2:$A$2001, G60), 0)</f>
        <v>22259.06</v>
      </c>
      <c r="I60">
        <f>IF(B60&lt;&gt;"", SUMIFS(ポートフォリオ実績!$C$2:$C$2001, ポートフォリオ実績!$B$2:$B$2001, B60, ポートフォリオ実績!$A$2:$A$2001, G60), 0)</f>
        <v>21444.880000000001</v>
      </c>
      <c r="J60">
        <f t="shared" si="1"/>
        <v>850.65999999999985</v>
      </c>
      <c r="K60">
        <f t="shared" si="2"/>
        <v>814.18000000000029</v>
      </c>
      <c r="L60">
        <f t="shared" si="3"/>
        <v>36.479999999999563</v>
      </c>
      <c r="M60">
        <f t="shared" si="4"/>
        <v>64.539999999999566</v>
      </c>
      <c r="N60">
        <f t="shared" si="5"/>
        <v>164.51999999999811</v>
      </c>
      <c r="O60">
        <f t="shared" si="6"/>
        <v>22341.32</v>
      </c>
      <c r="P60">
        <f t="shared" si="7"/>
        <v>2.8888176705762938E-3</v>
      </c>
      <c r="Q60" t="str">
        <f>IF(B60="","", IFERROR(VLOOKUP(B60, '基準資産配分（設定）'!$A$2:$C$2001, 3, FALSE), ""))</f>
        <v>TONA複利</v>
      </c>
      <c r="R60">
        <f>IF(B60="","", IFERROR(VLOOKUP(B60, '基準資産配分（設定）'!$A$2:$C$2001, 2, FALSE)/100, 0))</f>
        <v>0.15620000000000001</v>
      </c>
      <c r="S60">
        <f>IF(B60="","", IFERROR(SUMIFS(ベンチマークリターン!$C$2:$C$2001, ベンチマークリターン!$A$2:$A$2001, A60, ベンチマークリターン!$B$2:$B$2001, Q60) / 100, 0))</f>
        <v>-1.1969999999999999E-3</v>
      </c>
      <c r="T60">
        <f>IF(A60="","", SUMIFS($H$2:$H$2000, $A$2:$A$2000, A60))</f>
        <v>142786.25</v>
      </c>
      <c r="U60">
        <f t="shared" si="8"/>
        <v>0.15589078079997198</v>
      </c>
      <c r="V60">
        <f t="shared" si="9"/>
        <v>4.5034004225489471E-4</v>
      </c>
      <c r="W60">
        <f t="shared" si="10"/>
        <v>-1.869714E-4</v>
      </c>
    </row>
    <row r="61" spans="1:23" x14ac:dyDescent="0.2">
      <c r="A61" s="4">
        <f>IF(ポートフォリオ実績!A62="","", ポートフォリオ実績!A62)</f>
        <v>45322</v>
      </c>
      <c r="B61" t="str">
        <f>IF(ポートフォリオ実績!B62="","", ポートフォリオ実績!B62)</f>
        <v>国内債券（変動/ASW）</v>
      </c>
      <c r="C61" s="10">
        <f>IF(ポートフォリオ実績!C62="","", ポートフォリオ実績!C62)</f>
        <v>21461.19</v>
      </c>
      <c r="D61" s="10">
        <f>IF(ポートフォリオ実績!D62="","", ポートフォリオ実績!D62)</f>
        <v>22381.59</v>
      </c>
      <c r="E61" s="10">
        <f>IF(ポートフォリオ実績!E62="","", ポートフォリオ実績!E62)</f>
        <v>27.89</v>
      </c>
      <c r="F61" s="10">
        <f>IF(ポートフォリオ実績!F62="","", ポートフォリオ実績!F62)</f>
        <v>0</v>
      </c>
      <c r="G61">
        <f t="shared" si="0"/>
        <v>45291</v>
      </c>
      <c r="H61">
        <f>IF(B61&lt;&gt;"", SUMIFS(ポートフォリオ実績!$D$2:$D$2001, ポートフォリオ実績!$B$2:$B$2001, B61, ポートフォリオ実績!$A$2:$A$2001, G61), 0)</f>
        <v>22488.12</v>
      </c>
      <c r="I61">
        <f>IF(B61&lt;&gt;"", SUMIFS(ポートフォリオ実績!$C$2:$C$2001, ポートフォリオ実績!$B$2:$B$2001, B61, ポートフォリオ実績!$A$2:$A$2001, G61), 0)</f>
        <v>21637.46</v>
      </c>
      <c r="J61">
        <f t="shared" si="1"/>
        <v>920.40000000000146</v>
      </c>
      <c r="K61">
        <f t="shared" si="2"/>
        <v>850.65999999999985</v>
      </c>
      <c r="L61">
        <f t="shared" si="3"/>
        <v>69.740000000001601</v>
      </c>
      <c r="M61">
        <f t="shared" si="4"/>
        <v>97.630000000001601</v>
      </c>
      <c r="N61">
        <f t="shared" si="5"/>
        <v>-204.16000000000042</v>
      </c>
      <c r="O61">
        <f t="shared" si="6"/>
        <v>22386.039999999997</v>
      </c>
      <c r="P61">
        <f t="shared" si="7"/>
        <v>4.36120010506555E-3</v>
      </c>
      <c r="Q61" t="str">
        <f>IF(B61="","", IFERROR(VLOOKUP(B61, '基準資産配分（設定）'!$A$2:$C$2001, 3, FALSE), ""))</f>
        <v>TONA複利</v>
      </c>
      <c r="R61">
        <f>IF(B61="","", IFERROR(VLOOKUP(B61, '基準資産配分（設定）'!$A$2:$C$2001, 2, FALSE)/100, 0))</f>
        <v>0.15620000000000001</v>
      </c>
      <c r="S61">
        <f>IF(B61="","", IFERROR(SUMIFS(ベンチマークリターン!$C$2:$C$2001, ベンチマークリターン!$A$2:$A$2001, A61, ベンチマークリターン!$B$2:$B$2001, Q61) / 100, 0))</f>
        <v>-4.9899999999999999E-4</v>
      </c>
      <c r="T61">
        <f>IF(A61="","", SUMIFS($H$2:$H$2000, $A$2:$A$2000, A61))</f>
        <v>144901.44999999998</v>
      </c>
      <c r="U61">
        <f t="shared" si="8"/>
        <v>0.15519596249726972</v>
      </c>
      <c r="V61">
        <f t="shared" si="9"/>
        <v>6.7684064794884188E-4</v>
      </c>
      <c r="W61">
        <f t="shared" si="10"/>
        <v>-7.7943799999999997E-5</v>
      </c>
    </row>
    <row r="62" spans="1:23" x14ac:dyDescent="0.2">
      <c r="A62" s="4">
        <f>IF(ポートフォリオ実績!A63="","", ポートフォリオ実績!A63)</f>
        <v>45351</v>
      </c>
      <c r="B62" t="str">
        <f>IF(ポートフォリオ実績!B63="","", ポートフォリオ実績!B63)</f>
        <v>国内債券（変動/ASW）</v>
      </c>
      <c r="C62" s="10">
        <f>IF(ポートフォリオ実績!C63="","", ポートフォリオ実績!C63)</f>
        <v>21557.39</v>
      </c>
      <c r="D62" s="10">
        <f>IF(ポートフォリオ実績!D63="","", ポートフォリオ実績!D63)</f>
        <v>22514.01</v>
      </c>
      <c r="E62" s="10">
        <f>IF(ポートフォリオ実績!E63="","", ポートフォリオ実績!E63)</f>
        <v>28.1</v>
      </c>
      <c r="F62" s="10">
        <f>IF(ポートフォリオ実績!F63="","", ポートフォリオ実績!F63)</f>
        <v>0</v>
      </c>
      <c r="G62">
        <f t="shared" si="0"/>
        <v>45322</v>
      </c>
      <c r="H62">
        <f>IF(B62&lt;&gt;"", SUMIFS(ポートフォリオ実績!$D$2:$D$2001, ポートフォリオ実績!$B$2:$B$2001, B62, ポートフォリオ実績!$A$2:$A$2001, G62), 0)</f>
        <v>22381.59</v>
      </c>
      <c r="I62">
        <f>IF(B62&lt;&gt;"", SUMIFS(ポートフォリオ実績!$C$2:$C$2001, ポートフォリオ実績!$B$2:$B$2001, B62, ポートフォリオ実績!$A$2:$A$2001, G62), 0)</f>
        <v>21461.19</v>
      </c>
      <c r="J62">
        <f t="shared" si="1"/>
        <v>956.61999999999898</v>
      </c>
      <c r="K62">
        <f t="shared" si="2"/>
        <v>920.40000000000146</v>
      </c>
      <c r="L62">
        <f t="shared" si="3"/>
        <v>36.219999999997526</v>
      </c>
      <c r="M62">
        <f t="shared" si="4"/>
        <v>64.31999999999752</v>
      </c>
      <c r="N62">
        <f t="shared" si="5"/>
        <v>68.100000000000733</v>
      </c>
      <c r="O62">
        <f t="shared" si="6"/>
        <v>22415.64</v>
      </c>
      <c r="P62">
        <f t="shared" si="7"/>
        <v>2.8694250978333665E-3</v>
      </c>
      <c r="Q62" t="str">
        <f>IF(B62="","", IFERROR(VLOOKUP(B62, '基準資産配分（設定）'!$A$2:$C$2001, 3, FALSE), ""))</f>
        <v>TONA複利</v>
      </c>
      <c r="R62">
        <f>IF(B62="","", IFERROR(VLOOKUP(B62, '基準資産配分（設定）'!$A$2:$C$2001, 2, FALSE)/100, 0))</f>
        <v>0.15620000000000001</v>
      </c>
      <c r="S62">
        <f>IF(B62="","", IFERROR(SUMIFS(ベンチマークリターン!$C$2:$C$2001, ベンチマークリターン!$A$2:$A$2001, A62, ベンチマークリターン!$B$2:$B$2001, Q62) / 100, 0))</f>
        <v>-1.1180000000000001E-3</v>
      </c>
      <c r="T62">
        <f>IF(A62="","", SUMIFS($H$2:$H$2000, $A$2:$A$2000, A62))</f>
        <v>143790.06</v>
      </c>
      <c r="U62">
        <f t="shared" si="8"/>
        <v>0.15565463982698108</v>
      </c>
      <c r="V62">
        <f t="shared" si="9"/>
        <v>4.4663933011375261E-4</v>
      </c>
      <c r="W62">
        <f t="shared" si="10"/>
        <v>-1.746316E-4</v>
      </c>
    </row>
    <row r="63" spans="1:23" x14ac:dyDescent="0.2">
      <c r="A63" s="4">
        <f>IF(ポートフォリオ実績!A64="","", ポートフォリオ実績!A64)</f>
        <v>45382</v>
      </c>
      <c r="B63" t="str">
        <f>IF(ポートフォリオ実績!B64="","", ポートフォリオ実績!B64)</f>
        <v>国内債券（変動/ASW）</v>
      </c>
      <c r="C63" s="10">
        <f>IF(ポートフォリオ実績!C64="","", ポートフォリオ実績!C64)</f>
        <v>19590.240000000002</v>
      </c>
      <c r="D63" s="10">
        <f>IF(ポートフォリオ実績!D64="","", ポートフォリオ実績!D64)</f>
        <v>20565.53</v>
      </c>
      <c r="E63" s="10">
        <f>IF(ポートフォリオ実績!E64="","", ポートフォリオ実績!E64)</f>
        <v>28.4</v>
      </c>
      <c r="F63" s="10">
        <f>IF(ポートフォリオ実績!F64="","", ポートフォリオ実績!F64)</f>
        <v>17.16</v>
      </c>
      <c r="G63">
        <f t="shared" si="0"/>
        <v>45351</v>
      </c>
      <c r="H63">
        <f>IF(B63&lt;&gt;"", SUMIFS(ポートフォリオ実績!$D$2:$D$2001, ポートフォリオ実績!$B$2:$B$2001, B63, ポートフォリオ実績!$A$2:$A$2001, G63), 0)</f>
        <v>22514.01</v>
      </c>
      <c r="I63">
        <f>IF(B63&lt;&gt;"", SUMIFS(ポートフォリオ実績!$C$2:$C$2001, ポートフォリオ実績!$B$2:$B$2001, B63, ポートフォリオ実績!$A$2:$A$2001, G63), 0)</f>
        <v>21557.39</v>
      </c>
      <c r="J63">
        <f t="shared" si="1"/>
        <v>975.28999999999724</v>
      </c>
      <c r="K63">
        <f t="shared" si="2"/>
        <v>956.61999999999898</v>
      </c>
      <c r="L63">
        <f t="shared" si="3"/>
        <v>18.669999999998254</v>
      </c>
      <c r="M63">
        <f t="shared" si="4"/>
        <v>64.229999999998256</v>
      </c>
      <c r="N63">
        <f t="shared" si="5"/>
        <v>-2012.7099999999978</v>
      </c>
      <c r="O63">
        <f t="shared" si="6"/>
        <v>21507.654999999999</v>
      </c>
      <c r="P63">
        <f t="shared" si="7"/>
        <v>2.9863785707925044E-3</v>
      </c>
      <c r="Q63" t="str">
        <f>IF(B63="","", IFERROR(VLOOKUP(B63, '基準資産配分（設定）'!$A$2:$C$2001, 3, FALSE), ""))</f>
        <v>TONA複利</v>
      </c>
      <c r="R63">
        <f>IF(B63="","", IFERROR(VLOOKUP(B63, '基準資産配分（設定）'!$A$2:$C$2001, 2, FALSE)/100, 0))</f>
        <v>0.15620000000000001</v>
      </c>
      <c r="S63">
        <f>IF(B63="","", IFERROR(SUMIFS(ベンチマークリターン!$C$2:$C$2001, ベンチマークリターン!$A$2:$A$2001, A63, ベンチマークリターン!$B$2:$B$2001, Q63) / 100, 0))</f>
        <v>-5.7499999999999999E-4</v>
      </c>
      <c r="T63">
        <f>IF(A63="","", SUMIFS($H$2:$H$2000, $A$2:$A$2000, A63))</f>
        <v>144636.99</v>
      </c>
      <c r="U63">
        <f t="shared" si="8"/>
        <v>0.15565872879406575</v>
      </c>
      <c r="V63">
        <f t="shared" si="9"/>
        <v>4.6485589202740015E-4</v>
      </c>
      <c r="W63">
        <f t="shared" si="10"/>
        <v>-8.9815000000000007E-5</v>
      </c>
    </row>
    <row r="64" spans="1:23" x14ac:dyDescent="0.2">
      <c r="A64" s="4">
        <f>IF(ポートフォリオ実績!A65="","", ポートフォリオ実績!A65)</f>
        <v>45412</v>
      </c>
      <c r="B64" t="str">
        <f>IF(ポートフォリオ実績!B65="","", ポートフォリオ実績!B65)</f>
        <v>国内債券（変動/ASW）</v>
      </c>
      <c r="C64" s="10">
        <f>IF(ポートフォリオ実績!C65="","", ポートフォリオ実績!C65)</f>
        <v>17514.419999999998</v>
      </c>
      <c r="D64" s="10">
        <f>IF(ポートフォリオ実績!D65="","", ポートフォリオ実績!D65)</f>
        <v>18507.62</v>
      </c>
      <c r="E64" s="10">
        <f>IF(ポートフォリオ実績!E65="","", ポートフォリオ実績!E65)</f>
        <v>25.54</v>
      </c>
      <c r="F64" s="10">
        <f>IF(ポートフォリオ実績!F65="","", ポートフォリオ実績!F65)</f>
        <v>16.28</v>
      </c>
      <c r="G64">
        <f t="shared" si="0"/>
        <v>45382</v>
      </c>
      <c r="H64">
        <f>IF(B64&lt;&gt;"", SUMIFS(ポートフォリオ実績!$D$2:$D$2001, ポートフォリオ実績!$B$2:$B$2001, B64, ポートフォリオ実績!$A$2:$A$2001, G64), 0)</f>
        <v>20565.53</v>
      </c>
      <c r="I64">
        <f>IF(B64&lt;&gt;"", SUMIFS(ポートフォリオ実績!$C$2:$C$2001, ポートフォリオ実績!$B$2:$B$2001, B64, ポートフォリオ実績!$A$2:$A$2001, G64), 0)</f>
        <v>19590.240000000002</v>
      </c>
      <c r="J64">
        <f t="shared" si="1"/>
        <v>993.20000000000073</v>
      </c>
      <c r="K64">
        <f t="shared" si="2"/>
        <v>975.28999999999724</v>
      </c>
      <c r="L64">
        <f t="shared" si="3"/>
        <v>17.910000000003492</v>
      </c>
      <c r="M64">
        <f t="shared" si="4"/>
        <v>59.730000000003493</v>
      </c>
      <c r="N64">
        <f t="shared" si="5"/>
        <v>-2117.6400000000035</v>
      </c>
      <c r="O64">
        <f t="shared" si="6"/>
        <v>19506.709999999995</v>
      </c>
      <c r="P64">
        <f t="shared" si="7"/>
        <v>3.0620232730175158E-3</v>
      </c>
      <c r="Q64" t="str">
        <f>IF(B64="","", IFERROR(VLOOKUP(B64, '基準資産配分（設定）'!$A$2:$C$2001, 3, FALSE), ""))</f>
        <v>TONA複利</v>
      </c>
      <c r="R64">
        <f>IF(B64="","", IFERROR(VLOOKUP(B64, '基準資産配分（設定）'!$A$2:$C$2001, 2, FALSE)/100, 0))</f>
        <v>0.15620000000000001</v>
      </c>
      <c r="S64">
        <f>IF(B64="","", IFERROR(SUMIFS(ベンチマークリターン!$C$2:$C$2001, ベンチマークリターン!$A$2:$A$2001, A64, ベンチマークリターン!$B$2:$B$2001, Q64) / 100, 0))</f>
        <v>2.3540000000000002E-3</v>
      </c>
      <c r="T64">
        <f>IF(A64="","", SUMIFS($H$2:$H$2000, $A$2:$A$2000, A64))</f>
        <v>143236.52000000002</v>
      </c>
      <c r="U64">
        <f t="shared" si="8"/>
        <v>0.14357742006019134</v>
      </c>
      <c r="V64">
        <f t="shared" si="9"/>
        <v>4.3963740170411782E-4</v>
      </c>
      <c r="W64">
        <f t="shared" si="10"/>
        <v>3.6769480000000006E-4</v>
      </c>
    </row>
    <row r="65" spans="1:23" x14ac:dyDescent="0.2">
      <c r="A65" s="4">
        <f>IF(ポートフォリオ実績!A66="","", ポートフォリオ実績!A66)</f>
        <v>45443</v>
      </c>
      <c r="B65" t="str">
        <f>IF(ポートフォリオ実績!B66="","", ポートフォリオ実績!B66)</f>
        <v>国内債券（変動/ASW）</v>
      </c>
      <c r="C65" s="10">
        <f>IF(ポートフォリオ実績!C66="","", ポートフォリオ実績!C66)</f>
        <v>17304.63</v>
      </c>
      <c r="D65" s="10">
        <f>IF(ポートフォリオ実績!D66="","", ポートフォリオ実績!D66)</f>
        <v>18325.32</v>
      </c>
      <c r="E65" s="10">
        <f>IF(ポートフォリオ実績!E66="","", ポートフォリオ実績!E66)</f>
        <v>22.87</v>
      </c>
      <c r="F65" s="10">
        <f>IF(ポートフォリオ実績!F66="","", ポートフォリオ実績!F66)</f>
        <v>0</v>
      </c>
      <c r="G65">
        <f t="shared" ref="G65:G128" si="11">IF(A65&lt;&gt;"", EOMONTH(A65, -1), "")</f>
        <v>45412</v>
      </c>
      <c r="H65">
        <f>IF(B65&lt;&gt;"", SUMIFS(ポートフォリオ実績!$D$2:$D$2001, ポートフォリオ実績!$B$2:$B$2001, B65, ポートフォリオ実績!$A$2:$A$2001, G65), 0)</f>
        <v>18507.62</v>
      </c>
      <c r="I65">
        <f>IF(B65&lt;&gt;"", SUMIFS(ポートフォリオ実績!$C$2:$C$2001, ポートフォリオ実績!$B$2:$B$2001, B65, ポートフォリオ実績!$A$2:$A$2001, G65), 0)</f>
        <v>17514.419999999998</v>
      </c>
      <c r="J65">
        <f t="shared" ref="J65:J128" si="12">IF(A65&lt;&gt;"", D65-C65, 0)</f>
        <v>1020.6899999999987</v>
      </c>
      <c r="K65">
        <f t="shared" ref="K65:K128" si="13">IF(A65&lt;&gt;"", H65-I65, 0)</f>
        <v>993.20000000000073</v>
      </c>
      <c r="L65">
        <f t="shared" ref="L65:L128" si="14">IF(H65=0, 0, J65-K65)</f>
        <v>27.489999999997963</v>
      </c>
      <c r="M65">
        <f t="shared" ref="M65:M128" si="15">IF(A65&lt;&gt;"", E65+F65+L65, 0)</f>
        <v>50.359999999997967</v>
      </c>
      <c r="N65">
        <f t="shared" ref="N65:N128" si="16">IF(H65=0, 0, (D65-H65)-M65)</f>
        <v>-232.65999999999724</v>
      </c>
      <c r="O65">
        <f t="shared" ref="O65:O128" si="17">IF(A65&lt;&gt;"", H65+N65*0.5, 0)</f>
        <v>18391.29</v>
      </c>
      <c r="P65">
        <f t="shared" ref="P65:P128" si="18">IF(A65="","", IF(O65&gt;0.000001, M65/O65, IF(ABS(M65)&lt;0.000001, 0, 0)))</f>
        <v>2.7382527272419698E-3</v>
      </c>
      <c r="Q65" t="str">
        <f>IF(B65="","", IFERROR(VLOOKUP(B65, '基準資産配分（設定）'!$A$2:$C$2001, 3, FALSE), ""))</f>
        <v>TONA複利</v>
      </c>
      <c r="R65">
        <f>IF(B65="","", IFERROR(VLOOKUP(B65, '基準資産配分（設定）'!$A$2:$C$2001, 2, FALSE)/100, 0))</f>
        <v>0.15620000000000001</v>
      </c>
      <c r="S65">
        <f>IF(B65="","", IFERROR(SUMIFS(ベンチマークリターン!$C$2:$C$2001, ベンチマークリターン!$A$2:$A$2001, A65, ベンチマークリターン!$B$2:$B$2001, Q65) / 100, 0))</f>
        <v>-5.3699999999999993E-4</v>
      </c>
      <c r="T65">
        <f>IF(A65="","", SUMIFS($H$2:$H$2000, $A$2:$A$2000, A65))</f>
        <v>142294.85999999999</v>
      </c>
      <c r="U65">
        <f t="shared" ref="U65:U128" si="19">IF(A65="","", IFERROR(H65/T65, 0))</f>
        <v>0.13006527431841178</v>
      </c>
      <c r="V65">
        <f t="shared" ref="V65:V128" si="20">IF(A65="","", U65*P65)</f>
        <v>3.56151592121866E-4</v>
      </c>
      <c r="W65">
        <f t="shared" ref="W65:W128" si="21">IF(A65="","", R65*S65)</f>
        <v>-8.3879399999999988E-5</v>
      </c>
    </row>
    <row r="66" spans="1:23" x14ac:dyDescent="0.2">
      <c r="A66" s="4">
        <f>IF(ポートフォリオ実績!A67="","", ポートフォリオ実績!A67)</f>
        <v>45473</v>
      </c>
      <c r="B66" t="str">
        <f>IF(ポートフォリオ実績!B67="","", ポートフォリオ実績!B67)</f>
        <v>国内債券（変動/ASW）</v>
      </c>
      <c r="C66" s="10">
        <f>IF(ポートフォリオ実績!C67="","", ポートフォリオ実績!C67)</f>
        <v>17440.22</v>
      </c>
      <c r="D66" s="10">
        <f>IF(ポートフォリオ実績!D67="","", ポートフォリオ実績!D67)</f>
        <v>18452.240000000002</v>
      </c>
      <c r="E66" s="10">
        <f>IF(ポートフォリオ実績!E67="","", ポートフォリオ実績!E67)</f>
        <v>23.08</v>
      </c>
      <c r="F66" s="10">
        <f>IF(ポートフォリオ実績!F67="","", ポートフォリオ実績!F67)</f>
        <v>0</v>
      </c>
      <c r="G66">
        <f t="shared" si="11"/>
        <v>45443</v>
      </c>
      <c r="H66">
        <f>IF(B66&lt;&gt;"", SUMIFS(ポートフォリオ実績!$D$2:$D$2001, ポートフォリオ実績!$B$2:$B$2001, B66, ポートフォリオ実績!$A$2:$A$2001, G66), 0)</f>
        <v>18325.32</v>
      </c>
      <c r="I66">
        <f>IF(B66&lt;&gt;"", SUMIFS(ポートフォリオ実績!$C$2:$C$2001, ポートフォリオ実績!$B$2:$B$2001, B66, ポートフォリオ実績!$A$2:$A$2001, G66), 0)</f>
        <v>17304.63</v>
      </c>
      <c r="J66">
        <f t="shared" si="12"/>
        <v>1012.0200000000004</v>
      </c>
      <c r="K66">
        <f t="shared" si="13"/>
        <v>1020.6899999999987</v>
      </c>
      <c r="L66">
        <f t="shared" si="14"/>
        <v>-8.6699999999982538</v>
      </c>
      <c r="M66">
        <f t="shared" si="15"/>
        <v>14.410000000001745</v>
      </c>
      <c r="N66">
        <f t="shared" si="16"/>
        <v>112.51000000000015</v>
      </c>
      <c r="O66">
        <f t="shared" si="17"/>
        <v>18381.575000000001</v>
      </c>
      <c r="P66">
        <f t="shared" si="18"/>
        <v>7.8393717622139258E-4</v>
      </c>
      <c r="Q66" t="str">
        <f>IF(B66="","", IFERROR(VLOOKUP(B66, '基準資産配分（設定）'!$A$2:$C$2001, 3, FALSE), ""))</f>
        <v>TONA複利</v>
      </c>
      <c r="R66">
        <f>IF(B66="","", IFERROR(VLOOKUP(B66, '基準資産配分（設定）'!$A$2:$C$2001, 2, FALSE)/100, 0))</f>
        <v>0.15620000000000001</v>
      </c>
      <c r="S66">
        <f>IF(B66="","", IFERROR(SUMIFS(ベンチマークリターン!$C$2:$C$2001, ベンチマークリターン!$A$2:$A$2001, A66, ベンチマークリターン!$B$2:$B$2001, Q66) / 100, 0))</f>
        <v>4.633E-3</v>
      </c>
      <c r="T66">
        <f>IF(A66="","", SUMIFS($H$2:$H$2000, $A$2:$A$2000, A66))</f>
        <v>142297.76999999999</v>
      </c>
      <c r="U66">
        <f t="shared" si="19"/>
        <v>0.12878149812186096</v>
      </c>
      <c r="V66">
        <f t="shared" si="20"/>
        <v>1.0095660398721225E-4</v>
      </c>
      <c r="W66">
        <f t="shared" si="21"/>
        <v>7.2367459999999998E-4</v>
      </c>
    </row>
    <row r="67" spans="1:23" x14ac:dyDescent="0.2">
      <c r="A67" s="4">
        <f>IF(ポートフォリオ実績!A68="","", ポートフォリオ実績!A68)</f>
        <v>45504</v>
      </c>
      <c r="B67" t="str">
        <f>IF(ポートフォリオ実績!B68="","", ポートフォリオ実績!B68)</f>
        <v>国内債券（変動/ASW）</v>
      </c>
      <c r="C67" s="10">
        <f>IF(ポートフォリオ実績!C68="","", ポートフォリオ実績!C68)</f>
        <v>17247.009999999998</v>
      </c>
      <c r="D67" s="10">
        <f>IF(ポートフォリオ実績!D68="","", ポートフォリオ実績!D68)</f>
        <v>18262.060000000001</v>
      </c>
      <c r="E67" s="10">
        <f>IF(ポートフォリオ実績!E68="","", ポートフォリオ実績!E68)</f>
        <v>22.82</v>
      </c>
      <c r="F67" s="10">
        <f>IF(ポートフォリオ実績!F68="","", ポートフォリオ実績!F68)</f>
        <v>0</v>
      </c>
      <c r="G67">
        <f t="shared" si="11"/>
        <v>45473</v>
      </c>
      <c r="H67">
        <f>IF(B67&lt;&gt;"", SUMIFS(ポートフォリオ実績!$D$2:$D$2001, ポートフォリオ実績!$B$2:$B$2001, B67, ポートフォリオ実績!$A$2:$A$2001, G67), 0)</f>
        <v>18452.240000000002</v>
      </c>
      <c r="I67">
        <f>IF(B67&lt;&gt;"", SUMIFS(ポートフォリオ実績!$C$2:$C$2001, ポートフォリオ実績!$B$2:$B$2001, B67, ポートフォリオ実績!$A$2:$A$2001, G67), 0)</f>
        <v>17440.22</v>
      </c>
      <c r="J67">
        <f t="shared" si="12"/>
        <v>1015.0500000000029</v>
      </c>
      <c r="K67">
        <f t="shared" si="13"/>
        <v>1012.0200000000004</v>
      </c>
      <c r="L67">
        <f t="shared" si="14"/>
        <v>3.0300000000024738</v>
      </c>
      <c r="M67">
        <f t="shared" si="15"/>
        <v>25.850000000002474</v>
      </c>
      <c r="N67">
        <f t="shared" si="16"/>
        <v>-216.03000000000276</v>
      </c>
      <c r="O67">
        <f t="shared" si="17"/>
        <v>18344.224999999999</v>
      </c>
      <c r="P67">
        <f t="shared" si="18"/>
        <v>1.4091628291738941E-3</v>
      </c>
      <c r="Q67" t="str">
        <f>IF(B67="","", IFERROR(VLOOKUP(B67, '基準資産配分（設定）'!$A$2:$C$2001, 3, FALSE), ""))</f>
        <v>TONA複利</v>
      </c>
      <c r="R67">
        <f>IF(B67="","", IFERROR(VLOOKUP(B67, '基準資産配分（設定）'!$A$2:$C$2001, 2, FALSE)/100, 0))</f>
        <v>0.15620000000000001</v>
      </c>
      <c r="S67">
        <f>IF(B67="","", IFERROR(SUMIFS(ベンチマークリターン!$C$2:$C$2001, ベンチマークリターン!$A$2:$A$2001, A67, ベンチマークリターン!$B$2:$B$2001, Q67) / 100, 0))</f>
        <v>1.5449999999999999E-3</v>
      </c>
      <c r="T67">
        <f>IF(A67="","", SUMIFS($H$2:$H$2000, $A$2:$A$2000, A67))</f>
        <v>135112.08000000002</v>
      </c>
      <c r="U67">
        <f t="shared" si="19"/>
        <v>0.13656987591338982</v>
      </c>
      <c r="V67">
        <f t="shared" si="20"/>
        <v>1.9244919272204004E-4</v>
      </c>
      <c r="W67">
        <f t="shared" si="21"/>
        <v>2.4132900000000001E-4</v>
      </c>
    </row>
    <row r="68" spans="1:23" x14ac:dyDescent="0.2">
      <c r="A68" s="4">
        <f>IF(ポートフォリオ実績!A69="","", ポートフォリオ実績!A69)</f>
        <v>45535</v>
      </c>
      <c r="B68" t="str">
        <f>IF(ポートフォリオ実績!B69="","", ポートフォリオ実績!B69)</f>
        <v>国内債券（変動/ASW）</v>
      </c>
      <c r="C68" s="10">
        <f>IF(ポートフォリオ実績!C69="","", ポートフォリオ実績!C69)</f>
        <v>17337.61</v>
      </c>
      <c r="D68" s="10">
        <f>IF(ポートフォリオ実績!D69="","", ポートフォリオ実績!D69)</f>
        <v>18401.12</v>
      </c>
      <c r="E68" s="10">
        <f>IF(ポートフォリオ実績!E69="","", ポートフォリオ実績!E69)</f>
        <v>22.94</v>
      </c>
      <c r="F68" s="10">
        <f>IF(ポートフォリオ実績!F69="","", ポートフォリオ実績!F69)</f>
        <v>0</v>
      </c>
      <c r="G68">
        <f t="shared" si="11"/>
        <v>45504</v>
      </c>
      <c r="H68">
        <f>IF(B68&lt;&gt;"", SUMIFS(ポートフォリオ実績!$D$2:$D$2001, ポートフォリオ実績!$B$2:$B$2001, B68, ポートフォリオ実績!$A$2:$A$2001, G68), 0)</f>
        <v>18262.060000000001</v>
      </c>
      <c r="I68">
        <f>IF(B68&lt;&gt;"", SUMIFS(ポートフォリオ実績!$C$2:$C$2001, ポートフォリオ実績!$B$2:$B$2001, B68, ポートフォリオ実績!$A$2:$A$2001, G68), 0)</f>
        <v>17247.009999999998</v>
      </c>
      <c r="J68">
        <f t="shared" si="12"/>
        <v>1063.5099999999984</v>
      </c>
      <c r="K68">
        <f t="shared" si="13"/>
        <v>1015.0500000000029</v>
      </c>
      <c r="L68">
        <f t="shared" si="14"/>
        <v>48.459999999995489</v>
      </c>
      <c r="M68">
        <f t="shared" si="15"/>
        <v>71.399999999995487</v>
      </c>
      <c r="N68">
        <f t="shared" si="16"/>
        <v>67.660000000002185</v>
      </c>
      <c r="O68">
        <f t="shared" si="17"/>
        <v>18295.890000000003</v>
      </c>
      <c r="P68">
        <f t="shared" si="18"/>
        <v>3.9025158109277807E-3</v>
      </c>
      <c r="Q68" t="str">
        <f>IF(B68="","", IFERROR(VLOOKUP(B68, '基準資産配分（設定）'!$A$2:$C$2001, 3, FALSE), ""))</f>
        <v>TONA複利</v>
      </c>
      <c r="R68">
        <f>IF(B68="","", IFERROR(VLOOKUP(B68, '基準資産配分（設定）'!$A$2:$C$2001, 2, FALSE)/100, 0))</f>
        <v>0.15620000000000001</v>
      </c>
      <c r="S68">
        <f>IF(B68="","", IFERROR(SUMIFS(ベンチマークリターン!$C$2:$C$2001, ベンチマークリターン!$A$2:$A$2001, A68, ベンチマークリターン!$B$2:$B$2001, Q68) / 100, 0))</f>
        <v>1.1000000000000001E-3</v>
      </c>
      <c r="T68">
        <f>IF(A68="","", SUMIFS($H$2:$H$2000, $A$2:$A$2000, A68))</f>
        <v>136612.22</v>
      </c>
      <c r="U68">
        <f t="shared" si="19"/>
        <v>0.13367808531330508</v>
      </c>
      <c r="V68">
        <f t="shared" si="20"/>
        <v>5.2168084150972579E-4</v>
      </c>
      <c r="W68">
        <f t="shared" si="21"/>
        <v>1.7182000000000002E-4</v>
      </c>
    </row>
    <row r="69" spans="1:23" x14ac:dyDescent="0.2">
      <c r="A69" s="4">
        <f>IF(ポートフォリオ実績!A70="","", ポートフォリオ実績!A70)</f>
        <v>45565</v>
      </c>
      <c r="B69" t="str">
        <f>IF(ポートフォリオ実績!B70="","", ポートフォリオ実績!B70)</f>
        <v>国内債券（変動/ASW）</v>
      </c>
      <c r="C69" s="10">
        <f>IF(ポートフォリオ実績!C70="","", ポートフォリオ実績!C70)</f>
        <v>17379.78</v>
      </c>
      <c r="D69" s="10">
        <f>IF(ポートフォリオ実績!D70="","", ポートフォリオ実績!D70)</f>
        <v>18443.25</v>
      </c>
      <c r="E69" s="10">
        <f>IF(ポートフォリオ実績!E70="","", ポートフォリオ実績!E70)</f>
        <v>23.05</v>
      </c>
      <c r="F69" s="10">
        <f>IF(ポートフォリオ実績!F70="","", ポートフォリオ実績!F70)</f>
        <v>0</v>
      </c>
      <c r="G69">
        <f t="shared" si="11"/>
        <v>45535</v>
      </c>
      <c r="H69">
        <f>IF(B69&lt;&gt;"", SUMIFS(ポートフォリオ実績!$D$2:$D$2001, ポートフォリオ実績!$B$2:$B$2001, B69, ポートフォリオ実績!$A$2:$A$2001, G69), 0)</f>
        <v>18401.12</v>
      </c>
      <c r="I69">
        <f>IF(B69&lt;&gt;"", SUMIFS(ポートフォリオ実績!$C$2:$C$2001, ポートフォリオ実績!$B$2:$B$2001, B69, ポートフォリオ実績!$A$2:$A$2001, G69), 0)</f>
        <v>17337.61</v>
      </c>
      <c r="J69">
        <f t="shared" si="12"/>
        <v>1063.4700000000012</v>
      </c>
      <c r="K69">
        <f t="shared" si="13"/>
        <v>1063.5099999999984</v>
      </c>
      <c r="L69">
        <f t="shared" si="14"/>
        <v>-3.9999999997235136E-2</v>
      </c>
      <c r="M69">
        <f t="shared" si="15"/>
        <v>23.010000000002766</v>
      </c>
      <c r="N69">
        <f t="shared" si="16"/>
        <v>19.119999999998253</v>
      </c>
      <c r="O69">
        <f t="shared" si="17"/>
        <v>18410.679999999997</v>
      </c>
      <c r="P69">
        <f t="shared" si="18"/>
        <v>1.2498180403984411E-3</v>
      </c>
      <c r="Q69" t="str">
        <f>IF(B69="","", IFERROR(VLOOKUP(B69, '基準資産配分（設定）'!$A$2:$C$2001, 3, FALSE), ""))</f>
        <v>TONA複利</v>
      </c>
      <c r="R69">
        <f>IF(B69="","", IFERROR(VLOOKUP(B69, '基準資産配分（設定）'!$A$2:$C$2001, 2, FALSE)/100, 0))</f>
        <v>0.15620000000000001</v>
      </c>
      <c r="S69">
        <f>IF(B69="","", IFERROR(SUMIFS(ベンチマークリターン!$C$2:$C$2001, ベンチマークリターン!$A$2:$A$2001, A69, ベンチマークリターン!$B$2:$B$2001, Q69) / 100, 0))</f>
        <v>-4.0599999999999995E-4</v>
      </c>
      <c r="T69">
        <f>IF(A69="","", SUMIFS($H$2:$H$2000, $A$2:$A$2000, A69))</f>
        <v>140301.49</v>
      </c>
      <c r="U69">
        <f t="shared" si="19"/>
        <v>0.13115413100744688</v>
      </c>
      <c r="V69">
        <f t="shared" si="20"/>
        <v>1.639187990058877E-4</v>
      </c>
      <c r="W69">
        <f t="shared" si="21"/>
        <v>-6.3417199999999993E-5</v>
      </c>
    </row>
    <row r="70" spans="1:23" x14ac:dyDescent="0.2">
      <c r="A70" s="4">
        <f>IF(ポートフォリオ実績!A71="","", ポートフォリオ実績!A71)</f>
        <v>45596</v>
      </c>
      <c r="B70" t="str">
        <f>IF(ポートフォリオ実績!B71="","", ポートフォリオ実績!B71)</f>
        <v>国内債券（変動/ASW）</v>
      </c>
      <c r="C70" s="10">
        <f>IF(ポートフォリオ実績!C71="","", ポートフォリオ実績!C71)</f>
        <v>17244.689999999999</v>
      </c>
      <c r="D70" s="10">
        <f>IF(ポートフォリオ実績!D71="","", ポートフォリオ実績!D71)</f>
        <v>18307.54</v>
      </c>
      <c r="E70" s="10">
        <f>IF(ポートフォリオ実績!E71="","", ポートフォリオ実績!E71)</f>
        <v>22.89</v>
      </c>
      <c r="F70" s="10">
        <f>IF(ポートフォリオ実績!F71="","", ポートフォリオ実績!F71)</f>
        <v>0</v>
      </c>
      <c r="G70">
        <f t="shared" si="11"/>
        <v>45565</v>
      </c>
      <c r="H70">
        <f>IF(B70&lt;&gt;"", SUMIFS(ポートフォリオ実績!$D$2:$D$2001, ポートフォリオ実績!$B$2:$B$2001, B70, ポートフォリオ実績!$A$2:$A$2001, G70), 0)</f>
        <v>18443.25</v>
      </c>
      <c r="I70">
        <f>IF(B70&lt;&gt;"", SUMIFS(ポートフォリオ実績!$C$2:$C$2001, ポートフォリオ実績!$B$2:$B$2001, B70, ポートフォリオ実績!$A$2:$A$2001, G70), 0)</f>
        <v>17379.78</v>
      </c>
      <c r="J70">
        <f t="shared" si="12"/>
        <v>1062.8500000000022</v>
      </c>
      <c r="K70">
        <f t="shared" si="13"/>
        <v>1063.4700000000012</v>
      </c>
      <c r="L70">
        <f t="shared" si="14"/>
        <v>-0.61999999999898137</v>
      </c>
      <c r="M70">
        <f t="shared" si="15"/>
        <v>22.270000000001019</v>
      </c>
      <c r="N70">
        <f t="shared" si="16"/>
        <v>-157.98000000000013</v>
      </c>
      <c r="O70">
        <f t="shared" si="17"/>
        <v>18364.259999999998</v>
      </c>
      <c r="P70">
        <f t="shared" si="18"/>
        <v>1.2126815891302465E-3</v>
      </c>
      <c r="Q70" t="str">
        <f>IF(B70="","", IFERROR(VLOOKUP(B70, '基準資産配分（設定）'!$A$2:$C$2001, 3, FALSE), ""))</f>
        <v>TONA複利</v>
      </c>
      <c r="R70">
        <f>IF(B70="","", IFERROR(VLOOKUP(B70, '基準資産配分（設定）'!$A$2:$C$2001, 2, FALSE)/100, 0))</f>
        <v>0.15620000000000001</v>
      </c>
      <c r="S70">
        <f>IF(B70="","", IFERROR(SUMIFS(ベンチマークリターン!$C$2:$C$2001, ベンチマークリターン!$A$2:$A$2001, A70, ベンチマークリターン!$B$2:$B$2001, Q70) / 100, 0))</f>
        <v>1.8440000000000002E-3</v>
      </c>
      <c r="T70">
        <f>IF(A70="","", SUMIFS($H$2:$H$2000, $A$2:$A$2000, A70))</f>
        <v>140341.03999999998</v>
      </c>
      <c r="U70">
        <f t="shared" si="19"/>
        <v>0.13141736729327361</v>
      </c>
      <c r="V70">
        <f t="shared" si="20"/>
        <v>1.5936742180852032E-4</v>
      </c>
      <c r="W70">
        <f t="shared" si="21"/>
        <v>2.8803280000000003E-4</v>
      </c>
    </row>
    <row r="71" spans="1:23" x14ac:dyDescent="0.2">
      <c r="A71" s="4">
        <f>IF(ポートフォリオ実績!A72="","", ポートフォリオ実績!A72)</f>
        <v>45626</v>
      </c>
      <c r="B71" t="str">
        <f>IF(ポートフォリオ実績!B72="","", ポートフォリオ実績!B72)</f>
        <v>国内債券（変動/ASW）</v>
      </c>
      <c r="C71" s="10">
        <f>IF(ポートフォリオ実績!C72="","", ポートフォリオ実績!C72)</f>
        <v>17216.080000000002</v>
      </c>
      <c r="D71" s="10">
        <f>IF(ポートフォリオ実績!D72="","", ポートフォリオ実績!D72)</f>
        <v>18324.96</v>
      </c>
      <c r="E71" s="10">
        <f>IF(ポートフォリオ実績!E72="","", ポートフォリオ実績!E72)</f>
        <v>22.85</v>
      </c>
      <c r="F71" s="10">
        <f>IF(ポートフォリオ実績!F72="","", ポートフォリオ実績!F72)</f>
        <v>0</v>
      </c>
      <c r="G71">
        <f t="shared" si="11"/>
        <v>45596</v>
      </c>
      <c r="H71">
        <f>IF(B71&lt;&gt;"", SUMIFS(ポートフォリオ実績!$D$2:$D$2001, ポートフォリオ実績!$B$2:$B$2001, B71, ポートフォリオ実績!$A$2:$A$2001, G71), 0)</f>
        <v>18307.54</v>
      </c>
      <c r="I71">
        <f>IF(B71&lt;&gt;"", SUMIFS(ポートフォリオ実績!$C$2:$C$2001, ポートフォリオ実績!$B$2:$B$2001, B71, ポートフォリオ実績!$A$2:$A$2001, G71), 0)</f>
        <v>17244.689999999999</v>
      </c>
      <c r="J71">
        <f t="shared" si="12"/>
        <v>1108.8799999999974</v>
      </c>
      <c r="K71">
        <f t="shared" si="13"/>
        <v>1062.8500000000022</v>
      </c>
      <c r="L71">
        <f t="shared" si="14"/>
        <v>46.029999999995198</v>
      </c>
      <c r="M71">
        <f t="shared" si="15"/>
        <v>68.879999999995192</v>
      </c>
      <c r="N71">
        <f t="shared" si="16"/>
        <v>-51.459999999996938</v>
      </c>
      <c r="O71">
        <f t="shared" si="17"/>
        <v>18281.810000000001</v>
      </c>
      <c r="P71">
        <f t="shared" si="18"/>
        <v>3.767679458434104E-3</v>
      </c>
      <c r="Q71" t="str">
        <f>IF(B71="","", IFERROR(VLOOKUP(B71, '基準資産配分（設定）'!$A$2:$C$2001, 3, FALSE), ""))</f>
        <v>TONA複利</v>
      </c>
      <c r="R71">
        <f>IF(B71="","", IFERROR(VLOOKUP(B71, '基準資産配分（設定）'!$A$2:$C$2001, 2, FALSE)/100, 0))</f>
        <v>0.15620000000000001</v>
      </c>
      <c r="S71">
        <f>IF(B71="","", IFERROR(SUMIFS(ベンチマークリターン!$C$2:$C$2001, ベンチマークリターン!$A$2:$A$2001, A71, ベンチマークリターン!$B$2:$B$2001, Q71) / 100, 0))</f>
        <v>1.9999999999999999E-6</v>
      </c>
      <c r="T71">
        <f>IF(A71="","", SUMIFS($H$2:$H$2000, $A$2:$A$2000, A71))</f>
        <v>138030.65999999997</v>
      </c>
      <c r="U71">
        <f t="shared" si="19"/>
        <v>0.13263386554842238</v>
      </c>
      <c r="V71">
        <f t="shared" si="20"/>
        <v>4.997218907195018E-4</v>
      </c>
      <c r="W71">
        <f t="shared" si="21"/>
        <v>3.1240000000000002E-7</v>
      </c>
    </row>
    <row r="72" spans="1:23" x14ac:dyDescent="0.2">
      <c r="A72" s="4">
        <f>IF(ポートフォリオ実績!A73="","", ポートフォリオ実績!A73)</f>
        <v>45657</v>
      </c>
      <c r="B72" t="str">
        <f>IF(ポートフォリオ実績!B73="","", ポートフォリオ実績!B73)</f>
        <v>国内債券（変動/ASW）</v>
      </c>
      <c r="C72" s="10">
        <f>IF(ポートフォリオ実績!C73="","", ポートフォリオ実績!C73)</f>
        <v>17497.71</v>
      </c>
      <c r="D72" s="10">
        <f>IF(ポートフォリオ実績!D73="","", ポートフォリオ実績!D73)</f>
        <v>18630.2</v>
      </c>
      <c r="E72" s="10">
        <f>IF(ポートフォリオ実績!E73="","", ポートフォリオ実績!E73)</f>
        <v>23.26</v>
      </c>
      <c r="F72" s="10">
        <f>IF(ポートフォリオ実績!F73="","", ポートフォリオ実績!F73)</f>
        <v>0</v>
      </c>
      <c r="G72">
        <f t="shared" si="11"/>
        <v>45626</v>
      </c>
      <c r="H72">
        <f>IF(B72&lt;&gt;"", SUMIFS(ポートフォリオ実績!$D$2:$D$2001, ポートフォリオ実績!$B$2:$B$2001, B72, ポートフォリオ実績!$A$2:$A$2001, G72), 0)</f>
        <v>18324.96</v>
      </c>
      <c r="I72">
        <f>IF(B72&lt;&gt;"", SUMIFS(ポートフォリオ実績!$C$2:$C$2001, ポートフォリオ実績!$B$2:$B$2001, B72, ポートフォリオ実績!$A$2:$A$2001, G72), 0)</f>
        <v>17216.080000000002</v>
      </c>
      <c r="J72">
        <f t="shared" si="12"/>
        <v>1132.4900000000016</v>
      </c>
      <c r="K72">
        <f t="shared" si="13"/>
        <v>1108.8799999999974</v>
      </c>
      <c r="L72">
        <f t="shared" si="14"/>
        <v>23.61000000000422</v>
      </c>
      <c r="M72">
        <f t="shared" si="15"/>
        <v>46.870000000004225</v>
      </c>
      <c r="N72">
        <f t="shared" si="16"/>
        <v>258.36999999999739</v>
      </c>
      <c r="O72">
        <f t="shared" si="17"/>
        <v>18454.144999999997</v>
      </c>
      <c r="P72">
        <f t="shared" si="18"/>
        <v>2.5398088071814885E-3</v>
      </c>
      <c r="Q72" t="str">
        <f>IF(B72="","", IFERROR(VLOOKUP(B72, '基準資産配分（設定）'!$A$2:$C$2001, 3, FALSE), ""))</f>
        <v>TONA複利</v>
      </c>
      <c r="R72">
        <f>IF(B72="","", IFERROR(VLOOKUP(B72, '基準資産配分（設定）'!$A$2:$C$2001, 2, FALSE)/100, 0))</f>
        <v>0.15620000000000001</v>
      </c>
      <c r="S72">
        <f>IF(B72="","", IFERROR(SUMIFS(ベンチマークリターン!$C$2:$C$2001, ベンチマークリターン!$A$2:$A$2001, A72, ベンチマークリターン!$B$2:$B$2001, Q72) / 100, 0))</f>
        <v>1.0090000000000001E-3</v>
      </c>
      <c r="T72">
        <f>IF(A72="","", SUMIFS($H$2:$H$2000, $A$2:$A$2000, A72))</f>
        <v>140420.70000000001</v>
      </c>
      <c r="U72">
        <f t="shared" si="19"/>
        <v>0.13050041767346265</v>
      </c>
      <c r="V72">
        <f t="shared" si="20"/>
        <v>3.3144611014792322E-4</v>
      </c>
      <c r="W72">
        <f t="shared" si="21"/>
        <v>1.5760580000000004E-4</v>
      </c>
    </row>
    <row r="73" spans="1:23" x14ac:dyDescent="0.2">
      <c r="A73" s="4">
        <f>IF(ポートフォリオ実績!A74="","", ポートフォリオ実績!A74)</f>
        <v>45688</v>
      </c>
      <c r="B73" t="str">
        <f>IF(ポートフォリオ実績!B74="","", ポートフォリオ実績!B74)</f>
        <v>国内債券（変動/ASW）</v>
      </c>
      <c r="C73" s="10">
        <f>IF(ポートフォリオ実績!C74="","", ポートフォリオ実績!C74)</f>
        <v>17506.8</v>
      </c>
      <c r="D73" s="10">
        <f>IF(ポートフォリオ実績!D74="","", ポートフォリオ実績!D74)</f>
        <v>18624.75</v>
      </c>
      <c r="E73" s="10">
        <f>IF(ポートフォリオ実績!E74="","", ポートフォリオ実績!E74)</f>
        <v>23.3</v>
      </c>
      <c r="F73" s="10">
        <f>IF(ポートフォリオ実績!F74="","", ポートフォリオ実績!F74)</f>
        <v>0</v>
      </c>
      <c r="G73">
        <f t="shared" si="11"/>
        <v>45657</v>
      </c>
      <c r="H73">
        <f>IF(B73&lt;&gt;"", SUMIFS(ポートフォリオ実績!$D$2:$D$2001, ポートフォリオ実績!$B$2:$B$2001, B73, ポートフォリオ実績!$A$2:$A$2001, G73), 0)</f>
        <v>18630.2</v>
      </c>
      <c r="I73">
        <f>IF(B73&lt;&gt;"", SUMIFS(ポートフォリオ実績!$C$2:$C$2001, ポートフォリオ実績!$B$2:$B$2001, B73, ポートフォリオ実績!$A$2:$A$2001, G73), 0)</f>
        <v>17497.71</v>
      </c>
      <c r="J73">
        <f t="shared" si="12"/>
        <v>1117.9500000000007</v>
      </c>
      <c r="K73">
        <f t="shared" si="13"/>
        <v>1132.4900000000016</v>
      </c>
      <c r="L73">
        <f t="shared" si="14"/>
        <v>-14.540000000000873</v>
      </c>
      <c r="M73">
        <f t="shared" si="15"/>
        <v>8.7599999999991276</v>
      </c>
      <c r="N73">
        <f t="shared" si="16"/>
        <v>-14.209999999999855</v>
      </c>
      <c r="O73">
        <f t="shared" si="17"/>
        <v>18623.095000000001</v>
      </c>
      <c r="P73">
        <f t="shared" si="18"/>
        <v>4.7038368219670933E-4</v>
      </c>
      <c r="Q73" t="str">
        <f>IF(B73="","", IFERROR(VLOOKUP(B73, '基準資産配分（設定）'!$A$2:$C$2001, 3, FALSE), ""))</f>
        <v>TONA複利</v>
      </c>
      <c r="R73">
        <f>IF(B73="","", IFERROR(VLOOKUP(B73, '基準資産配分（設定）'!$A$2:$C$2001, 2, FALSE)/100, 0))</f>
        <v>0.15620000000000001</v>
      </c>
      <c r="S73">
        <f>IF(B73="","", IFERROR(SUMIFS(ベンチマークリターン!$C$2:$C$2001, ベンチマークリターン!$A$2:$A$2001, A73, ベンチマークリターン!$B$2:$B$2001, Q73) / 100, 0))</f>
        <v>4.5279999999999999E-3</v>
      </c>
      <c r="T73">
        <f>IF(A73="","", SUMIFS($H$2:$H$2000, $A$2:$A$2000, A73))</f>
        <v>142763.42000000001</v>
      </c>
      <c r="U73">
        <f t="shared" si="19"/>
        <v>0.13049701387092014</v>
      </c>
      <c r="V73">
        <f t="shared" si="20"/>
        <v>6.1383665900278472E-5</v>
      </c>
      <c r="W73">
        <f t="shared" si="21"/>
        <v>7.072736E-4</v>
      </c>
    </row>
    <row r="74" spans="1:23" x14ac:dyDescent="0.2">
      <c r="A74" s="4">
        <f>IF(ポートフォリオ実績!A75="","", ポートフォリオ実績!A75)</f>
        <v>45716</v>
      </c>
      <c r="B74" t="str">
        <f>IF(ポートフォリオ実績!B75="","", ポートフォリオ実績!B75)</f>
        <v>国内債券（変動/ASW）</v>
      </c>
      <c r="C74" s="10">
        <f>IF(ポートフォリオ実績!C75="","", ポートフォリオ実績!C75)</f>
        <v>17612.18</v>
      </c>
      <c r="D74" s="10">
        <f>IF(ポートフォリオ実績!D75="","", ポートフォリオ実績!D75)</f>
        <v>18724.59</v>
      </c>
      <c r="E74" s="10">
        <f>IF(ポートフォリオ実績!E75="","", ポートフォリオ実績!E75)</f>
        <v>23.41</v>
      </c>
      <c r="F74" s="10">
        <f>IF(ポートフォリオ実績!F75="","", ポートフォリオ実績!F75)</f>
        <v>0</v>
      </c>
      <c r="G74">
        <f t="shared" si="11"/>
        <v>45688</v>
      </c>
      <c r="H74">
        <f>IF(B74&lt;&gt;"", SUMIFS(ポートフォリオ実績!$D$2:$D$2001, ポートフォリオ実績!$B$2:$B$2001, B74, ポートフォリオ実績!$A$2:$A$2001, G74), 0)</f>
        <v>18624.75</v>
      </c>
      <c r="I74">
        <f>IF(B74&lt;&gt;"", SUMIFS(ポートフォリオ実績!$C$2:$C$2001, ポートフォリオ実績!$B$2:$B$2001, B74, ポートフォリオ実績!$A$2:$A$2001, G74), 0)</f>
        <v>17506.8</v>
      </c>
      <c r="J74">
        <f t="shared" si="12"/>
        <v>1112.4099999999999</v>
      </c>
      <c r="K74">
        <f t="shared" si="13"/>
        <v>1117.9500000000007</v>
      </c>
      <c r="L74">
        <f t="shared" si="14"/>
        <v>-5.5400000000008731</v>
      </c>
      <c r="M74">
        <f t="shared" si="15"/>
        <v>17.869999999999127</v>
      </c>
      <c r="N74">
        <f t="shared" si="16"/>
        <v>81.970000000001022</v>
      </c>
      <c r="O74">
        <f t="shared" si="17"/>
        <v>18665.735000000001</v>
      </c>
      <c r="P74">
        <f t="shared" si="18"/>
        <v>9.5736921155256552E-4</v>
      </c>
      <c r="Q74" t="str">
        <f>IF(B74="","", IFERROR(VLOOKUP(B74, '基準資産配分（設定）'!$A$2:$C$2001, 3, FALSE), ""))</f>
        <v>TONA複利</v>
      </c>
      <c r="R74">
        <f>IF(B74="","", IFERROR(VLOOKUP(B74, '基準資産配分（設定）'!$A$2:$C$2001, 2, FALSE)/100, 0))</f>
        <v>0.15620000000000001</v>
      </c>
      <c r="S74">
        <f>IF(B74="","", IFERROR(SUMIFS(ベンチマークリターン!$C$2:$C$2001, ベンチマークリターン!$A$2:$A$2001, A74, ベンチマークリターン!$B$2:$B$2001, Q74) / 100, 0))</f>
        <v>6.9500000000000009E-4</v>
      </c>
      <c r="T74">
        <f>IF(A74="","", SUMIFS($H$2:$H$2000, $A$2:$A$2000, A74))</f>
        <v>145068.1</v>
      </c>
      <c r="U74">
        <f t="shared" si="19"/>
        <v>0.12838625445566598</v>
      </c>
      <c r="V74">
        <f t="shared" si="20"/>
        <v>1.2291304720240799E-4</v>
      </c>
      <c r="W74">
        <f t="shared" si="21"/>
        <v>1.0855900000000002E-4</v>
      </c>
    </row>
    <row r="75" spans="1:23" x14ac:dyDescent="0.2">
      <c r="A75" s="4">
        <f>IF(ポートフォリオ実績!A76="","", ポートフォリオ実績!A76)</f>
        <v>45747</v>
      </c>
      <c r="B75" t="str">
        <f>IF(ポートフォリオ実績!B76="","", ポートフォリオ実績!B76)</f>
        <v>国内債券（変動/ASW）</v>
      </c>
      <c r="C75" s="10">
        <f>IF(ポートフォリオ実績!C76="","", ポートフォリオ実績!C76)</f>
        <v>17766.41</v>
      </c>
      <c r="D75" s="10">
        <f>IF(ポートフォリオ実績!D76="","", ポートフォリオ実績!D76)</f>
        <v>18899.04</v>
      </c>
      <c r="E75" s="10">
        <f>IF(ポートフォリオ実績!E76="","", ポートフォリオ実績!E76)</f>
        <v>23.6</v>
      </c>
      <c r="F75" s="10">
        <f>IF(ポートフォリオ実績!F76="","", ポートフォリオ実績!F76)</f>
        <v>0</v>
      </c>
      <c r="G75">
        <f t="shared" si="11"/>
        <v>45716</v>
      </c>
      <c r="H75">
        <f>IF(B75&lt;&gt;"", SUMIFS(ポートフォリオ実績!$D$2:$D$2001, ポートフォリオ実績!$B$2:$B$2001, B75, ポートフォリオ実績!$A$2:$A$2001, G75), 0)</f>
        <v>18724.59</v>
      </c>
      <c r="I75">
        <f>IF(B75&lt;&gt;"", SUMIFS(ポートフォリオ実績!$C$2:$C$2001, ポートフォリオ実績!$B$2:$B$2001, B75, ポートフォリオ実績!$A$2:$A$2001, G75), 0)</f>
        <v>17612.18</v>
      </c>
      <c r="J75">
        <f t="shared" si="12"/>
        <v>1132.630000000001</v>
      </c>
      <c r="K75">
        <f t="shared" si="13"/>
        <v>1112.4099999999999</v>
      </c>
      <c r="L75">
        <f t="shared" si="14"/>
        <v>20.220000000001164</v>
      </c>
      <c r="M75">
        <f t="shared" si="15"/>
        <v>43.820000000001166</v>
      </c>
      <c r="N75">
        <f t="shared" si="16"/>
        <v>130.62999999999957</v>
      </c>
      <c r="O75">
        <f t="shared" si="17"/>
        <v>18789.904999999999</v>
      </c>
      <c r="P75">
        <f t="shared" si="18"/>
        <v>2.3321033288886328E-3</v>
      </c>
      <c r="Q75" t="str">
        <f>IF(B75="","", IFERROR(VLOOKUP(B75, '基準資産配分（設定）'!$A$2:$C$2001, 3, FALSE), ""))</f>
        <v>TONA複利</v>
      </c>
      <c r="R75">
        <f>IF(B75="","", IFERROR(VLOOKUP(B75, '基準資産配分（設定）'!$A$2:$C$2001, 2, FALSE)/100, 0))</f>
        <v>0.15620000000000001</v>
      </c>
      <c r="S75">
        <f>IF(B75="","", IFERROR(SUMIFS(ベンチマークリターン!$C$2:$C$2001, ベンチマークリターン!$A$2:$A$2001, A75, ベンチマークリターン!$B$2:$B$2001, Q75) / 100, 0))</f>
        <v>2.4919999999999999E-3</v>
      </c>
      <c r="T75">
        <f>IF(A75="","", SUMIFS($H$2:$H$2000, $A$2:$A$2000, A75))</f>
        <v>143923.46</v>
      </c>
      <c r="U75">
        <f t="shared" si="19"/>
        <v>0.13010102730993267</v>
      </c>
      <c r="V75">
        <f t="shared" si="20"/>
        <v>3.034090388813249E-4</v>
      </c>
      <c r="W75">
        <f t="shared" si="21"/>
        <v>3.8925039999999998E-4</v>
      </c>
    </row>
    <row r="76" spans="1:23" x14ac:dyDescent="0.2">
      <c r="A76" s="4">
        <f>IF(ポートフォリオ実績!A77="","", ポートフォリオ実績!A77)</f>
        <v>44651</v>
      </c>
      <c r="B76" t="str">
        <f>IF(ポートフォリオ実績!B77="","", ポートフォリオ実績!B77)</f>
        <v>外国債券（為替ヘッジ有・固定）</v>
      </c>
      <c r="C76" s="10">
        <f>IF(ポートフォリオ実績!C77="","", ポートフォリオ実績!C77)</f>
        <v>29400</v>
      </c>
      <c r="D76" s="10">
        <f>IF(ポートフォリオ実績!D77="","", ポートフォリオ実績!D77)</f>
        <v>29781.66</v>
      </c>
      <c r="E76" s="10">
        <f>IF(ポートフォリオ実績!E77="","", ポートフォリオ実績!E77)</f>
        <v>0</v>
      </c>
      <c r="F76" s="10">
        <f>IF(ポートフォリオ実績!F77="","", ポートフォリオ実績!F77)</f>
        <v>0</v>
      </c>
      <c r="G76">
        <f t="shared" si="11"/>
        <v>44620</v>
      </c>
      <c r="H76">
        <f>IF(B76&lt;&gt;"", SUMIFS(ポートフォリオ実績!$D$2:$D$2001, ポートフォリオ実績!$B$2:$B$2001, B76, ポートフォリオ実績!$A$2:$A$2001, G76), 0)</f>
        <v>0</v>
      </c>
      <c r="I76">
        <f>IF(B76&lt;&gt;"", SUMIFS(ポートフォリオ実績!$C$2:$C$2001, ポートフォリオ実績!$B$2:$B$2001, B76, ポートフォリオ実績!$A$2:$A$2001, G76), 0)</f>
        <v>0</v>
      </c>
      <c r="J76">
        <f t="shared" si="12"/>
        <v>381.65999999999985</v>
      </c>
      <c r="K76">
        <f t="shared" si="13"/>
        <v>0</v>
      </c>
      <c r="L76">
        <f t="shared" si="14"/>
        <v>0</v>
      </c>
      <c r="M76">
        <f t="shared" si="15"/>
        <v>0</v>
      </c>
      <c r="N76">
        <f t="shared" si="16"/>
        <v>0</v>
      </c>
      <c r="O76">
        <f t="shared" si="17"/>
        <v>0</v>
      </c>
      <c r="P76">
        <f t="shared" si="18"/>
        <v>0</v>
      </c>
      <c r="Q76" t="str">
        <f>IF(B76="","", IFERROR(VLOOKUP(B76, '基準資産配分（設定）'!$A$2:$C$2001, 3, FALSE), ""))</f>
        <v>FTSE世界国債（除日、円H）</v>
      </c>
      <c r="R76">
        <f>IF(B76="","", IFERROR(VLOOKUP(B76, '基準資産配分（設定）'!$A$2:$C$2001, 2, FALSE)/100, 0))</f>
        <v>0.23440000000000003</v>
      </c>
      <c r="S76">
        <f>IF(B76="","", IFERROR(SUMIFS(ベンチマークリターン!$C$2:$C$2001, ベンチマークリターン!$A$2:$A$2001, A76, ベンチマークリターン!$B$2:$B$2001, Q76) / 100, 0))</f>
        <v>0</v>
      </c>
      <c r="T76">
        <f>IF(A76="","", SUMIFS($H$2:$H$2000, $A$2:$A$2000, A76))</f>
        <v>0</v>
      </c>
      <c r="U76">
        <f t="shared" si="19"/>
        <v>0</v>
      </c>
      <c r="V76">
        <f t="shared" si="20"/>
        <v>0</v>
      </c>
      <c r="W76">
        <f t="shared" si="21"/>
        <v>0</v>
      </c>
    </row>
    <row r="77" spans="1:23" x14ac:dyDescent="0.2">
      <c r="A77" s="4">
        <f>IF(ポートフォリオ実績!A78="","", ポートフォリオ実績!A78)</f>
        <v>44681</v>
      </c>
      <c r="B77" t="str">
        <f>IF(ポートフォリオ実績!B78="","", ポートフォリオ実績!B78)</f>
        <v>外国債券（為替ヘッジ有・固定）</v>
      </c>
      <c r="C77" s="10">
        <f>IF(ポートフォリオ実績!C78="","", ポートフォリオ実績!C78)</f>
        <v>29391.11</v>
      </c>
      <c r="D77" s="10">
        <f>IF(ポートフォリオ実績!D78="","", ポートフォリオ実績!D78)</f>
        <v>29326.42</v>
      </c>
      <c r="E77" s="10">
        <f>IF(ポートフォリオ実績!E78="","", ポートフォリオ実績!E78)</f>
        <v>59.55</v>
      </c>
      <c r="F77" s="10">
        <f>IF(ポートフォリオ実績!F78="","", ポートフォリオ実績!F78)</f>
        <v>0</v>
      </c>
      <c r="G77">
        <f t="shared" si="11"/>
        <v>44651</v>
      </c>
      <c r="H77">
        <f>IF(B77&lt;&gt;"", SUMIFS(ポートフォリオ実績!$D$2:$D$2001, ポートフォリオ実績!$B$2:$B$2001, B77, ポートフォリオ実績!$A$2:$A$2001, G77), 0)</f>
        <v>29781.66</v>
      </c>
      <c r="I77">
        <f>IF(B77&lt;&gt;"", SUMIFS(ポートフォリオ実績!$C$2:$C$2001, ポートフォリオ実績!$B$2:$B$2001, B77, ポートフォリオ実績!$A$2:$A$2001, G77), 0)</f>
        <v>29400</v>
      </c>
      <c r="J77">
        <f t="shared" si="12"/>
        <v>-64.690000000002328</v>
      </c>
      <c r="K77">
        <f t="shared" si="13"/>
        <v>381.65999999999985</v>
      </c>
      <c r="L77">
        <f t="shared" si="14"/>
        <v>-446.35000000000218</v>
      </c>
      <c r="M77">
        <f t="shared" si="15"/>
        <v>-386.80000000000217</v>
      </c>
      <c r="N77">
        <f t="shared" si="16"/>
        <v>-68.439999999999429</v>
      </c>
      <c r="O77">
        <f t="shared" si="17"/>
        <v>29747.439999999999</v>
      </c>
      <c r="P77">
        <f t="shared" si="18"/>
        <v>-1.3002799568635223E-2</v>
      </c>
      <c r="Q77" t="str">
        <f>IF(B77="","", IFERROR(VLOOKUP(B77, '基準資産配分（設定）'!$A$2:$C$2001, 3, FALSE), ""))</f>
        <v>FTSE世界国債（除日、円H）</v>
      </c>
      <c r="R77">
        <f>IF(B77="","", IFERROR(VLOOKUP(B77, '基準資産配分（設定）'!$A$2:$C$2001, 2, FALSE)/100, 0))</f>
        <v>0.23440000000000003</v>
      </c>
      <c r="S77">
        <f>IF(B77="","", IFERROR(SUMIFS(ベンチマークリターン!$C$2:$C$2001, ベンチマークリターン!$A$2:$A$2001, A77, ベンチマークリターン!$B$2:$B$2001, Q77) / 100, 0))</f>
        <v>-6.0360000000000006E-3</v>
      </c>
      <c r="T77">
        <f>IF(A77="","", SUMIFS($H$2:$H$2000, $A$2:$A$2000, A77))</f>
        <v>139117.94</v>
      </c>
      <c r="U77">
        <f t="shared" si="19"/>
        <v>0.21407490651457317</v>
      </c>
      <c r="V77">
        <f t="shared" si="20"/>
        <v>-2.7835731020833176E-3</v>
      </c>
      <c r="W77">
        <f t="shared" si="21"/>
        <v>-1.4148384000000002E-3</v>
      </c>
    </row>
    <row r="78" spans="1:23" x14ac:dyDescent="0.2">
      <c r="A78" s="4">
        <f>IF(ポートフォリオ実績!A79="","", ポートフォリオ実績!A79)</f>
        <v>44712</v>
      </c>
      <c r="B78" t="str">
        <f>IF(ポートフォリオ実績!B79="","", ポートフォリオ実績!B79)</f>
        <v>外国債券（為替ヘッジ有・固定）</v>
      </c>
      <c r="C78" s="10">
        <f>IF(ポートフォリオ実績!C79="","", ポートフォリオ実績!C79)</f>
        <v>29721.55</v>
      </c>
      <c r="D78" s="10">
        <f>IF(ポートフォリオ実績!D79="","", ポートフォリオ実績!D79)</f>
        <v>30024.28</v>
      </c>
      <c r="E78" s="10">
        <f>IF(ポートフォリオ実績!E79="","", ポートフォリオ実績!E79)</f>
        <v>59.31</v>
      </c>
      <c r="F78" s="10">
        <f>IF(ポートフォリオ実績!F79="","", ポートフォリオ実績!F79)</f>
        <v>0</v>
      </c>
      <c r="G78">
        <f t="shared" si="11"/>
        <v>44681</v>
      </c>
      <c r="H78">
        <f>IF(B78&lt;&gt;"", SUMIFS(ポートフォリオ実績!$D$2:$D$2001, ポートフォリオ実績!$B$2:$B$2001, B78, ポートフォリオ実績!$A$2:$A$2001, G78), 0)</f>
        <v>29326.42</v>
      </c>
      <c r="I78">
        <f>IF(B78&lt;&gt;"", SUMIFS(ポートフォリオ実績!$C$2:$C$2001, ポートフォリオ実績!$B$2:$B$2001, B78, ポートフォリオ実績!$A$2:$A$2001, G78), 0)</f>
        <v>29391.11</v>
      </c>
      <c r="J78">
        <f t="shared" si="12"/>
        <v>302.72999999999956</v>
      </c>
      <c r="K78">
        <f t="shared" si="13"/>
        <v>-64.690000000002328</v>
      </c>
      <c r="L78">
        <f t="shared" si="14"/>
        <v>367.42000000000189</v>
      </c>
      <c r="M78">
        <f t="shared" si="15"/>
        <v>426.73000000000189</v>
      </c>
      <c r="N78">
        <f t="shared" si="16"/>
        <v>271.12999999999869</v>
      </c>
      <c r="O78">
        <f t="shared" si="17"/>
        <v>29461.984999999997</v>
      </c>
      <c r="P78">
        <f t="shared" si="18"/>
        <v>1.4484088563618573E-2</v>
      </c>
      <c r="Q78" t="str">
        <f>IF(B78="","", IFERROR(VLOOKUP(B78, '基準資産配分（設定）'!$A$2:$C$2001, 3, FALSE), ""))</f>
        <v>FTSE世界国債（除日、円H）</v>
      </c>
      <c r="R78">
        <f>IF(B78="","", IFERROR(VLOOKUP(B78, '基準資産配分（設定）'!$A$2:$C$2001, 2, FALSE)/100, 0))</f>
        <v>0.23440000000000003</v>
      </c>
      <c r="S78">
        <f>IF(B78="","", IFERROR(SUMIFS(ベンチマークリターン!$C$2:$C$2001, ベンチマークリターン!$A$2:$A$2001, A78, ベンチマークリターン!$B$2:$B$2001, Q78) / 100, 0))</f>
        <v>1.6789999999999999E-3</v>
      </c>
      <c r="T78">
        <f>IF(A78="","", SUMIFS($H$2:$H$2000, $A$2:$A$2000, A78))</f>
        <v>139899.38</v>
      </c>
      <c r="U78">
        <f t="shared" si="19"/>
        <v>0.20962508911762151</v>
      </c>
      <c r="V78">
        <f t="shared" si="20"/>
        <v>3.036228355936066E-3</v>
      </c>
      <c r="W78">
        <f t="shared" si="21"/>
        <v>3.9355760000000004E-4</v>
      </c>
    </row>
    <row r="79" spans="1:23" x14ac:dyDescent="0.2">
      <c r="A79" s="4">
        <f>IF(ポートフォリオ実績!A80="","", ポートフォリオ実績!A80)</f>
        <v>44742</v>
      </c>
      <c r="B79" t="str">
        <f>IF(ポートフォリオ実績!B80="","", ポートフォリオ実績!B80)</f>
        <v>外国債券（為替ヘッジ有・固定）</v>
      </c>
      <c r="C79" s="10">
        <f>IF(ポートフォリオ実績!C80="","", ポートフォリオ実績!C80)</f>
        <v>29581.279999999999</v>
      </c>
      <c r="D79" s="10">
        <f>IF(ポートフォリオ実績!D80="","", ポートフォリオ実績!D80)</f>
        <v>29990.63</v>
      </c>
      <c r="E79" s="10">
        <f>IF(ポートフォリオ実績!E80="","", ポートフォリオ実績!E80)</f>
        <v>59.77</v>
      </c>
      <c r="F79" s="10">
        <f>IF(ポートフォリオ実績!F80="","", ポートフォリオ実績!F80)</f>
        <v>0</v>
      </c>
      <c r="G79">
        <f t="shared" si="11"/>
        <v>44712</v>
      </c>
      <c r="H79">
        <f>IF(B79&lt;&gt;"", SUMIFS(ポートフォリオ実績!$D$2:$D$2001, ポートフォリオ実績!$B$2:$B$2001, B79, ポートフォリオ実績!$A$2:$A$2001, G79), 0)</f>
        <v>30024.28</v>
      </c>
      <c r="I79">
        <f>IF(B79&lt;&gt;"", SUMIFS(ポートフォリオ実績!$C$2:$C$2001, ポートフォリオ実績!$B$2:$B$2001, B79, ポートフォリオ実績!$A$2:$A$2001, G79), 0)</f>
        <v>29721.55</v>
      </c>
      <c r="J79">
        <f t="shared" si="12"/>
        <v>409.35000000000218</v>
      </c>
      <c r="K79">
        <f t="shared" si="13"/>
        <v>302.72999999999956</v>
      </c>
      <c r="L79">
        <f t="shared" si="14"/>
        <v>106.62000000000262</v>
      </c>
      <c r="M79">
        <f t="shared" si="15"/>
        <v>166.39000000000263</v>
      </c>
      <c r="N79">
        <f t="shared" si="16"/>
        <v>-200.04000000000045</v>
      </c>
      <c r="O79">
        <f t="shared" si="17"/>
        <v>29924.26</v>
      </c>
      <c r="P79">
        <f t="shared" si="18"/>
        <v>5.5603714177059893E-3</v>
      </c>
      <c r="Q79" t="str">
        <f>IF(B79="","", IFERROR(VLOOKUP(B79, '基準資産配分（設定）'!$A$2:$C$2001, 3, FALSE), ""))</f>
        <v>FTSE世界国債（除日、円H）</v>
      </c>
      <c r="R79">
        <f>IF(B79="","", IFERROR(VLOOKUP(B79, '基準資産配分（設定）'!$A$2:$C$2001, 2, FALSE)/100, 0))</f>
        <v>0.23440000000000003</v>
      </c>
      <c r="S79">
        <f>IF(B79="","", IFERROR(SUMIFS(ベンチマークリターン!$C$2:$C$2001, ベンチマークリターン!$A$2:$A$2001, A79, ベンチマークリターン!$B$2:$B$2001, Q79) / 100, 0))</f>
        <v>2.2530999999999999E-2</v>
      </c>
      <c r="T79">
        <f>IF(A79="","", SUMIFS($H$2:$H$2000, $A$2:$A$2000, A79))</f>
        <v>143058.46</v>
      </c>
      <c r="U79">
        <f t="shared" si="19"/>
        <v>0.20987420107835636</v>
      </c>
      <c r="V79">
        <f t="shared" si="20"/>
        <v>1.1669785089899723E-3</v>
      </c>
      <c r="W79">
        <f t="shared" si="21"/>
        <v>5.2812664000000007E-3</v>
      </c>
    </row>
    <row r="80" spans="1:23" x14ac:dyDescent="0.2">
      <c r="A80" s="4">
        <f>IF(ポートフォリオ実績!A81="","", ポートフォリオ実績!A81)</f>
        <v>44773</v>
      </c>
      <c r="B80" t="str">
        <f>IF(ポートフォリオ実績!B81="","", ポートフォリオ実績!B81)</f>
        <v>外国債券（為替ヘッジ有・固定）</v>
      </c>
      <c r="C80" s="10">
        <f>IF(ポートフォリオ実績!C81="","", ポートフォリオ実績!C81)</f>
        <v>30023.37</v>
      </c>
      <c r="D80" s="10">
        <f>IF(ポートフォリオ実績!D81="","", ポートフォリオ実績!D81)</f>
        <v>30562.82</v>
      </c>
      <c r="E80" s="10">
        <f>IF(ポートフォリオ実績!E81="","", ポートフォリオ実績!E81)</f>
        <v>60.87</v>
      </c>
      <c r="F80" s="10">
        <f>IF(ポートフォリオ実績!F81="","", ポートフォリオ実績!F81)</f>
        <v>0</v>
      </c>
      <c r="G80">
        <f t="shared" si="11"/>
        <v>44742</v>
      </c>
      <c r="H80">
        <f>IF(B80&lt;&gt;"", SUMIFS(ポートフォリオ実績!$D$2:$D$2001, ポートフォリオ実績!$B$2:$B$2001, B80, ポートフォリオ実績!$A$2:$A$2001, G80), 0)</f>
        <v>29990.63</v>
      </c>
      <c r="I80">
        <f>IF(B80&lt;&gt;"", SUMIFS(ポートフォリオ実績!$C$2:$C$2001, ポートフォリオ実績!$B$2:$B$2001, B80, ポートフォリオ実績!$A$2:$A$2001, G80), 0)</f>
        <v>29581.279999999999</v>
      </c>
      <c r="J80">
        <f t="shared" si="12"/>
        <v>539.45000000000073</v>
      </c>
      <c r="K80">
        <f t="shared" si="13"/>
        <v>409.35000000000218</v>
      </c>
      <c r="L80">
        <f t="shared" si="14"/>
        <v>130.09999999999854</v>
      </c>
      <c r="M80">
        <f t="shared" si="15"/>
        <v>190.96999999999855</v>
      </c>
      <c r="N80">
        <f t="shared" si="16"/>
        <v>381.22000000000014</v>
      </c>
      <c r="O80">
        <f t="shared" si="17"/>
        <v>30181.24</v>
      </c>
      <c r="P80">
        <f t="shared" si="18"/>
        <v>6.3274404895225823E-3</v>
      </c>
      <c r="Q80" t="str">
        <f>IF(B80="","", IFERROR(VLOOKUP(B80, '基準資産配分（設定）'!$A$2:$C$2001, 3, FALSE), ""))</f>
        <v>FTSE世界国債（除日、円H）</v>
      </c>
      <c r="R80">
        <f>IF(B80="","", IFERROR(VLOOKUP(B80, '基準資産配分（設定）'!$A$2:$C$2001, 2, FALSE)/100, 0))</f>
        <v>0.23440000000000003</v>
      </c>
      <c r="S80">
        <f>IF(B80="","", IFERROR(SUMIFS(ベンチマークリターン!$C$2:$C$2001, ベンチマークリターン!$A$2:$A$2001, A80, ベンチマークリターン!$B$2:$B$2001, Q80) / 100, 0))</f>
        <v>-5.1559999999999991E-3</v>
      </c>
      <c r="T80">
        <f>IF(A80="","", SUMIFS($H$2:$H$2000, $A$2:$A$2000, A80))</f>
        <v>143829.51</v>
      </c>
      <c r="U80">
        <f t="shared" si="19"/>
        <v>0.20851513712311193</v>
      </c>
      <c r="V80">
        <f t="shared" si="20"/>
        <v>1.3193671213111316E-3</v>
      </c>
      <c r="W80">
        <f t="shared" si="21"/>
        <v>-1.2085664E-3</v>
      </c>
    </row>
    <row r="81" spans="1:23" x14ac:dyDescent="0.2">
      <c r="A81" s="4">
        <f>IF(ポートフォリオ実績!A82="","", ポートフォリオ実績!A82)</f>
        <v>44804</v>
      </c>
      <c r="B81" t="str">
        <f>IF(ポートフォリオ実績!B82="","", ポートフォリオ実績!B82)</f>
        <v>外国債券（為替ヘッジ有・固定）</v>
      </c>
      <c r="C81" s="10">
        <f>IF(ポートフォリオ実績!C82="","", ポートフォリオ実績!C82)</f>
        <v>30481.73</v>
      </c>
      <c r="D81" s="10">
        <f>IF(ポートフォリオ実績!D82="","", ポートフォリオ実績!D82)</f>
        <v>31117.13</v>
      </c>
      <c r="E81" s="10">
        <f>IF(ポートフォリオ実績!E82="","", ポートフォリオ実績!E82)</f>
        <v>62.04</v>
      </c>
      <c r="F81" s="10">
        <f>IF(ポートフォリオ実績!F82="","", ポートフォリオ実績!F82)</f>
        <v>0</v>
      </c>
      <c r="G81">
        <f t="shared" si="11"/>
        <v>44773</v>
      </c>
      <c r="H81">
        <f>IF(B81&lt;&gt;"", SUMIFS(ポートフォリオ実績!$D$2:$D$2001, ポートフォリオ実績!$B$2:$B$2001, B81, ポートフォリオ実績!$A$2:$A$2001, G81), 0)</f>
        <v>30562.82</v>
      </c>
      <c r="I81">
        <f>IF(B81&lt;&gt;"", SUMIFS(ポートフォリオ実績!$C$2:$C$2001, ポートフォリオ実績!$B$2:$B$2001, B81, ポートフォリオ実績!$A$2:$A$2001, G81), 0)</f>
        <v>30023.37</v>
      </c>
      <c r="J81">
        <f t="shared" si="12"/>
        <v>635.40000000000146</v>
      </c>
      <c r="K81">
        <f t="shared" si="13"/>
        <v>539.45000000000073</v>
      </c>
      <c r="L81">
        <f t="shared" si="14"/>
        <v>95.950000000000728</v>
      </c>
      <c r="M81">
        <f t="shared" si="15"/>
        <v>157.99000000000072</v>
      </c>
      <c r="N81">
        <f t="shared" si="16"/>
        <v>396.32000000000062</v>
      </c>
      <c r="O81">
        <f t="shared" si="17"/>
        <v>30760.98</v>
      </c>
      <c r="P81">
        <f t="shared" si="18"/>
        <v>5.1360522324061433E-3</v>
      </c>
      <c r="Q81" t="str">
        <f>IF(B81="","", IFERROR(VLOOKUP(B81, '基準資産配分（設定）'!$A$2:$C$2001, 3, FALSE), ""))</f>
        <v>FTSE世界国債（除日、円H）</v>
      </c>
      <c r="R81">
        <f>IF(B81="","", IFERROR(VLOOKUP(B81, '基準資産配分（設定）'!$A$2:$C$2001, 2, FALSE)/100, 0))</f>
        <v>0.23440000000000003</v>
      </c>
      <c r="S81">
        <f>IF(B81="","", IFERROR(SUMIFS(ベンチマークリターン!$C$2:$C$2001, ベンチマークリターン!$A$2:$A$2001, A81, ベンチマークリターン!$B$2:$B$2001, Q81) / 100, 0))</f>
        <v>2.3012000000000001E-2</v>
      </c>
      <c r="T81">
        <f>IF(A81="","", SUMIFS($H$2:$H$2000, $A$2:$A$2000, A81))</f>
        <v>145658.63</v>
      </c>
      <c r="U81">
        <f t="shared" si="19"/>
        <v>0.20982498599636698</v>
      </c>
      <c r="V81">
        <f t="shared" si="20"/>
        <v>1.0776720877412284E-3</v>
      </c>
      <c r="W81">
        <f t="shared" si="21"/>
        <v>5.3940128000000013E-3</v>
      </c>
    </row>
    <row r="82" spans="1:23" x14ac:dyDescent="0.2">
      <c r="A82" s="4">
        <f>IF(ポートフォリオ実績!A83="","", ポートフォリオ実績!A83)</f>
        <v>44834</v>
      </c>
      <c r="B82" t="str">
        <f>IF(ポートフォリオ実績!B83="","", ポートフォリオ実績!B83)</f>
        <v>外国債券（為替ヘッジ有・固定）</v>
      </c>
      <c r="C82" s="10">
        <f>IF(ポートフォリオ実績!C83="","", ポートフォリオ実績!C83)</f>
        <v>30893.03</v>
      </c>
      <c r="D82" s="10">
        <f>IF(ポートフォリオ実績!D83="","", ポートフォリオ実績!D83)</f>
        <v>31990.9</v>
      </c>
      <c r="E82" s="10">
        <f>IF(ポートフォリオ実績!E83="","", ポートフォリオ実績!E83)</f>
        <v>63.06</v>
      </c>
      <c r="F82" s="10">
        <f>IF(ポートフォリオ実績!F83="","", ポートフォリオ実績!F83)</f>
        <v>0</v>
      </c>
      <c r="G82">
        <f t="shared" si="11"/>
        <v>44804</v>
      </c>
      <c r="H82">
        <f>IF(B82&lt;&gt;"", SUMIFS(ポートフォリオ実績!$D$2:$D$2001, ポートフォリオ実績!$B$2:$B$2001, B82, ポートフォリオ実績!$A$2:$A$2001, G82), 0)</f>
        <v>31117.13</v>
      </c>
      <c r="I82">
        <f>IF(B82&lt;&gt;"", SUMIFS(ポートフォリオ実績!$C$2:$C$2001, ポートフォリオ実績!$B$2:$B$2001, B82, ポートフォリオ実績!$A$2:$A$2001, G82), 0)</f>
        <v>30481.73</v>
      </c>
      <c r="J82">
        <f t="shared" si="12"/>
        <v>1097.8700000000026</v>
      </c>
      <c r="K82">
        <f t="shared" si="13"/>
        <v>635.40000000000146</v>
      </c>
      <c r="L82">
        <f t="shared" si="14"/>
        <v>462.47000000000116</v>
      </c>
      <c r="M82">
        <f t="shared" si="15"/>
        <v>525.53000000000111</v>
      </c>
      <c r="N82">
        <f t="shared" si="16"/>
        <v>348.23999999999933</v>
      </c>
      <c r="O82">
        <f t="shared" si="17"/>
        <v>31291.25</v>
      </c>
      <c r="P82">
        <f t="shared" si="18"/>
        <v>1.6794790876043658E-2</v>
      </c>
      <c r="Q82" t="str">
        <f>IF(B82="","", IFERROR(VLOOKUP(B82, '基準資産配分（設定）'!$A$2:$C$2001, 3, FALSE), ""))</f>
        <v>FTSE世界国債（除日、円H）</v>
      </c>
      <c r="R82">
        <f>IF(B82="","", IFERROR(VLOOKUP(B82, '基準資産配分（設定）'!$A$2:$C$2001, 2, FALSE)/100, 0))</f>
        <v>0.23440000000000003</v>
      </c>
      <c r="S82">
        <f>IF(B82="","", IFERROR(SUMIFS(ベンチマークリターン!$C$2:$C$2001, ベンチマークリターン!$A$2:$A$2001, A82, ベンチマークリターン!$B$2:$B$2001, Q82) / 100, 0))</f>
        <v>1.0256000000000001E-2</v>
      </c>
      <c r="T82">
        <f>IF(A82="","", SUMIFS($H$2:$H$2000, $A$2:$A$2000, A82))</f>
        <v>144325.42000000001</v>
      </c>
      <c r="U82">
        <f t="shared" si="19"/>
        <v>0.21560394558352922</v>
      </c>
      <c r="V82">
        <f t="shared" si="20"/>
        <v>3.6210231781252699E-3</v>
      </c>
      <c r="W82">
        <f t="shared" si="21"/>
        <v>2.4040064000000003E-3</v>
      </c>
    </row>
    <row r="83" spans="1:23" x14ac:dyDescent="0.2">
      <c r="A83" s="4">
        <f>IF(ポートフォリオ実績!A84="","", ポートフォリオ実績!A84)</f>
        <v>44865</v>
      </c>
      <c r="B83" t="str">
        <f>IF(ポートフォリオ実績!B84="","", ポートフォリオ実績!B84)</f>
        <v>外国債券（為替ヘッジ有・固定）</v>
      </c>
      <c r="C83" s="10">
        <f>IF(ポートフォリオ実績!C84="","", ポートフォリオ実績!C84)</f>
        <v>31191.09</v>
      </c>
      <c r="D83" s="10">
        <f>IF(ポートフォリオ実績!D84="","", ポートフォリオ実績!D84)</f>
        <v>32144.52</v>
      </c>
      <c r="E83" s="10">
        <f>IF(ポートフォリオ実績!E84="","", ポートフォリオ実績!E84)</f>
        <v>64.58</v>
      </c>
      <c r="F83" s="10">
        <f>IF(ポートフォリオ実績!F84="","", ポートフォリオ実績!F84)</f>
        <v>0</v>
      </c>
      <c r="G83">
        <f t="shared" si="11"/>
        <v>44834</v>
      </c>
      <c r="H83">
        <f>IF(B83&lt;&gt;"", SUMIFS(ポートフォリオ実績!$D$2:$D$2001, ポートフォリオ実績!$B$2:$B$2001, B83, ポートフォリオ実績!$A$2:$A$2001, G83), 0)</f>
        <v>31990.9</v>
      </c>
      <c r="I83">
        <f>IF(B83&lt;&gt;"", SUMIFS(ポートフォリオ実績!$C$2:$C$2001, ポートフォリオ実績!$B$2:$B$2001, B83, ポートフォリオ実績!$A$2:$A$2001, G83), 0)</f>
        <v>30893.03</v>
      </c>
      <c r="J83">
        <f t="shared" si="12"/>
        <v>953.43000000000029</v>
      </c>
      <c r="K83">
        <f t="shared" si="13"/>
        <v>1097.8700000000026</v>
      </c>
      <c r="L83">
        <f t="shared" si="14"/>
        <v>-144.44000000000233</v>
      </c>
      <c r="M83">
        <f t="shared" si="15"/>
        <v>-79.86000000000233</v>
      </c>
      <c r="N83">
        <f t="shared" si="16"/>
        <v>233.48000000000133</v>
      </c>
      <c r="O83">
        <f t="shared" si="17"/>
        <v>32107.640000000003</v>
      </c>
      <c r="P83">
        <f t="shared" si="18"/>
        <v>-2.4872584842735974E-3</v>
      </c>
      <c r="Q83" t="str">
        <f>IF(B83="","", IFERROR(VLOOKUP(B83, '基準資産配分（設定）'!$A$2:$C$2001, 3, FALSE), ""))</f>
        <v>FTSE世界国債（除日、円H）</v>
      </c>
      <c r="R83">
        <f>IF(B83="","", IFERROR(VLOOKUP(B83, '基準資産配分（設定）'!$A$2:$C$2001, 2, FALSE)/100, 0))</f>
        <v>0.23440000000000003</v>
      </c>
      <c r="S83">
        <f>IF(B83="","", IFERROR(SUMIFS(ベンチマークリターン!$C$2:$C$2001, ベンチマークリターン!$A$2:$A$2001, A83, ベンチマークリターン!$B$2:$B$2001, Q83) / 100, 0))</f>
        <v>-4.411E-3</v>
      </c>
      <c r="T83">
        <f>IF(A83="","", SUMIFS($H$2:$H$2000, $A$2:$A$2000, A83))</f>
        <v>145674.57</v>
      </c>
      <c r="U83">
        <f t="shared" si="19"/>
        <v>0.21960524750476354</v>
      </c>
      <c r="V83">
        <f t="shared" si="20"/>
        <v>-5.4621501504722634E-4</v>
      </c>
      <c r="W83">
        <f t="shared" si="21"/>
        <v>-1.0339384E-3</v>
      </c>
    </row>
    <row r="84" spans="1:23" x14ac:dyDescent="0.2">
      <c r="A84" s="4">
        <f>IF(ポートフォリオ実績!A85="","", ポートフォリオ実績!A85)</f>
        <v>44895</v>
      </c>
      <c r="B84" t="str">
        <f>IF(ポートフォリオ実績!B85="","", ポートフォリオ実績!B85)</f>
        <v>外国債券（為替ヘッジ有・固定）</v>
      </c>
      <c r="C84" s="10">
        <f>IF(ポートフォリオ実績!C85="","", ポートフォリオ実績!C85)</f>
        <v>31752.84</v>
      </c>
      <c r="D84" s="10">
        <f>IF(ポートフォリオ実績!D85="","", ポートフォリオ実績!D85)</f>
        <v>34243.050000000003</v>
      </c>
      <c r="E84" s="10">
        <f>IF(ポートフォリオ実績!E85="","", ポートフォリオ実績!E85)</f>
        <v>65.41</v>
      </c>
      <c r="F84" s="10">
        <f>IF(ポートフォリオ実績!F85="","", ポートフォリオ実績!F85)</f>
        <v>0</v>
      </c>
      <c r="G84">
        <f t="shared" si="11"/>
        <v>44865</v>
      </c>
      <c r="H84">
        <f>IF(B84&lt;&gt;"", SUMIFS(ポートフォリオ実績!$D$2:$D$2001, ポートフォリオ実績!$B$2:$B$2001, B84, ポートフォリオ実績!$A$2:$A$2001, G84), 0)</f>
        <v>32144.52</v>
      </c>
      <c r="I84">
        <f>IF(B84&lt;&gt;"", SUMIFS(ポートフォリオ実績!$C$2:$C$2001, ポートフォリオ実績!$B$2:$B$2001, B84, ポートフォリオ実績!$A$2:$A$2001, G84), 0)</f>
        <v>31191.09</v>
      </c>
      <c r="J84">
        <f t="shared" si="12"/>
        <v>2490.2100000000028</v>
      </c>
      <c r="K84">
        <f t="shared" si="13"/>
        <v>953.43000000000029</v>
      </c>
      <c r="L84">
        <f t="shared" si="14"/>
        <v>1536.7800000000025</v>
      </c>
      <c r="M84">
        <f t="shared" si="15"/>
        <v>1602.1900000000026</v>
      </c>
      <c r="N84">
        <f t="shared" si="16"/>
        <v>496.33999999999992</v>
      </c>
      <c r="O84">
        <f t="shared" si="17"/>
        <v>32392.69</v>
      </c>
      <c r="P84">
        <f t="shared" si="18"/>
        <v>4.9461468004046674E-2</v>
      </c>
      <c r="Q84" t="str">
        <f>IF(B84="","", IFERROR(VLOOKUP(B84, '基準資産配分（設定）'!$A$2:$C$2001, 3, FALSE), ""))</f>
        <v>FTSE世界国債（除日、円H）</v>
      </c>
      <c r="R84">
        <f>IF(B84="","", IFERROR(VLOOKUP(B84, '基準資産配分（設定）'!$A$2:$C$2001, 2, FALSE)/100, 0))</f>
        <v>0.23440000000000003</v>
      </c>
      <c r="S84">
        <f>IF(B84="","", IFERROR(SUMIFS(ベンチマークリターン!$C$2:$C$2001, ベンチマークリターン!$A$2:$A$2001, A84, ベンチマークリターン!$B$2:$B$2001, Q84) / 100, 0))</f>
        <v>9.3860000000000002E-3</v>
      </c>
      <c r="T84">
        <f>IF(A84="","", SUMIFS($H$2:$H$2000, $A$2:$A$2000, A84))</f>
        <v>149722.51</v>
      </c>
      <c r="U84">
        <f t="shared" si="19"/>
        <v>0.2146939695307005</v>
      </c>
      <c r="V84">
        <f t="shared" si="20"/>
        <v>1.0619078904604513E-2</v>
      </c>
      <c r="W84">
        <f t="shared" si="21"/>
        <v>2.2000784000000004E-3</v>
      </c>
    </row>
    <row r="85" spans="1:23" x14ac:dyDescent="0.2">
      <c r="A85" s="4">
        <f>IF(ポートフォリオ実績!A86="","", ポートフォリオ実績!A86)</f>
        <v>44926</v>
      </c>
      <c r="B85" t="str">
        <f>IF(ポートフォリオ実績!B86="","", ポートフォリオ実績!B86)</f>
        <v>外国債券（為替ヘッジ有・固定）</v>
      </c>
      <c r="C85" s="10">
        <f>IF(ポートフォリオ実績!C86="","", ポートフォリオ実績!C86)</f>
        <v>31787.56</v>
      </c>
      <c r="D85" s="10">
        <f>IF(ポートフォリオ実績!D86="","", ポートフォリオ実績!D86)</f>
        <v>34754.6</v>
      </c>
      <c r="E85" s="10">
        <f>IF(ポートフォリオ実績!E86="","", ポートフォリオ実績!E86)</f>
        <v>68.56</v>
      </c>
      <c r="F85" s="10">
        <f>IF(ポートフォリオ実績!F86="","", ポートフォリオ実績!F86)</f>
        <v>0</v>
      </c>
      <c r="G85">
        <f t="shared" si="11"/>
        <v>44895</v>
      </c>
      <c r="H85">
        <f>IF(B85&lt;&gt;"", SUMIFS(ポートフォリオ実績!$D$2:$D$2001, ポートフォリオ実績!$B$2:$B$2001, B85, ポートフォリオ実績!$A$2:$A$2001, G85), 0)</f>
        <v>34243.050000000003</v>
      </c>
      <c r="I85">
        <f>IF(B85&lt;&gt;"", SUMIFS(ポートフォリオ実績!$C$2:$C$2001, ポートフォリオ実績!$B$2:$B$2001, B85, ポートフォリオ実績!$A$2:$A$2001, G85), 0)</f>
        <v>31752.84</v>
      </c>
      <c r="J85">
        <f t="shared" si="12"/>
        <v>2967.0399999999972</v>
      </c>
      <c r="K85">
        <f t="shared" si="13"/>
        <v>2490.2100000000028</v>
      </c>
      <c r="L85">
        <f t="shared" si="14"/>
        <v>476.82999999999447</v>
      </c>
      <c r="M85">
        <f t="shared" si="15"/>
        <v>545.38999999999442</v>
      </c>
      <c r="N85">
        <f t="shared" si="16"/>
        <v>-33.839999999998781</v>
      </c>
      <c r="O85">
        <f t="shared" si="17"/>
        <v>34226.130000000005</v>
      </c>
      <c r="P85">
        <f t="shared" si="18"/>
        <v>1.5934901199755692E-2</v>
      </c>
      <c r="Q85" t="str">
        <f>IF(B85="","", IFERROR(VLOOKUP(B85, '基準資産配分（設定）'!$A$2:$C$2001, 3, FALSE), ""))</f>
        <v>FTSE世界国債（除日、円H）</v>
      </c>
      <c r="R85">
        <f>IF(B85="","", IFERROR(VLOOKUP(B85, '基準資産配分（設定）'!$A$2:$C$2001, 2, FALSE)/100, 0))</f>
        <v>0.23440000000000003</v>
      </c>
      <c r="S85">
        <f>IF(B85="","", IFERROR(SUMIFS(ベンチマークリターン!$C$2:$C$2001, ベンチマークリターン!$A$2:$A$2001, A85, ベンチマークリターン!$B$2:$B$2001, Q85) / 100, 0))</f>
        <v>1.3312999999999998E-2</v>
      </c>
      <c r="T85">
        <f>IF(A85="","", SUMIFS($H$2:$H$2000, $A$2:$A$2000, A85))</f>
        <v>146745.91999999998</v>
      </c>
      <c r="U85">
        <f t="shared" si="19"/>
        <v>0.2333492474611901</v>
      </c>
      <c r="V85">
        <f t="shared" si="20"/>
        <v>3.718397203331406E-3</v>
      </c>
      <c r="W85">
        <f t="shared" si="21"/>
        <v>3.1205671999999999E-3</v>
      </c>
    </row>
    <row r="86" spans="1:23" x14ac:dyDescent="0.2">
      <c r="A86" s="4">
        <f>IF(ポートフォリオ実績!A87="","", ポートフォリオ実績!A87)</f>
        <v>44957</v>
      </c>
      <c r="B86" t="str">
        <f>IF(ポートフォリオ実績!B87="","", ポートフォリオ実績!B87)</f>
        <v>外国債券（為替ヘッジ有・固定）</v>
      </c>
      <c r="C86" s="10">
        <f>IF(ポートフォリオ実績!C87="","", ポートフォリオ実績!C87)</f>
        <v>28790.75</v>
      </c>
      <c r="D86" s="10">
        <f>IF(ポートフォリオ実績!D87="","", ポートフォリオ実績!D87)</f>
        <v>31971.38</v>
      </c>
      <c r="E86" s="10">
        <f>IF(ポートフォリオ実績!E87="","", ポートフォリオ実績!E87)</f>
        <v>69.91</v>
      </c>
      <c r="F86" s="10">
        <f>IF(ポートフォリオ実績!F87="","", ポートフォリオ実績!F87)</f>
        <v>180.16</v>
      </c>
      <c r="G86">
        <f t="shared" si="11"/>
        <v>44926</v>
      </c>
      <c r="H86">
        <f>IF(B86&lt;&gt;"", SUMIFS(ポートフォリオ実績!$D$2:$D$2001, ポートフォリオ実績!$B$2:$B$2001, B86, ポートフォリオ実績!$A$2:$A$2001, G86), 0)</f>
        <v>34754.6</v>
      </c>
      <c r="I86">
        <f>IF(B86&lt;&gt;"", SUMIFS(ポートフォリオ実績!$C$2:$C$2001, ポートフォリオ実績!$B$2:$B$2001, B86, ポートフォリオ実績!$A$2:$A$2001, G86), 0)</f>
        <v>31787.56</v>
      </c>
      <c r="J86">
        <f t="shared" si="12"/>
        <v>3180.630000000001</v>
      </c>
      <c r="K86">
        <f t="shared" si="13"/>
        <v>2967.0399999999972</v>
      </c>
      <c r="L86">
        <f t="shared" si="14"/>
        <v>213.59000000000378</v>
      </c>
      <c r="M86">
        <f t="shared" si="15"/>
        <v>463.66000000000378</v>
      </c>
      <c r="N86">
        <f t="shared" si="16"/>
        <v>-3246.8800000000015</v>
      </c>
      <c r="O86">
        <f t="shared" si="17"/>
        <v>33131.159999999996</v>
      </c>
      <c r="P86">
        <f t="shared" si="18"/>
        <v>1.3994680536389425E-2</v>
      </c>
      <c r="Q86" t="str">
        <f>IF(B86="","", IFERROR(VLOOKUP(B86, '基準資産配分（設定）'!$A$2:$C$2001, 3, FALSE), ""))</f>
        <v>FTSE世界国債（除日、円H）</v>
      </c>
      <c r="R86">
        <f>IF(B86="","", IFERROR(VLOOKUP(B86, '基準資産配分（設定）'!$A$2:$C$2001, 2, FALSE)/100, 0))</f>
        <v>0.23440000000000003</v>
      </c>
      <c r="S86">
        <f>IF(B86="","", IFERROR(SUMIFS(ベンチマークリターン!$C$2:$C$2001, ベンチマークリターン!$A$2:$A$2001, A86, ベンチマークリターン!$B$2:$B$2001, Q86) / 100, 0))</f>
        <v>9.2630000000000004E-3</v>
      </c>
      <c r="T86">
        <f>IF(A86="","", SUMIFS($H$2:$H$2000, $A$2:$A$2000, A86))</f>
        <v>148588.96000000002</v>
      </c>
      <c r="U86">
        <f t="shared" si="19"/>
        <v>0.23389759239179003</v>
      </c>
      <c r="V86">
        <f t="shared" si="20"/>
        <v>3.2733220837537313E-3</v>
      </c>
      <c r="W86">
        <f t="shared" si="21"/>
        <v>2.1712472000000003E-3</v>
      </c>
    </row>
    <row r="87" spans="1:23" x14ac:dyDescent="0.2">
      <c r="A87" s="4">
        <f>IF(ポートフォリオ実績!A88="","", ポートフォリオ実績!A88)</f>
        <v>44985</v>
      </c>
      <c r="B87" t="str">
        <f>IF(ポートフォリオ実績!B88="","", ポートフォリオ実績!B88)</f>
        <v>外国債券（為替ヘッジ有・固定）</v>
      </c>
      <c r="C87" s="10">
        <f>IF(ポートフォリオ実績!C88="","", ポートフォリオ実績!C88)</f>
        <v>29663.99</v>
      </c>
      <c r="D87" s="10">
        <f>IF(ポートフォリオ実績!D88="","", ポートフォリオ実績!D88)</f>
        <v>32602.11</v>
      </c>
      <c r="E87" s="10">
        <f>IF(ポートフォリオ実績!E88="","", ポートフォリオ実績!E88)</f>
        <v>65.69</v>
      </c>
      <c r="F87" s="10">
        <f>IF(ポートフォリオ実績!F88="","", ポートフォリオ実績!F88)</f>
        <v>0</v>
      </c>
      <c r="G87">
        <f t="shared" si="11"/>
        <v>44957</v>
      </c>
      <c r="H87">
        <f>IF(B87&lt;&gt;"", SUMIFS(ポートフォリオ実績!$D$2:$D$2001, ポートフォリオ実績!$B$2:$B$2001, B87, ポートフォリオ実績!$A$2:$A$2001, G87), 0)</f>
        <v>31971.38</v>
      </c>
      <c r="I87">
        <f>IF(B87&lt;&gt;"", SUMIFS(ポートフォリオ実績!$C$2:$C$2001, ポートフォリオ実績!$B$2:$B$2001, B87, ポートフォリオ実績!$A$2:$A$2001, G87), 0)</f>
        <v>28790.75</v>
      </c>
      <c r="J87">
        <f t="shared" si="12"/>
        <v>2938.119999999999</v>
      </c>
      <c r="K87">
        <f t="shared" si="13"/>
        <v>3180.630000000001</v>
      </c>
      <c r="L87">
        <f t="shared" si="14"/>
        <v>-242.51000000000204</v>
      </c>
      <c r="M87">
        <f t="shared" si="15"/>
        <v>-176.82000000000204</v>
      </c>
      <c r="N87">
        <f t="shared" si="16"/>
        <v>807.55000000000155</v>
      </c>
      <c r="O87">
        <f t="shared" si="17"/>
        <v>32375.155000000002</v>
      </c>
      <c r="P87">
        <f t="shared" si="18"/>
        <v>-5.4615954734425834E-3</v>
      </c>
      <c r="Q87" t="str">
        <f>IF(B87="","", IFERROR(VLOOKUP(B87, '基準資産配分（設定）'!$A$2:$C$2001, 3, FALSE), ""))</f>
        <v>FTSE世界国債（除日、円H）</v>
      </c>
      <c r="R87">
        <f>IF(B87="","", IFERROR(VLOOKUP(B87, '基準資産配分（設定）'!$A$2:$C$2001, 2, FALSE)/100, 0))</f>
        <v>0.23440000000000003</v>
      </c>
      <c r="S87">
        <f>IF(B87="","", IFERROR(SUMIFS(ベンチマークリターン!$C$2:$C$2001, ベンチマークリターン!$A$2:$A$2001, A87, ベンチマークリターン!$B$2:$B$2001, Q87) / 100, 0))</f>
        <v>-1.6048E-2</v>
      </c>
      <c r="T87">
        <f>IF(A87="","", SUMIFS($H$2:$H$2000, $A$2:$A$2000, A87))</f>
        <v>149058.73000000001</v>
      </c>
      <c r="U87">
        <f t="shared" si="19"/>
        <v>0.21448847712576108</v>
      </c>
      <c r="V87">
        <f t="shared" si="20"/>
        <v>-1.1714492957756498E-3</v>
      </c>
      <c r="W87">
        <f t="shared" si="21"/>
        <v>-3.7616512000000005E-3</v>
      </c>
    </row>
    <row r="88" spans="1:23" x14ac:dyDescent="0.2">
      <c r="A88" s="4">
        <f>IF(ポートフォリオ実績!A89="","", ポートフォリオ実績!A89)</f>
        <v>45016</v>
      </c>
      <c r="B88" t="str">
        <f>IF(ポートフォリオ実績!B89="","", ポートフォリオ実績!B89)</f>
        <v>外国債券（為替ヘッジ有・固定）</v>
      </c>
      <c r="C88" s="10">
        <f>IF(ポートフォリオ実績!C89="","", ポートフォリオ実績!C89)</f>
        <v>26698.22</v>
      </c>
      <c r="D88" s="10">
        <f>IF(ポートフォリオ実績!D89="","", ポートフォリオ実績!D89)</f>
        <v>29297.61</v>
      </c>
      <c r="E88" s="10">
        <f>IF(ポートフォリオ実績!E89="","", ポートフォリオ実績!E89)</f>
        <v>65.209999999999994</v>
      </c>
      <c r="F88" s="10">
        <f>IF(ポートフォリオ実績!F89="","", ポートフォリオ実績!F89)</f>
        <v>-282.72000000000003</v>
      </c>
      <c r="G88">
        <f t="shared" si="11"/>
        <v>44985</v>
      </c>
      <c r="H88">
        <f>IF(B88&lt;&gt;"", SUMIFS(ポートフォリオ実績!$D$2:$D$2001, ポートフォリオ実績!$B$2:$B$2001, B88, ポートフォリオ実績!$A$2:$A$2001, G88), 0)</f>
        <v>32602.11</v>
      </c>
      <c r="I88">
        <f>IF(B88&lt;&gt;"", SUMIFS(ポートフォリオ実績!$C$2:$C$2001, ポートフォリオ実績!$B$2:$B$2001, B88, ポートフォリオ実績!$A$2:$A$2001, G88), 0)</f>
        <v>29663.99</v>
      </c>
      <c r="J88">
        <f t="shared" si="12"/>
        <v>2599.3899999999994</v>
      </c>
      <c r="K88">
        <f t="shared" si="13"/>
        <v>2938.119999999999</v>
      </c>
      <c r="L88">
        <f t="shared" si="14"/>
        <v>-338.72999999999956</v>
      </c>
      <c r="M88">
        <f t="shared" si="15"/>
        <v>-556.23999999999955</v>
      </c>
      <c r="N88">
        <f t="shared" si="16"/>
        <v>-2748.26</v>
      </c>
      <c r="O88">
        <f t="shared" si="17"/>
        <v>31227.98</v>
      </c>
      <c r="P88">
        <f t="shared" si="18"/>
        <v>-1.7812231210600223E-2</v>
      </c>
      <c r="Q88" t="str">
        <f>IF(B88="","", IFERROR(VLOOKUP(B88, '基準資産配分（設定）'!$A$2:$C$2001, 3, FALSE), ""))</f>
        <v>FTSE世界国債（除日、円H）</v>
      </c>
      <c r="R88">
        <f>IF(B88="","", IFERROR(VLOOKUP(B88, '基準資産配分（設定）'!$A$2:$C$2001, 2, FALSE)/100, 0))</f>
        <v>0.23440000000000003</v>
      </c>
      <c r="S88">
        <f>IF(B88="","", IFERROR(SUMIFS(ベンチマークリターン!$C$2:$C$2001, ベンチマークリターン!$A$2:$A$2001, A88, ベンチマークリターン!$B$2:$B$2001, Q88) / 100, 0))</f>
        <v>-6.313E-3</v>
      </c>
      <c r="T88">
        <f>IF(A88="","", SUMIFS($H$2:$H$2000, $A$2:$A$2000, A88))</f>
        <v>149288.46000000002</v>
      </c>
      <c r="U88">
        <f t="shared" si="19"/>
        <v>0.21838332313160708</v>
      </c>
      <c r="V88">
        <f t="shared" si="20"/>
        <v>-3.889894244159405E-3</v>
      </c>
      <c r="W88">
        <f t="shared" si="21"/>
        <v>-1.4797672000000002E-3</v>
      </c>
    </row>
    <row r="89" spans="1:23" x14ac:dyDescent="0.2">
      <c r="A89" s="4">
        <f>IF(ポートフォリオ実績!A90="","", ポートフォリオ実績!A90)</f>
        <v>45046</v>
      </c>
      <c r="B89" t="str">
        <f>IF(ポートフォリオ実績!B90="","", ポートフォリオ実績!B90)</f>
        <v>外国債券（為替ヘッジ有・固定）</v>
      </c>
      <c r="C89" s="10">
        <f>IF(ポートフォリオ実績!C90="","", ポートフォリオ実績!C90)</f>
        <v>26682.03</v>
      </c>
      <c r="D89" s="10">
        <f>IF(ポートフォリオ実績!D90="","", ポートフォリオ実績!D90)</f>
        <v>29381.74</v>
      </c>
      <c r="E89" s="10">
        <f>IF(ポートフォリオ実績!E90="","", ポートフォリオ実績!E90)</f>
        <v>58.56</v>
      </c>
      <c r="F89" s="10">
        <f>IF(ポートフォリオ実績!F90="","", ポートフォリオ実績!F90)</f>
        <v>0</v>
      </c>
      <c r="G89">
        <f t="shared" si="11"/>
        <v>45016</v>
      </c>
      <c r="H89">
        <f>IF(B89&lt;&gt;"", SUMIFS(ポートフォリオ実績!$D$2:$D$2001, ポートフォリオ実績!$B$2:$B$2001, B89, ポートフォリオ実績!$A$2:$A$2001, G89), 0)</f>
        <v>29297.61</v>
      </c>
      <c r="I89">
        <f>IF(B89&lt;&gt;"", SUMIFS(ポートフォリオ実績!$C$2:$C$2001, ポートフォリオ実績!$B$2:$B$2001, B89, ポートフォリオ実績!$A$2:$A$2001, G89), 0)</f>
        <v>26698.22</v>
      </c>
      <c r="J89">
        <f t="shared" si="12"/>
        <v>2699.7100000000028</v>
      </c>
      <c r="K89">
        <f t="shared" si="13"/>
        <v>2599.3899999999994</v>
      </c>
      <c r="L89">
        <f t="shared" si="14"/>
        <v>100.32000000000335</v>
      </c>
      <c r="M89">
        <f t="shared" si="15"/>
        <v>158.88000000000335</v>
      </c>
      <c r="N89">
        <f t="shared" si="16"/>
        <v>-74.750000000002331</v>
      </c>
      <c r="O89">
        <f t="shared" si="17"/>
        <v>29260.235000000001</v>
      </c>
      <c r="P89">
        <f t="shared" si="18"/>
        <v>5.4298948726831256E-3</v>
      </c>
      <c r="Q89" t="str">
        <f>IF(B89="","", IFERROR(VLOOKUP(B89, '基準資産配分（設定）'!$A$2:$C$2001, 3, FALSE), ""))</f>
        <v>FTSE世界国債（除日、円H）</v>
      </c>
      <c r="R89">
        <f>IF(B89="","", IFERROR(VLOOKUP(B89, '基準資産配分（設定）'!$A$2:$C$2001, 2, FALSE)/100, 0))</f>
        <v>0.23440000000000003</v>
      </c>
      <c r="S89">
        <f>IF(B89="","", IFERROR(SUMIFS(ベンチマークリターン!$C$2:$C$2001, ベンチマークリターン!$A$2:$A$2001, A89, ベンチマークリターン!$B$2:$B$2001, Q89) / 100, 0))</f>
        <v>-7.7499999999999997E-4</v>
      </c>
      <c r="T89">
        <f>IF(A89="","", SUMIFS($H$2:$H$2000, $A$2:$A$2000, A89))</f>
        <v>148343.76</v>
      </c>
      <c r="U89">
        <f t="shared" si="19"/>
        <v>0.19749809496536963</v>
      </c>
      <c r="V89">
        <f t="shared" si="20"/>
        <v>1.0723938932171457E-3</v>
      </c>
      <c r="W89">
        <f t="shared" si="21"/>
        <v>-1.8166000000000002E-4</v>
      </c>
    </row>
    <row r="90" spans="1:23" x14ac:dyDescent="0.2">
      <c r="A90" s="4">
        <f>IF(ポートフォリオ実績!A91="","", ポートフォリオ実績!A91)</f>
        <v>45077</v>
      </c>
      <c r="B90" t="str">
        <f>IF(ポートフォリオ実績!B91="","", ポートフォリオ実績!B91)</f>
        <v>外国債券（為替ヘッジ有・固定）</v>
      </c>
      <c r="C90" s="10">
        <f>IF(ポートフォリオ実績!C91="","", ポートフォリオ実績!C91)</f>
        <v>27262.92</v>
      </c>
      <c r="D90" s="10">
        <f>IF(ポートフォリオ実績!D91="","", ポートフォリオ実績!D91)</f>
        <v>30414.29</v>
      </c>
      <c r="E90" s="10">
        <f>IF(ポートフォリオ実績!E91="","", ポートフォリオ実績!E91)</f>
        <v>59.93</v>
      </c>
      <c r="F90" s="10">
        <f>IF(ポートフォリオ実績!F91="","", ポートフォリオ実績!F91)</f>
        <v>0</v>
      </c>
      <c r="G90">
        <f t="shared" si="11"/>
        <v>45046</v>
      </c>
      <c r="H90">
        <f>IF(B90&lt;&gt;"", SUMIFS(ポートフォリオ実績!$D$2:$D$2001, ポートフォリオ実績!$B$2:$B$2001, B90, ポートフォリオ実績!$A$2:$A$2001, G90), 0)</f>
        <v>29381.74</v>
      </c>
      <c r="I90">
        <f>IF(B90&lt;&gt;"", SUMIFS(ポートフォリオ実績!$C$2:$C$2001, ポートフォリオ実績!$B$2:$B$2001, B90, ポートフォリオ実績!$A$2:$A$2001, G90), 0)</f>
        <v>26682.03</v>
      </c>
      <c r="J90">
        <f t="shared" si="12"/>
        <v>3151.3700000000026</v>
      </c>
      <c r="K90">
        <f t="shared" si="13"/>
        <v>2699.7100000000028</v>
      </c>
      <c r="L90">
        <f t="shared" si="14"/>
        <v>451.65999999999985</v>
      </c>
      <c r="M90">
        <f t="shared" si="15"/>
        <v>511.58999999999986</v>
      </c>
      <c r="N90">
        <f t="shared" si="16"/>
        <v>520.95999999999935</v>
      </c>
      <c r="O90">
        <f t="shared" si="17"/>
        <v>29642.22</v>
      </c>
      <c r="P90">
        <f t="shared" si="18"/>
        <v>1.7258828792175478E-2</v>
      </c>
      <c r="Q90" t="str">
        <f>IF(B90="","", IFERROR(VLOOKUP(B90, '基準資産配分（設定）'!$A$2:$C$2001, 3, FALSE), ""))</f>
        <v>FTSE世界国債（除日、円H）</v>
      </c>
      <c r="R90">
        <f>IF(B90="","", IFERROR(VLOOKUP(B90, '基準資産配分（設定）'!$A$2:$C$2001, 2, FALSE)/100, 0))</f>
        <v>0.23440000000000003</v>
      </c>
      <c r="S90">
        <f>IF(B90="","", IFERROR(SUMIFS(ベンチマークリターン!$C$2:$C$2001, ベンチマークリターン!$A$2:$A$2001, A90, ベンチマークリターン!$B$2:$B$2001, Q90) / 100, 0))</f>
        <v>1.224E-3</v>
      </c>
      <c r="T90">
        <f>IF(A90="","", SUMIFS($H$2:$H$2000, $A$2:$A$2000, A90))</f>
        <v>149279.44000000003</v>
      </c>
      <c r="U90">
        <f t="shared" si="19"/>
        <v>0.19682375550176232</v>
      </c>
      <c r="V90">
        <f t="shared" si="20"/>
        <v>3.396947498437922E-3</v>
      </c>
      <c r="W90">
        <f t="shared" si="21"/>
        <v>2.8690560000000005E-4</v>
      </c>
    </row>
    <row r="91" spans="1:23" x14ac:dyDescent="0.2">
      <c r="A91" s="4">
        <f>IF(ポートフォリオ実績!A92="","", ポートフォリオ実績!A92)</f>
        <v>45107</v>
      </c>
      <c r="B91" t="str">
        <f>IF(ポートフォリオ実績!B92="","", ポートフォリオ実績!B92)</f>
        <v>外国債券（為替ヘッジ有・固定）</v>
      </c>
      <c r="C91" s="10">
        <f>IF(ポートフォリオ実績!C92="","", ポートフォリオ実績!C92)</f>
        <v>27167.51</v>
      </c>
      <c r="D91" s="10">
        <f>IF(ポートフォリオ実績!D92="","", ポートフォリオ実績!D92)</f>
        <v>30439.68</v>
      </c>
      <c r="E91" s="10">
        <f>IF(ポートフォリオ実績!E92="","", ポートフォリオ実績!E92)</f>
        <v>60.64</v>
      </c>
      <c r="F91" s="10">
        <f>IF(ポートフォリオ実績!F92="","", ポートフォリオ実績!F92)</f>
        <v>0</v>
      </c>
      <c r="G91">
        <f t="shared" si="11"/>
        <v>45077</v>
      </c>
      <c r="H91">
        <f>IF(B91&lt;&gt;"", SUMIFS(ポートフォリオ実績!$D$2:$D$2001, ポートフォリオ実績!$B$2:$B$2001, B91, ポートフォリオ実績!$A$2:$A$2001, G91), 0)</f>
        <v>30414.29</v>
      </c>
      <c r="I91">
        <f>IF(B91&lt;&gt;"", SUMIFS(ポートフォリオ実績!$C$2:$C$2001, ポートフォリオ実績!$B$2:$B$2001, B91, ポートフォリオ実績!$A$2:$A$2001, G91), 0)</f>
        <v>27262.92</v>
      </c>
      <c r="J91">
        <f t="shared" si="12"/>
        <v>3272.1700000000019</v>
      </c>
      <c r="K91">
        <f t="shared" si="13"/>
        <v>3151.3700000000026</v>
      </c>
      <c r="L91">
        <f t="shared" si="14"/>
        <v>120.79999999999927</v>
      </c>
      <c r="M91">
        <f t="shared" si="15"/>
        <v>181.43999999999926</v>
      </c>
      <c r="N91">
        <f t="shared" si="16"/>
        <v>-156.04999999999984</v>
      </c>
      <c r="O91">
        <f t="shared" si="17"/>
        <v>30336.264999999999</v>
      </c>
      <c r="P91">
        <f t="shared" si="18"/>
        <v>5.9809604115733843E-3</v>
      </c>
      <c r="Q91" t="str">
        <f>IF(B91="","", IFERROR(VLOOKUP(B91, '基準資産配分（設定）'!$A$2:$C$2001, 3, FALSE), ""))</f>
        <v>FTSE世界国債（除日、円H）</v>
      </c>
      <c r="R91">
        <f>IF(B91="","", IFERROR(VLOOKUP(B91, '基準資産配分（設定）'!$A$2:$C$2001, 2, FALSE)/100, 0))</f>
        <v>0.23440000000000003</v>
      </c>
      <c r="S91">
        <f>IF(B91="","", IFERROR(SUMIFS(ベンチマークリターン!$C$2:$C$2001, ベンチマークリターン!$A$2:$A$2001, A91, ベンチマークリターン!$B$2:$B$2001, Q91) / 100, 0))</f>
        <v>9.2500000000000013E-3</v>
      </c>
      <c r="T91">
        <f>IF(A91="","", SUMIFS($H$2:$H$2000, $A$2:$A$2000, A91))</f>
        <v>149189.19</v>
      </c>
      <c r="U91">
        <f t="shared" si="19"/>
        <v>0.20386389925436288</v>
      </c>
      <c r="V91">
        <f t="shared" si="20"/>
        <v>1.2193019107893293E-3</v>
      </c>
      <c r="W91">
        <f t="shared" si="21"/>
        <v>2.1682000000000003E-3</v>
      </c>
    </row>
    <row r="92" spans="1:23" x14ac:dyDescent="0.2">
      <c r="A92" s="4">
        <f>IF(ポートフォリオ実績!A93="","", ポートフォリオ実績!A93)</f>
        <v>45138</v>
      </c>
      <c r="B92" t="str">
        <f>IF(ポートフォリオ実績!B93="","", ポートフォリオ実績!B93)</f>
        <v>外国債券（為替ヘッジ有・固定）</v>
      </c>
      <c r="C92" s="10">
        <f>IF(ポートフォリオ実績!C93="","", ポートフォリオ実績!C93)</f>
        <v>28021.56</v>
      </c>
      <c r="D92" s="10">
        <f>IF(ポートフォリオ実績!D93="","", ポートフォリオ実績!D93)</f>
        <v>31450.18</v>
      </c>
      <c r="E92" s="10">
        <f>IF(ポートフォリオ実績!E93="","", ポートフォリオ実績!E93)</f>
        <v>62.59</v>
      </c>
      <c r="F92" s="10">
        <f>IF(ポートフォリオ実績!F93="","", ポートフォリオ実績!F93)</f>
        <v>0</v>
      </c>
      <c r="G92">
        <f t="shared" si="11"/>
        <v>45107</v>
      </c>
      <c r="H92">
        <f>IF(B92&lt;&gt;"", SUMIFS(ポートフォリオ実績!$D$2:$D$2001, ポートフォリオ実績!$B$2:$B$2001, B92, ポートフォリオ実績!$A$2:$A$2001, G92), 0)</f>
        <v>30439.68</v>
      </c>
      <c r="I92">
        <f>IF(B92&lt;&gt;"", SUMIFS(ポートフォリオ実績!$C$2:$C$2001, ポートフォリオ実績!$B$2:$B$2001, B92, ポートフォリオ実績!$A$2:$A$2001, G92), 0)</f>
        <v>27167.51</v>
      </c>
      <c r="J92">
        <f t="shared" si="12"/>
        <v>3428.619999999999</v>
      </c>
      <c r="K92">
        <f t="shared" si="13"/>
        <v>3272.1700000000019</v>
      </c>
      <c r="L92">
        <f t="shared" si="14"/>
        <v>156.44999999999709</v>
      </c>
      <c r="M92">
        <f t="shared" si="15"/>
        <v>219.03999999999709</v>
      </c>
      <c r="N92">
        <f t="shared" si="16"/>
        <v>791.46000000000288</v>
      </c>
      <c r="O92">
        <f t="shared" si="17"/>
        <v>30835.410000000003</v>
      </c>
      <c r="P92">
        <f t="shared" si="18"/>
        <v>7.103521568222932E-3</v>
      </c>
      <c r="Q92" t="str">
        <f>IF(B92="","", IFERROR(VLOOKUP(B92, '基準資産配分（設定）'!$A$2:$C$2001, 3, FALSE), ""))</f>
        <v>FTSE世界国債（除日、円H）</v>
      </c>
      <c r="R92">
        <f>IF(B92="","", IFERROR(VLOOKUP(B92, '基準資産配分（設定）'!$A$2:$C$2001, 2, FALSE)/100, 0))</f>
        <v>0.23440000000000003</v>
      </c>
      <c r="S92">
        <f>IF(B92="","", IFERROR(SUMIFS(ベンチマークリターン!$C$2:$C$2001, ベンチマークリターン!$A$2:$A$2001, A92, ベンチマークリターン!$B$2:$B$2001, Q92) / 100, 0))</f>
        <v>4.1349999999999998E-3</v>
      </c>
      <c r="T92">
        <f>IF(A92="","", SUMIFS($H$2:$H$2000, $A$2:$A$2000, A92))</f>
        <v>147474.57</v>
      </c>
      <c r="U92">
        <f t="shared" si="19"/>
        <v>0.20640629770949662</v>
      </c>
      <c r="V92">
        <f t="shared" si="20"/>
        <v>1.4662115875964529E-3</v>
      </c>
      <c r="W92">
        <f t="shared" si="21"/>
        <v>9.6924400000000007E-4</v>
      </c>
    </row>
    <row r="93" spans="1:23" x14ac:dyDescent="0.2">
      <c r="A93" s="4">
        <f>IF(ポートフォリオ実績!A94="","", ポートフォリオ実績!A94)</f>
        <v>45169</v>
      </c>
      <c r="B93" t="str">
        <f>IF(ポートフォリオ実績!B94="","", ポートフォリオ実績!B94)</f>
        <v>外国債券（為替ヘッジ有・固定）</v>
      </c>
      <c r="C93" s="10">
        <f>IF(ポートフォリオ実績!C94="","", ポートフォリオ実績!C94)</f>
        <v>27515.69</v>
      </c>
      <c r="D93" s="10">
        <f>IF(ポートフォリオ実績!D94="","", ポートフォリオ実績!D94)</f>
        <v>31680.35</v>
      </c>
      <c r="E93" s="10">
        <f>IF(ポートフォリオ実績!E94="","", ポートフォリオ実績!E94)</f>
        <v>61.89</v>
      </c>
      <c r="F93" s="10">
        <f>IF(ポートフォリオ実績!F94="","", ポートフォリオ実績!F94)</f>
        <v>0</v>
      </c>
      <c r="G93">
        <f t="shared" si="11"/>
        <v>45138</v>
      </c>
      <c r="H93">
        <f>IF(B93&lt;&gt;"", SUMIFS(ポートフォリオ実績!$D$2:$D$2001, ポートフォリオ実績!$B$2:$B$2001, B93, ポートフォリオ実績!$A$2:$A$2001, G93), 0)</f>
        <v>31450.18</v>
      </c>
      <c r="I93">
        <f>IF(B93&lt;&gt;"", SUMIFS(ポートフォリオ実績!$C$2:$C$2001, ポートフォリオ実績!$B$2:$B$2001, B93, ポートフォリオ実績!$A$2:$A$2001, G93), 0)</f>
        <v>28021.56</v>
      </c>
      <c r="J93">
        <f t="shared" si="12"/>
        <v>4164.66</v>
      </c>
      <c r="K93">
        <f t="shared" si="13"/>
        <v>3428.619999999999</v>
      </c>
      <c r="L93">
        <f t="shared" si="14"/>
        <v>736.04000000000087</v>
      </c>
      <c r="M93">
        <f t="shared" si="15"/>
        <v>797.93000000000086</v>
      </c>
      <c r="N93">
        <f t="shared" si="16"/>
        <v>-567.76000000000261</v>
      </c>
      <c r="O93">
        <f t="shared" si="17"/>
        <v>31166.3</v>
      </c>
      <c r="P93">
        <f t="shared" si="18"/>
        <v>2.5602333289482578E-2</v>
      </c>
      <c r="Q93" t="str">
        <f>IF(B93="","", IFERROR(VLOOKUP(B93, '基準資産配分（設定）'!$A$2:$C$2001, 3, FALSE), ""))</f>
        <v>FTSE世界国債（除日、円H）</v>
      </c>
      <c r="R93">
        <f>IF(B93="","", IFERROR(VLOOKUP(B93, '基準資産配分（設定）'!$A$2:$C$2001, 2, FALSE)/100, 0))</f>
        <v>0.23440000000000003</v>
      </c>
      <c r="S93">
        <f>IF(B93="","", IFERROR(SUMIFS(ベンチマークリターン!$C$2:$C$2001, ベンチマークリターン!$A$2:$A$2001, A93, ベンチマークリターン!$B$2:$B$2001, Q93) / 100, 0))</f>
        <v>-1.3335999999999999E-2</v>
      </c>
      <c r="T93">
        <f>IF(A93="","", SUMIFS($H$2:$H$2000, $A$2:$A$2000, A93))</f>
        <v>147887.32999999999</v>
      </c>
      <c r="U93">
        <f t="shared" si="19"/>
        <v>0.21266311319570111</v>
      </c>
      <c r="V93">
        <f t="shared" si="20"/>
        <v>5.4446719024153004E-3</v>
      </c>
      <c r="W93">
        <f t="shared" si="21"/>
        <v>-3.1259584E-3</v>
      </c>
    </row>
    <row r="94" spans="1:23" x14ac:dyDescent="0.2">
      <c r="A94" s="4">
        <f>IF(ポートフォリオ実績!A95="","", ポートフォリオ実績!A95)</f>
        <v>45199</v>
      </c>
      <c r="B94" t="str">
        <f>IF(ポートフォリオ実績!B95="","", ポートフォリオ実績!B95)</f>
        <v>外国債券（為替ヘッジ有・固定）</v>
      </c>
      <c r="C94" s="10">
        <f>IF(ポートフォリオ実績!C95="","", ポートフォリオ実績!C95)</f>
        <v>27506.87</v>
      </c>
      <c r="D94" s="10">
        <f>IF(ポートフォリオ実績!D95="","", ポートフォリオ実績!D95)</f>
        <v>31818.9</v>
      </c>
      <c r="E94" s="10">
        <f>IF(ポートフォリオ実績!E95="","", ポートフォリオ実績!E95)</f>
        <v>63.34</v>
      </c>
      <c r="F94" s="10">
        <f>IF(ポートフォリオ実績!F95="","", ポートフォリオ実績!F95)</f>
        <v>0</v>
      </c>
      <c r="G94">
        <f t="shared" si="11"/>
        <v>45169</v>
      </c>
      <c r="H94">
        <f>IF(B94&lt;&gt;"", SUMIFS(ポートフォリオ実績!$D$2:$D$2001, ポートフォリオ実績!$B$2:$B$2001, B94, ポートフォリオ実績!$A$2:$A$2001, G94), 0)</f>
        <v>31680.35</v>
      </c>
      <c r="I94">
        <f>IF(B94&lt;&gt;"", SUMIFS(ポートフォリオ実績!$C$2:$C$2001, ポートフォリオ実績!$B$2:$B$2001, B94, ポートフォリオ実績!$A$2:$A$2001, G94), 0)</f>
        <v>27515.69</v>
      </c>
      <c r="J94">
        <f t="shared" si="12"/>
        <v>4312.0300000000025</v>
      </c>
      <c r="K94">
        <f t="shared" si="13"/>
        <v>4164.66</v>
      </c>
      <c r="L94">
        <f t="shared" si="14"/>
        <v>147.37000000000262</v>
      </c>
      <c r="M94">
        <f t="shared" si="15"/>
        <v>210.71000000000262</v>
      </c>
      <c r="N94">
        <f t="shared" si="16"/>
        <v>-72.159999999999712</v>
      </c>
      <c r="O94">
        <f t="shared" si="17"/>
        <v>31644.27</v>
      </c>
      <c r="P94">
        <f t="shared" si="18"/>
        <v>6.6587094598801813E-3</v>
      </c>
      <c r="Q94" t="str">
        <f>IF(B94="","", IFERROR(VLOOKUP(B94, '基準資産配分（設定）'!$A$2:$C$2001, 3, FALSE), ""))</f>
        <v>FTSE世界国債（除日、円H）</v>
      </c>
      <c r="R94">
        <f>IF(B94="","", IFERROR(VLOOKUP(B94, '基準資産配分（設定）'!$A$2:$C$2001, 2, FALSE)/100, 0))</f>
        <v>0.23440000000000003</v>
      </c>
      <c r="S94">
        <f>IF(B94="","", IFERROR(SUMIFS(ベンチマークリターン!$C$2:$C$2001, ベンチマークリターン!$A$2:$A$2001, A94, ベンチマークリターン!$B$2:$B$2001, Q94) / 100, 0))</f>
        <v>6.4729999999999996E-3</v>
      </c>
      <c r="T94">
        <f>IF(A94="","", SUMIFS($H$2:$H$2000, $A$2:$A$2000, A94))</f>
        <v>147535.20000000001</v>
      </c>
      <c r="U94">
        <f t="shared" si="19"/>
        <v>0.21473078966917722</v>
      </c>
      <c r="V94">
        <f t="shared" si="20"/>
        <v>1.429829940497692E-3</v>
      </c>
      <c r="W94">
        <f t="shared" si="21"/>
        <v>1.5172712E-3</v>
      </c>
    </row>
    <row r="95" spans="1:23" x14ac:dyDescent="0.2">
      <c r="A95" s="4">
        <f>IF(ポートフォリオ実績!A96="","", ポートフォリオ実績!A96)</f>
        <v>45230</v>
      </c>
      <c r="B95" t="str">
        <f>IF(ポートフォリオ実績!B96="","", ポートフォリオ実績!B96)</f>
        <v>外国債券（為替ヘッジ有・固定）</v>
      </c>
      <c r="C95" s="10">
        <f>IF(ポートフォリオ実績!C96="","", ポートフォリオ実績!C96)</f>
        <v>27800.13</v>
      </c>
      <c r="D95" s="10">
        <f>IF(ポートフォリオ実績!D96="","", ポートフォリオ実績!D96)</f>
        <v>31573.53</v>
      </c>
      <c r="E95" s="10">
        <f>IF(ポートフォリオ実績!E96="","", ポートフォリオ実績!E96)</f>
        <v>64.22</v>
      </c>
      <c r="F95" s="10">
        <f>IF(ポートフォリオ実績!F96="","", ポートフォリオ実績!F96)</f>
        <v>0</v>
      </c>
      <c r="G95">
        <f t="shared" si="11"/>
        <v>45199</v>
      </c>
      <c r="H95">
        <f>IF(B95&lt;&gt;"", SUMIFS(ポートフォリオ実績!$D$2:$D$2001, ポートフォリオ実績!$B$2:$B$2001, B95, ポートフォリオ実績!$A$2:$A$2001, G95), 0)</f>
        <v>31818.9</v>
      </c>
      <c r="I95">
        <f>IF(B95&lt;&gt;"", SUMIFS(ポートフォリオ実績!$C$2:$C$2001, ポートフォリオ実績!$B$2:$B$2001, B95, ポートフォリオ実績!$A$2:$A$2001, G95), 0)</f>
        <v>27506.87</v>
      </c>
      <c r="J95">
        <f t="shared" si="12"/>
        <v>3773.3999999999978</v>
      </c>
      <c r="K95">
        <f t="shared" si="13"/>
        <v>4312.0300000000025</v>
      </c>
      <c r="L95">
        <f t="shared" si="14"/>
        <v>-538.63000000000466</v>
      </c>
      <c r="M95">
        <f t="shared" si="15"/>
        <v>-474.41000000000463</v>
      </c>
      <c r="N95">
        <f t="shared" si="16"/>
        <v>229.04000000000201</v>
      </c>
      <c r="O95">
        <f t="shared" si="17"/>
        <v>31933.420000000002</v>
      </c>
      <c r="P95">
        <f t="shared" si="18"/>
        <v>-1.4856222728414451E-2</v>
      </c>
      <c r="Q95" t="str">
        <f>IF(B95="","", IFERROR(VLOOKUP(B95, '基準資産配分（設定）'!$A$2:$C$2001, 3, FALSE), ""))</f>
        <v>FTSE世界国債（除日、円H）</v>
      </c>
      <c r="R95">
        <f>IF(B95="","", IFERROR(VLOOKUP(B95, '基準資産配分（設定）'!$A$2:$C$2001, 2, FALSE)/100, 0))</f>
        <v>0.23440000000000003</v>
      </c>
      <c r="S95">
        <f>IF(B95="","", IFERROR(SUMIFS(ベンチマークリターン!$C$2:$C$2001, ベンチマークリターン!$A$2:$A$2001, A95, ベンチマークリターン!$B$2:$B$2001, Q95) / 100, 0))</f>
        <v>9.1339999999999998E-3</v>
      </c>
      <c r="T95">
        <f>IF(A95="","", SUMIFS($H$2:$H$2000, $A$2:$A$2000, A95))</f>
        <v>148508.15</v>
      </c>
      <c r="U95">
        <f t="shared" si="19"/>
        <v>0.21425692798678053</v>
      </c>
      <c r="V95">
        <f t="shared" si="20"/>
        <v>-3.1830486432774673E-3</v>
      </c>
      <c r="W95">
        <f t="shared" si="21"/>
        <v>2.1410096000000003E-3</v>
      </c>
    </row>
    <row r="96" spans="1:23" x14ac:dyDescent="0.2">
      <c r="A96" s="4">
        <f>IF(ポートフォリオ実績!A97="","", ポートフォリオ実績!A97)</f>
        <v>45260</v>
      </c>
      <c r="B96" t="str">
        <f>IF(ポートフォリオ実績!B97="","", ポートフォリオ実績!B97)</f>
        <v>外国債券（為替ヘッジ有・固定）</v>
      </c>
      <c r="C96" s="10">
        <f>IF(ポートフォリオ実績!C97="","", ポートフォリオ実績!C97)</f>
        <v>27826.15</v>
      </c>
      <c r="D96" s="10">
        <f>IF(ポートフォリオ実績!D97="","", ポートフォリオ実績!D97)</f>
        <v>31994.45</v>
      </c>
      <c r="E96" s="10">
        <f>IF(ポートフォリオ実績!E97="","", ポートフォリオ実績!E97)</f>
        <v>63.2</v>
      </c>
      <c r="F96" s="10">
        <f>IF(ポートフォリオ実績!F97="","", ポートフォリオ実績!F97)</f>
        <v>0</v>
      </c>
      <c r="G96">
        <f t="shared" si="11"/>
        <v>45230</v>
      </c>
      <c r="H96">
        <f>IF(B96&lt;&gt;"", SUMIFS(ポートフォリオ実績!$D$2:$D$2001, ポートフォリオ実績!$B$2:$B$2001, B96, ポートフォリオ実績!$A$2:$A$2001, G96), 0)</f>
        <v>31573.53</v>
      </c>
      <c r="I96">
        <f>IF(B96&lt;&gt;"", SUMIFS(ポートフォリオ実績!$C$2:$C$2001, ポートフォリオ実績!$B$2:$B$2001, B96, ポートフォリオ実績!$A$2:$A$2001, G96), 0)</f>
        <v>27800.13</v>
      </c>
      <c r="J96">
        <f t="shared" si="12"/>
        <v>4168.2999999999993</v>
      </c>
      <c r="K96">
        <f t="shared" si="13"/>
        <v>3773.3999999999978</v>
      </c>
      <c r="L96">
        <f t="shared" si="14"/>
        <v>394.90000000000146</v>
      </c>
      <c r="M96">
        <f t="shared" si="15"/>
        <v>458.10000000000144</v>
      </c>
      <c r="N96">
        <f t="shared" si="16"/>
        <v>-37.179999999999552</v>
      </c>
      <c r="O96">
        <f t="shared" si="17"/>
        <v>31554.94</v>
      </c>
      <c r="P96">
        <f t="shared" si="18"/>
        <v>1.4517536715328929E-2</v>
      </c>
      <c r="Q96" t="str">
        <f>IF(B96="","", IFERROR(VLOOKUP(B96, '基準資産配分（設定）'!$A$2:$C$2001, 3, FALSE), ""))</f>
        <v>FTSE世界国債（除日、円H）</v>
      </c>
      <c r="R96">
        <f>IF(B96="","", IFERROR(VLOOKUP(B96, '基準資産配分（設定）'!$A$2:$C$2001, 2, FALSE)/100, 0))</f>
        <v>0.23440000000000003</v>
      </c>
      <c r="S96">
        <f>IF(B96="","", IFERROR(SUMIFS(ベンチマークリターン!$C$2:$C$2001, ベンチマークリターン!$A$2:$A$2001, A96, ベンチマークリターン!$B$2:$B$2001, Q96) / 100, 0))</f>
        <v>8.5470000000000008E-3</v>
      </c>
      <c r="T96">
        <f>IF(A96="","", SUMIFS($H$2:$H$2000, $A$2:$A$2000, A96))</f>
        <v>141833.18</v>
      </c>
      <c r="U96">
        <f t="shared" si="19"/>
        <v>0.22261032291597777</v>
      </c>
      <c r="V96">
        <f t="shared" si="20"/>
        <v>3.2317535361439361E-3</v>
      </c>
      <c r="W96">
        <f t="shared" si="21"/>
        <v>2.0034168000000003E-3</v>
      </c>
    </row>
    <row r="97" spans="1:23" x14ac:dyDescent="0.2">
      <c r="A97" s="4">
        <f>IF(ポートフォリオ実績!A98="","", ポートフォリオ実績!A98)</f>
        <v>45291</v>
      </c>
      <c r="B97" t="str">
        <f>IF(ポートフォリオ実績!B98="","", ポートフォリオ実績!B98)</f>
        <v>外国債券（為替ヘッジ有・固定）</v>
      </c>
      <c r="C97" s="10">
        <f>IF(ポートフォリオ実績!C98="","", ポートフォリオ実績!C98)</f>
        <v>28524.31</v>
      </c>
      <c r="D97" s="10">
        <f>IF(ポートフォリオ実績!D98="","", ポートフォリオ実績!D98)</f>
        <v>32654.35</v>
      </c>
      <c r="E97" s="10">
        <f>IF(ポートフォリオ実績!E98="","", ポートフォリオ実績!E98)</f>
        <v>65.39</v>
      </c>
      <c r="F97" s="10">
        <f>IF(ポートフォリオ実績!F98="","", ポートフォリオ実績!F98)</f>
        <v>0</v>
      </c>
      <c r="G97">
        <f t="shared" si="11"/>
        <v>45260</v>
      </c>
      <c r="H97">
        <f>IF(B97&lt;&gt;"", SUMIFS(ポートフォリオ実績!$D$2:$D$2001, ポートフォリオ実績!$B$2:$B$2001, B97, ポートフォリオ実績!$A$2:$A$2001, G97), 0)</f>
        <v>31994.45</v>
      </c>
      <c r="I97">
        <f>IF(B97&lt;&gt;"", SUMIFS(ポートフォリオ実績!$C$2:$C$2001, ポートフォリオ実績!$B$2:$B$2001, B97, ポートフォリオ実績!$A$2:$A$2001, G97), 0)</f>
        <v>27826.15</v>
      </c>
      <c r="J97">
        <f t="shared" si="12"/>
        <v>4130.0399999999972</v>
      </c>
      <c r="K97">
        <f t="shared" si="13"/>
        <v>4168.2999999999993</v>
      </c>
      <c r="L97">
        <f t="shared" si="14"/>
        <v>-38.260000000002037</v>
      </c>
      <c r="M97">
        <f t="shared" si="15"/>
        <v>27.129999999997963</v>
      </c>
      <c r="N97">
        <f t="shared" si="16"/>
        <v>632.76999999999987</v>
      </c>
      <c r="O97">
        <f t="shared" si="17"/>
        <v>32310.834999999999</v>
      </c>
      <c r="P97">
        <f t="shared" si="18"/>
        <v>8.3965641865949806E-4</v>
      </c>
      <c r="Q97" t="str">
        <f>IF(B97="","", IFERROR(VLOOKUP(B97, '基準資産配分（設定）'!$A$2:$C$2001, 3, FALSE), ""))</f>
        <v>FTSE世界国債（除日、円H）</v>
      </c>
      <c r="R97">
        <f>IF(B97="","", IFERROR(VLOOKUP(B97, '基準資産配分（設定）'!$A$2:$C$2001, 2, FALSE)/100, 0))</f>
        <v>0.23440000000000003</v>
      </c>
      <c r="S97">
        <f>IF(B97="","", IFERROR(SUMIFS(ベンチマークリターン!$C$2:$C$2001, ベンチマークリターン!$A$2:$A$2001, A97, ベンチマークリターン!$B$2:$B$2001, Q97) / 100, 0))</f>
        <v>1.4563E-2</v>
      </c>
      <c r="T97">
        <f>IF(A97="","", SUMIFS($H$2:$H$2000, $A$2:$A$2000, A97))</f>
        <v>142786.25</v>
      </c>
      <c r="U97">
        <f t="shared" si="19"/>
        <v>0.2240723459016537</v>
      </c>
      <c r="V97">
        <f t="shared" si="20"/>
        <v>1.8814378348041481E-4</v>
      </c>
      <c r="W97">
        <f t="shared" si="21"/>
        <v>3.4135672000000002E-3</v>
      </c>
    </row>
    <row r="98" spans="1:23" x14ac:dyDescent="0.2">
      <c r="A98" s="4">
        <f>IF(ポートフォリオ実績!A99="","", ポートフォリオ実績!A99)</f>
        <v>45322</v>
      </c>
      <c r="B98" t="str">
        <f>IF(ポートフォリオ実績!B99="","", ポートフォリオ実績!B99)</f>
        <v>外国債券（為替ヘッジ有・固定）</v>
      </c>
      <c r="C98" s="10">
        <f>IF(ポートフォリオ実績!C99="","", ポートフォリオ実績!C99)</f>
        <v>28783.57</v>
      </c>
      <c r="D98" s="10">
        <f>IF(ポートフォリオ実績!D99="","", ポートフォリオ実績!D99)</f>
        <v>33149.81</v>
      </c>
      <c r="E98" s="10">
        <f>IF(ポートフォリオ実績!E99="","", ポートフォリオ実績!E99)</f>
        <v>65.83</v>
      </c>
      <c r="F98" s="10">
        <f>IF(ポートフォリオ実績!F99="","", ポートフォリオ実績!F99)</f>
        <v>0</v>
      </c>
      <c r="G98">
        <f t="shared" si="11"/>
        <v>45291</v>
      </c>
      <c r="H98">
        <f>IF(B98&lt;&gt;"", SUMIFS(ポートフォリオ実績!$D$2:$D$2001, ポートフォリオ実績!$B$2:$B$2001, B98, ポートフォリオ実績!$A$2:$A$2001, G98), 0)</f>
        <v>32654.35</v>
      </c>
      <c r="I98">
        <f>IF(B98&lt;&gt;"", SUMIFS(ポートフォリオ実績!$C$2:$C$2001, ポートフォリオ実績!$B$2:$B$2001, B98, ポートフォリオ実績!$A$2:$A$2001, G98), 0)</f>
        <v>28524.31</v>
      </c>
      <c r="J98">
        <f t="shared" si="12"/>
        <v>4366.239999999998</v>
      </c>
      <c r="K98">
        <f t="shared" si="13"/>
        <v>4130.0399999999972</v>
      </c>
      <c r="L98">
        <f t="shared" si="14"/>
        <v>236.20000000000073</v>
      </c>
      <c r="M98">
        <f t="shared" si="15"/>
        <v>302.03000000000071</v>
      </c>
      <c r="N98">
        <f t="shared" si="16"/>
        <v>193.42999999999842</v>
      </c>
      <c r="O98">
        <f t="shared" si="17"/>
        <v>32751.064999999999</v>
      </c>
      <c r="P98">
        <f t="shared" si="18"/>
        <v>9.221990185662686E-3</v>
      </c>
      <c r="Q98" t="str">
        <f>IF(B98="","", IFERROR(VLOOKUP(B98, '基準資産配分（設定）'!$A$2:$C$2001, 3, FALSE), ""))</f>
        <v>FTSE世界国債（除日、円H）</v>
      </c>
      <c r="R98">
        <f>IF(B98="","", IFERROR(VLOOKUP(B98, '基準資産配分（設定）'!$A$2:$C$2001, 2, FALSE)/100, 0))</f>
        <v>0.23440000000000003</v>
      </c>
      <c r="S98">
        <f>IF(B98="","", IFERROR(SUMIFS(ベンチマークリターン!$C$2:$C$2001, ベンチマークリターン!$A$2:$A$2001, A98, ベンチマークリターン!$B$2:$B$2001, Q98) / 100, 0))</f>
        <v>1.1712999999999999E-2</v>
      </c>
      <c r="T98">
        <f>IF(A98="","", SUMIFS($H$2:$H$2000, $A$2:$A$2000, A98))</f>
        <v>144901.44999999998</v>
      </c>
      <c r="U98">
        <f t="shared" si="19"/>
        <v>0.22535557787724003</v>
      </c>
      <c r="V98">
        <f t="shared" si="20"/>
        <v>2.0782269274682505E-3</v>
      </c>
      <c r="W98">
        <f t="shared" si="21"/>
        <v>2.7455272000000003E-3</v>
      </c>
    </row>
    <row r="99" spans="1:23" x14ac:dyDescent="0.2">
      <c r="A99" s="4">
        <f>IF(ポートフォリオ実績!A100="","", ポートフォリオ実績!A100)</f>
        <v>45351</v>
      </c>
      <c r="B99" t="str">
        <f>IF(ポートフォリオ実績!B100="","", ポートフォリオ実績!B100)</f>
        <v>外国債券（為替ヘッジ有・固定）</v>
      </c>
      <c r="C99" s="10">
        <f>IF(ポートフォリオ実績!C100="","", ポートフォリオ実績!C100)</f>
        <v>28418.03</v>
      </c>
      <c r="D99" s="10">
        <f>IF(ポートフォリオ実績!D100="","", ポートフォリオ実績!D100)</f>
        <v>33491.360000000001</v>
      </c>
      <c r="E99" s="10">
        <f>IF(ポートフォリオ実績!E100="","", ポートフォリオ実績!E100)</f>
        <v>65.569999999999993</v>
      </c>
      <c r="F99" s="10">
        <f>IF(ポートフォリオ実績!F100="","", ポートフォリオ実績!F100)</f>
        <v>0</v>
      </c>
      <c r="G99">
        <f t="shared" si="11"/>
        <v>45322</v>
      </c>
      <c r="H99">
        <f>IF(B99&lt;&gt;"", SUMIFS(ポートフォリオ実績!$D$2:$D$2001, ポートフォリオ実績!$B$2:$B$2001, B99, ポートフォリオ実績!$A$2:$A$2001, G99), 0)</f>
        <v>33149.81</v>
      </c>
      <c r="I99">
        <f>IF(B99&lt;&gt;"", SUMIFS(ポートフォリオ実績!$C$2:$C$2001, ポートフォリオ実績!$B$2:$B$2001, B99, ポートフォリオ実績!$A$2:$A$2001, G99), 0)</f>
        <v>28783.57</v>
      </c>
      <c r="J99">
        <f t="shared" si="12"/>
        <v>5073.3300000000017</v>
      </c>
      <c r="K99">
        <f t="shared" si="13"/>
        <v>4366.239999999998</v>
      </c>
      <c r="L99">
        <f t="shared" si="14"/>
        <v>707.09000000000378</v>
      </c>
      <c r="M99">
        <f t="shared" si="15"/>
        <v>772.66000000000372</v>
      </c>
      <c r="N99">
        <f t="shared" si="16"/>
        <v>-431.11000000000081</v>
      </c>
      <c r="O99">
        <f t="shared" si="17"/>
        <v>32934.254999999997</v>
      </c>
      <c r="P99">
        <f t="shared" si="18"/>
        <v>2.3460679465802513E-2</v>
      </c>
      <c r="Q99" t="str">
        <f>IF(B99="","", IFERROR(VLOOKUP(B99, '基準資産配分（設定）'!$A$2:$C$2001, 3, FALSE), ""))</f>
        <v>FTSE世界国債（除日、円H）</v>
      </c>
      <c r="R99">
        <f>IF(B99="","", IFERROR(VLOOKUP(B99, '基準資産配分（設定）'!$A$2:$C$2001, 2, FALSE)/100, 0))</f>
        <v>0.23440000000000003</v>
      </c>
      <c r="S99">
        <f>IF(B99="","", IFERROR(SUMIFS(ベンチマークリターン!$C$2:$C$2001, ベンチマークリターン!$A$2:$A$2001, A99, ベンチマークリターン!$B$2:$B$2001, Q99) / 100, 0))</f>
        <v>7.3850000000000001E-3</v>
      </c>
      <c r="T99">
        <f>IF(A99="","", SUMIFS($H$2:$H$2000, $A$2:$A$2000, A99))</f>
        <v>143790.06</v>
      </c>
      <c r="U99">
        <f t="shared" si="19"/>
        <v>0.23054312655547957</v>
      </c>
      <c r="V99">
        <f t="shared" si="20"/>
        <v>5.4086983951620498E-3</v>
      </c>
      <c r="W99">
        <f t="shared" si="21"/>
        <v>1.7310440000000002E-3</v>
      </c>
    </row>
    <row r="100" spans="1:23" x14ac:dyDescent="0.2">
      <c r="A100" s="4">
        <f>IF(ポートフォリオ実績!A101="","", ポートフォリオ実績!A101)</f>
        <v>45382</v>
      </c>
      <c r="B100" t="str">
        <f>IF(ポートフォリオ実績!B101="","", ポートフォリオ実績!B101)</f>
        <v>外国債券（為替ヘッジ有・固定）</v>
      </c>
      <c r="C100" s="10">
        <f>IF(ポートフォリオ実績!C101="","", ポートフォリオ実績!C101)</f>
        <v>28478.07</v>
      </c>
      <c r="D100" s="10">
        <f>IF(ポートフォリオ実績!D101="","", ポートフォリオ実績!D101)</f>
        <v>33447.68</v>
      </c>
      <c r="E100" s="10">
        <f>IF(ポートフォリオ実績!E101="","", ポートフォリオ実績!E101)</f>
        <v>67.099999999999994</v>
      </c>
      <c r="F100" s="10">
        <f>IF(ポートフォリオ実績!F101="","", ポートフォリオ実績!F101)</f>
        <v>0</v>
      </c>
      <c r="G100">
        <f t="shared" si="11"/>
        <v>45351</v>
      </c>
      <c r="H100">
        <f>IF(B100&lt;&gt;"", SUMIFS(ポートフォリオ実績!$D$2:$D$2001, ポートフォリオ実績!$B$2:$B$2001, B100, ポートフォリオ実績!$A$2:$A$2001, G100), 0)</f>
        <v>33491.360000000001</v>
      </c>
      <c r="I100">
        <f>IF(B100&lt;&gt;"", SUMIFS(ポートフォリオ実績!$C$2:$C$2001, ポートフォリオ実績!$B$2:$B$2001, B100, ポートフォリオ実績!$A$2:$A$2001, G100), 0)</f>
        <v>28418.03</v>
      </c>
      <c r="J100">
        <f t="shared" si="12"/>
        <v>4969.6100000000006</v>
      </c>
      <c r="K100">
        <f t="shared" si="13"/>
        <v>5073.3300000000017</v>
      </c>
      <c r="L100">
        <f t="shared" si="14"/>
        <v>-103.72000000000116</v>
      </c>
      <c r="M100">
        <f t="shared" si="15"/>
        <v>-36.62000000000117</v>
      </c>
      <c r="N100">
        <f t="shared" si="16"/>
        <v>-7.0599999999991212</v>
      </c>
      <c r="O100">
        <f t="shared" si="17"/>
        <v>33487.83</v>
      </c>
      <c r="P100">
        <f t="shared" si="18"/>
        <v>-1.093531590431544E-3</v>
      </c>
      <c r="Q100" t="str">
        <f>IF(B100="","", IFERROR(VLOOKUP(B100, '基準資産配分（設定）'!$A$2:$C$2001, 3, FALSE), ""))</f>
        <v>FTSE世界国債（除日、円H）</v>
      </c>
      <c r="R100">
        <f>IF(B100="","", IFERROR(VLOOKUP(B100, '基準資産配分（設定）'!$A$2:$C$2001, 2, FALSE)/100, 0))</f>
        <v>0.23440000000000003</v>
      </c>
      <c r="S100">
        <f>IF(B100="","", IFERROR(SUMIFS(ベンチマークリターン!$C$2:$C$2001, ベンチマークリターン!$A$2:$A$2001, A100, ベンチマークリターン!$B$2:$B$2001, Q100) / 100, 0))</f>
        <v>1.273E-3</v>
      </c>
      <c r="T100">
        <f>IF(A100="","", SUMIFS($H$2:$H$2000, $A$2:$A$2000, A100))</f>
        <v>144636.99</v>
      </c>
      <c r="U100">
        <f t="shared" si="19"/>
        <v>0.23155459747883306</v>
      </c>
      <c r="V100">
        <f t="shared" si="20"/>
        <v>-2.532122672527643E-4</v>
      </c>
      <c r="W100">
        <f t="shared" si="21"/>
        <v>2.9839120000000002E-4</v>
      </c>
    </row>
    <row r="101" spans="1:23" x14ac:dyDescent="0.2">
      <c r="A101" s="4">
        <f>IF(ポートフォリオ実績!A102="","", ポートフォリオ実績!A102)</f>
        <v>45412</v>
      </c>
      <c r="B101" t="str">
        <f>IF(ポートフォリオ実績!B102="","", ポートフォリオ実績!B102)</f>
        <v>外国債券（為替ヘッジ有・固定）</v>
      </c>
      <c r="C101" s="10">
        <f>IF(ポートフォリオ実績!C102="","", ポートフォリオ実績!C102)</f>
        <v>27533.31</v>
      </c>
      <c r="D101" s="10">
        <f>IF(ポートフォリオ実績!D102="","", ポートフォリオ実績!D102)</f>
        <v>33286.76</v>
      </c>
      <c r="E101" s="10">
        <f>IF(ポートフォリオ実績!E102="","", ポートフォリオ実績!E102)</f>
        <v>65.010000000000005</v>
      </c>
      <c r="F101" s="10">
        <f>IF(ポートフォリオ実績!F102="","", ポートフォリオ実績!F102)</f>
        <v>0</v>
      </c>
      <c r="G101">
        <f t="shared" si="11"/>
        <v>45382</v>
      </c>
      <c r="H101">
        <f>IF(B101&lt;&gt;"", SUMIFS(ポートフォリオ実績!$D$2:$D$2001, ポートフォリオ実績!$B$2:$B$2001, B101, ポートフォリオ実績!$A$2:$A$2001, G101), 0)</f>
        <v>33447.68</v>
      </c>
      <c r="I101">
        <f>IF(B101&lt;&gt;"", SUMIFS(ポートフォリオ実績!$C$2:$C$2001, ポートフォリオ実績!$B$2:$B$2001, B101, ポートフォリオ実績!$A$2:$A$2001, G101), 0)</f>
        <v>28478.07</v>
      </c>
      <c r="J101">
        <f t="shared" si="12"/>
        <v>5753.4500000000007</v>
      </c>
      <c r="K101">
        <f t="shared" si="13"/>
        <v>4969.6100000000006</v>
      </c>
      <c r="L101">
        <f t="shared" si="14"/>
        <v>783.84000000000015</v>
      </c>
      <c r="M101">
        <f t="shared" si="15"/>
        <v>848.85000000000014</v>
      </c>
      <c r="N101">
        <f t="shared" si="16"/>
        <v>-1009.7699999999984</v>
      </c>
      <c r="O101">
        <f t="shared" si="17"/>
        <v>32942.794999999998</v>
      </c>
      <c r="P101">
        <f t="shared" si="18"/>
        <v>2.5767394660956976E-2</v>
      </c>
      <c r="Q101" t="str">
        <f>IF(B101="","", IFERROR(VLOOKUP(B101, '基準資産配分（設定）'!$A$2:$C$2001, 3, FALSE), ""))</f>
        <v>FTSE世界国債（除日、円H）</v>
      </c>
      <c r="R101">
        <f>IF(B101="","", IFERROR(VLOOKUP(B101, '基準資産配分（設定）'!$A$2:$C$2001, 2, FALSE)/100, 0))</f>
        <v>0.23440000000000003</v>
      </c>
      <c r="S101">
        <f>IF(B101="","", IFERROR(SUMIFS(ベンチマークリターン!$C$2:$C$2001, ベンチマークリターン!$A$2:$A$2001, A101, ベンチマークリターン!$B$2:$B$2001, Q101) / 100, 0))</f>
        <v>-1.7096E-2</v>
      </c>
      <c r="T101">
        <f>IF(A101="","", SUMIFS($H$2:$H$2000, $A$2:$A$2000, A101))</f>
        <v>143236.52000000002</v>
      </c>
      <c r="U101">
        <f t="shared" si="19"/>
        <v>0.23351363185869076</v>
      </c>
      <c r="V101">
        <f t="shared" si="20"/>
        <v>6.0170379108163011E-3</v>
      </c>
      <c r="W101">
        <f t="shared" si="21"/>
        <v>-4.0073024E-3</v>
      </c>
    </row>
    <row r="102" spans="1:23" x14ac:dyDescent="0.2">
      <c r="A102" s="4">
        <f>IF(ポートフォリオ実績!A103="","", ポートフォリオ実績!A103)</f>
        <v>45443</v>
      </c>
      <c r="B102" t="str">
        <f>IF(ポートフォリオ実績!B103="","", ポートフォリオ実績!B103)</f>
        <v>外国債券（為替ヘッジ有・固定）</v>
      </c>
      <c r="C102" s="10">
        <f>IF(ポートフォリオ実績!C103="","", ポートフォリオ実績!C103)</f>
        <v>27007.94</v>
      </c>
      <c r="D102" s="10">
        <f>IF(ポートフォリオ実績!D103="","", ポートフォリオ実績!D103)</f>
        <v>32455.78</v>
      </c>
      <c r="E102" s="10">
        <f>IF(ポートフォリオ実績!E103="","", ポートフォリオ実績!E103)</f>
        <v>65.52</v>
      </c>
      <c r="F102" s="10">
        <f>IF(ポートフォリオ実績!F103="","", ポートフォリオ実績!F103)</f>
        <v>0</v>
      </c>
      <c r="G102">
        <f t="shared" si="11"/>
        <v>45412</v>
      </c>
      <c r="H102">
        <f>IF(B102&lt;&gt;"", SUMIFS(ポートフォリオ実績!$D$2:$D$2001, ポートフォリオ実績!$B$2:$B$2001, B102, ポートフォリオ実績!$A$2:$A$2001, G102), 0)</f>
        <v>33286.76</v>
      </c>
      <c r="I102">
        <f>IF(B102&lt;&gt;"", SUMIFS(ポートフォリオ実績!$C$2:$C$2001, ポートフォリオ実績!$B$2:$B$2001, B102, ポートフォリオ実績!$A$2:$A$2001, G102), 0)</f>
        <v>27533.31</v>
      </c>
      <c r="J102">
        <f t="shared" si="12"/>
        <v>5447.84</v>
      </c>
      <c r="K102">
        <f t="shared" si="13"/>
        <v>5753.4500000000007</v>
      </c>
      <c r="L102">
        <f t="shared" si="14"/>
        <v>-305.61000000000058</v>
      </c>
      <c r="M102">
        <f t="shared" si="15"/>
        <v>-240.0900000000006</v>
      </c>
      <c r="N102">
        <f t="shared" si="16"/>
        <v>-590.8900000000026</v>
      </c>
      <c r="O102">
        <f t="shared" si="17"/>
        <v>32991.315000000002</v>
      </c>
      <c r="P102">
        <f t="shared" si="18"/>
        <v>-7.2773698168745495E-3</v>
      </c>
      <c r="Q102" t="str">
        <f>IF(B102="","", IFERROR(VLOOKUP(B102, '基準資産配分（設定）'!$A$2:$C$2001, 3, FALSE), ""))</f>
        <v>FTSE世界国債（除日、円H）</v>
      </c>
      <c r="R102">
        <f>IF(B102="","", IFERROR(VLOOKUP(B102, '基準資産配分（設定）'!$A$2:$C$2001, 2, FALSE)/100, 0))</f>
        <v>0.23440000000000003</v>
      </c>
      <c r="S102">
        <f>IF(B102="","", IFERROR(SUMIFS(ベンチマークリターン!$C$2:$C$2001, ベンチマークリターン!$A$2:$A$2001, A102, ベンチマークリターン!$B$2:$B$2001, Q102) / 100, 0))</f>
        <v>7.0439999999999999E-3</v>
      </c>
      <c r="T102">
        <f>IF(A102="","", SUMIFS($H$2:$H$2000, $A$2:$A$2000, A102))</f>
        <v>142294.85999999999</v>
      </c>
      <c r="U102">
        <f t="shared" si="19"/>
        <v>0.23392805615044707</v>
      </c>
      <c r="V102">
        <f t="shared" si="20"/>
        <v>-1.7023809751493984E-3</v>
      </c>
      <c r="W102">
        <f t="shared" si="21"/>
        <v>1.6511136000000003E-3</v>
      </c>
    </row>
    <row r="103" spans="1:23" x14ac:dyDescent="0.2">
      <c r="A103" s="4">
        <f>IF(ポートフォリオ実績!A104="","", ポートフォリオ実績!A104)</f>
        <v>45473</v>
      </c>
      <c r="B103" t="str">
        <f>IF(ポートフォリオ実績!B104="","", ポートフォリオ実績!B104)</f>
        <v>外国債券（為替ヘッジ有・固定）</v>
      </c>
      <c r="C103" s="10">
        <f>IF(ポートフォリオ実績!C104="","", ポートフォリオ実績!C104)</f>
        <v>27000.36</v>
      </c>
      <c r="D103" s="10">
        <f>IF(ポートフォリオ実績!D104="","", ポートフォリオ実績!D104)</f>
        <v>32042.16</v>
      </c>
      <c r="E103" s="10">
        <f>IF(ポートフォリオ実績!E104="","", ポートフォリオ実績!E104)</f>
        <v>64.900000000000006</v>
      </c>
      <c r="F103" s="10">
        <f>IF(ポートフォリオ実績!F104="","", ポートフォリオ実績!F104)</f>
        <v>0</v>
      </c>
      <c r="G103">
        <f t="shared" si="11"/>
        <v>45443</v>
      </c>
      <c r="H103">
        <f>IF(B103&lt;&gt;"", SUMIFS(ポートフォリオ実績!$D$2:$D$2001, ポートフォリオ実績!$B$2:$B$2001, B103, ポートフォリオ実績!$A$2:$A$2001, G103), 0)</f>
        <v>32455.78</v>
      </c>
      <c r="I103">
        <f>IF(B103&lt;&gt;"", SUMIFS(ポートフォリオ実績!$C$2:$C$2001, ポートフォリオ実績!$B$2:$B$2001, B103, ポートフォリオ実績!$A$2:$A$2001, G103), 0)</f>
        <v>27007.94</v>
      </c>
      <c r="J103">
        <f t="shared" si="12"/>
        <v>5041.7999999999993</v>
      </c>
      <c r="K103">
        <f t="shared" si="13"/>
        <v>5447.84</v>
      </c>
      <c r="L103">
        <f t="shared" si="14"/>
        <v>-406.04000000000087</v>
      </c>
      <c r="M103">
        <f t="shared" si="15"/>
        <v>-341.1400000000009</v>
      </c>
      <c r="N103">
        <f t="shared" si="16"/>
        <v>-72.479999999998086</v>
      </c>
      <c r="O103">
        <f t="shared" si="17"/>
        <v>32419.54</v>
      </c>
      <c r="P103">
        <f t="shared" si="18"/>
        <v>-1.0522666268552881E-2</v>
      </c>
      <c r="Q103" t="str">
        <f>IF(B103="","", IFERROR(VLOOKUP(B103, '基準資産配分（設定）'!$A$2:$C$2001, 3, FALSE), ""))</f>
        <v>FTSE世界国債（除日、円H）</v>
      </c>
      <c r="R103">
        <f>IF(B103="","", IFERROR(VLOOKUP(B103, '基準資産配分（設定）'!$A$2:$C$2001, 2, FALSE)/100, 0))</f>
        <v>0.23440000000000003</v>
      </c>
      <c r="S103">
        <f>IF(B103="","", IFERROR(SUMIFS(ベンチマークリターン!$C$2:$C$2001, ベンチマークリターン!$A$2:$A$2001, A103, ベンチマークリターン!$B$2:$B$2001, Q103) / 100, 0))</f>
        <v>4.4819999999999999E-3</v>
      </c>
      <c r="T103">
        <f>IF(A103="","", SUMIFS($H$2:$H$2000, $A$2:$A$2000, A103))</f>
        <v>142297.76999999999</v>
      </c>
      <c r="U103">
        <f t="shared" si="19"/>
        <v>0.22808354621439256</v>
      </c>
      <c r="V103">
        <f t="shared" si="20"/>
        <v>-2.4000470381621108E-3</v>
      </c>
      <c r="W103">
        <f t="shared" si="21"/>
        <v>1.0505808E-3</v>
      </c>
    </row>
    <row r="104" spans="1:23" x14ac:dyDescent="0.2">
      <c r="A104" s="4">
        <f>IF(ポートフォリオ実績!A105="","", ポートフォリオ実績!A105)</f>
        <v>45504</v>
      </c>
      <c r="B104" t="str">
        <f>IF(ポートフォリオ実績!B105="","", ポートフォリオ実績!B105)</f>
        <v>外国債券（為替ヘッジ有・固定）</v>
      </c>
      <c r="C104" s="10">
        <f>IF(ポートフォリオ実績!C105="","", ポートフォリオ実績!C105)</f>
        <v>27152.61</v>
      </c>
      <c r="D104" s="10">
        <f>IF(ポートフォリオ実績!D105="","", ポートフォリオ実績!D105)</f>
        <v>32323.5</v>
      </c>
      <c r="E104" s="10">
        <f>IF(ポートフォリオ実績!E105="","", ポートフォリオ実績!E105)</f>
        <v>64.39</v>
      </c>
      <c r="F104" s="10">
        <f>IF(ポートフォリオ実績!F105="","", ポートフォリオ実績!F105)</f>
        <v>0</v>
      </c>
      <c r="G104">
        <f t="shared" si="11"/>
        <v>45473</v>
      </c>
      <c r="H104">
        <f>IF(B104&lt;&gt;"", SUMIFS(ポートフォリオ実績!$D$2:$D$2001, ポートフォリオ実績!$B$2:$B$2001, B104, ポートフォリオ実績!$A$2:$A$2001, G104), 0)</f>
        <v>32042.16</v>
      </c>
      <c r="I104">
        <f>IF(B104&lt;&gt;"", SUMIFS(ポートフォリオ実績!$C$2:$C$2001, ポートフォリオ実績!$B$2:$B$2001, B104, ポートフォリオ実績!$A$2:$A$2001, G104), 0)</f>
        <v>27000.36</v>
      </c>
      <c r="J104">
        <f t="shared" si="12"/>
        <v>5170.8899999999994</v>
      </c>
      <c r="K104">
        <f t="shared" si="13"/>
        <v>5041.7999999999993</v>
      </c>
      <c r="L104">
        <f t="shared" si="14"/>
        <v>129.09000000000015</v>
      </c>
      <c r="M104">
        <f t="shared" si="15"/>
        <v>193.48000000000013</v>
      </c>
      <c r="N104">
        <f t="shared" si="16"/>
        <v>87.860000000000014</v>
      </c>
      <c r="O104">
        <f t="shared" si="17"/>
        <v>32086.09</v>
      </c>
      <c r="P104">
        <f t="shared" si="18"/>
        <v>6.0300273420663009E-3</v>
      </c>
      <c r="Q104" t="str">
        <f>IF(B104="","", IFERROR(VLOOKUP(B104, '基準資産配分（設定）'!$A$2:$C$2001, 3, FALSE), ""))</f>
        <v>FTSE世界国債（除日、円H）</v>
      </c>
      <c r="R104">
        <f>IF(B104="","", IFERROR(VLOOKUP(B104, '基準資産配分（設定）'!$A$2:$C$2001, 2, FALSE)/100, 0))</f>
        <v>0.23440000000000003</v>
      </c>
      <c r="S104">
        <f>IF(B104="","", IFERROR(SUMIFS(ベンチマークリターン!$C$2:$C$2001, ベンチマークリターン!$A$2:$A$2001, A104, ベンチマークリターン!$B$2:$B$2001, Q104) / 100, 0))</f>
        <v>5.2190000000000005E-3</v>
      </c>
      <c r="T104">
        <f>IF(A104="","", SUMIFS($H$2:$H$2000, $A$2:$A$2000, A104))</f>
        <v>135112.08000000002</v>
      </c>
      <c r="U104">
        <f t="shared" si="19"/>
        <v>0.23715244410418371</v>
      </c>
      <c r="V104">
        <f t="shared" si="20"/>
        <v>1.4300357221860779E-3</v>
      </c>
      <c r="W104">
        <f t="shared" si="21"/>
        <v>1.2233336000000003E-3</v>
      </c>
    </row>
    <row r="105" spans="1:23" x14ac:dyDescent="0.2">
      <c r="A105" s="4">
        <f>IF(ポートフォリオ実績!A106="","", ポートフォリオ実績!A106)</f>
        <v>45535</v>
      </c>
      <c r="B105" t="str">
        <f>IF(ポートフォリオ実績!B106="","", ポートフォリオ実績!B106)</f>
        <v>外国債券（為替ヘッジ有・固定）</v>
      </c>
      <c r="C105" s="10">
        <f>IF(ポートフォリオ実績!C106="","", ポートフォリオ実績!C106)</f>
        <v>26970.04</v>
      </c>
      <c r="D105" s="10">
        <f>IF(ポートフォリオ実績!D106="","", ポートフォリオ実績!D106)</f>
        <v>33092.69</v>
      </c>
      <c r="E105" s="10">
        <f>IF(ポートフォリオ実績!E106="","", ポートフォリオ実績!E106)</f>
        <v>64.28</v>
      </c>
      <c r="F105" s="10">
        <f>IF(ポートフォリオ実績!F106="","", ポートフォリオ実績!F106)</f>
        <v>0</v>
      </c>
      <c r="G105">
        <f t="shared" si="11"/>
        <v>45504</v>
      </c>
      <c r="H105">
        <f>IF(B105&lt;&gt;"", SUMIFS(ポートフォリオ実績!$D$2:$D$2001, ポートフォリオ実績!$B$2:$B$2001, B105, ポートフォリオ実績!$A$2:$A$2001, G105), 0)</f>
        <v>32323.5</v>
      </c>
      <c r="I105">
        <f>IF(B105&lt;&gt;"", SUMIFS(ポートフォリオ実績!$C$2:$C$2001, ポートフォリオ実績!$B$2:$B$2001, B105, ポートフォリオ実績!$A$2:$A$2001, G105), 0)</f>
        <v>27152.61</v>
      </c>
      <c r="J105">
        <f t="shared" si="12"/>
        <v>6122.6500000000015</v>
      </c>
      <c r="K105">
        <f t="shared" si="13"/>
        <v>5170.8899999999994</v>
      </c>
      <c r="L105">
        <f t="shared" si="14"/>
        <v>951.76000000000204</v>
      </c>
      <c r="M105">
        <f t="shared" si="15"/>
        <v>1016.040000000002</v>
      </c>
      <c r="N105">
        <f t="shared" si="16"/>
        <v>-246.84999999999968</v>
      </c>
      <c r="O105">
        <f t="shared" si="17"/>
        <v>32200.075000000001</v>
      </c>
      <c r="P105">
        <f t="shared" si="18"/>
        <v>3.1553963771823575E-2</v>
      </c>
      <c r="Q105" t="str">
        <f>IF(B105="","", IFERROR(VLOOKUP(B105, '基準資産配分（設定）'!$A$2:$C$2001, 3, FALSE), ""))</f>
        <v>FTSE世界国債（除日、円H）</v>
      </c>
      <c r="R105">
        <f>IF(B105="","", IFERROR(VLOOKUP(B105, '基準資産配分（設定）'!$A$2:$C$2001, 2, FALSE)/100, 0))</f>
        <v>0.23440000000000003</v>
      </c>
      <c r="S105">
        <f>IF(B105="","", IFERROR(SUMIFS(ベンチマークリターン!$C$2:$C$2001, ベンチマークリターン!$A$2:$A$2001, A105, ベンチマークリターン!$B$2:$B$2001, Q105) / 100, 0))</f>
        <v>-1.2659E-2</v>
      </c>
      <c r="T105">
        <f>IF(A105="","", SUMIFS($H$2:$H$2000, $A$2:$A$2000, A105))</f>
        <v>136612.22</v>
      </c>
      <c r="U105">
        <f t="shared" si="19"/>
        <v>0.23660767682422554</v>
      </c>
      <c r="V105">
        <f t="shared" si="20"/>
        <v>7.4659100626469528E-3</v>
      </c>
      <c r="W105">
        <f t="shared" si="21"/>
        <v>-2.9672696000000004E-3</v>
      </c>
    </row>
    <row r="106" spans="1:23" x14ac:dyDescent="0.2">
      <c r="A106" s="4">
        <f>IF(ポートフォリオ実績!A107="","", ポートフォリオ実績!A107)</f>
        <v>45565</v>
      </c>
      <c r="B106" t="str">
        <f>IF(ポートフォリオ実績!B107="","", ポートフォリオ実績!B107)</f>
        <v>外国債券（為替ヘッジ有・固定）</v>
      </c>
      <c r="C106" s="10">
        <f>IF(ポートフォリオ実績!C107="","", ポートフォリオ実績!C107)</f>
        <v>27040.92</v>
      </c>
      <c r="D106" s="10">
        <f>IF(ポートフォリオ実績!D107="","", ポートフォリオ実績!D107)</f>
        <v>33423.449999999997</v>
      </c>
      <c r="E106" s="10">
        <f>IF(ポートフォリオ実績!E107="","", ポートフォリオ実績!E107)</f>
        <v>66.33</v>
      </c>
      <c r="F106" s="10">
        <f>IF(ポートフォリオ実績!F107="","", ポートフォリオ実績!F107)</f>
        <v>0</v>
      </c>
      <c r="G106">
        <f t="shared" si="11"/>
        <v>45535</v>
      </c>
      <c r="H106">
        <f>IF(B106&lt;&gt;"", SUMIFS(ポートフォリオ実績!$D$2:$D$2001, ポートフォリオ実績!$B$2:$B$2001, B106, ポートフォリオ実績!$A$2:$A$2001, G106), 0)</f>
        <v>33092.69</v>
      </c>
      <c r="I106">
        <f>IF(B106&lt;&gt;"", SUMIFS(ポートフォリオ実績!$C$2:$C$2001, ポートフォリオ実績!$B$2:$B$2001, B106, ポートフォリオ実績!$A$2:$A$2001, G106), 0)</f>
        <v>26970.04</v>
      </c>
      <c r="J106">
        <f t="shared" si="12"/>
        <v>6382.5299999999988</v>
      </c>
      <c r="K106">
        <f t="shared" si="13"/>
        <v>6122.6500000000015</v>
      </c>
      <c r="L106">
        <f t="shared" si="14"/>
        <v>259.87999999999738</v>
      </c>
      <c r="M106">
        <f t="shared" si="15"/>
        <v>326.20999999999736</v>
      </c>
      <c r="N106">
        <f t="shared" si="16"/>
        <v>4.5499999999973966</v>
      </c>
      <c r="O106">
        <f t="shared" si="17"/>
        <v>33094.965000000004</v>
      </c>
      <c r="P106">
        <f t="shared" si="18"/>
        <v>9.856786372186746E-3</v>
      </c>
      <c r="Q106" t="str">
        <f>IF(B106="","", IFERROR(VLOOKUP(B106, '基準資産配分（設定）'!$A$2:$C$2001, 3, FALSE), ""))</f>
        <v>FTSE世界国債（除日、円H）</v>
      </c>
      <c r="R106">
        <f>IF(B106="","", IFERROR(VLOOKUP(B106, '基準資産配分（設定）'!$A$2:$C$2001, 2, FALSE)/100, 0))</f>
        <v>0.23440000000000003</v>
      </c>
      <c r="S106">
        <f>IF(B106="","", IFERROR(SUMIFS(ベンチマークリターン!$C$2:$C$2001, ベンチマークリターン!$A$2:$A$2001, A106, ベンチマークリターン!$B$2:$B$2001, Q106) / 100, 0))</f>
        <v>-1.04E-2</v>
      </c>
      <c r="T106">
        <f>IF(A106="","", SUMIFS($H$2:$H$2000, $A$2:$A$2000, A106))</f>
        <v>140301.49</v>
      </c>
      <c r="U106">
        <f t="shared" si="19"/>
        <v>0.23586841451220514</v>
      </c>
      <c r="V106">
        <f t="shared" si="20"/>
        <v>2.3249045737931983E-3</v>
      </c>
      <c r="W106">
        <f t="shared" si="21"/>
        <v>-2.4377600000000002E-3</v>
      </c>
    </row>
    <row r="107" spans="1:23" x14ac:dyDescent="0.2">
      <c r="A107" s="4">
        <f>IF(ポートフォリオ実績!A108="","", ポートフォリオ実績!A108)</f>
        <v>45596</v>
      </c>
      <c r="B107" t="str">
        <f>IF(ポートフォリオ実績!B108="","", ポートフォリオ実績!B108)</f>
        <v>外国債券（為替ヘッジ有・固定）</v>
      </c>
      <c r="C107" s="10">
        <f>IF(ポートフォリオ実績!C108="","", ポートフォリオ実績!C108)</f>
        <v>27218.13</v>
      </c>
      <c r="D107" s="10">
        <f>IF(ポートフォリオ実績!D108="","", ポートフォリオ実績!D108)</f>
        <v>33708.28</v>
      </c>
      <c r="E107" s="10">
        <f>IF(ポートフォリオ実績!E108="","", ポートフォリオ実績!E108)</f>
        <v>67.2</v>
      </c>
      <c r="F107" s="10">
        <f>IF(ポートフォリオ実績!F108="","", ポートフォリオ実績!F108)</f>
        <v>0</v>
      </c>
      <c r="G107">
        <f t="shared" si="11"/>
        <v>45565</v>
      </c>
      <c r="H107">
        <f>IF(B107&lt;&gt;"", SUMIFS(ポートフォリオ実績!$D$2:$D$2001, ポートフォリオ実績!$B$2:$B$2001, B107, ポートフォリオ実績!$A$2:$A$2001, G107), 0)</f>
        <v>33423.449999999997</v>
      </c>
      <c r="I107">
        <f>IF(B107&lt;&gt;"", SUMIFS(ポートフォリオ実績!$C$2:$C$2001, ポートフォリオ実績!$B$2:$B$2001, B107, ポートフォリオ実績!$A$2:$A$2001, G107), 0)</f>
        <v>27040.92</v>
      </c>
      <c r="J107">
        <f t="shared" si="12"/>
        <v>6490.1499999999978</v>
      </c>
      <c r="K107">
        <f t="shared" si="13"/>
        <v>6382.5299999999988</v>
      </c>
      <c r="L107">
        <f t="shared" si="14"/>
        <v>107.61999999999898</v>
      </c>
      <c r="M107">
        <f t="shared" si="15"/>
        <v>174.81999999999897</v>
      </c>
      <c r="N107">
        <f t="shared" si="16"/>
        <v>110.01000000000278</v>
      </c>
      <c r="O107">
        <f t="shared" si="17"/>
        <v>33478.455000000002</v>
      </c>
      <c r="P107">
        <f t="shared" si="18"/>
        <v>5.2218658238559383E-3</v>
      </c>
      <c r="Q107" t="str">
        <f>IF(B107="","", IFERROR(VLOOKUP(B107, '基準資産配分（設定）'!$A$2:$C$2001, 3, FALSE), ""))</f>
        <v>FTSE世界国債（除日、円H）</v>
      </c>
      <c r="R107">
        <f>IF(B107="","", IFERROR(VLOOKUP(B107, '基準資産配分（設定）'!$A$2:$C$2001, 2, FALSE)/100, 0))</f>
        <v>0.23440000000000003</v>
      </c>
      <c r="S107">
        <f>IF(B107="","", IFERROR(SUMIFS(ベンチマークリターン!$C$2:$C$2001, ベンチマークリターン!$A$2:$A$2001, A107, ベンチマークリターン!$B$2:$B$2001, Q107) / 100, 0))</f>
        <v>1.4244000000000001E-2</v>
      </c>
      <c r="T107">
        <f>IF(A107="","", SUMIFS($H$2:$H$2000, $A$2:$A$2000, A107))</f>
        <v>140341.03999999998</v>
      </c>
      <c r="U107">
        <f t="shared" si="19"/>
        <v>0.23815877379845554</v>
      </c>
      <c r="V107">
        <f t="shared" si="20"/>
        <v>1.2436331615495921E-3</v>
      </c>
      <c r="W107">
        <f t="shared" si="21"/>
        <v>3.3387936000000007E-3</v>
      </c>
    </row>
    <row r="108" spans="1:23" x14ac:dyDescent="0.2">
      <c r="A108" s="4">
        <f>IF(ポートフォリオ実績!A109="","", ポートフォリオ実績!A109)</f>
        <v>45626</v>
      </c>
      <c r="B108" t="str">
        <f>IF(ポートフォリオ実績!B109="","", ポートフォリオ実績!B109)</f>
        <v>外国債券（為替ヘッジ有・固定）</v>
      </c>
      <c r="C108" s="10">
        <f>IF(ポートフォリオ実績!C109="","", ポートフォリオ実績!C109)</f>
        <v>27151.23</v>
      </c>
      <c r="D108" s="10">
        <f>IF(ポートフォリオ実績!D109="","", ポートフォリオ実績!D109)</f>
        <v>33982.699999999997</v>
      </c>
      <c r="E108" s="10">
        <f>IF(ポートフォリオ実績!E109="","", ポートフォリオ実績!E109)</f>
        <v>67.28</v>
      </c>
      <c r="F108" s="10">
        <f>IF(ポートフォリオ実績!F109="","", ポートフォリオ実績!F109)</f>
        <v>0</v>
      </c>
      <c r="G108">
        <f t="shared" si="11"/>
        <v>45596</v>
      </c>
      <c r="H108">
        <f>IF(B108&lt;&gt;"", SUMIFS(ポートフォリオ実績!$D$2:$D$2001, ポートフォリオ実績!$B$2:$B$2001, B108, ポートフォリオ実績!$A$2:$A$2001, G108), 0)</f>
        <v>33708.28</v>
      </c>
      <c r="I108">
        <f>IF(B108&lt;&gt;"", SUMIFS(ポートフォリオ実績!$C$2:$C$2001, ポートフォリオ実績!$B$2:$B$2001, B108, ポートフォリオ実績!$A$2:$A$2001, G108), 0)</f>
        <v>27218.13</v>
      </c>
      <c r="J108">
        <f t="shared" si="12"/>
        <v>6831.4699999999975</v>
      </c>
      <c r="K108">
        <f t="shared" si="13"/>
        <v>6490.1499999999978</v>
      </c>
      <c r="L108">
        <f t="shared" si="14"/>
        <v>341.31999999999971</v>
      </c>
      <c r="M108">
        <f t="shared" si="15"/>
        <v>408.59999999999968</v>
      </c>
      <c r="N108">
        <f t="shared" si="16"/>
        <v>-134.18000000000143</v>
      </c>
      <c r="O108">
        <f t="shared" si="17"/>
        <v>33641.189999999995</v>
      </c>
      <c r="P108">
        <f t="shared" si="18"/>
        <v>1.2145824805840689E-2</v>
      </c>
      <c r="Q108" t="str">
        <f>IF(B108="","", IFERROR(VLOOKUP(B108, '基準資産配分（設定）'!$A$2:$C$2001, 3, FALSE), ""))</f>
        <v>FTSE世界国債（除日、円H）</v>
      </c>
      <c r="R108">
        <f>IF(B108="","", IFERROR(VLOOKUP(B108, '基準資産配分（設定）'!$A$2:$C$2001, 2, FALSE)/100, 0))</f>
        <v>0.23440000000000003</v>
      </c>
      <c r="S108">
        <f>IF(B108="","", IFERROR(SUMIFS(ベンチマークリターン!$C$2:$C$2001, ベンチマークリターン!$A$2:$A$2001, A108, ベンチマークリターン!$B$2:$B$2001, Q108) / 100, 0))</f>
        <v>1.6270000000000002E-3</v>
      </c>
      <c r="T108">
        <f>IF(A108="","", SUMIFS($H$2:$H$2000, $A$2:$A$2000, A108))</f>
        <v>138030.65999999997</v>
      </c>
      <c r="U108">
        <f t="shared" si="19"/>
        <v>0.24420864176118556</v>
      </c>
      <c r="V108">
        <f t="shared" si="20"/>
        <v>2.9661153789036698E-3</v>
      </c>
      <c r="W108">
        <f t="shared" si="21"/>
        <v>3.8136880000000009E-4</v>
      </c>
    </row>
    <row r="109" spans="1:23" x14ac:dyDescent="0.2">
      <c r="A109" s="4">
        <f>IF(ポートフォリオ実績!A110="","", ポートフォリオ実績!A110)</f>
        <v>45657</v>
      </c>
      <c r="B109" t="str">
        <f>IF(ポートフォリオ実績!B110="","", ポートフォリオ実績!B110)</f>
        <v>外国債券（為替ヘッジ有・固定）</v>
      </c>
      <c r="C109" s="10">
        <f>IF(ポートフォリオ実績!C110="","", ポートフォリオ実績!C110)</f>
        <v>27241.24</v>
      </c>
      <c r="D109" s="10">
        <f>IF(ポートフォリオ実績!D110="","", ポートフォリオ実績!D110)</f>
        <v>34988.559999999998</v>
      </c>
      <c r="E109" s="10">
        <f>IF(ポートフォリオ実績!E110="","", ポートフォリオ実績!E110)</f>
        <v>68.150000000000006</v>
      </c>
      <c r="F109" s="10">
        <f>IF(ポートフォリオ実績!F110="","", ポートフォリオ実績!F110)</f>
        <v>0</v>
      </c>
      <c r="G109">
        <f t="shared" si="11"/>
        <v>45626</v>
      </c>
      <c r="H109">
        <f>IF(B109&lt;&gt;"", SUMIFS(ポートフォリオ実績!$D$2:$D$2001, ポートフォリオ実績!$B$2:$B$2001, B109, ポートフォリオ実績!$A$2:$A$2001, G109), 0)</f>
        <v>33982.699999999997</v>
      </c>
      <c r="I109">
        <f>IF(B109&lt;&gt;"", SUMIFS(ポートフォリオ実績!$C$2:$C$2001, ポートフォリオ実績!$B$2:$B$2001, B109, ポートフォリオ実績!$A$2:$A$2001, G109), 0)</f>
        <v>27151.23</v>
      </c>
      <c r="J109">
        <f t="shared" si="12"/>
        <v>7747.3199999999961</v>
      </c>
      <c r="K109">
        <f t="shared" si="13"/>
        <v>6831.4699999999975</v>
      </c>
      <c r="L109">
        <f t="shared" si="14"/>
        <v>915.84999999999854</v>
      </c>
      <c r="M109">
        <f t="shared" si="15"/>
        <v>983.99999999999852</v>
      </c>
      <c r="N109">
        <f t="shared" si="16"/>
        <v>21.86000000000206</v>
      </c>
      <c r="O109">
        <f t="shared" si="17"/>
        <v>33993.629999999997</v>
      </c>
      <c r="P109">
        <f t="shared" si="18"/>
        <v>2.8946599701179267E-2</v>
      </c>
      <c r="Q109" t="str">
        <f>IF(B109="","", IFERROR(VLOOKUP(B109, '基準資産配分（設定）'!$A$2:$C$2001, 3, FALSE), ""))</f>
        <v>FTSE世界国債（除日、円H）</v>
      </c>
      <c r="R109">
        <f>IF(B109="","", IFERROR(VLOOKUP(B109, '基準資産配分（設定）'!$A$2:$C$2001, 2, FALSE)/100, 0))</f>
        <v>0.23440000000000003</v>
      </c>
      <c r="S109">
        <f>IF(B109="","", IFERROR(SUMIFS(ベンチマークリターン!$C$2:$C$2001, ベンチマークリターン!$A$2:$A$2001, A109, ベンチマークリターン!$B$2:$B$2001, Q109) / 100, 0))</f>
        <v>9.953E-3</v>
      </c>
      <c r="T109">
        <f>IF(A109="","", SUMIFS($H$2:$H$2000, $A$2:$A$2000, A109))</f>
        <v>140420.70000000001</v>
      </c>
      <c r="U109">
        <f t="shared" si="19"/>
        <v>0.2420063423697503</v>
      </c>
      <c r="V109">
        <f t="shared" si="20"/>
        <v>7.0052607177237018E-3</v>
      </c>
      <c r="W109">
        <f t="shared" si="21"/>
        <v>2.3329832000000003E-3</v>
      </c>
    </row>
    <row r="110" spans="1:23" x14ac:dyDescent="0.2">
      <c r="A110" s="4">
        <f>IF(ポートフォリオ実績!A111="","", ポートフォリオ実績!A111)</f>
        <v>45688</v>
      </c>
      <c r="B110" t="str">
        <f>IF(ポートフォリオ実績!B111="","", ポートフォリオ実績!B111)</f>
        <v>外国債券（為替ヘッジ有・固定）</v>
      </c>
      <c r="C110" s="10">
        <f>IF(ポートフォリオ実績!C111="","", ポートフォリオ実績!C111)</f>
        <v>27216.83</v>
      </c>
      <c r="D110" s="10">
        <f>IF(ポートフォリオ実績!D111="","", ポートフォリオ実績!D111)</f>
        <v>35289.089999999997</v>
      </c>
      <c r="E110" s="10">
        <f>IF(ポートフォリオ実績!E111="","", ポートフォリオ実績!E111)</f>
        <v>69.930000000000007</v>
      </c>
      <c r="F110" s="10">
        <f>IF(ポートフォリオ実績!F111="","", ポートフォリオ実績!F111)</f>
        <v>0</v>
      </c>
      <c r="G110">
        <f t="shared" si="11"/>
        <v>45657</v>
      </c>
      <c r="H110">
        <f>IF(B110&lt;&gt;"", SUMIFS(ポートフォリオ実績!$D$2:$D$2001, ポートフォリオ実績!$B$2:$B$2001, B110, ポートフォリオ実績!$A$2:$A$2001, G110), 0)</f>
        <v>34988.559999999998</v>
      </c>
      <c r="I110">
        <f>IF(B110&lt;&gt;"", SUMIFS(ポートフォリオ実績!$C$2:$C$2001, ポートフォリオ実績!$B$2:$B$2001, B110, ポートフォリオ実績!$A$2:$A$2001, G110), 0)</f>
        <v>27241.24</v>
      </c>
      <c r="J110">
        <f t="shared" si="12"/>
        <v>8072.2599999999948</v>
      </c>
      <c r="K110">
        <f t="shared" si="13"/>
        <v>7747.3199999999961</v>
      </c>
      <c r="L110">
        <f t="shared" si="14"/>
        <v>324.93999999999869</v>
      </c>
      <c r="M110">
        <f t="shared" si="15"/>
        <v>394.8699999999987</v>
      </c>
      <c r="N110">
        <f t="shared" si="16"/>
        <v>-94.339999999999861</v>
      </c>
      <c r="O110">
        <f t="shared" si="17"/>
        <v>34941.39</v>
      </c>
      <c r="P110">
        <f t="shared" si="18"/>
        <v>1.1300924204789755E-2</v>
      </c>
      <c r="Q110" t="str">
        <f>IF(B110="","", IFERROR(VLOOKUP(B110, '基準資産配分（設定）'!$A$2:$C$2001, 3, FALSE), ""))</f>
        <v>FTSE世界国債（除日、円H）</v>
      </c>
      <c r="R110">
        <f>IF(B110="","", IFERROR(VLOOKUP(B110, '基準資産配分（設定）'!$A$2:$C$2001, 2, FALSE)/100, 0))</f>
        <v>0.23440000000000003</v>
      </c>
      <c r="S110">
        <f>IF(B110="","", IFERROR(SUMIFS(ベンチマークリターン!$C$2:$C$2001, ベンチマークリターン!$A$2:$A$2001, A110, ベンチマークリターン!$B$2:$B$2001, Q110) / 100, 0))</f>
        <v>2.4099999999999998E-3</v>
      </c>
      <c r="T110">
        <f>IF(A110="","", SUMIFS($H$2:$H$2000, $A$2:$A$2000, A110))</f>
        <v>142763.42000000001</v>
      </c>
      <c r="U110">
        <f t="shared" si="19"/>
        <v>0.2450807076490602</v>
      </c>
      <c r="V110">
        <f t="shared" si="20"/>
        <v>2.7696385011982661E-3</v>
      </c>
      <c r="W110">
        <f t="shared" si="21"/>
        <v>5.6490399999999997E-4</v>
      </c>
    </row>
    <row r="111" spans="1:23" x14ac:dyDescent="0.2">
      <c r="A111" s="4">
        <f>IF(ポートフォリオ実績!A112="","", ポートフォリオ実績!A112)</f>
        <v>45716</v>
      </c>
      <c r="B111" t="str">
        <f>IF(ポートフォリオ実績!B112="","", ポートフォリオ実績!B112)</f>
        <v>外国債券（為替ヘッジ有・固定）</v>
      </c>
      <c r="C111" s="10">
        <f>IF(ポートフォリオ実績!C112="","", ポートフォリオ実績!C112)</f>
        <v>27155.89</v>
      </c>
      <c r="D111" s="10">
        <f>IF(ポートフォリオ実績!D112="","", ポートフォリオ実績!D112)</f>
        <v>35400.660000000003</v>
      </c>
      <c r="E111" s="10">
        <f>IF(ポートフォリオ実績!E112="","", ポートフォリオ実績!E112)</f>
        <v>70.459999999999994</v>
      </c>
      <c r="F111" s="10">
        <f>IF(ポートフォリオ実績!F112="","", ポートフォリオ実績!F112)</f>
        <v>0</v>
      </c>
      <c r="G111">
        <f t="shared" si="11"/>
        <v>45688</v>
      </c>
      <c r="H111">
        <f>IF(B111&lt;&gt;"", SUMIFS(ポートフォリオ実績!$D$2:$D$2001, ポートフォリオ実績!$B$2:$B$2001, B111, ポートフォリオ実績!$A$2:$A$2001, G111), 0)</f>
        <v>35289.089999999997</v>
      </c>
      <c r="I111">
        <f>IF(B111&lt;&gt;"", SUMIFS(ポートフォリオ実績!$C$2:$C$2001, ポートフォリオ実績!$B$2:$B$2001, B111, ポートフォリオ実績!$A$2:$A$2001, G111), 0)</f>
        <v>27216.83</v>
      </c>
      <c r="J111">
        <f t="shared" si="12"/>
        <v>8244.7700000000041</v>
      </c>
      <c r="K111">
        <f t="shared" si="13"/>
        <v>8072.2599999999948</v>
      </c>
      <c r="L111">
        <f t="shared" si="14"/>
        <v>172.51000000000931</v>
      </c>
      <c r="M111">
        <f t="shared" si="15"/>
        <v>242.97000000000929</v>
      </c>
      <c r="N111">
        <f t="shared" si="16"/>
        <v>-131.40000000000231</v>
      </c>
      <c r="O111">
        <f t="shared" si="17"/>
        <v>35223.389999999992</v>
      </c>
      <c r="P111">
        <f t="shared" si="18"/>
        <v>6.8979731933811409E-3</v>
      </c>
      <c r="Q111" t="str">
        <f>IF(B111="","", IFERROR(VLOOKUP(B111, '基準資産配分（設定）'!$A$2:$C$2001, 3, FALSE), ""))</f>
        <v>FTSE世界国債（除日、円H）</v>
      </c>
      <c r="R111">
        <f>IF(B111="","", IFERROR(VLOOKUP(B111, '基準資産配分（設定）'!$A$2:$C$2001, 2, FALSE)/100, 0))</f>
        <v>0.23440000000000003</v>
      </c>
      <c r="S111">
        <f>IF(B111="","", IFERROR(SUMIFS(ベンチマークリターン!$C$2:$C$2001, ベンチマークリターン!$A$2:$A$2001, A111, ベンチマークリターン!$B$2:$B$2001, Q111) / 100, 0))</f>
        <v>2.4269999999999999E-3</v>
      </c>
      <c r="T111">
        <f>IF(A111="","", SUMIFS($H$2:$H$2000, $A$2:$A$2000, A111))</f>
        <v>145068.1</v>
      </c>
      <c r="U111">
        <f t="shared" si="19"/>
        <v>0.24325878673533324</v>
      </c>
      <c r="V111">
        <f t="shared" si="20"/>
        <v>1.6779925899547486E-3</v>
      </c>
      <c r="W111">
        <f t="shared" si="21"/>
        <v>5.6888880000000009E-4</v>
      </c>
    </row>
    <row r="112" spans="1:23" x14ac:dyDescent="0.2">
      <c r="A112" s="4">
        <f>IF(ポートフォリオ実績!A113="","", ポートフォリオ実績!A113)</f>
        <v>45747</v>
      </c>
      <c r="B112" t="str">
        <f>IF(ポートフォリオ実績!B113="","", ポートフォリオ実績!B113)</f>
        <v>外国債券（為替ヘッジ有・固定）</v>
      </c>
      <c r="C112" s="10">
        <f>IF(ポートフォリオ実績!C113="","", ポートフォリオ実績!C113)</f>
        <v>27640.41</v>
      </c>
      <c r="D112" s="10">
        <f>IF(ポートフォリオ実績!D113="","", ポートフォリオ実績!D113)</f>
        <v>36326.94</v>
      </c>
      <c r="E112" s="10">
        <f>IF(ポートフォリオ実績!E113="","", ポートフォリオ実績!E113)</f>
        <v>71.77</v>
      </c>
      <c r="F112" s="10">
        <f>IF(ポートフォリオ実績!F113="","", ポートフォリオ実績!F113)</f>
        <v>0</v>
      </c>
      <c r="G112">
        <f t="shared" si="11"/>
        <v>45716</v>
      </c>
      <c r="H112">
        <f>IF(B112&lt;&gt;"", SUMIFS(ポートフォリオ実績!$D$2:$D$2001, ポートフォリオ実績!$B$2:$B$2001, B112, ポートフォリオ実績!$A$2:$A$2001, G112), 0)</f>
        <v>35400.660000000003</v>
      </c>
      <c r="I112">
        <f>IF(B112&lt;&gt;"", SUMIFS(ポートフォリオ実績!$C$2:$C$2001, ポートフォリオ実績!$B$2:$B$2001, B112, ポートフォリオ実績!$A$2:$A$2001, G112), 0)</f>
        <v>27155.89</v>
      </c>
      <c r="J112">
        <f t="shared" si="12"/>
        <v>8686.5300000000025</v>
      </c>
      <c r="K112">
        <f t="shared" si="13"/>
        <v>8244.7700000000041</v>
      </c>
      <c r="L112">
        <f t="shared" si="14"/>
        <v>441.7599999999984</v>
      </c>
      <c r="M112">
        <f t="shared" si="15"/>
        <v>513.52999999999838</v>
      </c>
      <c r="N112">
        <f t="shared" si="16"/>
        <v>412.75000000000045</v>
      </c>
      <c r="O112">
        <f t="shared" si="17"/>
        <v>35607.035000000003</v>
      </c>
      <c r="P112">
        <f t="shared" si="18"/>
        <v>1.442215000490769E-2</v>
      </c>
      <c r="Q112" t="str">
        <f>IF(B112="","", IFERROR(VLOOKUP(B112, '基準資産配分（設定）'!$A$2:$C$2001, 3, FALSE), ""))</f>
        <v>FTSE世界国債（除日、円H）</v>
      </c>
      <c r="R112">
        <f>IF(B112="","", IFERROR(VLOOKUP(B112, '基準資産配分（設定）'!$A$2:$C$2001, 2, FALSE)/100, 0))</f>
        <v>0.23440000000000003</v>
      </c>
      <c r="S112">
        <f>IF(B112="","", IFERROR(SUMIFS(ベンチマークリターン!$C$2:$C$2001, ベンチマークリターン!$A$2:$A$2001, A112, ベンチマークリターン!$B$2:$B$2001, Q112) / 100, 0))</f>
        <v>1.2918000000000001E-2</v>
      </c>
      <c r="T112">
        <f>IF(A112="","", SUMIFS($H$2:$H$2000, $A$2:$A$2000, A112))</f>
        <v>143923.46</v>
      </c>
      <c r="U112">
        <f t="shared" si="19"/>
        <v>0.24596865583970817</v>
      </c>
      <c r="V112">
        <f t="shared" si="20"/>
        <v>3.5473968510257854E-3</v>
      </c>
      <c r="W112">
        <f t="shared" si="21"/>
        <v>3.0279792000000006E-3</v>
      </c>
    </row>
    <row r="113" spans="1:23" x14ac:dyDescent="0.2">
      <c r="A113" s="4">
        <f>IF(ポートフォリオ実績!A114="","", ポートフォリオ実績!A114)</f>
        <v>44651</v>
      </c>
      <c r="B113" t="str">
        <f>IF(ポートフォリオ実績!B114="","", ポートフォリオ実績!B114)</f>
        <v>国内株式（純投資）</v>
      </c>
      <c r="C113" s="10">
        <f>IF(ポートフォリオ実績!C114="","", ポートフォリオ実績!C114)</f>
        <v>14700</v>
      </c>
      <c r="D113" s="10">
        <f>IF(ポートフォリオ実績!D114="","", ポートフォリオ実績!D114)</f>
        <v>16244.65</v>
      </c>
      <c r="E113" s="10">
        <f>IF(ポートフォリオ実績!E114="","", ポートフォリオ実績!E114)</f>
        <v>0</v>
      </c>
      <c r="F113" s="10">
        <f>IF(ポートフォリオ実績!F114="","", ポートフォリオ実績!F114)</f>
        <v>0</v>
      </c>
      <c r="G113">
        <f t="shared" si="11"/>
        <v>44620</v>
      </c>
      <c r="H113">
        <f>IF(B113&lt;&gt;"", SUMIFS(ポートフォリオ実績!$D$2:$D$2001, ポートフォリオ実績!$B$2:$B$2001, B113, ポートフォリオ実績!$A$2:$A$2001, G113), 0)</f>
        <v>0</v>
      </c>
      <c r="I113">
        <f>IF(B113&lt;&gt;"", SUMIFS(ポートフォリオ実績!$C$2:$C$2001, ポートフォリオ実績!$B$2:$B$2001, B113, ポートフォリオ実績!$A$2:$A$2001, G113), 0)</f>
        <v>0</v>
      </c>
      <c r="J113">
        <f t="shared" si="12"/>
        <v>1544.6499999999996</v>
      </c>
      <c r="K113">
        <f t="shared" si="13"/>
        <v>0</v>
      </c>
      <c r="L113">
        <f t="shared" si="14"/>
        <v>0</v>
      </c>
      <c r="M113">
        <f t="shared" si="15"/>
        <v>0</v>
      </c>
      <c r="N113">
        <f t="shared" si="16"/>
        <v>0</v>
      </c>
      <c r="O113">
        <f t="shared" si="17"/>
        <v>0</v>
      </c>
      <c r="P113">
        <f t="shared" si="18"/>
        <v>0</v>
      </c>
      <c r="Q113" t="str">
        <f>IF(B113="","", IFERROR(VLOOKUP(B113, '基準資産配分（設定）'!$A$2:$C$2001, 3, FALSE), ""))</f>
        <v>TOPIX（配当込み）</v>
      </c>
      <c r="R113">
        <f>IF(B113="","", IFERROR(VLOOKUP(B113, '基準資産配分（設定）'!$A$2:$C$2001, 2, FALSE)/100, 0))</f>
        <v>0.11720000000000001</v>
      </c>
      <c r="S113">
        <f>IF(B113="","", IFERROR(SUMIFS(ベンチマークリターン!$C$2:$C$2001, ベンチマークリターン!$A$2:$A$2001, A113, ベンチマークリターン!$B$2:$B$2001, Q113) / 100, 0))</f>
        <v>0</v>
      </c>
      <c r="T113">
        <f>IF(A113="","", SUMIFS($H$2:$H$2000, $A$2:$A$2000, A113))</f>
        <v>0</v>
      </c>
      <c r="U113">
        <f t="shared" si="19"/>
        <v>0</v>
      </c>
      <c r="V113">
        <f t="shared" si="20"/>
        <v>0</v>
      </c>
      <c r="W113">
        <f t="shared" si="21"/>
        <v>0</v>
      </c>
    </row>
    <row r="114" spans="1:23" x14ac:dyDescent="0.2">
      <c r="A114" s="4">
        <f>IF(ポートフォリオ実績!A115="","", ポートフォリオ実績!A115)</f>
        <v>44681</v>
      </c>
      <c r="B114" t="str">
        <f>IF(ポートフォリオ実績!B115="","", ポートフォリオ実績!B115)</f>
        <v>国内株式（純投資）</v>
      </c>
      <c r="C114" s="10">
        <f>IF(ポートフォリオ実績!C115="","", ポートフォリオ実績!C115)</f>
        <v>14802.28</v>
      </c>
      <c r="D114" s="10">
        <f>IF(ポートフォリオ実績!D115="","", ポートフォリオ実績!D115)</f>
        <v>17159.990000000002</v>
      </c>
      <c r="E114" s="10">
        <f>IF(ポートフォリオ実績!E115="","", ポートフォリオ実績!E115)</f>
        <v>36.78</v>
      </c>
      <c r="F114" s="10">
        <f>IF(ポートフォリオ実績!F115="","", ポートフォリオ実績!F115)</f>
        <v>0</v>
      </c>
      <c r="G114">
        <f t="shared" si="11"/>
        <v>44651</v>
      </c>
      <c r="H114">
        <f>IF(B114&lt;&gt;"", SUMIFS(ポートフォリオ実績!$D$2:$D$2001, ポートフォリオ実績!$B$2:$B$2001, B114, ポートフォリオ実績!$A$2:$A$2001, G114), 0)</f>
        <v>16244.65</v>
      </c>
      <c r="I114">
        <f>IF(B114&lt;&gt;"", SUMIFS(ポートフォリオ実績!$C$2:$C$2001, ポートフォリオ実績!$B$2:$B$2001, B114, ポートフォリオ実績!$A$2:$A$2001, G114), 0)</f>
        <v>14700</v>
      </c>
      <c r="J114">
        <f t="shared" si="12"/>
        <v>2357.7100000000009</v>
      </c>
      <c r="K114">
        <f t="shared" si="13"/>
        <v>1544.6499999999996</v>
      </c>
      <c r="L114">
        <f t="shared" si="14"/>
        <v>813.06000000000131</v>
      </c>
      <c r="M114">
        <f t="shared" si="15"/>
        <v>849.84000000000128</v>
      </c>
      <c r="N114">
        <f t="shared" si="16"/>
        <v>65.500000000000682</v>
      </c>
      <c r="O114">
        <f t="shared" si="17"/>
        <v>16277.4</v>
      </c>
      <c r="P114">
        <f t="shared" si="18"/>
        <v>5.220981237789827E-2</v>
      </c>
      <c r="Q114" t="str">
        <f>IF(B114="","", IFERROR(VLOOKUP(B114, '基準資産配分（設定）'!$A$2:$C$2001, 3, FALSE), ""))</f>
        <v>TOPIX（配当込み）</v>
      </c>
      <c r="R114">
        <f>IF(B114="","", IFERROR(VLOOKUP(B114, '基準資産配分（設定）'!$A$2:$C$2001, 2, FALSE)/100, 0))</f>
        <v>0.11720000000000001</v>
      </c>
      <c r="S114">
        <f>IF(B114="","", IFERROR(SUMIFS(ベンチマークリターン!$C$2:$C$2001, ベンチマークリターン!$A$2:$A$2001, A114, ベンチマークリターン!$B$2:$B$2001, Q114) / 100, 0))</f>
        <v>-2.0148000000000003E-2</v>
      </c>
      <c r="T114">
        <f>IF(A114="","", SUMIFS($H$2:$H$2000, $A$2:$A$2000, A114))</f>
        <v>139117.94</v>
      </c>
      <c r="U114">
        <f t="shared" si="19"/>
        <v>0.11676890845278473</v>
      </c>
      <c r="V114">
        <f t="shared" si="20"/>
        <v>6.09648280189187E-3</v>
      </c>
      <c r="W114">
        <f t="shared" si="21"/>
        <v>-2.3613456000000006E-3</v>
      </c>
    </row>
    <row r="115" spans="1:23" x14ac:dyDescent="0.2">
      <c r="A115" s="4">
        <f>IF(ポートフォリオ実績!A116="","", ポートフォリオ実績!A116)</f>
        <v>44712</v>
      </c>
      <c r="B115" t="str">
        <f>IF(ポートフォリオ実績!B116="","", ポートフォリオ実績!B116)</f>
        <v>国内株式（純投資）</v>
      </c>
      <c r="C115" s="10">
        <f>IF(ポートフォリオ実績!C116="","", ポートフォリオ実績!C116)</f>
        <v>14680.42</v>
      </c>
      <c r="D115" s="10">
        <f>IF(ポートフォリオ実績!D116="","", ポートフォリオ実績!D116)</f>
        <v>17654.38</v>
      </c>
      <c r="E115" s="10">
        <f>IF(ポートフォリオ実績!E116="","", ポートフォリオ実績!E116)</f>
        <v>38.340000000000003</v>
      </c>
      <c r="F115" s="10">
        <f>IF(ポートフォリオ実績!F116="","", ポートフォリオ実績!F116)</f>
        <v>0</v>
      </c>
      <c r="G115">
        <f t="shared" si="11"/>
        <v>44681</v>
      </c>
      <c r="H115">
        <f>IF(B115&lt;&gt;"", SUMIFS(ポートフォリオ実績!$D$2:$D$2001, ポートフォリオ実績!$B$2:$B$2001, B115, ポートフォリオ実績!$A$2:$A$2001, G115), 0)</f>
        <v>17159.990000000002</v>
      </c>
      <c r="I115">
        <f>IF(B115&lt;&gt;"", SUMIFS(ポートフォリオ実績!$C$2:$C$2001, ポートフォリオ実績!$B$2:$B$2001, B115, ポートフォリオ実績!$A$2:$A$2001, G115), 0)</f>
        <v>14802.28</v>
      </c>
      <c r="J115">
        <f t="shared" si="12"/>
        <v>2973.9600000000009</v>
      </c>
      <c r="K115">
        <f t="shared" si="13"/>
        <v>2357.7100000000009</v>
      </c>
      <c r="L115">
        <f t="shared" si="14"/>
        <v>616.25</v>
      </c>
      <c r="M115">
        <f t="shared" si="15"/>
        <v>654.59</v>
      </c>
      <c r="N115">
        <f t="shared" si="16"/>
        <v>-160.20000000000061</v>
      </c>
      <c r="O115">
        <f t="shared" si="17"/>
        <v>17079.890000000003</v>
      </c>
      <c r="P115">
        <f t="shared" si="18"/>
        <v>3.8325188276973676E-2</v>
      </c>
      <c r="Q115" t="str">
        <f>IF(B115="","", IFERROR(VLOOKUP(B115, '基準資産配分（設定）'!$A$2:$C$2001, 3, FALSE), ""))</f>
        <v>TOPIX（配当込み）</v>
      </c>
      <c r="R115">
        <f>IF(B115="","", IFERROR(VLOOKUP(B115, '基準資産配分（設定）'!$A$2:$C$2001, 2, FALSE)/100, 0))</f>
        <v>0.11720000000000001</v>
      </c>
      <c r="S115">
        <f>IF(B115="","", IFERROR(SUMIFS(ベンチマークリターン!$C$2:$C$2001, ベンチマークリターン!$A$2:$A$2001, A115, ベンチマークリターン!$B$2:$B$2001, Q115) / 100, 0))</f>
        <v>1.1660999999999999E-2</v>
      </c>
      <c r="T115">
        <f>IF(A115="","", SUMIFS($H$2:$H$2000, $A$2:$A$2000, A115))</f>
        <v>139899.38</v>
      </c>
      <c r="U115">
        <f t="shared" si="19"/>
        <v>0.12265951428805474</v>
      </c>
      <c r="V115">
        <f t="shared" si="20"/>
        <v>4.7009489790518404E-3</v>
      </c>
      <c r="W115">
        <f t="shared" si="21"/>
        <v>1.3666692000000001E-3</v>
      </c>
    </row>
    <row r="116" spans="1:23" x14ac:dyDescent="0.2">
      <c r="A116" s="4">
        <f>IF(ポートフォリオ実績!A117="","", ポートフォリオ実績!A117)</f>
        <v>44742</v>
      </c>
      <c r="B116" t="str">
        <f>IF(ポートフォリオ実績!B117="","", ポートフォリオ実績!B117)</f>
        <v>国内株式（純投資）</v>
      </c>
      <c r="C116" s="10">
        <f>IF(ポートフォリオ実績!C117="","", ポートフォリオ実績!C117)</f>
        <v>14701.14</v>
      </c>
      <c r="D116" s="10">
        <f>IF(ポートフォリオ実績!D117="","", ポートフォリオ実績!D117)</f>
        <v>17788.46</v>
      </c>
      <c r="E116" s="10">
        <f>IF(ポートフォリオ実績!E117="","", ポートフォリオ実績!E117)</f>
        <v>39.770000000000003</v>
      </c>
      <c r="F116" s="10">
        <f>IF(ポートフォリオ実績!F117="","", ポートフォリオ実績!F117)</f>
        <v>0</v>
      </c>
      <c r="G116">
        <f t="shared" si="11"/>
        <v>44712</v>
      </c>
      <c r="H116">
        <f>IF(B116&lt;&gt;"", SUMIFS(ポートフォリオ実績!$D$2:$D$2001, ポートフォリオ実績!$B$2:$B$2001, B116, ポートフォリオ実績!$A$2:$A$2001, G116), 0)</f>
        <v>17654.38</v>
      </c>
      <c r="I116">
        <f>IF(B116&lt;&gt;"", SUMIFS(ポートフォリオ実績!$C$2:$C$2001, ポートフォリオ実績!$B$2:$B$2001, B116, ポートフォリオ実績!$A$2:$A$2001, G116), 0)</f>
        <v>14680.42</v>
      </c>
      <c r="J116">
        <f t="shared" si="12"/>
        <v>3087.3199999999997</v>
      </c>
      <c r="K116">
        <f t="shared" si="13"/>
        <v>2973.9600000000009</v>
      </c>
      <c r="L116">
        <f t="shared" si="14"/>
        <v>113.35999999999876</v>
      </c>
      <c r="M116">
        <f t="shared" si="15"/>
        <v>153.12999999999877</v>
      </c>
      <c r="N116">
        <f t="shared" si="16"/>
        <v>-19.050000000000665</v>
      </c>
      <c r="O116">
        <f t="shared" si="17"/>
        <v>17644.855</v>
      </c>
      <c r="P116">
        <f t="shared" si="18"/>
        <v>8.6784504604882715E-3</v>
      </c>
      <c r="Q116" t="str">
        <f>IF(B116="","", IFERROR(VLOOKUP(B116, '基準資産配分（設定）'!$A$2:$C$2001, 3, FALSE), ""))</f>
        <v>TOPIX（配当込み）</v>
      </c>
      <c r="R116">
        <f>IF(B116="","", IFERROR(VLOOKUP(B116, '基準資産配分（設定）'!$A$2:$C$2001, 2, FALSE)/100, 0))</f>
        <v>0.11720000000000001</v>
      </c>
      <c r="S116">
        <f>IF(B116="","", IFERROR(SUMIFS(ベンチマークリターン!$C$2:$C$2001, ベンチマークリターン!$A$2:$A$2001, A116, ベンチマークリターン!$B$2:$B$2001, Q116) / 100, 0))</f>
        <v>-1.7354000000000001E-2</v>
      </c>
      <c r="T116">
        <f>IF(A116="","", SUMIFS($H$2:$H$2000, $A$2:$A$2000, A116))</f>
        <v>143058.46</v>
      </c>
      <c r="U116">
        <f t="shared" si="19"/>
        <v>0.12340675273590952</v>
      </c>
      <c r="V116">
        <f t="shared" si="20"/>
        <v>1.0709793901083162E-3</v>
      </c>
      <c r="W116">
        <f t="shared" si="21"/>
        <v>-2.0338888000000005E-3</v>
      </c>
    </row>
    <row r="117" spans="1:23" x14ac:dyDescent="0.2">
      <c r="A117" s="4">
        <f>IF(ポートフォリオ実績!A118="","", ポートフォリオ実績!A118)</f>
        <v>44773</v>
      </c>
      <c r="B117" t="str">
        <f>IF(ポートフォリオ実績!B118="","", ポートフォリオ実績!B118)</f>
        <v>国内株式（純投資）</v>
      </c>
      <c r="C117" s="10">
        <f>IF(ポートフォリオ実績!C118="","", ポートフォリオ実績!C118)</f>
        <v>14907.83</v>
      </c>
      <c r="D117" s="10">
        <f>IF(ポートフォリオ実績!D118="","", ポートフォリオ実績!D118)</f>
        <v>17504.38</v>
      </c>
      <c r="E117" s="10">
        <f>IF(ポートフォリオ実績!E118="","", ポートフォリオ実績!E118)</f>
        <v>40.49</v>
      </c>
      <c r="F117" s="10">
        <f>IF(ポートフォリオ実績!F118="","", ポートフォリオ実績!F118)</f>
        <v>0</v>
      </c>
      <c r="G117">
        <f t="shared" si="11"/>
        <v>44742</v>
      </c>
      <c r="H117">
        <f>IF(B117&lt;&gt;"", SUMIFS(ポートフォリオ実績!$D$2:$D$2001, ポートフォリオ実績!$B$2:$B$2001, B117, ポートフォリオ実績!$A$2:$A$2001, G117), 0)</f>
        <v>17788.46</v>
      </c>
      <c r="I117">
        <f>IF(B117&lt;&gt;"", SUMIFS(ポートフォリオ実績!$C$2:$C$2001, ポートフォリオ実績!$B$2:$B$2001, B117, ポートフォリオ実績!$A$2:$A$2001, G117), 0)</f>
        <v>14701.14</v>
      </c>
      <c r="J117">
        <f t="shared" si="12"/>
        <v>2596.5500000000011</v>
      </c>
      <c r="K117">
        <f t="shared" si="13"/>
        <v>3087.3199999999997</v>
      </c>
      <c r="L117">
        <f t="shared" si="14"/>
        <v>-490.76999999999862</v>
      </c>
      <c r="M117">
        <f t="shared" si="15"/>
        <v>-450.27999999999861</v>
      </c>
      <c r="N117">
        <f t="shared" si="16"/>
        <v>166.2000000000005</v>
      </c>
      <c r="O117">
        <f t="shared" si="17"/>
        <v>17871.559999999998</v>
      </c>
      <c r="P117">
        <f t="shared" si="18"/>
        <v>-2.5195338291676757E-2</v>
      </c>
      <c r="Q117" t="str">
        <f>IF(B117="","", IFERROR(VLOOKUP(B117, '基準資産配分（設定）'!$A$2:$C$2001, 3, FALSE), ""))</f>
        <v>TOPIX（配当込み）</v>
      </c>
      <c r="R117">
        <f>IF(B117="","", IFERROR(VLOOKUP(B117, '基準資産配分（設定）'!$A$2:$C$2001, 2, FALSE)/100, 0))</f>
        <v>0.11720000000000001</v>
      </c>
      <c r="S117">
        <f>IF(B117="","", IFERROR(SUMIFS(ベンチマークリターン!$C$2:$C$2001, ベンチマークリターン!$A$2:$A$2001, A117, ベンチマークリターン!$B$2:$B$2001, Q117) / 100, 0))</f>
        <v>-1.5910000000000001E-2</v>
      </c>
      <c r="T117">
        <f>IF(A117="","", SUMIFS($H$2:$H$2000, $A$2:$A$2000, A117))</f>
        <v>143829.51</v>
      </c>
      <c r="U117">
        <f t="shared" si="19"/>
        <v>0.12367740111191367</v>
      </c>
      <c r="V117">
        <f t="shared" si="20"/>
        <v>-3.1160939600500637E-3</v>
      </c>
      <c r="W117">
        <f t="shared" si="21"/>
        <v>-1.8646520000000003E-3</v>
      </c>
    </row>
    <row r="118" spans="1:23" x14ac:dyDescent="0.2">
      <c r="A118" s="4">
        <f>IF(ポートフォリオ実績!A119="","", ポートフォリオ実績!A119)</f>
        <v>44804</v>
      </c>
      <c r="B118" t="str">
        <f>IF(ポートフォリオ実績!B119="","", ポートフォリオ実績!B119)</f>
        <v>国内株式（純投資）</v>
      </c>
      <c r="C118" s="10">
        <f>IF(ポートフォリオ実績!C119="","", ポートフォリオ実績!C119)</f>
        <v>15100.16</v>
      </c>
      <c r="D118" s="10">
        <f>IF(ポートフォリオ実績!D119="","", ポートフォリオ実績!D119)</f>
        <v>17629.27</v>
      </c>
      <c r="E118" s="10">
        <f>IF(ポートフォリオ実績!E119="","", ポートフォリオ実績!E119)</f>
        <v>39.82</v>
      </c>
      <c r="F118" s="10">
        <f>IF(ポートフォリオ実績!F119="","", ポートフォリオ実績!F119)</f>
        <v>0</v>
      </c>
      <c r="G118">
        <f t="shared" si="11"/>
        <v>44773</v>
      </c>
      <c r="H118">
        <f>IF(B118&lt;&gt;"", SUMIFS(ポートフォリオ実績!$D$2:$D$2001, ポートフォリオ実績!$B$2:$B$2001, B118, ポートフォリオ実績!$A$2:$A$2001, G118), 0)</f>
        <v>17504.38</v>
      </c>
      <c r="I118">
        <f>IF(B118&lt;&gt;"", SUMIFS(ポートフォリオ実績!$C$2:$C$2001, ポートフォリオ実績!$B$2:$B$2001, B118, ポートフォリオ実績!$A$2:$A$2001, G118), 0)</f>
        <v>14907.83</v>
      </c>
      <c r="J118">
        <f t="shared" si="12"/>
        <v>2529.1100000000006</v>
      </c>
      <c r="K118">
        <f t="shared" si="13"/>
        <v>2596.5500000000011</v>
      </c>
      <c r="L118">
        <f t="shared" si="14"/>
        <v>-67.440000000000509</v>
      </c>
      <c r="M118">
        <f t="shared" si="15"/>
        <v>-27.620000000000509</v>
      </c>
      <c r="N118">
        <f t="shared" si="16"/>
        <v>152.50999999999993</v>
      </c>
      <c r="O118">
        <f t="shared" si="17"/>
        <v>17580.635000000002</v>
      </c>
      <c r="P118">
        <f t="shared" si="18"/>
        <v>-1.571046779595874E-3</v>
      </c>
      <c r="Q118" t="str">
        <f>IF(B118="","", IFERROR(VLOOKUP(B118, '基準資産配分（設定）'!$A$2:$C$2001, 3, FALSE), ""))</f>
        <v>TOPIX（配当込み）</v>
      </c>
      <c r="R118">
        <f>IF(B118="","", IFERROR(VLOOKUP(B118, '基準資産配分（設定）'!$A$2:$C$2001, 2, FALSE)/100, 0))</f>
        <v>0.11720000000000001</v>
      </c>
      <c r="S118">
        <f>IF(B118="","", IFERROR(SUMIFS(ベンチマークリターン!$C$2:$C$2001, ベンチマークリターン!$A$2:$A$2001, A118, ベンチマークリターン!$B$2:$B$2001, Q118) / 100, 0))</f>
        <v>-9.3980000000000001E-3</v>
      </c>
      <c r="T118">
        <f>IF(A118="","", SUMIFS($H$2:$H$2000, $A$2:$A$2000, A118))</f>
        <v>145658.63</v>
      </c>
      <c r="U118">
        <f t="shared" si="19"/>
        <v>0.12017399861580465</v>
      </c>
      <c r="V118">
        <f t="shared" si="20"/>
        <v>-1.8879897351651889E-4</v>
      </c>
      <c r="W118">
        <f t="shared" si="21"/>
        <v>-1.1014456000000001E-3</v>
      </c>
    </row>
    <row r="119" spans="1:23" x14ac:dyDescent="0.2">
      <c r="A119" s="4">
        <f>IF(ポートフォリオ実績!A120="","", ポートフォリオ実績!A120)</f>
        <v>44834</v>
      </c>
      <c r="B119" t="str">
        <f>IF(ポートフォリオ実績!B120="","", ポートフォリオ実績!B120)</f>
        <v>国内株式（純投資）</v>
      </c>
      <c r="C119" s="10">
        <f>IF(ポートフォリオ実績!C120="","", ポートフォリオ実績!C120)</f>
        <v>15146.28</v>
      </c>
      <c r="D119" s="10">
        <f>IF(ポートフォリオ実績!D120="","", ポートフォリオ実績!D120)</f>
        <v>17433.310000000001</v>
      </c>
      <c r="E119" s="10">
        <f>IF(ポートフォリオ実績!E120="","", ポートフォリオ実績!E120)</f>
        <v>39.770000000000003</v>
      </c>
      <c r="F119" s="10">
        <f>IF(ポートフォリオ実績!F120="","", ポートフォリオ実績!F120)</f>
        <v>0</v>
      </c>
      <c r="G119">
        <f t="shared" si="11"/>
        <v>44804</v>
      </c>
      <c r="H119">
        <f>IF(B119&lt;&gt;"", SUMIFS(ポートフォリオ実績!$D$2:$D$2001, ポートフォリオ実績!$B$2:$B$2001, B119, ポートフォリオ実績!$A$2:$A$2001, G119), 0)</f>
        <v>17629.27</v>
      </c>
      <c r="I119">
        <f>IF(B119&lt;&gt;"", SUMIFS(ポートフォリオ実績!$C$2:$C$2001, ポートフォリオ実績!$B$2:$B$2001, B119, ポートフォリオ実績!$A$2:$A$2001, G119), 0)</f>
        <v>15100.16</v>
      </c>
      <c r="J119">
        <f t="shared" si="12"/>
        <v>2287.0300000000007</v>
      </c>
      <c r="K119">
        <f t="shared" si="13"/>
        <v>2529.1100000000006</v>
      </c>
      <c r="L119">
        <f t="shared" si="14"/>
        <v>-242.07999999999993</v>
      </c>
      <c r="M119">
        <f t="shared" si="15"/>
        <v>-202.30999999999992</v>
      </c>
      <c r="N119">
        <f t="shared" si="16"/>
        <v>6.3500000000007901</v>
      </c>
      <c r="O119">
        <f t="shared" si="17"/>
        <v>17632.445</v>
      </c>
      <c r="P119">
        <f t="shared" si="18"/>
        <v>-1.1473734924453183E-2</v>
      </c>
      <c r="Q119" t="str">
        <f>IF(B119="","", IFERROR(VLOOKUP(B119, '基準資産配分（設定）'!$A$2:$C$2001, 3, FALSE), ""))</f>
        <v>TOPIX（配当込み）</v>
      </c>
      <c r="R119">
        <f>IF(B119="","", IFERROR(VLOOKUP(B119, '基準資産配分（設定）'!$A$2:$C$2001, 2, FALSE)/100, 0))</f>
        <v>0.11720000000000001</v>
      </c>
      <c r="S119">
        <f>IF(B119="","", IFERROR(SUMIFS(ベンチマークリターン!$C$2:$C$2001, ベンチマークリターン!$A$2:$A$2001, A119, ベンチマークリターン!$B$2:$B$2001, Q119) / 100, 0))</f>
        <v>1.8208999999999999E-2</v>
      </c>
      <c r="T119">
        <f>IF(A119="","", SUMIFS($H$2:$H$2000, $A$2:$A$2000, A119))</f>
        <v>144325.42000000001</v>
      </c>
      <c r="U119">
        <f t="shared" si="19"/>
        <v>0.12214944532986635</v>
      </c>
      <c r="V119">
        <f t="shared" si="20"/>
        <v>-1.4015103568838724E-3</v>
      </c>
      <c r="W119">
        <f t="shared" si="21"/>
        <v>2.1340948000000003E-3</v>
      </c>
    </row>
    <row r="120" spans="1:23" x14ac:dyDescent="0.2">
      <c r="A120" s="4">
        <f>IF(ポートフォリオ実績!A121="","", ポートフォリオ実績!A121)</f>
        <v>44865</v>
      </c>
      <c r="B120" t="str">
        <f>IF(ポートフォリオ実績!B121="","", ポートフォリオ実績!B121)</f>
        <v>国内株式（純投資）</v>
      </c>
      <c r="C120" s="10">
        <f>IF(ポートフォリオ実績!C121="","", ポートフォリオ実績!C121)</f>
        <v>15149.95</v>
      </c>
      <c r="D120" s="10">
        <f>IF(ポートフォリオ実績!D121="","", ポートフォリオ実績!D121)</f>
        <v>18750.580000000002</v>
      </c>
      <c r="E120" s="10">
        <f>IF(ポートフォリオ実績!E121="","", ポートフォリオ実績!E121)</f>
        <v>39.229999999999997</v>
      </c>
      <c r="F120" s="10">
        <f>IF(ポートフォリオ実績!F121="","", ポートフォリオ実績!F121)</f>
        <v>0</v>
      </c>
      <c r="G120">
        <f t="shared" si="11"/>
        <v>44834</v>
      </c>
      <c r="H120">
        <f>IF(B120&lt;&gt;"", SUMIFS(ポートフォリオ実績!$D$2:$D$2001, ポートフォリオ実績!$B$2:$B$2001, B120, ポートフォリオ実績!$A$2:$A$2001, G120), 0)</f>
        <v>17433.310000000001</v>
      </c>
      <c r="I120">
        <f>IF(B120&lt;&gt;"", SUMIFS(ポートフォリオ実績!$C$2:$C$2001, ポートフォリオ実績!$B$2:$B$2001, B120, ポートフォリオ実績!$A$2:$A$2001, G120), 0)</f>
        <v>15146.28</v>
      </c>
      <c r="J120">
        <f t="shared" si="12"/>
        <v>3600.630000000001</v>
      </c>
      <c r="K120">
        <f t="shared" si="13"/>
        <v>2287.0300000000007</v>
      </c>
      <c r="L120">
        <f t="shared" si="14"/>
        <v>1313.6000000000004</v>
      </c>
      <c r="M120">
        <f t="shared" si="15"/>
        <v>1352.8300000000004</v>
      </c>
      <c r="N120">
        <f t="shared" si="16"/>
        <v>-35.559999999999945</v>
      </c>
      <c r="O120">
        <f t="shared" si="17"/>
        <v>17415.530000000002</v>
      </c>
      <c r="P120">
        <f t="shared" si="18"/>
        <v>7.7679519371503497E-2</v>
      </c>
      <c r="Q120" t="str">
        <f>IF(B120="","", IFERROR(VLOOKUP(B120, '基準資産配分（設定）'!$A$2:$C$2001, 3, FALSE), ""))</f>
        <v>TOPIX（配当込み）</v>
      </c>
      <c r="R120">
        <f>IF(B120="","", IFERROR(VLOOKUP(B120, '基準資産配分（設定）'!$A$2:$C$2001, 2, FALSE)/100, 0))</f>
        <v>0.11720000000000001</v>
      </c>
      <c r="S120">
        <f>IF(B120="","", IFERROR(SUMIFS(ベンチマークリターン!$C$2:$C$2001, ベンチマークリターン!$A$2:$A$2001, A120, ベンチマークリターン!$B$2:$B$2001, Q120) / 100, 0))</f>
        <v>-1.821E-2</v>
      </c>
      <c r="T120">
        <f>IF(A120="","", SUMIFS($H$2:$H$2000, $A$2:$A$2000, A120))</f>
        <v>145674.57</v>
      </c>
      <c r="U120">
        <f t="shared" si="19"/>
        <v>0.11967298067191824</v>
      </c>
      <c r="V120">
        <f t="shared" si="20"/>
        <v>9.2961396203498359E-3</v>
      </c>
      <c r="W120">
        <f t="shared" si="21"/>
        <v>-2.1342120000000003E-3</v>
      </c>
    </row>
    <row r="121" spans="1:23" x14ac:dyDescent="0.2">
      <c r="A121" s="4">
        <f>IF(ポートフォリオ実績!A122="","", ポートフォリオ実績!A122)</f>
        <v>44895</v>
      </c>
      <c r="B121" t="str">
        <f>IF(ポートフォリオ実績!B122="","", ポートフォリオ実績!B122)</f>
        <v>国内株式（純投資）</v>
      </c>
      <c r="C121" s="10">
        <f>IF(ポートフォリオ実績!C122="","", ポートフォリオ実績!C122)</f>
        <v>13779.06</v>
      </c>
      <c r="D121" s="10">
        <f>IF(ポートフォリオ実績!D122="","", ポートフォリオ実績!D122)</f>
        <v>17324.2</v>
      </c>
      <c r="E121" s="10">
        <f>IF(ポートフォリオ実績!E122="","", ポートフォリオ実績!E122)</f>
        <v>42.55</v>
      </c>
      <c r="F121" s="10">
        <f>IF(ポートフォリオ実績!F122="","", ポートフォリオ実績!F122)</f>
        <v>-37.74</v>
      </c>
      <c r="G121">
        <f t="shared" si="11"/>
        <v>44865</v>
      </c>
      <c r="H121">
        <f>IF(B121&lt;&gt;"", SUMIFS(ポートフォリオ実績!$D$2:$D$2001, ポートフォリオ実績!$B$2:$B$2001, B121, ポートフォリオ実績!$A$2:$A$2001, G121), 0)</f>
        <v>18750.580000000002</v>
      </c>
      <c r="I121">
        <f>IF(B121&lt;&gt;"", SUMIFS(ポートフォリオ実績!$C$2:$C$2001, ポートフォリオ実績!$B$2:$B$2001, B121, ポートフォリオ実績!$A$2:$A$2001, G121), 0)</f>
        <v>15149.95</v>
      </c>
      <c r="J121">
        <f t="shared" si="12"/>
        <v>3545.1400000000012</v>
      </c>
      <c r="K121">
        <f t="shared" si="13"/>
        <v>3600.630000000001</v>
      </c>
      <c r="L121">
        <f t="shared" si="14"/>
        <v>-55.489999999999782</v>
      </c>
      <c r="M121">
        <f t="shared" si="15"/>
        <v>-50.679999999999787</v>
      </c>
      <c r="N121">
        <f t="shared" si="16"/>
        <v>-1375.7000000000012</v>
      </c>
      <c r="O121">
        <f t="shared" si="17"/>
        <v>18062.73</v>
      </c>
      <c r="P121">
        <f t="shared" si="18"/>
        <v>-2.8057774212425137E-3</v>
      </c>
      <c r="Q121" t="str">
        <f>IF(B121="","", IFERROR(VLOOKUP(B121, '基準資産配分（設定）'!$A$2:$C$2001, 3, FALSE), ""))</f>
        <v>TOPIX（配当込み）</v>
      </c>
      <c r="R121">
        <f>IF(B121="","", IFERROR(VLOOKUP(B121, '基準資産配分（設定）'!$A$2:$C$2001, 2, FALSE)/100, 0))</f>
        <v>0.11720000000000001</v>
      </c>
      <c r="S121">
        <f>IF(B121="","", IFERROR(SUMIFS(ベンチマークリターン!$C$2:$C$2001, ベンチマークリターン!$A$2:$A$2001, A121, ベンチマークリターン!$B$2:$B$2001, Q121) / 100, 0))</f>
        <v>7.1917999999999996E-2</v>
      </c>
      <c r="T121">
        <f>IF(A121="","", SUMIFS($H$2:$H$2000, $A$2:$A$2000, A121))</f>
        <v>149722.51</v>
      </c>
      <c r="U121">
        <f t="shared" si="19"/>
        <v>0.12523554407416762</v>
      </c>
      <c r="V121">
        <f t="shared" si="20"/>
        <v>-3.5138306190032122E-4</v>
      </c>
      <c r="W121">
        <f t="shared" si="21"/>
        <v>8.4287896000000001E-3</v>
      </c>
    </row>
    <row r="122" spans="1:23" x14ac:dyDescent="0.2">
      <c r="A122" s="4">
        <f>IF(ポートフォリオ実績!A123="","", ポートフォリオ実績!A123)</f>
        <v>44926</v>
      </c>
      <c r="B122" t="str">
        <f>IF(ポートフォリオ実績!B123="","", ポートフォリオ実績!B123)</f>
        <v>国内株式（純投資）</v>
      </c>
      <c r="C122" s="10">
        <f>IF(ポートフォリオ実績!C123="","", ポートフォリオ実績!C123)</f>
        <v>13756.52</v>
      </c>
      <c r="D122" s="10">
        <f>IF(ポートフォリオ実績!D123="","", ポートフォリオ実績!D123)</f>
        <v>17722.849999999999</v>
      </c>
      <c r="E122" s="10">
        <f>IF(ポートフォリオ実績!E123="","", ポートフォリオ実績!E123)</f>
        <v>38.93</v>
      </c>
      <c r="F122" s="10">
        <f>IF(ポートフォリオ実績!F123="","", ポートフォリオ実績!F123)</f>
        <v>0</v>
      </c>
      <c r="G122">
        <f t="shared" si="11"/>
        <v>44895</v>
      </c>
      <c r="H122">
        <f>IF(B122&lt;&gt;"", SUMIFS(ポートフォリオ実績!$D$2:$D$2001, ポートフォリオ実績!$B$2:$B$2001, B122, ポートフォリオ実績!$A$2:$A$2001, G122), 0)</f>
        <v>17324.2</v>
      </c>
      <c r="I122">
        <f>IF(B122&lt;&gt;"", SUMIFS(ポートフォリオ実績!$C$2:$C$2001, ポートフォリオ実績!$B$2:$B$2001, B122, ポートフォリオ実績!$A$2:$A$2001, G122), 0)</f>
        <v>13779.06</v>
      </c>
      <c r="J122">
        <f t="shared" si="12"/>
        <v>3966.3299999999981</v>
      </c>
      <c r="K122">
        <f t="shared" si="13"/>
        <v>3545.1400000000012</v>
      </c>
      <c r="L122">
        <f t="shared" si="14"/>
        <v>421.18999999999687</v>
      </c>
      <c r="M122">
        <f t="shared" si="15"/>
        <v>460.11999999999688</v>
      </c>
      <c r="N122">
        <f t="shared" si="16"/>
        <v>-61.469999999999061</v>
      </c>
      <c r="O122">
        <f t="shared" si="17"/>
        <v>17293.465</v>
      </c>
      <c r="P122">
        <f t="shared" si="18"/>
        <v>2.6606582313029627E-2</v>
      </c>
      <c r="Q122" t="str">
        <f>IF(B122="","", IFERROR(VLOOKUP(B122, '基準資産配分（設定）'!$A$2:$C$2001, 3, FALSE), ""))</f>
        <v>TOPIX（配当込み）</v>
      </c>
      <c r="R122">
        <f>IF(B122="","", IFERROR(VLOOKUP(B122, '基準資産配分（設定）'!$A$2:$C$2001, 2, FALSE)/100, 0))</f>
        <v>0.11720000000000001</v>
      </c>
      <c r="S122">
        <f>IF(B122="","", IFERROR(SUMIFS(ベンチマークリターン!$C$2:$C$2001, ベンチマークリターン!$A$2:$A$2001, A122, ベンチマークリターン!$B$2:$B$2001, Q122) / 100, 0))</f>
        <v>-3.9817999999999999E-2</v>
      </c>
      <c r="T122">
        <f>IF(A122="","", SUMIFS($H$2:$H$2000, $A$2:$A$2000, A122))</f>
        <v>146745.91999999998</v>
      </c>
      <c r="U122">
        <f t="shared" si="19"/>
        <v>0.11805575241887477</v>
      </c>
      <c r="V122">
        <f t="shared" si="20"/>
        <v>3.1410600942594381E-3</v>
      </c>
      <c r="W122">
        <f t="shared" si="21"/>
        <v>-4.6666696000000002E-3</v>
      </c>
    </row>
    <row r="123" spans="1:23" x14ac:dyDescent="0.2">
      <c r="A123" s="4">
        <f>IF(ポートフォリオ実績!A124="","", ポートフォリオ実績!A124)</f>
        <v>44957</v>
      </c>
      <c r="B123" t="str">
        <f>IF(ポートフォリオ実績!B124="","", ポートフォリオ実績!B124)</f>
        <v>国内株式（純投資）</v>
      </c>
      <c r="C123" s="10">
        <f>IF(ポートフォリオ実績!C124="","", ポートフォリオ実績!C124)</f>
        <v>13945.31</v>
      </c>
      <c r="D123" s="10">
        <f>IF(ポートフォリオ実績!D124="","", ポートフォリオ実績!D124)</f>
        <v>19825.8</v>
      </c>
      <c r="E123" s="10">
        <f>IF(ポートフォリオ実績!E124="","", ポートフォリオ実績!E124)</f>
        <v>40.299999999999997</v>
      </c>
      <c r="F123" s="10">
        <f>IF(ポートフォリオ実績!F124="","", ポートフォリオ実績!F124)</f>
        <v>0</v>
      </c>
      <c r="G123">
        <f t="shared" si="11"/>
        <v>44926</v>
      </c>
      <c r="H123">
        <f>IF(B123&lt;&gt;"", SUMIFS(ポートフォリオ実績!$D$2:$D$2001, ポートフォリオ実績!$B$2:$B$2001, B123, ポートフォリオ実績!$A$2:$A$2001, G123), 0)</f>
        <v>17722.849999999999</v>
      </c>
      <c r="I123">
        <f>IF(B123&lt;&gt;"", SUMIFS(ポートフォリオ実績!$C$2:$C$2001, ポートフォリオ実績!$B$2:$B$2001, B123, ポートフォリオ実績!$A$2:$A$2001, G123), 0)</f>
        <v>13756.52</v>
      </c>
      <c r="J123">
        <f t="shared" si="12"/>
        <v>5880.49</v>
      </c>
      <c r="K123">
        <f t="shared" si="13"/>
        <v>3966.3299999999981</v>
      </c>
      <c r="L123">
        <f t="shared" si="14"/>
        <v>1914.1600000000017</v>
      </c>
      <c r="M123">
        <f t="shared" si="15"/>
        <v>1954.4600000000016</v>
      </c>
      <c r="N123">
        <f t="shared" si="16"/>
        <v>148.4899999999991</v>
      </c>
      <c r="O123">
        <f t="shared" si="17"/>
        <v>17797.094999999998</v>
      </c>
      <c r="P123">
        <f t="shared" si="18"/>
        <v>0.109819046310648</v>
      </c>
      <c r="Q123" t="str">
        <f>IF(B123="","", IFERROR(VLOOKUP(B123, '基準資産配分（設定）'!$A$2:$C$2001, 3, FALSE), ""))</f>
        <v>TOPIX（配当込み）</v>
      </c>
      <c r="R123">
        <f>IF(B123="","", IFERROR(VLOOKUP(B123, '基準資産配分（設定）'!$A$2:$C$2001, 2, FALSE)/100, 0))</f>
        <v>0.11720000000000001</v>
      </c>
      <c r="S123">
        <f>IF(B123="","", IFERROR(SUMIFS(ベンチマークリターン!$C$2:$C$2001, ベンチマークリターン!$A$2:$A$2001, A123, ベンチマークリターン!$B$2:$B$2001, Q123) / 100, 0))</f>
        <v>-3.0430000000000001E-3</v>
      </c>
      <c r="T123">
        <f>IF(A123="","", SUMIFS($H$2:$H$2000, $A$2:$A$2000, A123))</f>
        <v>148588.96000000002</v>
      </c>
      <c r="U123">
        <f t="shared" si="19"/>
        <v>0.11927433908952587</v>
      </c>
      <c r="V123">
        <f t="shared" si="20"/>
        <v>1.3098594168144575E-2</v>
      </c>
      <c r="W123">
        <f t="shared" si="21"/>
        <v>-3.5663960000000005E-4</v>
      </c>
    </row>
    <row r="124" spans="1:23" x14ac:dyDescent="0.2">
      <c r="A124" s="4">
        <f>IF(ポートフォリオ実績!A125="","", ポートフォリオ実績!A125)</f>
        <v>44985</v>
      </c>
      <c r="B124" t="str">
        <f>IF(ポートフォリオ実績!B125="","", ポートフォリオ実績!B125)</f>
        <v>国内株式（純投資）</v>
      </c>
      <c r="C124" s="10">
        <f>IF(ポートフォリオ実績!C125="","", ポートフォリオ実績!C125)</f>
        <v>13704.58</v>
      </c>
      <c r="D124" s="10">
        <f>IF(ポートフォリオ実績!D125="","", ポートフォリオ実績!D125)</f>
        <v>18708.169999999998</v>
      </c>
      <c r="E124" s="10">
        <f>IF(ポートフォリオ実績!E125="","", ポートフォリオ実績!E125)</f>
        <v>44.07</v>
      </c>
      <c r="F124" s="10">
        <f>IF(ポートフォリオ実績!F125="","", ポートフォリオ実績!F125)</f>
        <v>0</v>
      </c>
      <c r="G124">
        <f t="shared" si="11"/>
        <v>44957</v>
      </c>
      <c r="H124">
        <f>IF(B124&lt;&gt;"", SUMIFS(ポートフォリオ実績!$D$2:$D$2001, ポートフォリオ実績!$B$2:$B$2001, B124, ポートフォリオ実績!$A$2:$A$2001, G124), 0)</f>
        <v>19825.8</v>
      </c>
      <c r="I124">
        <f>IF(B124&lt;&gt;"", SUMIFS(ポートフォリオ実績!$C$2:$C$2001, ポートフォリオ実績!$B$2:$B$2001, B124, ポートフォリオ実績!$A$2:$A$2001, G124), 0)</f>
        <v>13945.31</v>
      </c>
      <c r="J124">
        <f t="shared" si="12"/>
        <v>5003.5899999999983</v>
      </c>
      <c r="K124">
        <f t="shared" si="13"/>
        <v>5880.49</v>
      </c>
      <c r="L124">
        <f t="shared" si="14"/>
        <v>-876.90000000000146</v>
      </c>
      <c r="M124">
        <f t="shared" si="15"/>
        <v>-832.83000000000141</v>
      </c>
      <c r="N124">
        <f t="shared" si="16"/>
        <v>-284.79999999999961</v>
      </c>
      <c r="O124">
        <f t="shared" si="17"/>
        <v>19683.399999999998</v>
      </c>
      <c r="P124">
        <f t="shared" si="18"/>
        <v>-4.2311287684038405E-2</v>
      </c>
      <c r="Q124" t="str">
        <f>IF(B124="","", IFERROR(VLOOKUP(B124, '基準資産配分（設定）'!$A$2:$C$2001, 3, FALSE), ""))</f>
        <v>TOPIX（配当込み）</v>
      </c>
      <c r="R124">
        <f>IF(B124="","", IFERROR(VLOOKUP(B124, '基準資産配分（設定）'!$A$2:$C$2001, 2, FALSE)/100, 0))</f>
        <v>0.11720000000000001</v>
      </c>
      <c r="S124">
        <f>IF(B124="","", IFERROR(SUMIFS(ベンチマークリターン!$C$2:$C$2001, ベンチマークリターン!$A$2:$A$2001, A124, ベンチマークリターン!$B$2:$B$2001, Q124) / 100, 0))</f>
        <v>-1.6182000000000002E-2</v>
      </c>
      <c r="T124">
        <f>IF(A124="","", SUMIFS($H$2:$H$2000, $A$2:$A$2000, A124))</f>
        <v>149058.73000000001</v>
      </c>
      <c r="U124">
        <f t="shared" si="19"/>
        <v>0.13300663436485738</v>
      </c>
      <c r="V124">
        <f t="shared" si="20"/>
        <v>-5.6276819704971894E-3</v>
      </c>
      <c r="W124">
        <f t="shared" si="21"/>
        <v>-1.8965304000000004E-3</v>
      </c>
    </row>
    <row r="125" spans="1:23" x14ac:dyDescent="0.2">
      <c r="A125" s="4">
        <f>IF(ポートフォリオ実績!A126="","", ポートフォリオ実績!A126)</f>
        <v>45016</v>
      </c>
      <c r="B125" t="str">
        <f>IF(ポートフォリオ実績!B126="","", ポートフォリオ実績!B126)</f>
        <v>国内株式（純投資）</v>
      </c>
      <c r="C125" s="10">
        <f>IF(ポートフォリオ実績!C126="","", ポートフォリオ実績!C126)</f>
        <v>13829.38</v>
      </c>
      <c r="D125" s="10">
        <f>IF(ポートフォリオ実績!D126="","", ポートフォリオ実績!D126)</f>
        <v>19728.39</v>
      </c>
      <c r="E125" s="10">
        <f>IF(ポートフォリオ実績!E126="","", ポートフォリオ実績!E126)</f>
        <v>42.37</v>
      </c>
      <c r="F125" s="10">
        <f>IF(ポートフォリオ実績!F126="","", ポートフォリオ実績!F126)</f>
        <v>0</v>
      </c>
      <c r="G125">
        <f t="shared" si="11"/>
        <v>44985</v>
      </c>
      <c r="H125">
        <f>IF(B125&lt;&gt;"", SUMIFS(ポートフォリオ実績!$D$2:$D$2001, ポートフォリオ実績!$B$2:$B$2001, B125, ポートフォリオ実績!$A$2:$A$2001, G125), 0)</f>
        <v>18708.169999999998</v>
      </c>
      <c r="I125">
        <f>IF(B125&lt;&gt;"", SUMIFS(ポートフォリオ実績!$C$2:$C$2001, ポートフォリオ実績!$B$2:$B$2001, B125, ポートフォリオ実績!$A$2:$A$2001, G125), 0)</f>
        <v>13704.58</v>
      </c>
      <c r="J125">
        <f t="shared" si="12"/>
        <v>5899.01</v>
      </c>
      <c r="K125">
        <f t="shared" si="13"/>
        <v>5003.5899999999983</v>
      </c>
      <c r="L125">
        <f t="shared" si="14"/>
        <v>895.42000000000189</v>
      </c>
      <c r="M125">
        <f t="shared" si="15"/>
        <v>937.7900000000019</v>
      </c>
      <c r="N125">
        <f t="shared" si="16"/>
        <v>82.429999999999268</v>
      </c>
      <c r="O125">
        <f t="shared" si="17"/>
        <v>18749.384999999998</v>
      </c>
      <c r="P125">
        <f t="shared" si="18"/>
        <v>5.0017107227783845E-2</v>
      </c>
      <c r="Q125" t="str">
        <f>IF(B125="","", IFERROR(VLOOKUP(B125, '基準資産配分（設定）'!$A$2:$C$2001, 3, FALSE), ""))</f>
        <v>TOPIX（配当込み）</v>
      </c>
      <c r="R125">
        <f>IF(B125="","", IFERROR(VLOOKUP(B125, '基準資産配分（設定）'!$A$2:$C$2001, 2, FALSE)/100, 0))</f>
        <v>0.11720000000000001</v>
      </c>
      <c r="S125">
        <f>IF(B125="","", IFERROR(SUMIFS(ベンチマークリターン!$C$2:$C$2001, ベンチマークリターン!$A$2:$A$2001, A125, ベンチマークリターン!$B$2:$B$2001, Q125) / 100, 0))</f>
        <v>8.1853999999999996E-2</v>
      </c>
      <c r="T125">
        <f>IF(A125="","", SUMIFS($H$2:$H$2000, $A$2:$A$2000, A125))</f>
        <v>149288.46000000002</v>
      </c>
      <c r="U125">
        <f t="shared" si="19"/>
        <v>0.12531558032013992</v>
      </c>
      <c r="V125">
        <f t="shared" si="20"/>
        <v>6.2679228181843974E-3</v>
      </c>
      <c r="W125">
        <f t="shared" si="21"/>
        <v>9.5932888000000004E-3</v>
      </c>
    </row>
    <row r="126" spans="1:23" x14ac:dyDescent="0.2">
      <c r="A126" s="4">
        <f>IF(ポートフォリオ実績!A127="","", ポートフォリオ実績!A127)</f>
        <v>45046</v>
      </c>
      <c r="B126" t="str">
        <f>IF(ポートフォリオ実績!B127="","", ポートフォリオ実績!B127)</f>
        <v>国内株式（純投資）</v>
      </c>
      <c r="C126" s="10">
        <f>IF(ポートフォリオ実績!C127="","", ポートフォリオ実績!C127)</f>
        <v>13652.36</v>
      </c>
      <c r="D126" s="10">
        <f>IF(ポートフォリオ実績!D127="","", ポートフォリオ実績!D127)</f>
        <v>19685.57</v>
      </c>
      <c r="E126" s="10">
        <f>IF(ポートフォリオ実績!E127="","", ポートフォリオ実績!E127)</f>
        <v>43.99</v>
      </c>
      <c r="F126" s="10">
        <f>IF(ポートフォリオ実績!F127="","", ポートフォリオ実績!F127)</f>
        <v>0</v>
      </c>
      <c r="G126">
        <f t="shared" si="11"/>
        <v>45016</v>
      </c>
      <c r="H126">
        <f>IF(B126&lt;&gt;"", SUMIFS(ポートフォリオ実績!$D$2:$D$2001, ポートフォリオ実績!$B$2:$B$2001, B126, ポートフォリオ実績!$A$2:$A$2001, G126), 0)</f>
        <v>19728.39</v>
      </c>
      <c r="I126">
        <f>IF(B126&lt;&gt;"", SUMIFS(ポートフォリオ実績!$C$2:$C$2001, ポートフォリオ実績!$B$2:$B$2001, B126, ポートフォリオ実績!$A$2:$A$2001, G126), 0)</f>
        <v>13829.38</v>
      </c>
      <c r="J126">
        <f t="shared" si="12"/>
        <v>6033.2099999999991</v>
      </c>
      <c r="K126">
        <f t="shared" si="13"/>
        <v>5899.01</v>
      </c>
      <c r="L126">
        <f t="shared" si="14"/>
        <v>134.19999999999891</v>
      </c>
      <c r="M126">
        <f t="shared" si="15"/>
        <v>178.18999999999892</v>
      </c>
      <c r="N126">
        <f t="shared" si="16"/>
        <v>-221.00999999999863</v>
      </c>
      <c r="O126">
        <f t="shared" si="17"/>
        <v>19617.884999999998</v>
      </c>
      <c r="P126">
        <f t="shared" si="18"/>
        <v>9.0830382582015815E-3</v>
      </c>
      <c r="Q126" t="str">
        <f>IF(B126="","", IFERROR(VLOOKUP(B126, '基準資産配分（設定）'!$A$2:$C$2001, 3, FALSE), ""))</f>
        <v>TOPIX（配当込み）</v>
      </c>
      <c r="R126">
        <f>IF(B126="","", IFERROR(VLOOKUP(B126, '基準資産配分（設定）'!$A$2:$C$2001, 2, FALSE)/100, 0))</f>
        <v>0.11720000000000001</v>
      </c>
      <c r="S126">
        <f>IF(B126="","", IFERROR(SUMIFS(ベンチマークリターン!$C$2:$C$2001, ベンチマークリターン!$A$2:$A$2001, A126, ベンチマークリターン!$B$2:$B$2001, Q126) / 100, 0))</f>
        <v>1.6879999999999999E-2</v>
      </c>
      <c r="T126">
        <f>IF(A126="","", SUMIFS($H$2:$H$2000, $A$2:$A$2000, A126))</f>
        <v>148343.76</v>
      </c>
      <c r="U126">
        <f t="shared" si="19"/>
        <v>0.13299103379879273</v>
      </c>
      <c r="V126">
        <f t="shared" si="20"/>
        <v>1.2079626479922141E-3</v>
      </c>
      <c r="W126">
        <f t="shared" si="21"/>
        <v>1.9783360000000002E-3</v>
      </c>
    </row>
    <row r="127" spans="1:23" x14ac:dyDescent="0.2">
      <c r="A127" s="4">
        <f>IF(ポートフォリオ実績!A128="","", ポートフォリオ実績!A128)</f>
        <v>45077</v>
      </c>
      <c r="B127" t="str">
        <f>IF(ポートフォリオ実績!B128="","", ポートフォリオ実績!B128)</f>
        <v>国内株式（純投資）</v>
      </c>
      <c r="C127" s="10">
        <f>IF(ポートフォリオ実績!C128="","", ポートフォリオ実績!C128)</f>
        <v>14000.88</v>
      </c>
      <c r="D127" s="10">
        <f>IF(ポートフォリオ実績!D128="","", ポートフォリオ実績!D128)</f>
        <v>18008.63</v>
      </c>
      <c r="E127" s="10">
        <f>IF(ポートフォリオ実績!E128="","", ポートフォリオ実績!E128)</f>
        <v>45.08</v>
      </c>
      <c r="F127" s="10">
        <f>IF(ポートフォリオ実績!F128="","", ポートフォリオ実績!F128)</f>
        <v>0</v>
      </c>
      <c r="G127">
        <f t="shared" si="11"/>
        <v>45046</v>
      </c>
      <c r="H127">
        <f>IF(B127&lt;&gt;"", SUMIFS(ポートフォリオ実績!$D$2:$D$2001, ポートフォリオ実績!$B$2:$B$2001, B127, ポートフォリオ実績!$A$2:$A$2001, G127), 0)</f>
        <v>19685.57</v>
      </c>
      <c r="I127">
        <f>IF(B127&lt;&gt;"", SUMIFS(ポートフォリオ実績!$C$2:$C$2001, ポートフォリオ実績!$B$2:$B$2001, B127, ポートフォリオ実績!$A$2:$A$2001, G127), 0)</f>
        <v>13652.36</v>
      </c>
      <c r="J127">
        <f t="shared" si="12"/>
        <v>4007.7500000000018</v>
      </c>
      <c r="K127">
        <f t="shared" si="13"/>
        <v>6033.2099999999991</v>
      </c>
      <c r="L127">
        <f t="shared" si="14"/>
        <v>-2025.4599999999973</v>
      </c>
      <c r="M127">
        <f t="shared" si="15"/>
        <v>-1980.3799999999974</v>
      </c>
      <c r="N127">
        <f t="shared" si="16"/>
        <v>303.43999999999869</v>
      </c>
      <c r="O127">
        <f t="shared" si="17"/>
        <v>19837.29</v>
      </c>
      <c r="P127">
        <f t="shared" si="18"/>
        <v>-9.9831176536714306E-2</v>
      </c>
      <c r="Q127" t="str">
        <f>IF(B127="","", IFERROR(VLOOKUP(B127, '基準資産配分（設定）'!$A$2:$C$2001, 3, FALSE), ""))</f>
        <v>TOPIX（配当込み）</v>
      </c>
      <c r="R127">
        <f>IF(B127="","", IFERROR(VLOOKUP(B127, '基準資産配分（設定）'!$A$2:$C$2001, 2, FALSE)/100, 0))</f>
        <v>0.11720000000000001</v>
      </c>
      <c r="S127">
        <f>IF(B127="","", IFERROR(SUMIFS(ベンチマークリターン!$C$2:$C$2001, ベンチマークリターン!$A$2:$A$2001, A127, ベンチマークリターン!$B$2:$B$2001, Q127) / 100, 0))</f>
        <v>6.0282999999999996E-2</v>
      </c>
      <c r="T127">
        <f>IF(A127="","", SUMIFS($H$2:$H$2000, $A$2:$A$2000, A127))</f>
        <v>149279.44000000003</v>
      </c>
      <c r="U127">
        <f t="shared" si="19"/>
        <v>0.13187060455210708</v>
      </c>
      <c r="V127">
        <f t="shared" si="20"/>
        <v>-1.3164797603044643E-2</v>
      </c>
      <c r="W127">
        <f t="shared" si="21"/>
        <v>7.0651676E-3</v>
      </c>
    </row>
    <row r="128" spans="1:23" x14ac:dyDescent="0.2">
      <c r="A128" s="4">
        <f>IF(ポートフォリオ実績!A129="","", ポートフォリオ実績!A129)</f>
        <v>45107</v>
      </c>
      <c r="B128" t="str">
        <f>IF(ポートフォリオ実績!B129="","", ポートフォリオ実績!B129)</f>
        <v>国内株式（純投資）</v>
      </c>
      <c r="C128" s="10">
        <f>IF(ポートフォリオ実績!C129="","", ポートフォリオ実績!C129)</f>
        <v>13943.01</v>
      </c>
      <c r="D128" s="10">
        <f>IF(ポートフォリオ実績!D129="","", ポートフォリオ実績!D129)</f>
        <v>17315.41</v>
      </c>
      <c r="E128" s="10">
        <f>IF(ポートフォリオ実績!E129="","", ポートフォリオ実績!E129)</f>
        <v>40.39</v>
      </c>
      <c r="F128" s="10">
        <f>IF(ポートフォリオ実績!F129="","", ポートフォリオ実績!F129)</f>
        <v>0</v>
      </c>
      <c r="G128">
        <f t="shared" si="11"/>
        <v>45077</v>
      </c>
      <c r="H128">
        <f>IF(B128&lt;&gt;"", SUMIFS(ポートフォリオ実績!$D$2:$D$2001, ポートフォリオ実績!$B$2:$B$2001, B128, ポートフォリオ実績!$A$2:$A$2001, G128), 0)</f>
        <v>18008.63</v>
      </c>
      <c r="I128">
        <f>IF(B128&lt;&gt;"", SUMIFS(ポートフォリオ実績!$C$2:$C$2001, ポートフォリオ実績!$B$2:$B$2001, B128, ポートフォリオ実績!$A$2:$A$2001, G128), 0)</f>
        <v>14000.88</v>
      </c>
      <c r="J128">
        <f t="shared" si="12"/>
        <v>3372.3999999999996</v>
      </c>
      <c r="K128">
        <f t="shared" si="13"/>
        <v>4007.7500000000018</v>
      </c>
      <c r="L128">
        <f t="shared" si="14"/>
        <v>-635.35000000000218</v>
      </c>
      <c r="M128">
        <f t="shared" si="15"/>
        <v>-594.9600000000022</v>
      </c>
      <c r="N128">
        <f t="shared" si="16"/>
        <v>-98.259999999998968</v>
      </c>
      <c r="O128">
        <f t="shared" si="17"/>
        <v>17959.5</v>
      </c>
      <c r="P128">
        <f t="shared" si="18"/>
        <v>-3.3127871043180615E-2</v>
      </c>
      <c r="Q128" t="str">
        <f>IF(B128="","", IFERROR(VLOOKUP(B128, '基準資産配分（設定）'!$A$2:$C$2001, 3, FALSE), ""))</f>
        <v>TOPIX（配当込み）</v>
      </c>
      <c r="R128">
        <f>IF(B128="","", IFERROR(VLOOKUP(B128, '基準資産配分（設定）'!$A$2:$C$2001, 2, FALSE)/100, 0))</f>
        <v>0.11720000000000001</v>
      </c>
      <c r="S128">
        <f>IF(B128="","", IFERROR(SUMIFS(ベンチマークリターン!$C$2:$C$2001, ベンチマークリターン!$A$2:$A$2001, A128, ベンチマークリターン!$B$2:$B$2001, Q128) / 100, 0))</f>
        <v>-7.0525000000000004E-2</v>
      </c>
      <c r="T128">
        <f>IF(A128="","", SUMIFS($H$2:$H$2000, $A$2:$A$2000, A128))</f>
        <v>149189.19</v>
      </c>
      <c r="U128">
        <f t="shared" si="19"/>
        <v>0.12071001927150353</v>
      </c>
      <c r="V128">
        <f t="shared" si="20"/>
        <v>-3.9988659520462161E-3</v>
      </c>
      <c r="W128">
        <f t="shared" si="21"/>
        <v>-8.2655300000000018E-3</v>
      </c>
    </row>
    <row r="129" spans="1:23" x14ac:dyDescent="0.2">
      <c r="A129" s="4">
        <f>IF(ポートフォリオ実績!A130="","", ポートフォリオ実績!A130)</f>
        <v>45138</v>
      </c>
      <c r="B129" t="str">
        <f>IF(ポートフォリオ実績!B130="","", ポートフォリオ実績!B130)</f>
        <v>国内株式（純投資）</v>
      </c>
      <c r="C129" s="10">
        <f>IF(ポートフォリオ実績!C130="","", ポートフォリオ実績!C130)</f>
        <v>14178.13</v>
      </c>
      <c r="D129" s="10">
        <f>IF(ポートフォリオ実績!D130="","", ポートフォリオ実績!D130)</f>
        <v>18241.95</v>
      </c>
      <c r="E129" s="10">
        <f>IF(ポートフォリオ実績!E130="","", ポートフォリオ実績!E130)</f>
        <v>39.49</v>
      </c>
      <c r="F129" s="10">
        <f>IF(ポートフォリオ実績!F130="","", ポートフォリオ実績!F130)</f>
        <v>0</v>
      </c>
      <c r="G129">
        <f t="shared" ref="G129:G192" si="22">IF(A129&lt;&gt;"", EOMONTH(A129, -1), "")</f>
        <v>45107</v>
      </c>
      <c r="H129">
        <f>IF(B129&lt;&gt;"", SUMIFS(ポートフォリオ実績!$D$2:$D$2001, ポートフォリオ実績!$B$2:$B$2001, B129, ポートフォリオ実績!$A$2:$A$2001, G129), 0)</f>
        <v>17315.41</v>
      </c>
      <c r="I129">
        <f>IF(B129&lt;&gt;"", SUMIFS(ポートフォリオ実績!$C$2:$C$2001, ポートフォリオ実績!$B$2:$B$2001, B129, ポートフォリオ実績!$A$2:$A$2001, G129), 0)</f>
        <v>13943.01</v>
      </c>
      <c r="J129">
        <f t="shared" ref="J129:J192" si="23">IF(A129&lt;&gt;"", D129-C129, 0)</f>
        <v>4063.8200000000015</v>
      </c>
      <c r="K129">
        <f t="shared" ref="K129:K192" si="24">IF(A129&lt;&gt;"", H129-I129, 0)</f>
        <v>3372.3999999999996</v>
      </c>
      <c r="L129">
        <f t="shared" ref="L129:L192" si="25">IF(H129=0, 0, J129-K129)</f>
        <v>691.42000000000189</v>
      </c>
      <c r="M129">
        <f t="shared" ref="M129:M192" si="26">IF(A129&lt;&gt;"", E129+F129+L129, 0)</f>
        <v>730.9100000000019</v>
      </c>
      <c r="N129">
        <f t="shared" ref="N129:N192" si="27">IF(H129=0, 0, (D129-H129)-M129)</f>
        <v>195.62999999999897</v>
      </c>
      <c r="O129">
        <f t="shared" ref="O129:O192" si="28">IF(A129&lt;&gt;"", H129+N129*0.5, 0)</f>
        <v>17413.224999999999</v>
      </c>
      <c r="P129">
        <f t="shared" ref="P129:P192" si="29">IF(A129="","", IF(O129&gt;0.000001, M129/O129, IF(ABS(M129)&lt;0.000001, 0, 0)))</f>
        <v>4.197441886841765E-2</v>
      </c>
      <c r="Q129" t="str">
        <f>IF(B129="","", IFERROR(VLOOKUP(B129, '基準資産配分（設定）'!$A$2:$C$2001, 3, FALSE), ""))</f>
        <v>TOPIX（配当込み）</v>
      </c>
      <c r="R129">
        <f>IF(B129="","", IFERROR(VLOOKUP(B129, '基準資産配分（設定）'!$A$2:$C$2001, 2, FALSE)/100, 0))</f>
        <v>0.11720000000000001</v>
      </c>
      <c r="S129">
        <f>IF(B129="","", IFERROR(SUMIFS(ベンチマークリターン!$C$2:$C$2001, ベンチマークリターン!$A$2:$A$2001, A129, ベンチマークリターン!$B$2:$B$2001, Q129) / 100, 0))</f>
        <v>2.0542999999999999E-2</v>
      </c>
      <c r="T129">
        <f>IF(A129="","", SUMIFS($H$2:$H$2000, $A$2:$A$2000, A129))</f>
        <v>147474.57</v>
      </c>
      <c r="U129">
        <f t="shared" ref="U129:U192" si="30">IF(A129="","", IFERROR(H129/T129, 0))</f>
        <v>0.11741285294135795</v>
      </c>
      <c r="V129">
        <f t="shared" ref="V129:V192" si="31">IF(A129="","", U129*P129)</f>
        <v>4.9283362698964821E-3</v>
      </c>
      <c r="W129">
        <f t="shared" ref="W129:W192" si="32">IF(A129="","", R129*S129)</f>
        <v>2.4076396000000003E-3</v>
      </c>
    </row>
    <row r="130" spans="1:23" x14ac:dyDescent="0.2">
      <c r="A130" s="4">
        <f>IF(ポートフォリオ実績!A131="","", ポートフォリオ実績!A131)</f>
        <v>45169</v>
      </c>
      <c r="B130" t="str">
        <f>IF(ポートフォリオ実績!B131="","", ポートフォリオ実績!B131)</f>
        <v>国内株式（純投資）</v>
      </c>
      <c r="C130" s="10">
        <f>IF(ポートフォリオ実績!C131="","", ポートフォリオ実績!C131)</f>
        <v>14085.65</v>
      </c>
      <c r="D130" s="10">
        <f>IF(ポートフォリオ実績!D131="","", ポートフォリオ実績!D131)</f>
        <v>18516.62</v>
      </c>
      <c r="E130" s="10">
        <f>IF(ポートフォリオ実績!E131="","", ポートフォリオ実績!E131)</f>
        <v>40.840000000000003</v>
      </c>
      <c r="F130" s="10">
        <f>IF(ポートフォリオ実績!F131="","", ポートフォリオ実績!F131)</f>
        <v>0</v>
      </c>
      <c r="G130">
        <f t="shared" si="22"/>
        <v>45138</v>
      </c>
      <c r="H130">
        <f>IF(B130&lt;&gt;"", SUMIFS(ポートフォリオ実績!$D$2:$D$2001, ポートフォリオ実績!$B$2:$B$2001, B130, ポートフォリオ実績!$A$2:$A$2001, G130), 0)</f>
        <v>18241.95</v>
      </c>
      <c r="I130">
        <f>IF(B130&lt;&gt;"", SUMIFS(ポートフォリオ実績!$C$2:$C$2001, ポートフォリオ実績!$B$2:$B$2001, B130, ポートフォリオ実績!$A$2:$A$2001, G130), 0)</f>
        <v>14178.13</v>
      </c>
      <c r="J130">
        <f t="shared" si="23"/>
        <v>4430.9699999999993</v>
      </c>
      <c r="K130">
        <f t="shared" si="24"/>
        <v>4063.8200000000015</v>
      </c>
      <c r="L130">
        <f t="shared" si="25"/>
        <v>367.14999999999782</v>
      </c>
      <c r="M130">
        <f t="shared" si="26"/>
        <v>407.98999999999785</v>
      </c>
      <c r="N130">
        <f t="shared" si="27"/>
        <v>-133.3199999999996</v>
      </c>
      <c r="O130">
        <f t="shared" si="28"/>
        <v>18175.29</v>
      </c>
      <c r="P130">
        <f t="shared" si="29"/>
        <v>2.2447509778385812E-2</v>
      </c>
      <c r="Q130" t="str">
        <f>IF(B130="","", IFERROR(VLOOKUP(B130, '基準資産配分（設定）'!$A$2:$C$2001, 3, FALSE), ""))</f>
        <v>TOPIX（配当込み）</v>
      </c>
      <c r="R130">
        <f>IF(B130="","", IFERROR(VLOOKUP(B130, '基準資産配分（設定）'!$A$2:$C$2001, 2, FALSE)/100, 0))</f>
        <v>0.11720000000000001</v>
      </c>
      <c r="S130">
        <f>IF(B130="","", IFERROR(SUMIFS(ベンチマークリターン!$C$2:$C$2001, ベンチマークリターン!$A$2:$A$2001, A130, ベンチマークリターン!$B$2:$B$2001, Q130) / 100, 0))</f>
        <v>5.2892999999999996E-2</v>
      </c>
      <c r="T130">
        <f>IF(A130="","", SUMIFS($H$2:$H$2000, $A$2:$A$2000, A130))</f>
        <v>147887.32999999999</v>
      </c>
      <c r="U130">
        <f t="shared" si="30"/>
        <v>0.12335032351993915</v>
      </c>
      <c r="V130">
        <f t="shared" si="31"/>
        <v>2.7689075933808875E-3</v>
      </c>
      <c r="W130">
        <f t="shared" si="32"/>
        <v>6.1990596E-3</v>
      </c>
    </row>
    <row r="131" spans="1:23" x14ac:dyDescent="0.2">
      <c r="A131" s="4">
        <f>IF(ポートフォリオ実績!A132="","", ポートフォリオ実績!A132)</f>
        <v>45199</v>
      </c>
      <c r="B131" t="str">
        <f>IF(ポートフォリオ実績!B132="","", ポートフォリオ実績!B132)</f>
        <v>国内株式（純投資）</v>
      </c>
      <c r="C131" s="10">
        <f>IF(ポートフォリオ実績!C132="","", ポートフォリオ実績!C132)</f>
        <v>14247.22</v>
      </c>
      <c r="D131" s="10">
        <f>IF(ポートフォリオ実績!D132="","", ポートフォリオ実績!D132)</f>
        <v>19360.91</v>
      </c>
      <c r="E131" s="10">
        <f>IF(ポートフォリオ実績!E132="","", ポートフォリオ実績!E132)</f>
        <v>42.03</v>
      </c>
      <c r="F131" s="10">
        <f>IF(ポートフォリオ実績!F132="","", ポートフォリオ実績!F132)</f>
        <v>0</v>
      </c>
      <c r="G131">
        <f t="shared" si="22"/>
        <v>45169</v>
      </c>
      <c r="H131">
        <f>IF(B131&lt;&gt;"", SUMIFS(ポートフォリオ実績!$D$2:$D$2001, ポートフォリオ実績!$B$2:$B$2001, B131, ポートフォリオ実績!$A$2:$A$2001, G131), 0)</f>
        <v>18516.62</v>
      </c>
      <c r="I131">
        <f>IF(B131&lt;&gt;"", SUMIFS(ポートフォリオ実績!$C$2:$C$2001, ポートフォリオ実績!$B$2:$B$2001, B131, ポートフォリオ実績!$A$2:$A$2001, G131), 0)</f>
        <v>14085.65</v>
      </c>
      <c r="J131">
        <f t="shared" si="23"/>
        <v>5113.6900000000005</v>
      </c>
      <c r="K131">
        <f t="shared" si="24"/>
        <v>4430.9699999999993</v>
      </c>
      <c r="L131">
        <f t="shared" si="25"/>
        <v>682.72000000000116</v>
      </c>
      <c r="M131">
        <f t="shared" si="26"/>
        <v>724.75000000000114</v>
      </c>
      <c r="N131">
        <f t="shared" si="27"/>
        <v>119.53999999999974</v>
      </c>
      <c r="O131">
        <f t="shared" si="28"/>
        <v>18576.39</v>
      </c>
      <c r="P131">
        <f t="shared" si="29"/>
        <v>3.9014577105670217E-2</v>
      </c>
      <c r="Q131" t="str">
        <f>IF(B131="","", IFERROR(VLOOKUP(B131, '基準資産配分（設定）'!$A$2:$C$2001, 3, FALSE), ""))</f>
        <v>TOPIX（配当込み）</v>
      </c>
      <c r="R131">
        <f>IF(B131="","", IFERROR(VLOOKUP(B131, '基準資産配分（設定）'!$A$2:$C$2001, 2, FALSE)/100, 0))</f>
        <v>0.11720000000000001</v>
      </c>
      <c r="S131">
        <f>IF(B131="","", IFERROR(SUMIFS(ベンチマークリターン!$C$2:$C$2001, ベンチマークリターン!$A$2:$A$2001, A131, ベンチマークリターン!$B$2:$B$2001, Q131) / 100, 0))</f>
        <v>1.0942E-2</v>
      </c>
      <c r="T131">
        <f>IF(A131="","", SUMIFS($H$2:$H$2000, $A$2:$A$2000, A131))</f>
        <v>147535.20000000001</v>
      </c>
      <c r="U131">
        <f t="shared" si="30"/>
        <v>0.12550645540860755</v>
      </c>
      <c r="V131">
        <f t="shared" si="31"/>
        <v>4.8965812817984801E-3</v>
      </c>
      <c r="W131">
        <f t="shared" si="32"/>
        <v>1.2824024000000001E-3</v>
      </c>
    </row>
    <row r="132" spans="1:23" x14ac:dyDescent="0.2">
      <c r="A132" s="4">
        <f>IF(ポートフォリオ実績!A133="","", ポートフォリオ実績!A133)</f>
        <v>45230</v>
      </c>
      <c r="B132" t="str">
        <f>IF(ポートフォリオ実績!B133="","", ポートフォリオ実績!B133)</f>
        <v>国内株式（純投資）</v>
      </c>
      <c r="C132" s="10">
        <f>IF(ポートフォリオ実績!C133="","", ポートフォリオ実績!C133)</f>
        <v>13974.72</v>
      </c>
      <c r="D132" s="10">
        <f>IF(ポートフォリオ実績!D133="","", ポートフォリオ実績!D133)</f>
        <v>17795.28</v>
      </c>
      <c r="E132" s="10">
        <f>IF(ポートフォリオ実績!E133="","", ポートフォリオ実績!E133)</f>
        <v>42.95</v>
      </c>
      <c r="F132" s="10">
        <f>IF(ポートフォリオ実績!F133="","", ポートフォリオ実績!F133)</f>
        <v>0</v>
      </c>
      <c r="G132">
        <f t="shared" si="22"/>
        <v>45199</v>
      </c>
      <c r="H132">
        <f>IF(B132&lt;&gt;"", SUMIFS(ポートフォリオ実績!$D$2:$D$2001, ポートフォリオ実績!$B$2:$B$2001, B132, ポートフォリオ実績!$A$2:$A$2001, G132), 0)</f>
        <v>19360.91</v>
      </c>
      <c r="I132">
        <f>IF(B132&lt;&gt;"", SUMIFS(ポートフォリオ実績!$C$2:$C$2001, ポートフォリオ実績!$B$2:$B$2001, B132, ポートフォリオ実績!$A$2:$A$2001, G132), 0)</f>
        <v>14247.22</v>
      </c>
      <c r="J132">
        <f t="shared" si="23"/>
        <v>3820.5599999999995</v>
      </c>
      <c r="K132">
        <f t="shared" si="24"/>
        <v>5113.6900000000005</v>
      </c>
      <c r="L132">
        <f t="shared" si="25"/>
        <v>-1293.130000000001</v>
      </c>
      <c r="M132">
        <f t="shared" si="26"/>
        <v>-1250.180000000001</v>
      </c>
      <c r="N132">
        <f t="shared" si="27"/>
        <v>-315.45000000000005</v>
      </c>
      <c r="O132">
        <f t="shared" si="28"/>
        <v>19203.185000000001</v>
      </c>
      <c r="P132">
        <f t="shared" si="29"/>
        <v>-6.5102742071172087E-2</v>
      </c>
      <c r="Q132" t="str">
        <f>IF(B132="","", IFERROR(VLOOKUP(B132, '基準資産配分（設定）'!$A$2:$C$2001, 3, FALSE), ""))</f>
        <v>TOPIX（配当込み）</v>
      </c>
      <c r="R132">
        <f>IF(B132="","", IFERROR(VLOOKUP(B132, '基準資産配分（設定）'!$A$2:$C$2001, 2, FALSE)/100, 0))</f>
        <v>0.11720000000000001</v>
      </c>
      <c r="S132">
        <f>IF(B132="","", IFERROR(SUMIFS(ベンチマークリターン!$C$2:$C$2001, ベンチマークリターン!$A$2:$A$2001, A132, ベンチマークリターン!$B$2:$B$2001, Q132) / 100, 0))</f>
        <v>6.2031000000000003E-2</v>
      </c>
      <c r="T132">
        <f>IF(A132="","", SUMIFS($H$2:$H$2000, $A$2:$A$2000, A132))</f>
        <v>148508.15</v>
      </c>
      <c r="U132">
        <f t="shared" si="30"/>
        <v>0.13036934336600381</v>
      </c>
      <c r="V132">
        <f t="shared" si="31"/>
        <v>-8.4874017351450164E-3</v>
      </c>
      <c r="W132">
        <f t="shared" si="32"/>
        <v>7.2700332000000013E-3</v>
      </c>
    </row>
    <row r="133" spans="1:23" x14ac:dyDescent="0.2">
      <c r="A133" s="4">
        <f>IF(ポートフォリオ実績!A134="","", ポートフォリオ実績!A134)</f>
        <v>45260</v>
      </c>
      <c r="B133" t="str">
        <f>IF(ポートフォリオ実績!B134="","", ポートフォリオ実績!B134)</f>
        <v>国内株式（純投資）</v>
      </c>
      <c r="C133" s="10">
        <f>IF(ポートフォリオ実績!C134="","", ポートフォリオ実績!C134)</f>
        <v>14216.75</v>
      </c>
      <c r="D133" s="10">
        <f>IF(ポートフォリオ実績!D134="","", ポートフォリオ実績!D134)</f>
        <v>17550.05</v>
      </c>
      <c r="E133" s="10">
        <f>IF(ポートフォリオ実績!E134="","", ポートフォリオ実績!E134)</f>
        <v>40.58</v>
      </c>
      <c r="F133" s="10">
        <f>IF(ポートフォリオ実績!F134="","", ポートフォリオ実績!F134)</f>
        <v>0</v>
      </c>
      <c r="G133">
        <f t="shared" si="22"/>
        <v>45230</v>
      </c>
      <c r="H133">
        <f>IF(B133&lt;&gt;"", SUMIFS(ポートフォリオ実績!$D$2:$D$2001, ポートフォリオ実績!$B$2:$B$2001, B133, ポートフォリオ実績!$A$2:$A$2001, G133), 0)</f>
        <v>17795.28</v>
      </c>
      <c r="I133">
        <f>IF(B133&lt;&gt;"", SUMIFS(ポートフォリオ実績!$C$2:$C$2001, ポートフォリオ実績!$B$2:$B$2001, B133, ポートフォリオ実績!$A$2:$A$2001, G133), 0)</f>
        <v>13974.72</v>
      </c>
      <c r="J133">
        <f t="shared" si="23"/>
        <v>3333.2999999999993</v>
      </c>
      <c r="K133">
        <f t="shared" si="24"/>
        <v>3820.5599999999995</v>
      </c>
      <c r="L133">
        <f t="shared" si="25"/>
        <v>-487.26000000000022</v>
      </c>
      <c r="M133">
        <f t="shared" si="26"/>
        <v>-446.68000000000023</v>
      </c>
      <c r="N133">
        <f t="shared" si="27"/>
        <v>201.45000000000067</v>
      </c>
      <c r="O133">
        <f t="shared" si="28"/>
        <v>17896.004999999997</v>
      </c>
      <c r="P133">
        <f t="shared" si="29"/>
        <v>-2.4959760572261815E-2</v>
      </c>
      <c r="Q133" t="str">
        <f>IF(B133="","", IFERROR(VLOOKUP(B133, '基準資産配分（設定）'!$A$2:$C$2001, 3, FALSE), ""))</f>
        <v>TOPIX（配当込み）</v>
      </c>
      <c r="R133">
        <f>IF(B133="","", IFERROR(VLOOKUP(B133, '基準資産配分（設定）'!$A$2:$C$2001, 2, FALSE)/100, 0))</f>
        <v>0.11720000000000001</v>
      </c>
      <c r="S133">
        <f>IF(B133="","", IFERROR(SUMIFS(ベンチマークリターン!$C$2:$C$2001, ベンチマークリターン!$A$2:$A$2001, A133, ベンチマークリターン!$B$2:$B$2001, Q133) / 100, 0))</f>
        <v>-2.0211999999999997E-2</v>
      </c>
      <c r="T133">
        <f>IF(A133="","", SUMIFS($H$2:$H$2000, $A$2:$A$2000, A133))</f>
        <v>141833.18</v>
      </c>
      <c r="U133">
        <f t="shared" si="30"/>
        <v>0.12546626959925739</v>
      </c>
      <c r="V133">
        <f t="shared" si="31"/>
        <v>-3.1316080490923159E-3</v>
      </c>
      <c r="W133">
        <f t="shared" si="32"/>
        <v>-2.3688464000000001E-3</v>
      </c>
    </row>
    <row r="134" spans="1:23" x14ac:dyDescent="0.2">
      <c r="A134" s="4">
        <f>IF(ポートフォリオ実績!A135="","", ポートフォリオ実績!A135)</f>
        <v>45291</v>
      </c>
      <c r="B134" t="str">
        <f>IF(ポートフォリオ実績!B135="","", ポートフォリオ実績!B135)</f>
        <v>国内株式（純投資）</v>
      </c>
      <c r="C134" s="10">
        <f>IF(ポートフォリオ実績!C135="","", ポートフォリオ実績!C135)</f>
        <v>14475.68</v>
      </c>
      <c r="D134" s="10">
        <f>IF(ポートフォリオ実績!D135="","", ポートフォリオ実績!D135)</f>
        <v>18230.25</v>
      </c>
      <c r="E134" s="10">
        <f>IF(ポートフォリオ実績!E135="","", ポートフォリオ実績!E135)</f>
        <v>40.07</v>
      </c>
      <c r="F134" s="10">
        <f>IF(ポートフォリオ実績!F135="","", ポートフォリオ実績!F135)</f>
        <v>0</v>
      </c>
      <c r="G134">
        <f t="shared" si="22"/>
        <v>45260</v>
      </c>
      <c r="H134">
        <f>IF(B134&lt;&gt;"", SUMIFS(ポートフォリオ実績!$D$2:$D$2001, ポートフォリオ実績!$B$2:$B$2001, B134, ポートフォリオ実績!$A$2:$A$2001, G134), 0)</f>
        <v>17550.05</v>
      </c>
      <c r="I134">
        <f>IF(B134&lt;&gt;"", SUMIFS(ポートフォリオ実績!$C$2:$C$2001, ポートフォリオ実績!$B$2:$B$2001, B134, ポートフォリオ実績!$A$2:$A$2001, G134), 0)</f>
        <v>14216.75</v>
      </c>
      <c r="J134">
        <f t="shared" si="23"/>
        <v>3754.5699999999997</v>
      </c>
      <c r="K134">
        <f t="shared" si="24"/>
        <v>3333.2999999999993</v>
      </c>
      <c r="L134">
        <f t="shared" si="25"/>
        <v>421.27000000000044</v>
      </c>
      <c r="M134">
        <f t="shared" si="26"/>
        <v>461.34000000000043</v>
      </c>
      <c r="N134">
        <f t="shared" si="27"/>
        <v>218.8600000000003</v>
      </c>
      <c r="O134">
        <f t="shared" si="28"/>
        <v>17659.48</v>
      </c>
      <c r="P134">
        <f t="shared" si="29"/>
        <v>2.6124212037953579E-2</v>
      </c>
      <c r="Q134" t="str">
        <f>IF(B134="","", IFERROR(VLOOKUP(B134, '基準資産配分（設定）'!$A$2:$C$2001, 3, FALSE), ""))</f>
        <v>TOPIX（配当込み）</v>
      </c>
      <c r="R134">
        <f>IF(B134="","", IFERROR(VLOOKUP(B134, '基準資産配分（設定）'!$A$2:$C$2001, 2, FALSE)/100, 0))</f>
        <v>0.11720000000000001</v>
      </c>
      <c r="S134">
        <f>IF(B134="","", IFERROR(SUMIFS(ベンチマークリターン!$C$2:$C$2001, ベンチマークリターン!$A$2:$A$2001, A134, ベンチマークリターン!$B$2:$B$2001, Q134) / 100, 0))</f>
        <v>7.9898999999999998E-2</v>
      </c>
      <c r="T134">
        <f>IF(A134="","", SUMIFS($H$2:$H$2000, $A$2:$A$2000, A134))</f>
        <v>142786.25</v>
      </c>
      <c r="U134">
        <f t="shared" si="30"/>
        <v>0.12291134475483458</v>
      </c>
      <c r="V134">
        <f t="shared" si="31"/>
        <v>3.2109620322453118E-3</v>
      </c>
      <c r="W134">
        <f t="shared" si="32"/>
        <v>9.3641628000000008E-3</v>
      </c>
    </row>
    <row r="135" spans="1:23" x14ac:dyDescent="0.2">
      <c r="A135" s="4">
        <f>IF(ポートフォリオ実績!A136="","", ポートフォリオ実績!A136)</f>
        <v>45322</v>
      </c>
      <c r="B135" t="str">
        <f>IF(ポートフォリオ実績!B136="","", ポートフォリオ実績!B136)</f>
        <v>国内株式（純投資）</v>
      </c>
      <c r="C135" s="10">
        <f>IF(ポートフォリオ実績!C136="","", ポートフォリオ実績!C136)</f>
        <v>14474.85</v>
      </c>
      <c r="D135" s="10">
        <f>IF(ポートフォリオ実績!D136="","", ポートフォリオ実績!D136)</f>
        <v>18079.77</v>
      </c>
      <c r="E135" s="10">
        <f>IF(ポートフォリオ実績!E136="","", ポートフォリオ実績!E136)</f>
        <v>41.02</v>
      </c>
      <c r="F135" s="10">
        <f>IF(ポートフォリオ実績!F136="","", ポートフォリオ実績!F136)</f>
        <v>0</v>
      </c>
      <c r="G135">
        <f t="shared" si="22"/>
        <v>45291</v>
      </c>
      <c r="H135">
        <f>IF(B135&lt;&gt;"", SUMIFS(ポートフォリオ実績!$D$2:$D$2001, ポートフォリオ実績!$B$2:$B$2001, B135, ポートフォリオ実績!$A$2:$A$2001, G135), 0)</f>
        <v>18230.25</v>
      </c>
      <c r="I135">
        <f>IF(B135&lt;&gt;"", SUMIFS(ポートフォリオ実績!$C$2:$C$2001, ポートフォリオ実績!$B$2:$B$2001, B135, ポートフォリオ実績!$A$2:$A$2001, G135), 0)</f>
        <v>14475.68</v>
      </c>
      <c r="J135">
        <f t="shared" si="23"/>
        <v>3604.92</v>
      </c>
      <c r="K135">
        <f t="shared" si="24"/>
        <v>3754.5699999999997</v>
      </c>
      <c r="L135">
        <f t="shared" si="25"/>
        <v>-149.64999999999964</v>
      </c>
      <c r="M135">
        <f t="shared" si="26"/>
        <v>-108.62999999999963</v>
      </c>
      <c r="N135">
        <f t="shared" si="27"/>
        <v>-41.849999999999937</v>
      </c>
      <c r="O135">
        <f t="shared" si="28"/>
        <v>18209.325000000001</v>
      </c>
      <c r="P135">
        <f t="shared" si="29"/>
        <v>-5.9656247554480809E-3</v>
      </c>
      <c r="Q135" t="str">
        <f>IF(B135="","", IFERROR(VLOOKUP(B135, '基準資産配分（設定）'!$A$2:$C$2001, 3, FALSE), ""))</f>
        <v>TOPIX（配当込み）</v>
      </c>
      <c r="R135">
        <f>IF(B135="","", IFERROR(VLOOKUP(B135, '基準資産配分（設定）'!$A$2:$C$2001, 2, FALSE)/100, 0))</f>
        <v>0.11720000000000001</v>
      </c>
      <c r="S135">
        <f>IF(B135="","", IFERROR(SUMIFS(ベンチマークリターン!$C$2:$C$2001, ベンチマークリターン!$A$2:$A$2001, A135, ベンチマークリターン!$B$2:$B$2001, Q135) / 100, 0))</f>
        <v>0.12612100000000001</v>
      </c>
      <c r="T135">
        <f>IF(A135="","", SUMIFS($H$2:$H$2000, $A$2:$A$2000, A135))</f>
        <v>144901.44999999998</v>
      </c>
      <c r="U135">
        <f t="shared" si="30"/>
        <v>0.12581137041761833</v>
      </c>
      <c r="V135">
        <f t="shared" si="31"/>
        <v>-7.5054342588019233E-4</v>
      </c>
      <c r="W135">
        <f t="shared" si="32"/>
        <v>1.4781381200000002E-2</v>
      </c>
    </row>
    <row r="136" spans="1:23" x14ac:dyDescent="0.2">
      <c r="A136" s="4">
        <f>IF(ポートフォリオ実績!A137="","", ポートフォリオ実績!A137)</f>
        <v>45351</v>
      </c>
      <c r="B136" t="str">
        <f>IF(ポートフォリオ実績!B137="","", ポートフォリオ実績!B137)</f>
        <v>国内株式（純投資）</v>
      </c>
      <c r="C136" s="10">
        <f>IF(ポートフォリオ実績!C137="","", ポートフォリオ実績!C137)</f>
        <v>14325.29</v>
      </c>
      <c r="D136" s="10">
        <f>IF(ポートフォリオ実績!D137="","", ポートフォリオ実績!D137)</f>
        <v>18365.349999999999</v>
      </c>
      <c r="E136" s="10">
        <f>IF(ポートフォリオ実績!E137="","", ポートフォリオ実績!E137)</f>
        <v>40.340000000000003</v>
      </c>
      <c r="F136" s="10">
        <f>IF(ポートフォリオ実績!F137="","", ポートフォリオ実績!F137)</f>
        <v>0</v>
      </c>
      <c r="G136">
        <f t="shared" si="22"/>
        <v>45322</v>
      </c>
      <c r="H136">
        <f>IF(B136&lt;&gt;"", SUMIFS(ポートフォリオ実績!$D$2:$D$2001, ポートフォリオ実績!$B$2:$B$2001, B136, ポートフォリオ実績!$A$2:$A$2001, G136), 0)</f>
        <v>18079.77</v>
      </c>
      <c r="I136">
        <f>IF(B136&lt;&gt;"", SUMIFS(ポートフォリオ実績!$C$2:$C$2001, ポートフォリオ実績!$B$2:$B$2001, B136, ポートフォリオ実績!$A$2:$A$2001, G136), 0)</f>
        <v>14474.85</v>
      </c>
      <c r="J136">
        <f t="shared" si="23"/>
        <v>4040.0599999999977</v>
      </c>
      <c r="K136">
        <f t="shared" si="24"/>
        <v>3604.92</v>
      </c>
      <c r="L136">
        <f t="shared" si="25"/>
        <v>435.1399999999976</v>
      </c>
      <c r="M136">
        <f t="shared" si="26"/>
        <v>475.47999999999763</v>
      </c>
      <c r="N136">
        <f t="shared" si="27"/>
        <v>-189.89999999999952</v>
      </c>
      <c r="O136">
        <f t="shared" si="28"/>
        <v>17984.82</v>
      </c>
      <c r="P136">
        <f t="shared" si="29"/>
        <v>2.6437851476967669E-2</v>
      </c>
      <c r="Q136" t="str">
        <f>IF(B136="","", IFERROR(VLOOKUP(B136, '基準資産配分（設定）'!$A$2:$C$2001, 3, FALSE), ""))</f>
        <v>TOPIX（配当込み）</v>
      </c>
      <c r="R136">
        <f>IF(B136="","", IFERROR(VLOOKUP(B136, '基準資産配分（設定）'!$A$2:$C$2001, 2, FALSE)/100, 0))</f>
        <v>0.11720000000000001</v>
      </c>
      <c r="S136">
        <f>IF(B136="","", IFERROR(SUMIFS(ベンチマークリターン!$C$2:$C$2001, ベンチマークリターン!$A$2:$A$2001, A136, ベンチマークリターン!$B$2:$B$2001, Q136) / 100, 0))</f>
        <v>-1.2186999999999998E-2</v>
      </c>
      <c r="T136">
        <f>IF(A136="","", SUMIFS($H$2:$H$2000, $A$2:$A$2000, A136))</f>
        <v>143790.06</v>
      </c>
      <c r="U136">
        <f t="shared" si="30"/>
        <v>0.12573727279896818</v>
      </c>
      <c r="V136">
        <f t="shared" si="31"/>
        <v>3.3242233433780875E-3</v>
      </c>
      <c r="W136">
        <f t="shared" si="32"/>
        <v>-1.4283163999999999E-3</v>
      </c>
    </row>
    <row r="137" spans="1:23" x14ac:dyDescent="0.2">
      <c r="A137" s="4">
        <f>IF(ポートフォリオ実績!A138="","", ポートフォリオ実績!A138)</f>
        <v>45382</v>
      </c>
      <c r="B137" t="str">
        <f>IF(ポートフォリオ実績!B138="","", ポートフォリオ実績!B138)</f>
        <v>国内株式（純投資）</v>
      </c>
      <c r="C137" s="10">
        <f>IF(ポートフォリオ実績!C138="","", ポートフォリオ実績!C138)</f>
        <v>14341.61</v>
      </c>
      <c r="D137" s="10">
        <f>IF(ポートフォリオ実績!D138="","", ポートフォリオ実績!D138)</f>
        <v>18990.12</v>
      </c>
      <c r="E137" s="10">
        <f>IF(ポートフォリオ実績!E138="","", ポートフォリオ実績!E138)</f>
        <v>41.36</v>
      </c>
      <c r="F137" s="10">
        <f>IF(ポートフォリオ実績!F138="","", ポートフォリオ実績!F138)</f>
        <v>0</v>
      </c>
      <c r="G137">
        <f t="shared" si="22"/>
        <v>45351</v>
      </c>
      <c r="H137">
        <f>IF(B137&lt;&gt;"", SUMIFS(ポートフォリオ実績!$D$2:$D$2001, ポートフォリオ実績!$B$2:$B$2001, B137, ポートフォリオ実績!$A$2:$A$2001, G137), 0)</f>
        <v>18365.349999999999</v>
      </c>
      <c r="I137">
        <f>IF(B137&lt;&gt;"", SUMIFS(ポートフォリオ実績!$C$2:$C$2001, ポートフォリオ実績!$B$2:$B$2001, B137, ポートフォリオ実績!$A$2:$A$2001, G137), 0)</f>
        <v>14325.29</v>
      </c>
      <c r="J137">
        <f t="shared" si="23"/>
        <v>4648.5099999999984</v>
      </c>
      <c r="K137">
        <f t="shared" si="24"/>
        <v>4040.0599999999977</v>
      </c>
      <c r="L137">
        <f t="shared" si="25"/>
        <v>608.45000000000073</v>
      </c>
      <c r="M137">
        <f t="shared" si="26"/>
        <v>649.81000000000074</v>
      </c>
      <c r="N137">
        <f t="shared" si="27"/>
        <v>-25.040000000000305</v>
      </c>
      <c r="O137">
        <f t="shared" si="28"/>
        <v>18352.829999999998</v>
      </c>
      <c r="P137">
        <f t="shared" si="29"/>
        <v>3.5406528584419991E-2</v>
      </c>
      <c r="Q137" t="str">
        <f>IF(B137="","", IFERROR(VLOOKUP(B137, '基準資産配分（設定）'!$A$2:$C$2001, 3, FALSE), ""))</f>
        <v>TOPIX（配当込み）</v>
      </c>
      <c r="R137">
        <f>IF(B137="","", IFERROR(VLOOKUP(B137, '基準資産配分（設定）'!$A$2:$C$2001, 2, FALSE)/100, 0))</f>
        <v>0.11720000000000001</v>
      </c>
      <c r="S137">
        <f>IF(B137="","", IFERROR(SUMIFS(ベンチマークリターン!$C$2:$C$2001, ベンチマークリターン!$A$2:$A$2001, A137, ベンチマークリターン!$B$2:$B$2001, Q137) / 100, 0))</f>
        <v>-1.6482E-2</v>
      </c>
      <c r="T137">
        <f>IF(A137="","", SUMIFS($H$2:$H$2000, $A$2:$A$2000, A137))</f>
        <v>144636.99</v>
      </c>
      <c r="U137">
        <f t="shared" si="30"/>
        <v>0.12697547148900154</v>
      </c>
      <c r="V137">
        <f t="shared" si="31"/>
        <v>4.4957606607955386E-3</v>
      </c>
      <c r="W137">
        <f t="shared" si="32"/>
        <v>-1.9316904000000001E-3</v>
      </c>
    </row>
    <row r="138" spans="1:23" x14ac:dyDescent="0.2">
      <c r="A138" s="4">
        <f>IF(ポートフォリオ実績!A139="","", ポートフォリオ実績!A139)</f>
        <v>45412</v>
      </c>
      <c r="B138" t="str">
        <f>IF(ポートフォリオ実績!B139="","", ポートフォリオ実績!B139)</f>
        <v>国内株式（純投資）</v>
      </c>
      <c r="C138" s="10">
        <f>IF(ポートフォリオ実績!C139="","", ポートフォリオ実績!C139)</f>
        <v>14265.42</v>
      </c>
      <c r="D138" s="10">
        <f>IF(ポートフォリオ実績!D139="","", ポートフォリオ実績!D139)</f>
        <v>19734.05</v>
      </c>
      <c r="E138" s="10">
        <f>IF(ポートフォリオ実績!E139="","", ポートフォリオ実績!E139)</f>
        <v>42.56</v>
      </c>
      <c r="F138" s="10">
        <f>IF(ポートフォリオ実績!F139="","", ポートフォリオ実績!F139)</f>
        <v>0</v>
      </c>
      <c r="G138">
        <f t="shared" si="22"/>
        <v>45382</v>
      </c>
      <c r="H138">
        <f>IF(B138&lt;&gt;"", SUMIFS(ポートフォリオ実績!$D$2:$D$2001, ポートフォリオ実績!$B$2:$B$2001, B138, ポートフォリオ実績!$A$2:$A$2001, G138), 0)</f>
        <v>18990.12</v>
      </c>
      <c r="I138">
        <f>IF(B138&lt;&gt;"", SUMIFS(ポートフォリオ実績!$C$2:$C$2001, ポートフォリオ実績!$B$2:$B$2001, B138, ポートフォリオ実績!$A$2:$A$2001, G138), 0)</f>
        <v>14341.61</v>
      </c>
      <c r="J138">
        <f t="shared" si="23"/>
        <v>5468.6299999999992</v>
      </c>
      <c r="K138">
        <f t="shared" si="24"/>
        <v>4648.5099999999984</v>
      </c>
      <c r="L138">
        <f t="shared" si="25"/>
        <v>820.1200000000008</v>
      </c>
      <c r="M138">
        <f t="shared" si="26"/>
        <v>862.68000000000075</v>
      </c>
      <c r="N138">
        <f t="shared" si="27"/>
        <v>-118.75000000000045</v>
      </c>
      <c r="O138">
        <f t="shared" si="28"/>
        <v>18930.744999999999</v>
      </c>
      <c r="P138">
        <f t="shared" si="29"/>
        <v>4.5570314322019592E-2</v>
      </c>
      <c r="Q138" t="str">
        <f>IF(B138="","", IFERROR(VLOOKUP(B138, '基準資産配分（設定）'!$A$2:$C$2001, 3, FALSE), ""))</f>
        <v>TOPIX（配当込み）</v>
      </c>
      <c r="R138">
        <f>IF(B138="","", IFERROR(VLOOKUP(B138, '基準資産配分（設定）'!$A$2:$C$2001, 2, FALSE)/100, 0))</f>
        <v>0.11720000000000001</v>
      </c>
      <c r="S138">
        <f>IF(B138="","", IFERROR(SUMIFS(ベンチマークリターン!$C$2:$C$2001, ベンチマークリターン!$A$2:$A$2001, A138, ベンチマークリターン!$B$2:$B$2001, Q138) / 100, 0))</f>
        <v>8.2186999999999996E-2</v>
      </c>
      <c r="T138">
        <f>IF(A138="","", SUMIFS($H$2:$H$2000, $A$2:$A$2000, A138))</f>
        <v>143236.52000000002</v>
      </c>
      <c r="U138">
        <f t="shared" si="30"/>
        <v>0.13257875854565579</v>
      </c>
      <c r="V138">
        <f t="shared" si="31"/>
        <v>6.0416556993486753E-3</v>
      </c>
      <c r="W138">
        <f t="shared" si="32"/>
        <v>9.6323164000000003E-3</v>
      </c>
    </row>
    <row r="139" spans="1:23" x14ac:dyDescent="0.2">
      <c r="A139" s="4">
        <f>IF(ポートフォリオ実績!A140="","", ポートフォリオ実績!A140)</f>
        <v>45443</v>
      </c>
      <c r="B139" t="str">
        <f>IF(ポートフォリオ実績!B140="","", ポートフォリオ実績!B140)</f>
        <v>国内株式（純投資）</v>
      </c>
      <c r="C139" s="10">
        <f>IF(ポートフォリオ実績!C140="","", ポートフォリオ実績!C140)</f>
        <v>14459.5</v>
      </c>
      <c r="D139" s="10">
        <f>IF(ポートフォリオ実績!D140="","", ポートフォリオ実績!D140)</f>
        <v>20149.73</v>
      </c>
      <c r="E139" s="10">
        <f>IF(ポートフォリオ実績!E140="","", ポートフォリオ実績!E140)</f>
        <v>44.84</v>
      </c>
      <c r="F139" s="10">
        <f>IF(ポートフォリオ実績!F140="","", ポートフォリオ実績!F140)</f>
        <v>0</v>
      </c>
      <c r="G139">
        <f t="shared" si="22"/>
        <v>45412</v>
      </c>
      <c r="H139">
        <f>IF(B139&lt;&gt;"", SUMIFS(ポートフォリオ実績!$D$2:$D$2001, ポートフォリオ実績!$B$2:$B$2001, B139, ポートフォリオ実績!$A$2:$A$2001, G139), 0)</f>
        <v>19734.05</v>
      </c>
      <c r="I139">
        <f>IF(B139&lt;&gt;"", SUMIFS(ポートフォリオ実績!$C$2:$C$2001, ポートフォリオ実績!$B$2:$B$2001, B139, ポートフォリオ実績!$A$2:$A$2001, G139), 0)</f>
        <v>14265.42</v>
      </c>
      <c r="J139">
        <f t="shared" si="23"/>
        <v>5690.23</v>
      </c>
      <c r="K139">
        <f t="shared" si="24"/>
        <v>5468.6299999999992</v>
      </c>
      <c r="L139">
        <f t="shared" si="25"/>
        <v>221.60000000000036</v>
      </c>
      <c r="M139">
        <f t="shared" si="26"/>
        <v>266.4400000000004</v>
      </c>
      <c r="N139">
        <f t="shared" si="27"/>
        <v>149.2399999999999</v>
      </c>
      <c r="O139">
        <f t="shared" si="28"/>
        <v>19808.669999999998</v>
      </c>
      <c r="P139">
        <f t="shared" si="29"/>
        <v>1.3450675890910415E-2</v>
      </c>
      <c r="Q139" t="str">
        <f>IF(B139="","", IFERROR(VLOOKUP(B139, '基準資産配分（設定）'!$A$2:$C$2001, 3, FALSE), ""))</f>
        <v>TOPIX（配当込み）</v>
      </c>
      <c r="R139">
        <f>IF(B139="","", IFERROR(VLOOKUP(B139, '基準資産配分（設定）'!$A$2:$C$2001, 2, FALSE)/100, 0))</f>
        <v>0.11720000000000001</v>
      </c>
      <c r="S139">
        <f>IF(B139="","", IFERROR(SUMIFS(ベンチマークリターン!$C$2:$C$2001, ベンチマークリターン!$A$2:$A$2001, A139, ベンチマークリターン!$B$2:$B$2001, Q139) / 100, 0))</f>
        <v>8.874399999999999E-2</v>
      </c>
      <c r="T139">
        <f>IF(A139="","", SUMIFS($H$2:$H$2000, $A$2:$A$2000, A139))</f>
        <v>142294.85999999999</v>
      </c>
      <c r="U139">
        <f t="shared" si="30"/>
        <v>0.13868420827006683</v>
      </c>
      <c r="V139">
        <f t="shared" si="31"/>
        <v>1.8653963366281868E-3</v>
      </c>
      <c r="W139">
        <f t="shared" si="32"/>
        <v>1.0400796800000001E-2</v>
      </c>
    </row>
    <row r="140" spans="1:23" x14ac:dyDescent="0.2">
      <c r="A140" s="4">
        <f>IF(ポートフォリオ実績!A141="","", ポートフォリオ実績!A141)</f>
        <v>45473</v>
      </c>
      <c r="B140" t="str">
        <f>IF(ポートフォリオ実績!B141="","", ポートフォリオ実績!B141)</f>
        <v>国内株式（純投資）</v>
      </c>
      <c r="C140" s="10">
        <f>IF(ポートフォリオ実績!C141="","", ポートフォリオ実績!C141)</f>
        <v>14303.74</v>
      </c>
      <c r="D140" s="10">
        <f>IF(ポートフォリオ実績!D141="","", ポートフォリオ実績!D141)</f>
        <v>20245.400000000001</v>
      </c>
      <c r="E140" s="10">
        <f>IF(ポートフォリオ実績!E141="","", ポートフォリオ実績!E141)</f>
        <v>44.99</v>
      </c>
      <c r="F140" s="10">
        <f>IF(ポートフォリオ実績!F141="","", ポートフォリオ実績!F141)</f>
        <v>0</v>
      </c>
      <c r="G140">
        <f t="shared" si="22"/>
        <v>45443</v>
      </c>
      <c r="H140">
        <f>IF(B140&lt;&gt;"", SUMIFS(ポートフォリオ実績!$D$2:$D$2001, ポートフォリオ実績!$B$2:$B$2001, B140, ポートフォリオ実績!$A$2:$A$2001, G140), 0)</f>
        <v>20149.73</v>
      </c>
      <c r="I140">
        <f>IF(B140&lt;&gt;"", SUMIFS(ポートフォリオ実績!$C$2:$C$2001, ポートフォリオ実績!$B$2:$B$2001, B140, ポートフォリオ実績!$A$2:$A$2001, G140), 0)</f>
        <v>14459.5</v>
      </c>
      <c r="J140">
        <f t="shared" si="23"/>
        <v>5941.6600000000017</v>
      </c>
      <c r="K140">
        <f t="shared" si="24"/>
        <v>5690.23</v>
      </c>
      <c r="L140">
        <f t="shared" si="25"/>
        <v>251.43000000000211</v>
      </c>
      <c r="M140">
        <f t="shared" si="26"/>
        <v>296.42000000000212</v>
      </c>
      <c r="N140">
        <f t="shared" si="27"/>
        <v>-200.75000000000023</v>
      </c>
      <c r="O140">
        <f t="shared" si="28"/>
        <v>20049.355</v>
      </c>
      <c r="P140">
        <f t="shared" si="29"/>
        <v>1.478451551184575E-2</v>
      </c>
      <c r="Q140" t="str">
        <f>IF(B140="","", IFERROR(VLOOKUP(B140, '基準資産配分（設定）'!$A$2:$C$2001, 3, FALSE), ""))</f>
        <v>TOPIX（配当込み）</v>
      </c>
      <c r="R140">
        <f>IF(B140="","", IFERROR(VLOOKUP(B140, '基準資産配分（設定）'!$A$2:$C$2001, 2, FALSE)/100, 0))</f>
        <v>0.11720000000000001</v>
      </c>
      <c r="S140">
        <f>IF(B140="","", IFERROR(SUMIFS(ベンチマークリターン!$C$2:$C$2001, ベンチマークリターン!$A$2:$A$2001, A140, ベンチマークリターン!$B$2:$B$2001, Q140) / 100, 0))</f>
        <v>-2.0501999999999999E-2</v>
      </c>
      <c r="T140">
        <f>IF(A140="","", SUMIFS($H$2:$H$2000, $A$2:$A$2000, A140))</f>
        <v>142297.76999999999</v>
      </c>
      <c r="U140">
        <f t="shared" si="30"/>
        <v>0.14160257044084387</v>
      </c>
      <c r="V140">
        <f t="shared" si="31"/>
        <v>2.0935253991998868E-3</v>
      </c>
      <c r="W140">
        <f t="shared" si="32"/>
        <v>-2.4028344000000001E-3</v>
      </c>
    </row>
    <row r="141" spans="1:23" x14ac:dyDescent="0.2">
      <c r="A141" s="4">
        <f>IF(ポートフォリオ実績!A142="","", ポートフォリオ実績!A142)</f>
        <v>45504</v>
      </c>
      <c r="B141" t="str">
        <f>IF(ポートフォリオ実績!B142="","", ポートフォリオ実績!B142)</f>
        <v>国内株式（純投資）</v>
      </c>
      <c r="C141" s="10">
        <f>IF(ポートフォリオ実績!C142="","", ポートフォリオ実績!C142)</f>
        <v>14385.99</v>
      </c>
      <c r="D141" s="10">
        <f>IF(ポートフォリオ実績!D142="","", ポートフォリオ実績!D142)</f>
        <v>22883.88</v>
      </c>
      <c r="E141" s="10">
        <f>IF(ポートフォリオ実績!E142="","", ポートフォリオ実績!E142)</f>
        <v>45.74</v>
      </c>
      <c r="F141" s="10">
        <f>IF(ポートフォリオ実績!F142="","", ポートフォリオ実績!F142)</f>
        <v>0</v>
      </c>
      <c r="G141">
        <f t="shared" si="22"/>
        <v>45473</v>
      </c>
      <c r="H141">
        <f>IF(B141&lt;&gt;"", SUMIFS(ポートフォリオ実績!$D$2:$D$2001, ポートフォリオ実績!$B$2:$B$2001, B141, ポートフォリオ実績!$A$2:$A$2001, G141), 0)</f>
        <v>20245.400000000001</v>
      </c>
      <c r="I141">
        <f>IF(B141&lt;&gt;"", SUMIFS(ポートフォリオ実績!$C$2:$C$2001, ポートフォリオ実績!$B$2:$B$2001, B141, ポートフォリオ実績!$A$2:$A$2001, G141), 0)</f>
        <v>14303.74</v>
      </c>
      <c r="J141">
        <f t="shared" si="23"/>
        <v>8497.8900000000012</v>
      </c>
      <c r="K141">
        <f t="shared" si="24"/>
        <v>5941.6600000000017</v>
      </c>
      <c r="L141">
        <f t="shared" si="25"/>
        <v>2556.2299999999996</v>
      </c>
      <c r="M141">
        <f t="shared" si="26"/>
        <v>2601.9699999999993</v>
      </c>
      <c r="N141">
        <f t="shared" si="27"/>
        <v>36.510000000000218</v>
      </c>
      <c r="O141">
        <f t="shared" si="28"/>
        <v>20263.655000000002</v>
      </c>
      <c r="P141">
        <f t="shared" si="29"/>
        <v>0.12840575898079587</v>
      </c>
      <c r="Q141" t="str">
        <f>IF(B141="","", IFERROR(VLOOKUP(B141, '基準資産配分（設定）'!$A$2:$C$2001, 3, FALSE), ""))</f>
        <v>TOPIX（配当込み）</v>
      </c>
      <c r="R141">
        <f>IF(B141="","", IFERROR(VLOOKUP(B141, '基準資産配分（設定）'!$A$2:$C$2001, 2, FALSE)/100, 0))</f>
        <v>0.11720000000000001</v>
      </c>
      <c r="S141">
        <f>IF(B141="","", IFERROR(SUMIFS(ベンチマークリターン!$C$2:$C$2001, ベンチマークリターン!$A$2:$A$2001, A141, ベンチマークリターン!$B$2:$B$2001, Q141) / 100, 0))</f>
        <v>-1.5167E-2</v>
      </c>
      <c r="T141">
        <f>IF(A141="","", SUMIFS($H$2:$H$2000, $A$2:$A$2000, A141))</f>
        <v>135112.08000000002</v>
      </c>
      <c r="U141">
        <f t="shared" si="30"/>
        <v>0.14984152416275434</v>
      </c>
      <c r="V141">
        <f t="shared" si="31"/>
        <v>1.9240514636957733E-2</v>
      </c>
      <c r="W141">
        <f t="shared" si="32"/>
        <v>-1.7775724000000002E-3</v>
      </c>
    </row>
    <row r="142" spans="1:23" x14ac:dyDescent="0.2">
      <c r="A142" s="4">
        <f>IF(ポートフォリオ実績!A143="","", ポートフォリオ実績!A143)</f>
        <v>45535</v>
      </c>
      <c r="B142" t="str">
        <f>IF(ポートフォリオ実績!B143="","", ポートフォリオ実績!B143)</f>
        <v>国内株式（純投資）</v>
      </c>
      <c r="C142" s="10">
        <f>IF(ポートフォリオ実績!C143="","", ポートフォリオ実績!C143)</f>
        <v>14210.39</v>
      </c>
      <c r="D142" s="10">
        <f>IF(ポートフォリオ実績!D143="","", ポートフォリオ実績!D143)</f>
        <v>25419.26</v>
      </c>
      <c r="E142" s="10">
        <f>IF(ポートフォリオ実績!E143="","", ポートフォリオ実績!E143)</f>
        <v>51.09</v>
      </c>
      <c r="F142" s="10">
        <f>IF(ポートフォリオ実績!F143="","", ポートフォリオ実績!F143)</f>
        <v>0</v>
      </c>
      <c r="G142">
        <f t="shared" si="22"/>
        <v>45504</v>
      </c>
      <c r="H142">
        <f>IF(B142&lt;&gt;"", SUMIFS(ポートフォリオ実績!$D$2:$D$2001, ポートフォリオ実績!$B$2:$B$2001, B142, ポートフォリオ実績!$A$2:$A$2001, G142), 0)</f>
        <v>22883.88</v>
      </c>
      <c r="I142">
        <f>IF(B142&lt;&gt;"", SUMIFS(ポートフォリオ実績!$C$2:$C$2001, ポートフォリオ実績!$B$2:$B$2001, B142, ポートフォリオ実績!$A$2:$A$2001, G142), 0)</f>
        <v>14385.99</v>
      </c>
      <c r="J142">
        <f t="shared" si="23"/>
        <v>11208.869999999999</v>
      </c>
      <c r="K142">
        <f t="shared" si="24"/>
        <v>8497.8900000000012</v>
      </c>
      <c r="L142">
        <f t="shared" si="25"/>
        <v>2710.9799999999977</v>
      </c>
      <c r="M142">
        <f t="shared" si="26"/>
        <v>2762.0699999999979</v>
      </c>
      <c r="N142">
        <f t="shared" si="27"/>
        <v>-226.69000000000051</v>
      </c>
      <c r="O142">
        <f t="shared" si="28"/>
        <v>22770.535</v>
      </c>
      <c r="P142">
        <f t="shared" si="29"/>
        <v>0.12130018025487754</v>
      </c>
      <c r="Q142" t="str">
        <f>IF(B142="","", IFERROR(VLOOKUP(B142, '基準資産配分（設定）'!$A$2:$C$2001, 3, FALSE), ""))</f>
        <v>TOPIX（配当込み）</v>
      </c>
      <c r="R142">
        <f>IF(B142="","", IFERROR(VLOOKUP(B142, '基準資産配分（設定）'!$A$2:$C$2001, 2, FALSE)/100, 0))</f>
        <v>0.11720000000000001</v>
      </c>
      <c r="S142">
        <f>IF(B142="","", IFERROR(SUMIFS(ベンチマークリターン!$C$2:$C$2001, ベンチマークリターン!$A$2:$A$2001, A142, ベンチマークリターン!$B$2:$B$2001, Q142) / 100, 0))</f>
        <v>-7.9749999999999995E-3</v>
      </c>
      <c r="T142">
        <f>IF(A142="","", SUMIFS($H$2:$H$2000, $A$2:$A$2000, A142))</f>
        <v>136612.22</v>
      </c>
      <c r="U142">
        <f t="shared" si="30"/>
        <v>0.16750975864384607</v>
      </c>
      <c r="V142">
        <f t="shared" si="31"/>
        <v>2.0318963917949559E-2</v>
      </c>
      <c r="W142">
        <f t="shared" si="32"/>
        <v>-9.3467000000000008E-4</v>
      </c>
    </row>
    <row r="143" spans="1:23" x14ac:dyDescent="0.2">
      <c r="A143" s="4">
        <f>IF(ポートフォリオ実績!A144="","", ポートフォリオ実績!A144)</f>
        <v>45565</v>
      </c>
      <c r="B143" t="str">
        <f>IF(ポートフォリオ実績!B144="","", ポートフォリオ実績!B144)</f>
        <v>国内株式（純投資）</v>
      </c>
      <c r="C143" s="10">
        <f>IF(ポートフォリオ実績!C144="","", ポートフォリオ実績!C144)</f>
        <v>14458.56</v>
      </c>
      <c r="D143" s="10">
        <f>IF(ポートフォリオ実績!D144="","", ポートフォリオ実績!D144)</f>
        <v>25711.98</v>
      </c>
      <c r="E143" s="10">
        <f>IF(ポートフォリオ実績!E144="","", ポートフォリオ実績!E144)</f>
        <v>57.75</v>
      </c>
      <c r="F143" s="10">
        <f>IF(ポートフォリオ実績!F144="","", ポートフォリオ実績!F144)</f>
        <v>0</v>
      </c>
      <c r="G143">
        <f t="shared" si="22"/>
        <v>45535</v>
      </c>
      <c r="H143">
        <f>IF(B143&lt;&gt;"", SUMIFS(ポートフォリオ実績!$D$2:$D$2001, ポートフォリオ実績!$B$2:$B$2001, B143, ポートフォリオ実績!$A$2:$A$2001, G143), 0)</f>
        <v>25419.26</v>
      </c>
      <c r="I143">
        <f>IF(B143&lt;&gt;"", SUMIFS(ポートフォリオ実績!$C$2:$C$2001, ポートフォリオ実績!$B$2:$B$2001, B143, ポートフォリオ実績!$A$2:$A$2001, G143), 0)</f>
        <v>14210.39</v>
      </c>
      <c r="J143">
        <f t="shared" si="23"/>
        <v>11253.42</v>
      </c>
      <c r="K143">
        <f t="shared" si="24"/>
        <v>11208.869999999999</v>
      </c>
      <c r="L143">
        <f t="shared" si="25"/>
        <v>44.550000000001091</v>
      </c>
      <c r="M143">
        <f t="shared" si="26"/>
        <v>102.30000000000109</v>
      </c>
      <c r="N143">
        <f t="shared" si="27"/>
        <v>190.42000000000007</v>
      </c>
      <c r="O143">
        <f t="shared" si="28"/>
        <v>25514.469999999998</v>
      </c>
      <c r="P143">
        <f t="shared" si="29"/>
        <v>4.0094895171250318E-3</v>
      </c>
      <c r="Q143" t="str">
        <f>IF(B143="","", IFERROR(VLOOKUP(B143, '基準資産配分（設定）'!$A$2:$C$2001, 3, FALSE), ""))</f>
        <v>TOPIX（配当込み）</v>
      </c>
      <c r="R143">
        <f>IF(B143="","", IFERROR(VLOOKUP(B143, '基準資産配分（設定）'!$A$2:$C$2001, 2, FALSE)/100, 0))</f>
        <v>0.11720000000000001</v>
      </c>
      <c r="S143">
        <f>IF(B143="","", IFERROR(SUMIFS(ベンチマークリターン!$C$2:$C$2001, ベンチマークリターン!$A$2:$A$2001, A143, ベンチマークリターン!$B$2:$B$2001, Q143) / 100, 0))</f>
        <v>-6.3192999999999999E-2</v>
      </c>
      <c r="T143">
        <f>IF(A143="","", SUMIFS($H$2:$H$2000, $A$2:$A$2000, A143))</f>
        <v>140301.49</v>
      </c>
      <c r="U143">
        <f t="shared" si="30"/>
        <v>0.18117598038338723</v>
      </c>
      <c r="V143">
        <f t="shared" si="31"/>
        <v>7.2642319410204143E-4</v>
      </c>
      <c r="W143">
        <f t="shared" si="32"/>
        <v>-7.4062196000000005E-3</v>
      </c>
    </row>
    <row r="144" spans="1:23" x14ac:dyDescent="0.2">
      <c r="A144" s="4">
        <f>IF(ポートフォリオ実績!A145="","", ポートフォリオ実績!A145)</f>
        <v>45596</v>
      </c>
      <c r="B144" t="str">
        <f>IF(ポートフォリオ実績!B145="","", ポートフォリオ実績!B145)</f>
        <v>国内株式（純投資）</v>
      </c>
      <c r="C144" s="10">
        <f>IF(ポートフォリオ実績!C145="","", ポートフォリオ実績!C145)</f>
        <v>14304.44</v>
      </c>
      <c r="D144" s="10">
        <f>IF(ポートフォリオ実績!D145="","", ポートフォリオ実績!D145)</f>
        <v>24634.38</v>
      </c>
      <c r="E144" s="10">
        <f>IF(ポートフォリオ実績!E145="","", ポートフォリオ実績!E145)</f>
        <v>57.51</v>
      </c>
      <c r="F144" s="10">
        <f>IF(ポートフォリオ実績!F145="","", ポートフォリオ実績!F145)</f>
        <v>0</v>
      </c>
      <c r="G144">
        <f t="shared" si="22"/>
        <v>45565</v>
      </c>
      <c r="H144">
        <f>IF(B144&lt;&gt;"", SUMIFS(ポートフォリオ実績!$D$2:$D$2001, ポートフォリオ実績!$B$2:$B$2001, B144, ポートフォリオ実績!$A$2:$A$2001, G144), 0)</f>
        <v>25711.98</v>
      </c>
      <c r="I144">
        <f>IF(B144&lt;&gt;"", SUMIFS(ポートフォリオ実績!$C$2:$C$2001, ポートフォリオ実績!$B$2:$B$2001, B144, ポートフォリオ実績!$A$2:$A$2001, G144), 0)</f>
        <v>14458.56</v>
      </c>
      <c r="J144">
        <f t="shared" si="23"/>
        <v>10329.94</v>
      </c>
      <c r="K144">
        <f t="shared" si="24"/>
        <v>11253.42</v>
      </c>
      <c r="L144">
        <f t="shared" si="25"/>
        <v>-923.47999999999956</v>
      </c>
      <c r="M144">
        <f t="shared" si="26"/>
        <v>-865.96999999999957</v>
      </c>
      <c r="N144">
        <f t="shared" si="27"/>
        <v>-211.62999999999897</v>
      </c>
      <c r="O144">
        <f t="shared" si="28"/>
        <v>25606.165000000001</v>
      </c>
      <c r="P144">
        <f t="shared" si="29"/>
        <v>-3.38188088688798E-2</v>
      </c>
      <c r="Q144" t="str">
        <f>IF(B144="","", IFERROR(VLOOKUP(B144, '基準資産配分（設定）'!$A$2:$C$2001, 3, FALSE), ""))</f>
        <v>TOPIX（配当込み）</v>
      </c>
      <c r="R144">
        <f>IF(B144="","", IFERROR(VLOOKUP(B144, '基準資産配分（設定）'!$A$2:$C$2001, 2, FALSE)/100, 0))</f>
        <v>0.11720000000000001</v>
      </c>
      <c r="S144">
        <f>IF(B144="","", IFERROR(SUMIFS(ベンチマークリターン!$C$2:$C$2001, ベンチマークリターン!$A$2:$A$2001, A144, ベンチマークリターン!$B$2:$B$2001, Q144) / 100, 0))</f>
        <v>-4.1068E-2</v>
      </c>
      <c r="T144">
        <f>IF(A144="","", SUMIFS($H$2:$H$2000, $A$2:$A$2000, A144))</f>
        <v>140341.03999999998</v>
      </c>
      <c r="U144">
        <f t="shared" si="30"/>
        <v>0.18321069873787457</v>
      </c>
      <c r="V144">
        <f t="shared" si="31"/>
        <v>-6.1959676033500975E-3</v>
      </c>
      <c r="W144">
        <f t="shared" si="32"/>
        <v>-4.8131696000000002E-3</v>
      </c>
    </row>
    <row r="145" spans="1:23" x14ac:dyDescent="0.2">
      <c r="A145" s="4">
        <f>IF(ポートフォリオ実績!A146="","", ポートフォリオ実績!A146)</f>
        <v>45626</v>
      </c>
      <c r="B145" t="str">
        <f>IF(ポートフォリオ実績!B146="","", ポートフォリオ実績!B146)</f>
        <v>国内株式（純投資）</v>
      </c>
      <c r="C145" s="10">
        <f>IF(ポートフォリオ実績!C146="","", ポートフォリオ実績!C146)</f>
        <v>13858.53</v>
      </c>
      <c r="D145" s="10">
        <f>IF(ポートフォリオ実績!D146="","", ポートフォリオ実績!D146)</f>
        <v>25667.72</v>
      </c>
      <c r="E145" s="10">
        <f>IF(ポートフォリオ実績!E146="","", ポートフォリオ実績!E146)</f>
        <v>54.42</v>
      </c>
      <c r="F145" s="10">
        <f>IF(ポートフォリオ実績!F146="","", ポートフォリオ実績!F146)</f>
        <v>0</v>
      </c>
      <c r="G145">
        <f t="shared" si="22"/>
        <v>45596</v>
      </c>
      <c r="H145">
        <f>IF(B145&lt;&gt;"", SUMIFS(ポートフォリオ実績!$D$2:$D$2001, ポートフォリオ実績!$B$2:$B$2001, B145, ポートフォリオ実績!$A$2:$A$2001, G145), 0)</f>
        <v>24634.38</v>
      </c>
      <c r="I145">
        <f>IF(B145&lt;&gt;"", SUMIFS(ポートフォリオ実績!$C$2:$C$2001, ポートフォリオ実績!$B$2:$B$2001, B145, ポートフォリオ実績!$A$2:$A$2001, G145), 0)</f>
        <v>14304.44</v>
      </c>
      <c r="J145">
        <f t="shared" si="23"/>
        <v>11809.19</v>
      </c>
      <c r="K145">
        <f t="shared" si="24"/>
        <v>10329.94</v>
      </c>
      <c r="L145">
        <f t="shared" si="25"/>
        <v>1479.25</v>
      </c>
      <c r="M145">
        <f t="shared" si="26"/>
        <v>1533.67</v>
      </c>
      <c r="N145">
        <f t="shared" si="27"/>
        <v>-500.32999999999993</v>
      </c>
      <c r="O145">
        <f t="shared" si="28"/>
        <v>24384.215</v>
      </c>
      <c r="P145">
        <f t="shared" si="29"/>
        <v>6.2896016951950268E-2</v>
      </c>
      <c r="Q145" t="str">
        <f>IF(B145="","", IFERROR(VLOOKUP(B145, '基準資産配分（設定）'!$A$2:$C$2001, 3, FALSE), ""))</f>
        <v>TOPIX（配当込み）</v>
      </c>
      <c r="R145">
        <f>IF(B145="","", IFERROR(VLOOKUP(B145, '基準資産配分（設定）'!$A$2:$C$2001, 2, FALSE)/100, 0))</f>
        <v>0.11720000000000001</v>
      </c>
      <c r="S145">
        <f>IF(B145="","", IFERROR(SUMIFS(ベンチマークリターン!$C$2:$C$2001, ベンチマークリターン!$A$2:$A$2001, A145, ベンチマークリターン!$B$2:$B$2001, Q145) / 100, 0))</f>
        <v>-4.5510000000000002E-2</v>
      </c>
      <c r="T145">
        <f>IF(A145="","", SUMIFS($H$2:$H$2000, $A$2:$A$2000, A145))</f>
        <v>138030.65999999997</v>
      </c>
      <c r="U145">
        <f t="shared" si="30"/>
        <v>0.17847034854430172</v>
      </c>
      <c r="V145">
        <f t="shared" si="31"/>
        <v>1.1225074067462874E-2</v>
      </c>
      <c r="W145">
        <f t="shared" si="32"/>
        <v>-5.3337720000000005E-3</v>
      </c>
    </row>
    <row r="146" spans="1:23" x14ac:dyDescent="0.2">
      <c r="A146" s="4">
        <f>IF(ポートフォリオ実績!A147="","", ポートフォリオ実績!A147)</f>
        <v>45657</v>
      </c>
      <c r="B146" t="str">
        <f>IF(ポートフォリオ実績!B147="","", ポートフォリオ実績!B147)</f>
        <v>国内株式（純投資）</v>
      </c>
      <c r="C146" s="10">
        <f>IF(ポートフォリオ実績!C147="","", ポートフォリオ実績!C147)</f>
        <v>14340.1</v>
      </c>
      <c r="D146" s="10">
        <f>IF(ポートフォリオ実績!D147="","", ポートフォリオ実績!D147)</f>
        <v>26809.77</v>
      </c>
      <c r="E146" s="10">
        <f>IF(ポートフォリオ実績!E147="","", ポートフォリオ実績!E147)</f>
        <v>58.84</v>
      </c>
      <c r="F146" s="10">
        <f>IF(ポートフォリオ実績!F147="","", ポートフォリオ実績!F147)</f>
        <v>0</v>
      </c>
      <c r="G146">
        <f t="shared" si="22"/>
        <v>45626</v>
      </c>
      <c r="H146">
        <f>IF(B146&lt;&gt;"", SUMIFS(ポートフォリオ実績!$D$2:$D$2001, ポートフォリオ実績!$B$2:$B$2001, B146, ポートフォリオ実績!$A$2:$A$2001, G146), 0)</f>
        <v>25667.72</v>
      </c>
      <c r="I146">
        <f>IF(B146&lt;&gt;"", SUMIFS(ポートフォリオ実績!$C$2:$C$2001, ポートフォリオ実績!$B$2:$B$2001, B146, ポートフォリオ実績!$A$2:$A$2001, G146), 0)</f>
        <v>13858.53</v>
      </c>
      <c r="J146">
        <f t="shared" si="23"/>
        <v>12469.67</v>
      </c>
      <c r="K146">
        <f t="shared" si="24"/>
        <v>11809.19</v>
      </c>
      <c r="L146">
        <f t="shared" si="25"/>
        <v>660.47999999999956</v>
      </c>
      <c r="M146">
        <f t="shared" si="26"/>
        <v>719.3199999999996</v>
      </c>
      <c r="N146">
        <f t="shared" si="27"/>
        <v>422.72999999999968</v>
      </c>
      <c r="O146">
        <f t="shared" si="28"/>
        <v>25879.085000000003</v>
      </c>
      <c r="P146">
        <f t="shared" si="29"/>
        <v>2.7795418578361621E-2</v>
      </c>
      <c r="Q146" t="str">
        <f>IF(B146="","", IFERROR(VLOOKUP(B146, '基準資産配分（設定）'!$A$2:$C$2001, 3, FALSE), ""))</f>
        <v>TOPIX（配当込み）</v>
      </c>
      <c r="R146">
        <f>IF(B146="","", IFERROR(VLOOKUP(B146, '基準資産配分（設定）'!$A$2:$C$2001, 2, FALSE)/100, 0))</f>
        <v>0.11720000000000001</v>
      </c>
      <c r="S146">
        <f>IF(B146="","", IFERROR(SUMIFS(ベンチマークリターン!$C$2:$C$2001, ベンチマークリターン!$A$2:$A$2001, A146, ベンチマークリターン!$B$2:$B$2001, Q146) / 100, 0))</f>
        <v>-3.3229000000000002E-2</v>
      </c>
      <c r="T146">
        <f>IF(A146="","", SUMIFS($H$2:$H$2000, $A$2:$A$2000, A146))</f>
        <v>140420.70000000001</v>
      </c>
      <c r="U146">
        <f t="shared" si="30"/>
        <v>0.18279156847957601</v>
      </c>
      <c r="V146">
        <f t="shared" si="31"/>
        <v>5.0807681584850673E-3</v>
      </c>
      <c r="W146">
        <f t="shared" si="32"/>
        <v>-3.8944388000000008E-3</v>
      </c>
    </row>
    <row r="147" spans="1:23" x14ac:dyDescent="0.2">
      <c r="A147" s="4">
        <f>IF(ポートフォリオ実績!A148="","", ポートフォリオ実績!A148)</f>
        <v>45688</v>
      </c>
      <c r="B147" t="str">
        <f>IF(ポートフォリオ実績!B148="","", ポートフォリオ実績!B148)</f>
        <v>国内株式（純投資）</v>
      </c>
      <c r="C147" s="10">
        <f>IF(ポートフォリオ実績!C148="","", ポートフォリオ実績!C148)</f>
        <v>14600.29</v>
      </c>
      <c r="D147" s="10">
        <f>IF(ポートフォリオ実績!D148="","", ポートフォリオ実績!D148)</f>
        <v>28076.65</v>
      </c>
      <c r="E147" s="10">
        <f>IF(ポートフォリオ実績!E148="","", ポートフォリオ実績!E148)</f>
        <v>60.91</v>
      </c>
      <c r="F147" s="10">
        <f>IF(ポートフォリオ実績!F148="","", ポートフォリオ実績!F148)</f>
        <v>0</v>
      </c>
      <c r="G147">
        <f t="shared" si="22"/>
        <v>45657</v>
      </c>
      <c r="H147">
        <f>IF(B147&lt;&gt;"", SUMIFS(ポートフォリオ実績!$D$2:$D$2001, ポートフォリオ実績!$B$2:$B$2001, B147, ポートフォリオ実績!$A$2:$A$2001, G147), 0)</f>
        <v>26809.77</v>
      </c>
      <c r="I147">
        <f>IF(B147&lt;&gt;"", SUMIFS(ポートフォリオ実績!$C$2:$C$2001, ポートフォリオ実績!$B$2:$B$2001, B147, ポートフォリオ実績!$A$2:$A$2001, G147), 0)</f>
        <v>14340.1</v>
      </c>
      <c r="J147">
        <f t="shared" si="23"/>
        <v>13476.36</v>
      </c>
      <c r="K147">
        <f t="shared" si="24"/>
        <v>12469.67</v>
      </c>
      <c r="L147">
        <f t="shared" si="25"/>
        <v>1006.6900000000005</v>
      </c>
      <c r="M147">
        <f t="shared" si="26"/>
        <v>1067.6000000000006</v>
      </c>
      <c r="N147">
        <f t="shared" si="27"/>
        <v>199.28000000000043</v>
      </c>
      <c r="O147">
        <f t="shared" si="28"/>
        <v>26909.41</v>
      </c>
      <c r="P147">
        <f t="shared" si="29"/>
        <v>3.9673853867476121E-2</v>
      </c>
      <c r="Q147" t="str">
        <f>IF(B147="","", IFERROR(VLOOKUP(B147, '基準資産配分（設定）'!$A$2:$C$2001, 3, FALSE), ""))</f>
        <v>TOPIX（配当込み）</v>
      </c>
      <c r="R147">
        <f>IF(B147="","", IFERROR(VLOOKUP(B147, '基準資産配分（設定）'!$A$2:$C$2001, 2, FALSE)/100, 0))</f>
        <v>0.11720000000000001</v>
      </c>
      <c r="S147">
        <f>IF(B147="","", IFERROR(SUMIFS(ベンチマークリターン!$C$2:$C$2001, ベンチマークリターン!$A$2:$A$2001, A147, ベンチマークリターン!$B$2:$B$2001, Q147) / 100, 0))</f>
        <v>4.8640000000000003E-3</v>
      </c>
      <c r="T147">
        <f>IF(A147="","", SUMIFS($H$2:$H$2000, $A$2:$A$2000, A147))</f>
        <v>142763.42000000001</v>
      </c>
      <c r="U147">
        <f t="shared" si="30"/>
        <v>0.18779159255220979</v>
      </c>
      <c r="V147">
        <f t="shared" si="31"/>
        <v>7.4504162004569883E-3</v>
      </c>
      <c r="W147">
        <f t="shared" si="32"/>
        <v>5.7006080000000011E-4</v>
      </c>
    </row>
    <row r="148" spans="1:23" x14ac:dyDescent="0.2">
      <c r="A148" s="4">
        <f>IF(ポートフォリオ実績!A149="","", ポートフォリオ実績!A149)</f>
        <v>45716</v>
      </c>
      <c r="B148" t="str">
        <f>IF(ポートフォリオ実績!B149="","", ポートフォリオ実績!B149)</f>
        <v>国内株式（純投資）</v>
      </c>
      <c r="C148" s="10">
        <f>IF(ポートフォリオ実績!C149="","", ポートフォリオ実績!C149)</f>
        <v>15114.5</v>
      </c>
      <c r="D148" s="10">
        <f>IF(ポートフォリオ実績!D149="","", ポートフォリオ実績!D149)</f>
        <v>26843.919999999998</v>
      </c>
      <c r="E148" s="10">
        <f>IF(ポートフォリオ実績!E149="","", ポートフォリオ実績!E149)</f>
        <v>64.33</v>
      </c>
      <c r="F148" s="10">
        <f>IF(ポートフォリオ実績!F149="","", ポートフォリオ実績!F149)</f>
        <v>0</v>
      </c>
      <c r="G148">
        <f t="shared" si="22"/>
        <v>45688</v>
      </c>
      <c r="H148">
        <f>IF(B148&lt;&gt;"", SUMIFS(ポートフォリオ実績!$D$2:$D$2001, ポートフォリオ実績!$B$2:$B$2001, B148, ポートフォリオ実績!$A$2:$A$2001, G148), 0)</f>
        <v>28076.65</v>
      </c>
      <c r="I148">
        <f>IF(B148&lt;&gt;"", SUMIFS(ポートフォリオ実績!$C$2:$C$2001, ポートフォリオ実績!$B$2:$B$2001, B148, ポートフォリオ実績!$A$2:$A$2001, G148), 0)</f>
        <v>14600.29</v>
      </c>
      <c r="J148">
        <f t="shared" si="23"/>
        <v>11729.419999999998</v>
      </c>
      <c r="K148">
        <f t="shared" si="24"/>
        <v>13476.36</v>
      </c>
      <c r="L148">
        <f t="shared" si="25"/>
        <v>-1746.9400000000023</v>
      </c>
      <c r="M148">
        <f t="shared" si="26"/>
        <v>-1682.6100000000024</v>
      </c>
      <c r="N148">
        <f t="shared" si="27"/>
        <v>449.8799999999992</v>
      </c>
      <c r="O148">
        <f t="shared" si="28"/>
        <v>28301.59</v>
      </c>
      <c r="P148">
        <f t="shared" si="29"/>
        <v>-5.9452843462151857E-2</v>
      </c>
      <c r="Q148" t="str">
        <f>IF(B148="","", IFERROR(VLOOKUP(B148, '基準資産配分（設定）'!$A$2:$C$2001, 3, FALSE), ""))</f>
        <v>TOPIX（配当込み）</v>
      </c>
      <c r="R148">
        <f>IF(B148="","", IFERROR(VLOOKUP(B148, '基準資産配分（設定）'!$A$2:$C$2001, 2, FALSE)/100, 0))</f>
        <v>0.11720000000000001</v>
      </c>
      <c r="S148">
        <f>IF(B148="","", IFERROR(SUMIFS(ベンチマークリターン!$C$2:$C$2001, ベンチマークリターン!$A$2:$A$2001, A148, ベンチマークリターン!$B$2:$B$2001, Q148) / 100, 0))</f>
        <v>1.8837E-2</v>
      </c>
      <c r="T148">
        <f>IF(A148="","", SUMIFS($H$2:$H$2000, $A$2:$A$2000, A148))</f>
        <v>145068.1</v>
      </c>
      <c r="U148">
        <f t="shared" si="30"/>
        <v>0.19354117135331614</v>
      </c>
      <c r="V148">
        <f t="shared" si="31"/>
        <v>-1.1506572963950214E-2</v>
      </c>
      <c r="W148">
        <f t="shared" si="32"/>
        <v>2.2076964E-3</v>
      </c>
    </row>
    <row r="149" spans="1:23" x14ac:dyDescent="0.2">
      <c r="A149" s="4">
        <f>IF(ポートフォリオ実績!A150="","", ポートフォリオ実績!A150)</f>
        <v>45747</v>
      </c>
      <c r="B149" t="str">
        <f>IF(ポートフォリオ実績!B150="","", ポートフォリオ実績!B150)</f>
        <v>国内株式（純投資）</v>
      </c>
      <c r="C149" s="10">
        <f>IF(ポートフォリオ実績!C150="","", ポートフォリオ実績!C150)</f>
        <v>15038.74</v>
      </c>
      <c r="D149" s="10">
        <f>IF(ポートフォリオ実績!D150="","", ポートフォリオ実績!D150)</f>
        <v>26866.54</v>
      </c>
      <c r="E149" s="10">
        <f>IF(ポートフォリオ実績!E150="","", ポートフォリオ実績!E150)</f>
        <v>60.23</v>
      </c>
      <c r="F149" s="10">
        <f>IF(ポートフォリオ実績!F150="","", ポートフォリオ実績!F150)</f>
        <v>0</v>
      </c>
      <c r="G149">
        <f t="shared" si="22"/>
        <v>45716</v>
      </c>
      <c r="H149">
        <f>IF(B149&lt;&gt;"", SUMIFS(ポートフォリオ実績!$D$2:$D$2001, ポートフォリオ実績!$B$2:$B$2001, B149, ポートフォリオ実績!$A$2:$A$2001, G149), 0)</f>
        <v>26843.919999999998</v>
      </c>
      <c r="I149">
        <f>IF(B149&lt;&gt;"", SUMIFS(ポートフォリオ実績!$C$2:$C$2001, ポートフォリオ実績!$B$2:$B$2001, B149, ポートフォリオ実績!$A$2:$A$2001, G149), 0)</f>
        <v>15114.5</v>
      </c>
      <c r="J149">
        <f t="shared" si="23"/>
        <v>11827.800000000001</v>
      </c>
      <c r="K149">
        <f t="shared" si="24"/>
        <v>11729.419999999998</v>
      </c>
      <c r="L149">
        <f t="shared" si="25"/>
        <v>98.380000000002838</v>
      </c>
      <c r="M149">
        <f t="shared" si="26"/>
        <v>158.61000000000283</v>
      </c>
      <c r="N149">
        <f t="shared" si="27"/>
        <v>-135.99000000000021</v>
      </c>
      <c r="O149">
        <f t="shared" si="28"/>
        <v>26775.924999999999</v>
      </c>
      <c r="P149">
        <f t="shared" si="29"/>
        <v>5.9236048801302975E-3</v>
      </c>
      <c r="Q149" t="str">
        <f>IF(B149="","", IFERROR(VLOOKUP(B149, '基準資産配分（設定）'!$A$2:$C$2001, 3, FALSE), ""))</f>
        <v>TOPIX（配当込み）</v>
      </c>
      <c r="R149">
        <f>IF(B149="","", IFERROR(VLOOKUP(B149, '基準資産配分（設定）'!$A$2:$C$2001, 2, FALSE)/100, 0))</f>
        <v>0.11720000000000001</v>
      </c>
      <c r="S149">
        <f>IF(B149="","", IFERROR(SUMIFS(ベンチマークリターン!$C$2:$C$2001, ベンチマークリターン!$A$2:$A$2001, A149, ベンチマークリターン!$B$2:$B$2001, Q149) / 100, 0))</f>
        <v>8.7233000000000005E-2</v>
      </c>
      <c r="T149">
        <f>IF(A149="","", SUMIFS($H$2:$H$2000, $A$2:$A$2000, A149))</f>
        <v>143923.46</v>
      </c>
      <c r="U149">
        <f t="shared" si="30"/>
        <v>0.1865152491470119</v>
      </c>
      <c r="V149">
        <f t="shared" si="31"/>
        <v>1.1048426400659579E-3</v>
      </c>
      <c r="W149">
        <f t="shared" si="32"/>
        <v>1.0223707600000001E-2</v>
      </c>
    </row>
    <row r="150" spans="1:23" x14ac:dyDescent="0.2">
      <c r="A150" s="4">
        <f>IF(ポートフォリオ実績!A151="","", ポートフォリオ実績!A151)</f>
        <v>44651</v>
      </c>
      <c r="B150" t="str">
        <f>IF(ポートフォリオ実績!B151="","", ポートフォリオ実績!B151)</f>
        <v>不動産（J-REIT含む）</v>
      </c>
      <c r="C150" s="10">
        <f>IF(ポートフォリオ実績!C151="","", ポートフォリオ実績!C151)</f>
        <v>4900</v>
      </c>
      <c r="D150" s="10">
        <f>IF(ポートフォリオ実績!D151="","", ポートフォリオ実績!D151)</f>
        <v>4728.28</v>
      </c>
      <c r="E150" s="10">
        <f>IF(ポートフォリオ実績!E151="","", ポートフォリオ実績!E151)</f>
        <v>0</v>
      </c>
      <c r="F150" s="10">
        <f>IF(ポートフォリオ実績!F151="","", ポートフォリオ実績!F151)</f>
        <v>0</v>
      </c>
      <c r="G150">
        <f t="shared" si="22"/>
        <v>44620</v>
      </c>
      <c r="H150">
        <f>IF(B150&lt;&gt;"", SUMIFS(ポートフォリオ実績!$D$2:$D$2001, ポートフォリオ実績!$B$2:$B$2001, B150, ポートフォリオ実績!$A$2:$A$2001, G150), 0)</f>
        <v>0</v>
      </c>
      <c r="I150">
        <f>IF(B150&lt;&gt;"", SUMIFS(ポートフォリオ実績!$C$2:$C$2001, ポートフォリオ実績!$B$2:$B$2001, B150, ポートフォリオ実績!$A$2:$A$2001, G150), 0)</f>
        <v>0</v>
      </c>
      <c r="J150">
        <f t="shared" si="23"/>
        <v>-171.72000000000025</v>
      </c>
      <c r="K150">
        <f t="shared" si="24"/>
        <v>0</v>
      </c>
      <c r="L150">
        <f t="shared" si="25"/>
        <v>0</v>
      </c>
      <c r="M150">
        <f t="shared" si="26"/>
        <v>0</v>
      </c>
      <c r="N150">
        <f t="shared" si="27"/>
        <v>0</v>
      </c>
      <c r="O150">
        <f t="shared" si="28"/>
        <v>0</v>
      </c>
      <c r="P150">
        <f t="shared" si="29"/>
        <v>0</v>
      </c>
      <c r="Q150" t="str">
        <f>IF(B150="","", IFERROR(VLOOKUP(B150, '基準資産配分（設定）'!$A$2:$C$2001, 3, FALSE), ""))</f>
        <v>東証REIT指数（配当込み）</v>
      </c>
      <c r="R150">
        <f>IF(B150="","", IFERROR(VLOOKUP(B150, '基準資産配分（設定）'!$A$2:$C$2001, 2, FALSE)/100, 0))</f>
        <v>3.9100000000000003E-2</v>
      </c>
      <c r="S150">
        <f>IF(B150="","", IFERROR(SUMIFS(ベンチマークリターン!$C$2:$C$2001, ベンチマークリターン!$A$2:$A$2001, A150, ベンチマークリターン!$B$2:$B$2001, Q150) / 100, 0))</f>
        <v>0</v>
      </c>
      <c r="T150">
        <f>IF(A150="","", SUMIFS($H$2:$H$2000, $A$2:$A$2000, A150))</f>
        <v>0</v>
      </c>
      <c r="U150">
        <f t="shared" si="30"/>
        <v>0</v>
      </c>
      <c r="V150">
        <f t="shared" si="31"/>
        <v>0</v>
      </c>
      <c r="W150">
        <f t="shared" si="32"/>
        <v>0</v>
      </c>
    </row>
    <row r="151" spans="1:23" x14ac:dyDescent="0.2">
      <c r="A151" s="4">
        <f>IF(ポートフォリオ実績!A152="","", ポートフォリオ実績!A152)</f>
        <v>44681</v>
      </c>
      <c r="B151" t="str">
        <f>IF(ポートフォリオ実績!B152="","", ポートフォリオ実績!B152)</f>
        <v>不動産（J-REIT含む）</v>
      </c>
      <c r="C151" s="10">
        <f>IF(ポートフォリオ実績!C152="","", ポートフォリオ実績!C152)</f>
        <v>4898.5200000000004</v>
      </c>
      <c r="D151" s="10">
        <f>IF(ポートフォリオ実績!D152="","", ポートフォリオ実績!D152)</f>
        <v>4972.12</v>
      </c>
      <c r="E151" s="10">
        <f>IF(ポートフォリオ実績!E152="","", ポートフォリオ実績!E152)</f>
        <v>14.18</v>
      </c>
      <c r="F151" s="10">
        <f>IF(ポートフォリオ実績!F152="","", ポートフォリオ実績!F152)</f>
        <v>0</v>
      </c>
      <c r="G151">
        <f t="shared" si="22"/>
        <v>44651</v>
      </c>
      <c r="H151">
        <f>IF(B151&lt;&gt;"", SUMIFS(ポートフォリオ実績!$D$2:$D$2001, ポートフォリオ実績!$B$2:$B$2001, B151, ポートフォリオ実績!$A$2:$A$2001, G151), 0)</f>
        <v>4728.28</v>
      </c>
      <c r="I151">
        <f>IF(B151&lt;&gt;"", SUMIFS(ポートフォリオ実績!$C$2:$C$2001, ポートフォリオ実績!$B$2:$B$2001, B151, ポートフォリオ実績!$A$2:$A$2001, G151), 0)</f>
        <v>4900</v>
      </c>
      <c r="J151">
        <f t="shared" si="23"/>
        <v>73.599999999999454</v>
      </c>
      <c r="K151">
        <f t="shared" si="24"/>
        <v>-171.72000000000025</v>
      </c>
      <c r="L151">
        <f t="shared" si="25"/>
        <v>245.31999999999971</v>
      </c>
      <c r="M151">
        <f t="shared" si="26"/>
        <v>259.49999999999972</v>
      </c>
      <c r="N151">
        <f t="shared" si="27"/>
        <v>-15.65999999999957</v>
      </c>
      <c r="O151">
        <f t="shared" si="28"/>
        <v>4720.45</v>
      </c>
      <c r="P151">
        <f t="shared" si="29"/>
        <v>5.4973572434831364E-2</v>
      </c>
      <c r="Q151" t="str">
        <f>IF(B151="","", IFERROR(VLOOKUP(B151, '基準資産配分（設定）'!$A$2:$C$2001, 3, FALSE), ""))</f>
        <v>東証REIT指数（配当込み）</v>
      </c>
      <c r="R151">
        <f>IF(B151="","", IFERROR(VLOOKUP(B151, '基準資産配分（設定）'!$A$2:$C$2001, 2, FALSE)/100, 0))</f>
        <v>3.9100000000000003E-2</v>
      </c>
      <c r="S151">
        <f>IF(B151="","", IFERROR(SUMIFS(ベンチマークリターン!$C$2:$C$2001, ベンチマークリターン!$A$2:$A$2001, A151, ベンチマークリターン!$B$2:$B$2001, Q151) / 100, 0))</f>
        <v>-3.0417E-2</v>
      </c>
      <c r="T151">
        <f>IF(A151="","", SUMIFS($H$2:$H$2000, $A$2:$A$2000, A151))</f>
        <v>139117.94</v>
      </c>
      <c r="U151">
        <f t="shared" si="30"/>
        <v>3.3987564795740936E-2</v>
      </c>
      <c r="V151">
        <f t="shared" si="31"/>
        <v>1.8684178551821888E-3</v>
      </c>
      <c r="W151">
        <f t="shared" si="32"/>
        <v>-1.1893047E-3</v>
      </c>
    </row>
    <row r="152" spans="1:23" x14ac:dyDescent="0.2">
      <c r="A152" s="4">
        <f>IF(ポートフォリオ実績!A153="","", ポートフォリオ実績!A153)</f>
        <v>44712</v>
      </c>
      <c r="B152" t="str">
        <f>IF(ポートフォリオ実績!B153="","", ポートフォリオ実績!B153)</f>
        <v>不動産（J-REIT含む）</v>
      </c>
      <c r="C152" s="10">
        <f>IF(ポートフォリオ実績!C153="","", ポートフォリオ実績!C153)</f>
        <v>4897.2700000000004</v>
      </c>
      <c r="D152" s="10">
        <f>IF(ポートフォリオ実績!D153="","", ポートフォリオ実績!D153)</f>
        <v>5208.8599999999997</v>
      </c>
      <c r="E152" s="10">
        <f>IF(ポートフォリオ実績!E153="","", ポートフォリオ実績!E153)</f>
        <v>14.91</v>
      </c>
      <c r="F152" s="10">
        <f>IF(ポートフォリオ実績!F153="","", ポートフォリオ実績!F153)</f>
        <v>0</v>
      </c>
      <c r="G152">
        <f t="shared" si="22"/>
        <v>44681</v>
      </c>
      <c r="H152">
        <f>IF(B152&lt;&gt;"", SUMIFS(ポートフォリオ実績!$D$2:$D$2001, ポートフォリオ実績!$B$2:$B$2001, B152, ポートフォリオ実績!$A$2:$A$2001, G152), 0)</f>
        <v>4972.12</v>
      </c>
      <c r="I152">
        <f>IF(B152&lt;&gt;"", SUMIFS(ポートフォリオ実績!$C$2:$C$2001, ポートフォリオ実績!$B$2:$B$2001, B152, ポートフォリオ実績!$A$2:$A$2001, G152), 0)</f>
        <v>4898.5200000000004</v>
      </c>
      <c r="J152">
        <f t="shared" si="23"/>
        <v>311.58999999999924</v>
      </c>
      <c r="K152">
        <f t="shared" si="24"/>
        <v>73.599999999999454</v>
      </c>
      <c r="L152">
        <f t="shared" si="25"/>
        <v>237.98999999999978</v>
      </c>
      <c r="M152">
        <f t="shared" si="26"/>
        <v>252.89999999999978</v>
      </c>
      <c r="N152">
        <f t="shared" si="27"/>
        <v>-16.159999999999997</v>
      </c>
      <c r="O152">
        <f t="shared" si="28"/>
        <v>4964.04</v>
      </c>
      <c r="P152">
        <f t="shared" si="29"/>
        <v>5.0946406555950348E-2</v>
      </c>
      <c r="Q152" t="str">
        <f>IF(B152="","", IFERROR(VLOOKUP(B152, '基準資産配分（設定）'!$A$2:$C$2001, 3, FALSE), ""))</f>
        <v>東証REIT指数（配当込み）</v>
      </c>
      <c r="R152">
        <f>IF(B152="","", IFERROR(VLOOKUP(B152, '基準資産配分（設定）'!$A$2:$C$2001, 2, FALSE)/100, 0))</f>
        <v>3.9100000000000003E-2</v>
      </c>
      <c r="S152">
        <f>IF(B152="","", IFERROR(SUMIFS(ベンチマークリターン!$C$2:$C$2001, ベンチマークリターン!$A$2:$A$2001, A152, ベンチマークリターン!$B$2:$B$2001, Q152) / 100, 0))</f>
        <v>3.8265E-2</v>
      </c>
      <c r="T152">
        <f>IF(A152="","", SUMIFS($H$2:$H$2000, $A$2:$A$2000, A152))</f>
        <v>139899.38</v>
      </c>
      <c r="U152">
        <f t="shared" si="30"/>
        <v>3.5540686456223033E-2</v>
      </c>
      <c r="V152">
        <f t="shared" si="31"/>
        <v>1.8106702614762969E-3</v>
      </c>
      <c r="W152">
        <f t="shared" si="32"/>
        <v>1.4961615000000001E-3</v>
      </c>
    </row>
    <row r="153" spans="1:23" x14ac:dyDescent="0.2">
      <c r="A153" s="4">
        <f>IF(ポートフォリオ実績!A154="","", ポートフォリオ実績!A154)</f>
        <v>44742</v>
      </c>
      <c r="B153" t="str">
        <f>IF(ポートフォリオ実績!B154="","", ポートフォリオ実績!B154)</f>
        <v>不動産（J-REIT含む）</v>
      </c>
      <c r="C153" s="10">
        <f>IF(ポートフォリオ実績!C154="","", ポートフォリオ実績!C154)</f>
        <v>4901.88</v>
      </c>
      <c r="D153" s="10">
        <f>IF(ポートフォリオ実績!D154="","", ポートフォリオ実績!D154)</f>
        <v>5229.5200000000004</v>
      </c>
      <c r="E153" s="10">
        <f>IF(ポートフォリオ実績!E154="","", ポートフォリオ実績!E154)</f>
        <v>15.64</v>
      </c>
      <c r="F153" s="10">
        <f>IF(ポートフォリオ実績!F154="","", ポートフォリオ実績!F154)</f>
        <v>0</v>
      </c>
      <c r="G153">
        <f t="shared" si="22"/>
        <v>44712</v>
      </c>
      <c r="H153">
        <f>IF(B153&lt;&gt;"", SUMIFS(ポートフォリオ実績!$D$2:$D$2001, ポートフォリオ実績!$B$2:$B$2001, B153, ポートフォリオ実績!$A$2:$A$2001, G153), 0)</f>
        <v>5208.8599999999997</v>
      </c>
      <c r="I153">
        <f>IF(B153&lt;&gt;"", SUMIFS(ポートフォリオ実績!$C$2:$C$2001, ポートフォリオ実績!$B$2:$B$2001, B153, ポートフォリオ実績!$A$2:$A$2001, G153), 0)</f>
        <v>4897.2700000000004</v>
      </c>
      <c r="J153">
        <f t="shared" si="23"/>
        <v>327.64000000000033</v>
      </c>
      <c r="K153">
        <f t="shared" si="24"/>
        <v>311.58999999999924</v>
      </c>
      <c r="L153">
        <f t="shared" si="25"/>
        <v>16.050000000001091</v>
      </c>
      <c r="M153">
        <f t="shared" si="26"/>
        <v>31.690000000001092</v>
      </c>
      <c r="N153">
        <f t="shared" si="27"/>
        <v>-11.030000000000328</v>
      </c>
      <c r="O153">
        <f t="shared" si="28"/>
        <v>5203.3449999999993</v>
      </c>
      <c r="P153">
        <f t="shared" si="29"/>
        <v>6.0903130582348657E-3</v>
      </c>
      <c r="Q153" t="str">
        <f>IF(B153="","", IFERROR(VLOOKUP(B153, '基準資産配分（設定）'!$A$2:$C$2001, 3, FALSE), ""))</f>
        <v>東証REIT指数（配当込み）</v>
      </c>
      <c r="R153">
        <f>IF(B153="","", IFERROR(VLOOKUP(B153, '基準資産配分（設定）'!$A$2:$C$2001, 2, FALSE)/100, 0))</f>
        <v>3.9100000000000003E-2</v>
      </c>
      <c r="S153">
        <f>IF(B153="","", IFERROR(SUMIFS(ベンチマークリターン!$C$2:$C$2001, ベンチマークリターン!$A$2:$A$2001, A153, ベンチマークリターン!$B$2:$B$2001, Q153) / 100, 0))</f>
        <v>-3.2460000000000002E-3</v>
      </c>
      <c r="T153">
        <f>IF(A153="","", SUMIFS($H$2:$H$2000, $A$2:$A$2000, A153))</f>
        <v>143058.46</v>
      </c>
      <c r="U153">
        <f t="shared" si="30"/>
        <v>3.6410709300239916E-2</v>
      </c>
      <c r="V153">
        <f t="shared" si="31"/>
        <v>2.2175261831084483E-4</v>
      </c>
      <c r="W153">
        <f t="shared" si="32"/>
        <v>-1.2691860000000002E-4</v>
      </c>
    </row>
    <row r="154" spans="1:23" x14ac:dyDescent="0.2">
      <c r="A154" s="4">
        <f>IF(ポートフォリオ実績!A155="","", ポートフォリオ実績!A155)</f>
        <v>44773</v>
      </c>
      <c r="B154" t="str">
        <f>IF(ポートフォリオ実績!B155="","", ポートフォリオ実績!B155)</f>
        <v>不動産（J-REIT含む）</v>
      </c>
      <c r="C154" s="10">
        <f>IF(ポートフォリオ実績!C155="","", ポートフォリオ実績!C155)</f>
        <v>4889.87</v>
      </c>
      <c r="D154" s="10">
        <f>IF(ポートフォリオ実績!D155="","", ポートフォリオ実績!D155)</f>
        <v>5252.09</v>
      </c>
      <c r="E154" s="10">
        <f>IF(ポートフォリオ実績!E155="","", ポートフォリオ実績!E155)</f>
        <v>15.65</v>
      </c>
      <c r="F154" s="10">
        <f>IF(ポートフォリオ実績!F155="","", ポートフォリオ実績!F155)</f>
        <v>0</v>
      </c>
      <c r="G154">
        <f t="shared" si="22"/>
        <v>44742</v>
      </c>
      <c r="H154">
        <f>IF(B154&lt;&gt;"", SUMIFS(ポートフォリオ実績!$D$2:$D$2001, ポートフォリオ実績!$B$2:$B$2001, B154, ポートフォリオ実績!$A$2:$A$2001, G154), 0)</f>
        <v>5229.5200000000004</v>
      </c>
      <c r="I154">
        <f>IF(B154&lt;&gt;"", SUMIFS(ポートフォリオ実績!$C$2:$C$2001, ポートフォリオ実績!$B$2:$B$2001, B154, ポートフォリオ実績!$A$2:$A$2001, G154), 0)</f>
        <v>4901.88</v>
      </c>
      <c r="J154">
        <f t="shared" si="23"/>
        <v>362.22000000000025</v>
      </c>
      <c r="K154">
        <f t="shared" si="24"/>
        <v>327.64000000000033</v>
      </c>
      <c r="L154">
        <f t="shared" si="25"/>
        <v>34.579999999999927</v>
      </c>
      <c r="M154">
        <f t="shared" si="26"/>
        <v>50.229999999999926</v>
      </c>
      <c r="N154">
        <f t="shared" si="27"/>
        <v>-27.660000000000217</v>
      </c>
      <c r="O154">
        <f t="shared" si="28"/>
        <v>5215.6900000000005</v>
      </c>
      <c r="P154">
        <f t="shared" si="29"/>
        <v>9.6305570308051133E-3</v>
      </c>
      <c r="Q154" t="str">
        <f>IF(B154="","", IFERROR(VLOOKUP(B154, '基準資産配分（設定）'!$A$2:$C$2001, 3, FALSE), ""))</f>
        <v>東証REIT指数（配当込み）</v>
      </c>
      <c r="R154">
        <f>IF(B154="","", IFERROR(VLOOKUP(B154, '基準資産配分（設定）'!$A$2:$C$2001, 2, FALSE)/100, 0))</f>
        <v>3.9100000000000003E-2</v>
      </c>
      <c r="S154">
        <f>IF(B154="","", IFERROR(SUMIFS(ベンチマークリターン!$C$2:$C$2001, ベンチマークリターン!$A$2:$A$2001, A154, ベンチマークリターン!$B$2:$B$2001, Q154) / 100, 0))</f>
        <v>2.4529999999999999E-3</v>
      </c>
      <c r="T154">
        <f>IF(A154="","", SUMIFS($H$2:$H$2000, $A$2:$A$2000, A154))</f>
        <v>143829.51</v>
      </c>
      <c r="U154">
        <f t="shared" si="30"/>
        <v>3.6359158840212971E-2</v>
      </c>
      <c r="V154">
        <f t="shared" si="31"/>
        <v>3.5015895280277292E-4</v>
      </c>
      <c r="W154">
        <f t="shared" si="32"/>
        <v>9.5912300000000007E-5</v>
      </c>
    </row>
    <row r="155" spans="1:23" x14ac:dyDescent="0.2">
      <c r="A155" s="4">
        <f>IF(ポートフォリオ実績!A156="","", ポートフォリオ実績!A156)</f>
        <v>44804</v>
      </c>
      <c r="B155" t="str">
        <f>IF(ポートフォリオ実績!B156="","", ポートフォリオ実績!B156)</f>
        <v>不動産（J-REIT含む）</v>
      </c>
      <c r="C155" s="10">
        <f>IF(ポートフォリオ実績!C156="","", ポートフォリオ実績!C156)</f>
        <v>4900.5600000000004</v>
      </c>
      <c r="D155" s="10">
        <f>IF(ポートフォリオ実績!D156="","", ポートフォリオ実績!D156)</f>
        <v>4997.57</v>
      </c>
      <c r="E155" s="10">
        <f>IF(ポートフォリオ実績!E156="","", ポートフォリオ実績!E156)</f>
        <v>15.79</v>
      </c>
      <c r="F155" s="10">
        <f>IF(ポートフォリオ実績!F156="","", ポートフォリオ実績!F156)</f>
        <v>0</v>
      </c>
      <c r="G155">
        <f t="shared" si="22"/>
        <v>44773</v>
      </c>
      <c r="H155">
        <f>IF(B155&lt;&gt;"", SUMIFS(ポートフォリオ実績!$D$2:$D$2001, ポートフォリオ実績!$B$2:$B$2001, B155, ポートフォリオ実績!$A$2:$A$2001, G155), 0)</f>
        <v>5252.09</v>
      </c>
      <c r="I155">
        <f>IF(B155&lt;&gt;"", SUMIFS(ポートフォリオ実績!$C$2:$C$2001, ポートフォリオ実績!$B$2:$B$2001, B155, ポートフォリオ実績!$A$2:$A$2001, G155), 0)</f>
        <v>4889.87</v>
      </c>
      <c r="J155">
        <f t="shared" si="23"/>
        <v>97.009999999999309</v>
      </c>
      <c r="K155">
        <f t="shared" si="24"/>
        <v>362.22000000000025</v>
      </c>
      <c r="L155">
        <f t="shared" si="25"/>
        <v>-265.21000000000095</v>
      </c>
      <c r="M155">
        <f t="shared" si="26"/>
        <v>-249.42000000000095</v>
      </c>
      <c r="N155">
        <f t="shared" si="27"/>
        <v>-5.0999999999994827</v>
      </c>
      <c r="O155">
        <f t="shared" si="28"/>
        <v>5249.54</v>
      </c>
      <c r="P155">
        <f t="shared" si="29"/>
        <v>-4.7512734449113816E-2</v>
      </c>
      <c r="Q155" t="str">
        <f>IF(B155="","", IFERROR(VLOOKUP(B155, '基準資産配分（設定）'!$A$2:$C$2001, 3, FALSE), ""))</f>
        <v>東証REIT指数（配当込み）</v>
      </c>
      <c r="R155">
        <f>IF(B155="","", IFERROR(VLOOKUP(B155, '基準資産配分（設定）'!$A$2:$C$2001, 2, FALSE)/100, 0))</f>
        <v>3.9100000000000003E-2</v>
      </c>
      <c r="S155">
        <f>IF(B155="","", IFERROR(SUMIFS(ベンチマークリターン!$C$2:$C$2001, ベンチマークリターン!$A$2:$A$2001, A155, ベンチマークリターン!$B$2:$B$2001, Q155) / 100, 0))</f>
        <v>2.7543000000000002E-2</v>
      </c>
      <c r="T155">
        <f>IF(A155="","", SUMIFS($H$2:$H$2000, $A$2:$A$2000, A155))</f>
        <v>145658.63</v>
      </c>
      <c r="U155">
        <f t="shared" si="30"/>
        <v>3.6057527109790884E-2</v>
      </c>
      <c r="V155">
        <f t="shared" si="31"/>
        <v>-1.7131917104592166E-3</v>
      </c>
      <c r="W155">
        <f t="shared" si="32"/>
        <v>1.0769313E-3</v>
      </c>
    </row>
    <row r="156" spans="1:23" x14ac:dyDescent="0.2">
      <c r="A156" s="4">
        <f>IF(ポートフォリオ実績!A157="","", ポートフォリオ実績!A157)</f>
        <v>44834</v>
      </c>
      <c r="B156" t="str">
        <f>IF(ポートフォリオ実績!B157="","", ポートフォリオ実績!B157)</f>
        <v>不動産（J-REIT含む）</v>
      </c>
      <c r="C156" s="10">
        <f>IF(ポートフォリオ実績!C157="","", ポートフォリオ実績!C157)</f>
        <v>4957.72</v>
      </c>
      <c r="D156" s="10">
        <f>IF(ポートフォリオ実績!D157="","", ポートフォリオ実績!D157)</f>
        <v>5170.08</v>
      </c>
      <c r="E156" s="10">
        <f>IF(ポートフォリオ実績!E157="","", ポートフォリオ実績!E157)</f>
        <v>15.16</v>
      </c>
      <c r="F156" s="10">
        <f>IF(ポートフォリオ実績!F157="","", ポートフォリオ実績!F157)</f>
        <v>0</v>
      </c>
      <c r="G156">
        <f t="shared" si="22"/>
        <v>44804</v>
      </c>
      <c r="H156">
        <f>IF(B156&lt;&gt;"", SUMIFS(ポートフォリオ実績!$D$2:$D$2001, ポートフォリオ実績!$B$2:$B$2001, B156, ポートフォリオ実績!$A$2:$A$2001, G156), 0)</f>
        <v>4997.57</v>
      </c>
      <c r="I156">
        <f>IF(B156&lt;&gt;"", SUMIFS(ポートフォリオ実績!$C$2:$C$2001, ポートフォリオ実績!$B$2:$B$2001, B156, ポートフォリオ実績!$A$2:$A$2001, G156), 0)</f>
        <v>4900.5600000000004</v>
      </c>
      <c r="J156">
        <f t="shared" si="23"/>
        <v>212.35999999999967</v>
      </c>
      <c r="K156">
        <f t="shared" si="24"/>
        <v>97.009999999999309</v>
      </c>
      <c r="L156">
        <f t="shared" si="25"/>
        <v>115.35000000000036</v>
      </c>
      <c r="M156">
        <f t="shared" si="26"/>
        <v>130.51000000000036</v>
      </c>
      <c r="N156">
        <f t="shared" si="27"/>
        <v>41.999999999999858</v>
      </c>
      <c r="O156">
        <f t="shared" si="28"/>
        <v>5018.57</v>
      </c>
      <c r="P156">
        <f t="shared" si="29"/>
        <v>2.6005415885401693E-2</v>
      </c>
      <c r="Q156" t="str">
        <f>IF(B156="","", IFERROR(VLOOKUP(B156, '基準資産配分（設定）'!$A$2:$C$2001, 3, FALSE), ""))</f>
        <v>東証REIT指数（配当込み）</v>
      </c>
      <c r="R156">
        <f>IF(B156="","", IFERROR(VLOOKUP(B156, '基準資産配分（設定）'!$A$2:$C$2001, 2, FALSE)/100, 0))</f>
        <v>3.9100000000000003E-2</v>
      </c>
      <c r="S156">
        <f>IF(B156="","", IFERROR(SUMIFS(ベンチマークリターン!$C$2:$C$2001, ベンチマークリターン!$A$2:$A$2001, A156, ベンチマークリターン!$B$2:$B$2001, Q156) / 100, 0))</f>
        <v>-3.4726E-2</v>
      </c>
      <c r="T156">
        <f>IF(A156="","", SUMIFS($H$2:$H$2000, $A$2:$A$2000, A156))</f>
        <v>144325.42000000001</v>
      </c>
      <c r="U156">
        <f t="shared" si="30"/>
        <v>3.4627094797299043E-2</v>
      </c>
      <c r="V156">
        <f t="shared" si="31"/>
        <v>9.0049200110699083E-4</v>
      </c>
      <c r="W156">
        <f t="shared" si="32"/>
        <v>-1.3577866000000001E-3</v>
      </c>
    </row>
    <row r="157" spans="1:23" x14ac:dyDescent="0.2">
      <c r="A157" s="4">
        <f>IF(ポートフォリオ実績!A158="","", ポートフォリオ実績!A158)</f>
        <v>44865</v>
      </c>
      <c r="B157" t="str">
        <f>IF(ポートフォリオ実績!B158="","", ポートフォリオ実績!B158)</f>
        <v>不動産（J-REIT含む）</v>
      </c>
      <c r="C157" s="10">
        <f>IF(ポートフォリオ実績!C158="","", ポートフォリオ実績!C158)</f>
        <v>4979.21</v>
      </c>
      <c r="D157" s="10">
        <f>IF(ポートフォリオ実績!D158="","", ポートフォリオ実績!D158)</f>
        <v>5494.73</v>
      </c>
      <c r="E157" s="10">
        <f>IF(ポートフォリオ実績!E158="","", ポートフォリオ実績!E158)</f>
        <v>15.57</v>
      </c>
      <c r="F157" s="10">
        <f>IF(ポートフォリオ実績!F158="","", ポートフォリオ実績!F158)</f>
        <v>0</v>
      </c>
      <c r="G157">
        <f t="shared" si="22"/>
        <v>44834</v>
      </c>
      <c r="H157">
        <f>IF(B157&lt;&gt;"", SUMIFS(ポートフォリオ実績!$D$2:$D$2001, ポートフォリオ実績!$B$2:$B$2001, B157, ポートフォリオ実績!$A$2:$A$2001, G157), 0)</f>
        <v>5170.08</v>
      </c>
      <c r="I157">
        <f>IF(B157&lt;&gt;"", SUMIFS(ポートフォリオ実績!$C$2:$C$2001, ポートフォリオ実績!$B$2:$B$2001, B157, ポートフォリオ実績!$A$2:$A$2001, G157), 0)</f>
        <v>4957.72</v>
      </c>
      <c r="J157">
        <f t="shared" si="23"/>
        <v>515.51999999999953</v>
      </c>
      <c r="K157">
        <f t="shared" si="24"/>
        <v>212.35999999999967</v>
      </c>
      <c r="L157">
        <f t="shared" si="25"/>
        <v>303.15999999999985</v>
      </c>
      <c r="M157">
        <f t="shared" si="26"/>
        <v>318.72999999999985</v>
      </c>
      <c r="N157">
        <f t="shared" si="27"/>
        <v>5.9199999999997885</v>
      </c>
      <c r="O157">
        <f t="shared" si="28"/>
        <v>5173.04</v>
      </c>
      <c r="P157">
        <f t="shared" si="29"/>
        <v>6.1613673971204527E-2</v>
      </c>
      <c r="Q157" t="str">
        <f>IF(B157="","", IFERROR(VLOOKUP(B157, '基準資産配分（設定）'!$A$2:$C$2001, 3, FALSE), ""))</f>
        <v>東証REIT指数（配当込み）</v>
      </c>
      <c r="R157">
        <f>IF(B157="","", IFERROR(VLOOKUP(B157, '基準資産配分（設定）'!$A$2:$C$2001, 2, FALSE)/100, 0))</f>
        <v>3.9100000000000003E-2</v>
      </c>
      <c r="S157">
        <f>IF(B157="","", IFERROR(SUMIFS(ベンチマークリターン!$C$2:$C$2001, ベンチマークリターン!$A$2:$A$2001, A157, ベンチマークリターン!$B$2:$B$2001, Q157) / 100, 0))</f>
        <v>1.7413999999999999E-2</v>
      </c>
      <c r="T157">
        <f>IF(A157="","", SUMIFS($H$2:$H$2000, $A$2:$A$2000, A157))</f>
        <v>145674.57</v>
      </c>
      <c r="U157">
        <f t="shared" si="30"/>
        <v>3.5490614456593211E-2</v>
      </c>
      <c r="V157">
        <f t="shared" si="31"/>
        <v>2.1867071481662522E-3</v>
      </c>
      <c r="W157">
        <f t="shared" si="32"/>
        <v>6.8088740000000006E-4</v>
      </c>
    </row>
    <row r="158" spans="1:23" x14ac:dyDescent="0.2">
      <c r="A158" s="4">
        <f>IF(ポートフォリオ実績!A159="","", ポートフォリオ実績!A159)</f>
        <v>44895</v>
      </c>
      <c r="B158" t="str">
        <f>IF(ポートフォリオ実績!B159="","", ポートフォリオ実績!B159)</f>
        <v>不動産（J-REIT含む）</v>
      </c>
      <c r="C158" s="10">
        <f>IF(ポートフォリオ実績!C159="","", ポートフォリオ実績!C159)</f>
        <v>4990.1000000000004</v>
      </c>
      <c r="D158" s="10">
        <f>IF(ポートフォリオ実績!D159="","", ポートフォリオ実績!D159)</f>
        <v>5390.4</v>
      </c>
      <c r="E158" s="10">
        <f>IF(ポートフォリオ実績!E159="","", ポートフォリオ実績!E159)</f>
        <v>16.52</v>
      </c>
      <c r="F158" s="10">
        <f>IF(ポートフォリオ実績!F159="","", ポートフォリオ実績!F159)</f>
        <v>0</v>
      </c>
      <c r="G158">
        <f t="shared" si="22"/>
        <v>44865</v>
      </c>
      <c r="H158">
        <f>IF(B158&lt;&gt;"", SUMIFS(ポートフォリオ実績!$D$2:$D$2001, ポートフォリオ実績!$B$2:$B$2001, B158, ポートフォリオ実績!$A$2:$A$2001, G158), 0)</f>
        <v>5494.73</v>
      </c>
      <c r="I158">
        <f>IF(B158&lt;&gt;"", SUMIFS(ポートフォリオ実績!$C$2:$C$2001, ポートフォリオ実績!$B$2:$B$2001, B158, ポートフォリオ実績!$A$2:$A$2001, G158), 0)</f>
        <v>4979.21</v>
      </c>
      <c r="J158">
        <f t="shared" si="23"/>
        <v>400.29999999999927</v>
      </c>
      <c r="K158">
        <f t="shared" si="24"/>
        <v>515.51999999999953</v>
      </c>
      <c r="L158">
        <f t="shared" si="25"/>
        <v>-115.22000000000025</v>
      </c>
      <c r="M158">
        <f t="shared" si="26"/>
        <v>-98.700000000000259</v>
      </c>
      <c r="N158">
        <f t="shared" si="27"/>
        <v>-5.6299999999996686</v>
      </c>
      <c r="O158">
        <f t="shared" si="28"/>
        <v>5491.915</v>
      </c>
      <c r="P158">
        <f t="shared" si="29"/>
        <v>-1.7971873199057208E-2</v>
      </c>
      <c r="Q158" t="str">
        <f>IF(B158="","", IFERROR(VLOOKUP(B158, '基準資産配分（設定）'!$A$2:$C$2001, 3, FALSE), ""))</f>
        <v>東証REIT指数（配当込み）</v>
      </c>
      <c r="R158">
        <f>IF(B158="","", IFERROR(VLOOKUP(B158, '基準資産配分（設定）'!$A$2:$C$2001, 2, FALSE)/100, 0))</f>
        <v>3.9100000000000003E-2</v>
      </c>
      <c r="S158">
        <f>IF(B158="","", IFERROR(SUMIFS(ベンチマークリターン!$C$2:$C$2001, ベンチマークリターン!$A$2:$A$2001, A158, ベンチマークリターン!$B$2:$B$2001, Q158) / 100, 0))</f>
        <v>9.9329999999999991E-3</v>
      </c>
      <c r="T158">
        <f>IF(A158="","", SUMIFS($H$2:$H$2000, $A$2:$A$2000, A158))</f>
        <v>149722.51</v>
      </c>
      <c r="U158">
        <f t="shared" si="30"/>
        <v>3.6699424822626864E-2</v>
      </c>
      <c r="V158">
        <f t="shared" si="31"/>
        <v>-6.5955740939058259E-4</v>
      </c>
      <c r="W158">
        <f t="shared" si="32"/>
        <v>3.8838030000000001E-4</v>
      </c>
    </row>
    <row r="159" spans="1:23" x14ac:dyDescent="0.2">
      <c r="A159" s="4">
        <f>IF(ポートフォリオ実績!A160="","", ポートフォリオ実績!A160)</f>
        <v>44926</v>
      </c>
      <c r="B159" t="str">
        <f>IF(ポートフォリオ実績!B160="","", ポートフォリオ実績!B160)</f>
        <v>不動産（J-REIT含む）</v>
      </c>
      <c r="C159" s="10">
        <f>IF(ポートフォリオ実績!C160="","", ポートフォリオ実績!C160)</f>
        <v>5105.68</v>
      </c>
      <c r="D159" s="10">
        <f>IF(ポートフォリオ実績!D160="","", ポートフォリオ実績!D160)</f>
        <v>5829.38</v>
      </c>
      <c r="E159" s="10">
        <f>IF(ポートフォリオ実績!E160="","", ポートフォリオ実績!E160)</f>
        <v>16.52</v>
      </c>
      <c r="F159" s="10">
        <f>IF(ポートフォリオ実績!F160="","", ポートフォリオ実績!F160)</f>
        <v>0</v>
      </c>
      <c r="G159">
        <f t="shared" si="22"/>
        <v>44895</v>
      </c>
      <c r="H159">
        <f>IF(B159&lt;&gt;"", SUMIFS(ポートフォリオ実績!$D$2:$D$2001, ポートフォリオ実績!$B$2:$B$2001, B159, ポートフォリオ実績!$A$2:$A$2001, G159), 0)</f>
        <v>5390.4</v>
      </c>
      <c r="I159">
        <f>IF(B159&lt;&gt;"", SUMIFS(ポートフォリオ実績!$C$2:$C$2001, ポートフォリオ実績!$B$2:$B$2001, B159, ポートフォリオ実績!$A$2:$A$2001, G159), 0)</f>
        <v>4990.1000000000004</v>
      </c>
      <c r="J159">
        <f t="shared" si="23"/>
        <v>723.69999999999982</v>
      </c>
      <c r="K159">
        <f t="shared" si="24"/>
        <v>400.29999999999927</v>
      </c>
      <c r="L159">
        <f t="shared" si="25"/>
        <v>323.40000000000055</v>
      </c>
      <c r="M159">
        <f t="shared" si="26"/>
        <v>339.92000000000053</v>
      </c>
      <c r="N159">
        <f t="shared" si="27"/>
        <v>99.059999999999945</v>
      </c>
      <c r="O159">
        <f t="shared" si="28"/>
        <v>5439.9299999999994</v>
      </c>
      <c r="P159">
        <f t="shared" si="29"/>
        <v>6.2486098166704453E-2</v>
      </c>
      <c r="Q159" t="str">
        <f>IF(B159="","", IFERROR(VLOOKUP(B159, '基準資産配分（設定）'!$A$2:$C$2001, 3, FALSE), ""))</f>
        <v>東証REIT指数（配当込み）</v>
      </c>
      <c r="R159">
        <f>IF(B159="","", IFERROR(VLOOKUP(B159, '基準資産配分（設定）'!$A$2:$C$2001, 2, FALSE)/100, 0))</f>
        <v>3.9100000000000003E-2</v>
      </c>
      <c r="S159">
        <f>IF(B159="","", IFERROR(SUMIFS(ベンチマークリターン!$C$2:$C$2001, ベンチマークリターン!$A$2:$A$2001, A159, ベンチマークリターン!$B$2:$B$2001, Q159) / 100, 0))</f>
        <v>2.1225999999999998E-2</v>
      </c>
      <c r="T159">
        <f>IF(A159="","", SUMIFS($H$2:$H$2000, $A$2:$A$2000, A159))</f>
        <v>146745.91999999998</v>
      </c>
      <c r="U159">
        <f t="shared" si="30"/>
        <v>3.6732878161110032E-2</v>
      </c>
      <c r="V159">
        <f t="shared" si="31"/>
        <v>2.2952942307207158E-3</v>
      </c>
      <c r="W159">
        <f t="shared" si="32"/>
        <v>8.2993659999999996E-4</v>
      </c>
    </row>
    <row r="160" spans="1:23" x14ac:dyDescent="0.2">
      <c r="A160" s="4">
        <f>IF(ポートフォリオ実績!A161="","", ポートフォリオ実績!A161)</f>
        <v>44957</v>
      </c>
      <c r="B160" t="str">
        <f>IF(ポートフォリオ実績!B161="","", ポートフォリオ実績!B161)</f>
        <v>不動産（J-REIT含む）</v>
      </c>
      <c r="C160" s="10">
        <f>IF(ポートフォリオ実績!C161="","", ポートフォリオ実績!C161)</f>
        <v>4545.95</v>
      </c>
      <c r="D160" s="10">
        <f>IF(ポートフォリオ実績!D161="","", ポートフォリオ実績!D161)</f>
        <v>5483.47</v>
      </c>
      <c r="E160" s="10">
        <f>IF(ポートフォリオ実績!E161="","", ポートフォリオ実績!E161)</f>
        <v>17.32</v>
      </c>
      <c r="F160" s="10">
        <f>IF(ポートフォリオ実績!F161="","", ポートフォリオ実績!F161)</f>
        <v>166.2</v>
      </c>
      <c r="G160">
        <f t="shared" si="22"/>
        <v>44926</v>
      </c>
      <c r="H160">
        <f>IF(B160&lt;&gt;"", SUMIFS(ポートフォリオ実績!$D$2:$D$2001, ポートフォリオ実績!$B$2:$B$2001, B160, ポートフォリオ実績!$A$2:$A$2001, G160), 0)</f>
        <v>5829.38</v>
      </c>
      <c r="I160">
        <f>IF(B160&lt;&gt;"", SUMIFS(ポートフォリオ実績!$C$2:$C$2001, ポートフォリオ実績!$B$2:$B$2001, B160, ポートフォリオ実績!$A$2:$A$2001, G160), 0)</f>
        <v>5105.68</v>
      </c>
      <c r="J160">
        <f t="shared" si="23"/>
        <v>937.52000000000044</v>
      </c>
      <c r="K160">
        <f t="shared" si="24"/>
        <v>723.69999999999982</v>
      </c>
      <c r="L160">
        <f t="shared" si="25"/>
        <v>213.82000000000062</v>
      </c>
      <c r="M160">
        <f t="shared" si="26"/>
        <v>397.3400000000006</v>
      </c>
      <c r="N160">
        <f t="shared" si="27"/>
        <v>-743.25000000000045</v>
      </c>
      <c r="O160">
        <f t="shared" si="28"/>
        <v>5457.7550000000001</v>
      </c>
      <c r="P160">
        <f t="shared" si="29"/>
        <v>7.2802828269132744E-2</v>
      </c>
      <c r="Q160" t="str">
        <f>IF(B160="","", IFERROR(VLOOKUP(B160, '基準資産配分（設定）'!$A$2:$C$2001, 3, FALSE), ""))</f>
        <v>東証REIT指数（配当込み）</v>
      </c>
      <c r="R160">
        <f>IF(B160="","", IFERROR(VLOOKUP(B160, '基準資産配分（設定）'!$A$2:$C$2001, 2, FALSE)/100, 0))</f>
        <v>3.9100000000000003E-2</v>
      </c>
      <c r="S160">
        <f>IF(B160="","", IFERROR(SUMIFS(ベンチマークリターン!$C$2:$C$2001, ベンチマークリターン!$A$2:$A$2001, A160, ベンチマークリターン!$B$2:$B$2001, Q160) / 100, 0))</f>
        <v>1.4184E-2</v>
      </c>
      <c r="T160">
        <f>IF(A160="","", SUMIFS($H$2:$H$2000, $A$2:$A$2000, A160))</f>
        <v>148588.96000000002</v>
      </c>
      <c r="U160">
        <f t="shared" si="30"/>
        <v>3.9231582211760548E-2</v>
      </c>
      <c r="V160">
        <f t="shared" si="31"/>
        <v>2.8561701424891662E-3</v>
      </c>
      <c r="W160">
        <f t="shared" si="32"/>
        <v>5.5459440000000008E-4</v>
      </c>
    </row>
    <row r="161" spans="1:23" x14ac:dyDescent="0.2">
      <c r="A161" s="4">
        <f>IF(ポートフォリオ実績!A162="","", ポートフォリオ実績!A162)</f>
        <v>44985</v>
      </c>
      <c r="B161" t="str">
        <f>IF(ポートフォリオ実績!B162="","", ポートフォリオ実績!B162)</f>
        <v>不動産（J-REIT含む）</v>
      </c>
      <c r="C161" s="10">
        <f>IF(ポートフォリオ実績!C162="","", ポートフォリオ実績!C162)</f>
        <v>4585.91</v>
      </c>
      <c r="D161" s="10">
        <f>IF(ポートフォリオ実績!D162="","", ポートフォリオ実績!D162)</f>
        <v>5499.56</v>
      </c>
      <c r="E161" s="10">
        <f>IF(ポートフォリオ実績!E162="","", ポートフォリオ実績!E162)</f>
        <v>16.57</v>
      </c>
      <c r="F161" s="10">
        <f>IF(ポートフォリオ実績!F162="","", ポートフォリオ実績!F162)</f>
        <v>0</v>
      </c>
      <c r="G161">
        <f t="shared" si="22"/>
        <v>44957</v>
      </c>
      <c r="H161">
        <f>IF(B161&lt;&gt;"", SUMIFS(ポートフォリオ実績!$D$2:$D$2001, ポートフォリオ実績!$B$2:$B$2001, B161, ポートフォリオ実績!$A$2:$A$2001, G161), 0)</f>
        <v>5483.47</v>
      </c>
      <c r="I161">
        <f>IF(B161&lt;&gt;"", SUMIFS(ポートフォリオ実績!$C$2:$C$2001, ポートフォリオ実績!$B$2:$B$2001, B161, ポートフォリオ実績!$A$2:$A$2001, G161), 0)</f>
        <v>4545.95</v>
      </c>
      <c r="J161">
        <f t="shared" si="23"/>
        <v>913.65000000000055</v>
      </c>
      <c r="K161">
        <f t="shared" si="24"/>
        <v>937.52000000000044</v>
      </c>
      <c r="L161">
        <f t="shared" si="25"/>
        <v>-23.869999999999891</v>
      </c>
      <c r="M161">
        <f t="shared" si="26"/>
        <v>-7.2999999999998906</v>
      </c>
      <c r="N161">
        <f t="shared" si="27"/>
        <v>23.390000000000036</v>
      </c>
      <c r="O161">
        <f t="shared" si="28"/>
        <v>5495.165</v>
      </c>
      <c r="P161">
        <f t="shared" si="29"/>
        <v>-1.32844054728109E-3</v>
      </c>
      <c r="Q161" t="str">
        <f>IF(B161="","", IFERROR(VLOOKUP(B161, '基準資産配分（設定）'!$A$2:$C$2001, 3, FALSE), ""))</f>
        <v>東証REIT指数（配当込み）</v>
      </c>
      <c r="R161">
        <f>IF(B161="","", IFERROR(VLOOKUP(B161, '基準資産配分（設定）'!$A$2:$C$2001, 2, FALSE)/100, 0))</f>
        <v>3.9100000000000003E-2</v>
      </c>
      <c r="S161">
        <f>IF(B161="","", IFERROR(SUMIFS(ベンチマークリターン!$C$2:$C$2001, ベンチマークリターン!$A$2:$A$2001, A161, ベンチマークリターン!$B$2:$B$2001, Q161) / 100, 0))</f>
        <v>8.9221000000000009E-2</v>
      </c>
      <c r="T161">
        <f>IF(A161="","", SUMIFS($H$2:$H$2000, $A$2:$A$2000, A161))</f>
        <v>149058.73000000001</v>
      </c>
      <c r="U161">
        <f t="shared" si="30"/>
        <v>3.6787311954153912E-2</v>
      </c>
      <c r="V161">
        <f t="shared" si="31"/>
        <v>-4.8869756825376406E-5</v>
      </c>
      <c r="W161">
        <f t="shared" si="32"/>
        <v>3.4885411000000004E-3</v>
      </c>
    </row>
    <row r="162" spans="1:23" x14ac:dyDescent="0.2">
      <c r="A162" s="4">
        <f>IF(ポートフォリオ実績!A163="","", ポートフォリオ実績!A163)</f>
        <v>45016</v>
      </c>
      <c r="B162" t="str">
        <f>IF(ポートフォリオ実績!B163="","", ポートフォリオ実績!B163)</f>
        <v>不動産（J-REIT含む）</v>
      </c>
      <c r="C162" s="10">
        <f>IF(ポートフォリオ実績!C163="","", ポートフォリオ実績!C163)</f>
        <v>4109.9799999999996</v>
      </c>
      <c r="D162" s="10">
        <f>IF(ポートフォリオ実績!D163="","", ポートフォリオ実績!D163)</f>
        <v>5191.18</v>
      </c>
      <c r="E162" s="10">
        <f>IF(ポートフォリオ実績!E163="","", ポートフォリオ実績!E163)</f>
        <v>16.440000000000001</v>
      </c>
      <c r="F162" s="10">
        <f>IF(ポートフォリオ実績!F163="","", ポートフォリオ実績!F163)</f>
        <v>119.67</v>
      </c>
      <c r="G162">
        <f t="shared" si="22"/>
        <v>44985</v>
      </c>
      <c r="H162">
        <f>IF(B162&lt;&gt;"", SUMIFS(ポートフォリオ実績!$D$2:$D$2001, ポートフォリオ実績!$B$2:$B$2001, B162, ポートフォリオ実績!$A$2:$A$2001, G162), 0)</f>
        <v>5499.56</v>
      </c>
      <c r="I162">
        <f>IF(B162&lt;&gt;"", SUMIFS(ポートフォリオ実績!$C$2:$C$2001, ポートフォリオ実績!$B$2:$B$2001, B162, ポートフォリオ実績!$A$2:$A$2001, G162), 0)</f>
        <v>4585.91</v>
      </c>
      <c r="J162">
        <f t="shared" si="23"/>
        <v>1081.2000000000007</v>
      </c>
      <c r="K162">
        <f t="shared" si="24"/>
        <v>913.65000000000055</v>
      </c>
      <c r="L162">
        <f t="shared" si="25"/>
        <v>167.55000000000018</v>
      </c>
      <c r="M162">
        <f t="shared" si="26"/>
        <v>303.6600000000002</v>
      </c>
      <c r="N162">
        <f t="shared" si="27"/>
        <v>-612.0400000000003</v>
      </c>
      <c r="O162">
        <f t="shared" si="28"/>
        <v>5193.54</v>
      </c>
      <c r="P162">
        <f t="shared" si="29"/>
        <v>5.8468790073822517E-2</v>
      </c>
      <c r="Q162" t="str">
        <f>IF(B162="","", IFERROR(VLOOKUP(B162, '基準資産配分（設定）'!$A$2:$C$2001, 3, FALSE), ""))</f>
        <v>東証REIT指数（配当込み）</v>
      </c>
      <c r="R162">
        <f>IF(B162="","", IFERROR(VLOOKUP(B162, '基準資産配分（設定）'!$A$2:$C$2001, 2, FALSE)/100, 0))</f>
        <v>3.9100000000000003E-2</v>
      </c>
      <c r="S162">
        <f>IF(B162="","", IFERROR(SUMIFS(ベンチマークリターン!$C$2:$C$2001, ベンチマークリターン!$A$2:$A$2001, A162, ベンチマークリターン!$B$2:$B$2001, Q162) / 100, 0))</f>
        <v>-1.7925E-2</v>
      </c>
      <c r="T162">
        <f>IF(A162="","", SUMIFS($H$2:$H$2000, $A$2:$A$2000, A162))</f>
        <v>149288.46000000002</v>
      </c>
      <c r="U162">
        <f t="shared" si="30"/>
        <v>3.6838480348715501E-2</v>
      </c>
      <c r="V162">
        <f t="shared" si="31"/>
        <v>2.1539013741476826E-3</v>
      </c>
      <c r="W162">
        <f t="shared" si="32"/>
        <v>-7.0086750000000005E-4</v>
      </c>
    </row>
    <row r="163" spans="1:23" x14ac:dyDescent="0.2">
      <c r="A163" s="4">
        <f>IF(ポートフォリオ実績!A164="","", ポートフォリオ実績!A164)</f>
        <v>45046</v>
      </c>
      <c r="B163" t="str">
        <f>IF(ポートフォリオ実績!B164="","", ポートフォリオ実績!B164)</f>
        <v>不動産（J-REIT含む）</v>
      </c>
      <c r="C163" s="10">
        <f>IF(ポートフォリオ実績!C164="","", ポートフォリオ実績!C164)</f>
        <v>4169.25</v>
      </c>
      <c r="D163" s="10">
        <f>IF(ポートフォリオ実績!D164="","", ポートフォリオ実績!D164)</f>
        <v>5214.4399999999996</v>
      </c>
      <c r="E163" s="10">
        <f>IF(ポートフォリオ実績!E164="","", ポートフォリオ実績!E164)</f>
        <v>15.75</v>
      </c>
      <c r="F163" s="10">
        <f>IF(ポートフォリオ実績!F164="","", ポートフォリオ実績!F164)</f>
        <v>0</v>
      </c>
      <c r="G163">
        <f t="shared" si="22"/>
        <v>45016</v>
      </c>
      <c r="H163">
        <f>IF(B163&lt;&gt;"", SUMIFS(ポートフォリオ実績!$D$2:$D$2001, ポートフォリオ実績!$B$2:$B$2001, B163, ポートフォリオ実績!$A$2:$A$2001, G163), 0)</f>
        <v>5191.18</v>
      </c>
      <c r="I163">
        <f>IF(B163&lt;&gt;"", SUMIFS(ポートフォリオ実績!$C$2:$C$2001, ポートフォリオ実績!$B$2:$B$2001, B163, ポートフォリオ実績!$A$2:$A$2001, G163), 0)</f>
        <v>4109.9799999999996</v>
      </c>
      <c r="J163">
        <f t="shared" si="23"/>
        <v>1045.1899999999996</v>
      </c>
      <c r="K163">
        <f t="shared" si="24"/>
        <v>1081.2000000000007</v>
      </c>
      <c r="L163">
        <f t="shared" si="25"/>
        <v>-36.010000000001128</v>
      </c>
      <c r="M163">
        <f t="shared" si="26"/>
        <v>-20.260000000001128</v>
      </c>
      <c r="N163">
        <f t="shared" si="27"/>
        <v>43.520000000000437</v>
      </c>
      <c r="O163">
        <f t="shared" si="28"/>
        <v>5212.9400000000005</v>
      </c>
      <c r="P163">
        <f t="shared" si="29"/>
        <v>-3.8864824839727921E-3</v>
      </c>
      <c r="Q163" t="str">
        <f>IF(B163="","", IFERROR(VLOOKUP(B163, '基準資産配分（設定）'!$A$2:$C$2001, 3, FALSE), ""))</f>
        <v>東証REIT指数（配当込み）</v>
      </c>
      <c r="R163">
        <f>IF(B163="","", IFERROR(VLOOKUP(B163, '基準資産配分（設定）'!$A$2:$C$2001, 2, FALSE)/100, 0))</f>
        <v>3.9100000000000003E-2</v>
      </c>
      <c r="S163">
        <f>IF(B163="","", IFERROR(SUMIFS(ベンチマークリターン!$C$2:$C$2001, ベンチマークリターン!$A$2:$A$2001, A163, ベンチマークリターン!$B$2:$B$2001, Q163) / 100, 0))</f>
        <v>-1.4228000000000001E-2</v>
      </c>
      <c r="T163">
        <f>IF(A163="","", SUMIFS($H$2:$H$2000, $A$2:$A$2000, A163))</f>
        <v>148343.76</v>
      </c>
      <c r="U163">
        <f t="shared" si="30"/>
        <v>3.4994259279931966E-2</v>
      </c>
      <c r="V163">
        <f t="shared" si="31"/>
        <v>-1.3600457573105791E-4</v>
      </c>
      <c r="W163">
        <f t="shared" si="32"/>
        <v>-5.5631480000000008E-4</v>
      </c>
    </row>
    <row r="164" spans="1:23" x14ac:dyDescent="0.2">
      <c r="A164" s="4">
        <f>IF(ポートフォリオ実績!A165="","", ポートフォリオ実績!A165)</f>
        <v>45077</v>
      </c>
      <c r="B164" t="str">
        <f>IF(ポートフォリオ実績!B165="","", ポートフォリオ実績!B165)</f>
        <v>不動産（J-REIT含む）</v>
      </c>
      <c r="C164" s="10">
        <f>IF(ポートフォリオ実績!C165="","", ポートフォリオ実績!C165)</f>
        <v>4219.8</v>
      </c>
      <c r="D164" s="10">
        <f>IF(ポートフォリオ実績!D165="","", ポートフォリオ実績!D165)</f>
        <v>4970.55</v>
      </c>
      <c r="E164" s="10">
        <f>IF(ポートフォリオ実績!E165="","", ポートフォリオ実績!E165)</f>
        <v>15.79</v>
      </c>
      <c r="F164" s="10">
        <f>IF(ポートフォリオ実績!F165="","", ポートフォリオ実績!F165)</f>
        <v>0</v>
      </c>
      <c r="G164">
        <f t="shared" si="22"/>
        <v>45046</v>
      </c>
      <c r="H164">
        <f>IF(B164&lt;&gt;"", SUMIFS(ポートフォリオ実績!$D$2:$D$2001, ポートフォリオ実績!$B$2:$B$2001, B164, ポートフォリオ実績!$A$2:$A$2001, G164), 0)</f>
        <v>5214.4399999999996</v>
      </c>
      <c r="I164">
        <f>IF(B164&lt;&gt;"", SUMIFS(ポートフォリオ実績!$C$2:$C$2001, ポートフォリオ実績!$B$2:$B$2001, B164, ポートフォリオ実績!$A$2:$A$2001, G164), 0)</f>
        <v>4169.25</v>
      </c>
      <c r="J164">
        <f t="shared" si="23"/>
        <v>750.75</v>
      </c>
      <c r="K164">
        <f t="shared" si="24"/>
        <v>1045.1899999999996</v>
      </c>
      <c r="L164">
        <f t="shared" si="25"/>
        <v>-294.4399999999996</v>
      </c>
      <c r="M164">
        <f t="shared" si="26"/>
        <v>-278.64999999999958</v>
      </c>
      <c r="N164">
        <f t="shared" si="27"/>
        <v>34.760000000000161</v>
      </c>
      <c r="O164">
        <f t="shared" si="28"/>
        <v>5231.82</v>
      </c>
      <c r="P164">
        <f t="shared" si="29"/>
        <v>-5.3260624409861117E-2</v>
      </c>
      <c r="Q164" t="str">
        <f>IF(B164="","", IFERROR(VLOOKUP(B164, '基準資産配分（設定）'!$A$2:$C$2001, 3, FALSE), ""))</f>
        <v>東証REIT指数（配当込み）</v>
      </c>
      <c r="R164">
        <f>IF(B164="","", IFERROR(VLOOKUP(B164, '基準資産配分（設定）'!$A$2:$C$2001, 2, FALSE)/100, 0))</f>
        <v>3.9100000000000003E-2</v>
      </c>
      <c r="S164">
        <f>IF(B164="","", IFERROR(SUMIFS(ベンチマークリターン!$C$2:$C$2001, ベンチマークリターン!$A$2:$A$2001, A164, ベンチマークリターン!$B$2:$B$2001, Q164) / 100, 0))</f>
        <v>-1.7420000000000001E-2</v>
      </c>
      <c r="T164">
        <f>IF(A164="","", SUMIFS($H$2:$H$2000, $A$2:$A$2000, A164))</f>
        <v>149279.44000000003</v>
      </c>
      <c r="U164">
        <f t="shared" si="30"/>
        <v>3.4930731251403398E-2</v>
      </c>
      <c r="V164">
        <f t="shared" si="31"/>
        <v>-1.8604325575427945E-3</v>
      </c>
      <c r="W164">
        <f t="shared" si="32"/>
        <v>-6.8112200000000015E-4</v>
      </c>
    </row>
    <row r="165" spans="1:23" x14ac:dyDescent="0.2">
      <c r="A165" s="4">
        <f>IF(ポートフォリオ実績!A166="","", ポートフォリオ実績!A166)</f>
        <v>45107</v>
      </c>
      <c r="B165" t="str">
        <f>IF(ポートフォリオ実績!B166="","", ポートフォリオ実績!B166)</f>
        <v>不動産（J-REIT含む）</v>
      </c>
      <c r="C165" s="10">
        <f>IF(ポートフォリオ実績!C166="","", ポートフォリオ実績!C166)</f>
        <v>4298.6099999999997</v>
      </c>
      <c r="D165" s="10">
        <f>IF(ポートフォリオ実績!D166="","", ポートフォリオ実績!D166)</f>
        <v>5050.6400000000003</v>
      </c>
      <c r="E165" s="10">
        <f>IF(ポートフォリオ実績!E166="","", ポートフォリオ実績!E166)</f>
        <v>15.15</v>
      </c>
      <c r="F165" s="10">
        <f>IF(ポートフォリオ実績!F166="","", ポートフォリオ実績!F166)</f>
        <v>0</v>
      </c>
      <c r="G165">
        <f t="shared" si="22"/>
        <v>45077</v>
      </c>
      <c r="H165">
        <f>IF(B165&lt;&gt;"", SUMIFS(ポートフォリオ実績!$D$2:$D$2001, ポートフォリオ実績!$B$2:$B$2001, B165, ポートフォリオ実績!$A$2:$A$2001, G165), 0)</f>
        <v>4970.55</v>
      </c>
      <c r="I165">
        <f>IF(B165&lt;&gt;"", SUMIFS(ポートフォリオ実績!$C$2:$C$2001, ポートフォリオ実績!$B$2:$B$2001, B165, ポートフォリオ実績!$A$2:$A$2001, G165), 0)</f>
        <v>4219.8</v>
      </c>
      <c r="J165">
        <f t="shared" si="23"/>
        <v>752.03000000000065</v>
      </c>
      <c r="K165">
        <f t="shared" si="24"/>
        <v>750.75</v>
      </c>
      <c r="L165">
        <f t="shared" si="25"/>
        <v>1.2800000000006548</v>
      </c>
      <c r="M165">
        <f t="shared" si="26"/>
        <v>16.430000000000653</v>
      </c>
      <c r="N165">
        <f t="shared" si="27"/>
        <v>63.659999999999492</v>
      </c>
      <c r="O165">
        <f t="shared" si="28"/>
        <v>5002.38</v>
      </c>
      <c r="P165">
        <f t="shared" si="29"/>
        <v>3.2844366081746395E-3</v>
      </c>
      <c r="Q165" t="str">
        <f>IF(B165="","", IFERROR(VLOOKUP(B165, '基準資産配分（設定）'!$A$2:$C$2001, 3, FALSE), ""))</f>
        <v>東証REIT指数（配当込み）</v>
      </c>
      <c r="R165">
        <f>IF(B165="","", IFERROR(VLOOKUP(B165, '基準資産配分（設定）'!$A$2:$C$2001, 2, FALSE)/100, 0))</f>
        <v>3.9100000000000003E-2</v>
      </c>
      <c r="S165">
        <f>IF(B165="","", IFERROR(SUMIFS(ベンチマークリターン!$C$2:$C$2001, ベンチマークリターン!$A$2:$A$2001, A165, ベンチマークリターン!$B$2:$B$2001, Q165) / 100, 0))</f>
        <v>-1.5076000000000001E-2</v>
      </c>
      <c r="T165">
        <f>IF(A165="","", SUMIFS($H$2:$H$2000, $A$2:$A$2000, A165))</f>
        <v>149189.19</v>
      </c>
      <c r="U165">
        <f t="shared" si="30"/>
        <v>3.3317092210233198E-2</v>
      </c>
      <c r="V165">
        <f t="shared" si="31"/>
        <v>1.0942787733322002E-4</v>
      </c>
      <c r="W165">
        <f t="shared" si="32"/>
        <v>-5.8947160000000004E-4</v>
      </c>
    </row>
    <row r="166" spans="1:23" x14ac:dyDescent="0.2">
      <c r="A166" s="4">
        <f>IF(ポートフォリオ実績!A167="","", ポートフォリオ実績!A167)</f>
        <v>45138</v>
      </c>
      <c r="B166" t="str">
        <f>IF(ポートフォリオ実績!B167="","", ポートフォリオ実績!B167)</f>
        <v>不動産（J-REIT含む）</v>
      </c>
      <c r="C166" s="10">
        <f>IF(ポートフォリオ実績!C167="","", ポートフォリオ実績!C167)</f>
        <v>4352.3999999999996</v>
      </c>
      <c r="D166" s="10">
        <f>IF(ポートフォリオ実績!D167="","", ポートフォリオ実績!D167)</f>
        <v>5143.04</v>
      </c>
      <c r="E166" s="10">
        <f>IF(ポートフォリオ実績!E167="","", ポートフォリオ実績!E167)</f>
        <v>15.31</v>
      </c>
      <c r="F166" s="10">
        <f>IF(ポートフォリオ実績!F167="","", ポートフォリオ実績!F167)</f>
        <v>0</v>
      </c>
      <c r="G166">
        <f t="shared" si="22"/>
        <v>45107</v>
      </c>
      <c r="H166">
        <f>IF(B166&lt;&gt;"", SUMIFS(ポートフォリオ実績!$D$2:$D$2001, ポートフォリオ実績!$B$2:$B$2001, B166, ポートフォリオ実績!$A$2:$A$2001, G166), 0)</f>
        <v>5050.6400000000003</v>
      </c>
      <c r="I166">
        <f>IF(B166&lt;&gt;"", SUMIFS(ポートフォリオ実績!$C$2:$C$2001, ポートフォリオ実績!$B$2:$B$2001, B166, ポートフォリオ実績!$A$2:$A$2001, G166), 0)</f>
        <v>4298.6099999999997</v>
      </c>
      <c r="J166">
        <f t="shared" si="23"/>
        <v>790.64000000000033</v>
      </c>
      <c r="K166">
        <f t="shared" si="24"/>
        <v>752.03000000000065</v>
      </c>
      <c r="L166">
        <f t="shared" si="25"/>
        <v>38.609999999999673</v>
      </c>
      <c r="M166">
        <f t="shared" si="26"/>
        <v>53.919999999999675</v>
      </c>
      <c r="N166">
        <f t="shared" si="27"/>
        <v>38.479999999999961</v>
      </c>
      <c r="O166">
        <f t="shared" si="28"/>
        <v>5069.88</v>
      </c>
      <c r="P166">
        <f t="shared" si="29"/>
        <v>1.0635360205764175E-2</v>
      </c>
      <c r="Q166" t="str">
        <f>IF(B166="","", IFERROR(VLOOKUP(B166, '基準資産配分（設定）'!$A$2:$C$2001, 3, FALSE), ""))</f>
        <v>東証REIT指数（配当込み）</v>
      </c>
      <c r="R166">
        <f>IF(B166="","", IFERROR(VLOOKUP(B166, '基準資産配分（設定）'!$A$2:$C$2001, 2, FALSE)/100, 0))</f>
        <v>3.9100000000000003E-2</v>
      </c>
      <c r="S166">
        <f>IF(B166="","", IFERROR(SUMIFS(ベンチマークリターン!$C$2:$C$2001, ベンチマークリターン!$A$2:$A$2001, A166, ベンチマークリターン!$B$2:$B$2001, Q166) / 100, 0))</f>
        <v>-1.7912999999999998E-2</v>
      </c>
      <c r="T166">
        <f>IF(A166="","", SUMIFS($H$2:$H$2000, $A$2:$A$2000, A166))</f>
        <v>147474.57</v>
      </c>
      <c r="U166">
        <f t="shared" si="30"/>
        <v>3.424753162528292E-2</v>
      </c>
      <c r="V166">
        <f t="shared" si="31"/>
        <v>3.6423483499318403E-4</v>
      </c>
      <c r="W166">
        <f t="shared" si="32"/>
        <v>-7.0039829999999997E-4</v>
      </c>
    </row>
    <row r="167" spans="1:23" x14ac:dyDescent="0.2">
      <c r="A167" s="4">
        <f>IF(ポートフォリオ実績!A168="","", ポートフォリオ実績!A168)</f>
        <v>45169</v>
      </c>
      <c r="B167" t="str">
        <f>IF(ポートフォリオ実績!B168="","", ポートフォリオ実績!B168)</f>
        <v>不動産（J-REIT含む）</v>
      </c>
      <c r="C167" s="10">
        <f>IF(ポートフォリオ実績!C168="","", ポートフォリオ実績!C168)</f>
        <v>4269.08</v>
      </c>
      <c r="D167" s="10">
        <f>IF(ポートフォリオ実績!D168="","", ポートフォリオ実績!D168)</f>
        <v>5142.99</v>
      </c>
      <c r="E167" s="10">
        <f>IF(ポートフォリオ実績!E168="","", ポートフォリオ実績!E168)</f>
        <v>15.18</v>
      </c>
      <c r="F167" s="10">
        <f>IF(ポートフォリオ実績!F168="","", ポートフォリオ実績!F168)</f>
        <v>0</v>
      </c>
      <c r="G167">
        <f t="shared" si="22"/>
        <v>45138</v>
      </c>
      <c r="H167">
        <f>IF(B167&lt;&gt;"", SUMIFS(ポートフォリオ実績!$D$2:$D$2001, ポートフォリオ実績!$B$2:$B$2001, B167, ポートフォリオ実績!$A$2:$A$2001, G167), 0)</f>
        <v>5143.04</v>
      </c>
      <c r="I167">
        <f>IF(B167&lt;&gt;"", SUMIFS(ポートフォリオ実績!$C$2:$C$2001, ポートフォリオ実績!$B$2:$B$2001, B167, ポートフォリオ実績!$A$2:$A$2001, G167), 0)</f>
        <v>4352.3999999999996</v>
      </c>
      <c r="J167">
        <f t="shared" si="23"/>
        <v>873.90999999999985</v>
      </c>
      <c r="K167">
        <f t="shared" si="24"/>
        <v>790.64000000000033</v>
      </c>
      <c r="L167">
        <f t="shared" si="25"/>
        <v>83.269999999999527</v>
      </c>
      <c r="M167">
        <f t="shared" si="26"/>
        <v>98.449999999999534</v>
      </c>
      <c r="N167">
        <f t="shared" si="27"/>
        <v>-98.499999999999716</v>
      </c>
      <c r="O167">
        <f t="shared" si="28"/>
        <v>5093.79</v>
      </c>
      <c r="P167">
        <f t="shared" si="29"/>
        <v>1.9327455588078725E-2</v>
      </c>
      <c r="Q167" t="str">
        <f>IF(B167="","", IFERROR(VLOOKUP(B167, '基準資産配分（設定）'!$A$2:$C$2001, 3, FALSE), ""))</f>
        <v>東証REIT指数（配当込み）</v>
      </c>
      <c r="R167">
        <f>IF(B167="","", IFERROR(VLOOKUP(B167, '基準資産配分（設定）'!$A$2:$C$2001, 2, FALSE)/100, 0))</f>
        <v>3.9100000000000003E-2</v>
      </c>
      <c r="S167">
        <f>IF(B167="","", IFERROR(SUMIFS(ベンチマークリターン!$C$2:$C$2001, ベンチマークリターン!$A$2:$A$2001, A167, ベンチマークリターン!$B$2:$B$2001, Q167) / 100, 0))</f>
        <v>4.5354999999999999E-2</v>
      </c>
      <c r="T167">
        <f>IF(A167="","", SUMIFS($H$2:$H$2000, $A$2:$A$2000, A167))</f>
        <v>147887.32999999999</v>
      </c>
      <c r="U167">
        <f t="shared" si="30"/>
        <v>3.4776745242476148E-2</v>
      </c>
      <c r="V167">
        <f t="shared" si="31"/>
        <v>6.7214599917188582E-4</v>
      </c>
      <c r="W167">
        <f t="shared" si="32"/>
        <v>1.7733805000000001E-3</v>
      </c>
    </row>
    <row r="168" spans="1:23" x14ac:dyDescent="0.2">
      <c r="A168" s="4">
        <f>IF(ポートフォリオ実績!A169="","", ポートフォリオ実績!A169)</f>
        <v>45199</v>
      </c>
      <c r="B168" t="str">
        <f>IF(ポートフォリオ実績!B169="","", ポートフォリオ実績!B169)</f>
        <v>不動産（J-REIT含む）</v>
      </c>
      <c r="C168" s="10">
        <f>IF(ポートフォリオ実績!C169="","", ポートフォリオ実績!C169)</f>
        <v>4273.05</v>
      </c>
      <c r="D168" s="10">
        <f>IF(ポートフォリオ実績!D169="","", ポートフォリオ実績!D169)</f>
        <v>5162.78</v>
      </c>
      <c r="E168" s="10">
        <f>IF(ポートフォリオ実績!E169="","", ポートフォリオ実績!E169)</f>
        <v>15.44</v>
      </c>
      <c r="F168" s="10">
        <f>IF(ポートフォリオ実績!F169="","", ポートフォリオ実績!F169)</f>
        <v>0</v>
      </c>
      <c r="G168">
        <f t="shared" si="22"/>
        <v>45169</v>
      </c>
      <c r="H168">
        <f>IF(B168&lt;&gt;"", SUMIFS(ポートフォリオ実績!$D$2:$D$2001, ポートフォリオ実績!$B$2:$B$2001, B168, ポートフォリオ実績!$A$2:$A$2001, G168), 0)</f>
        <v>5142.99</v>
      </c>
      <c r="I168">
        <f>IF(B168&lt;&gt;"", SUMIFS(ポートフォリオ実績!$C$2:$C$2001, ポートフォリオ実績!$B$2:$B$2001, B168, ポートフォリオ実績!$A$2:$A$2001, G168), 0)</f>
        <v>4269.08</v>
      </c>
      <c r="J168">
        <f t="shared" si="23"/>
        <v>889.72999999999956</v>
      </c>
      <c r="K168">
        <f t="shared" si="24"/>
        <v>873.90999999999985</v>
      </c>
      <c r="L168">
        <f t="shared" si="25"/>
        <v>15.819999999999709</v>
      </c>
      <c r="M168">
        <f t="shared" si="26"/>
        <v>31.259999999999707</v>
      </c>
      <c r="N168">
        <f t="shared" si="27"/>
        <v>-11.469999999999743</v>
      </c>
      <c r="O168">
        <f t="shared" si="28"/>
        <v>5137.2550000000001</v>
      </c>
      <c r="P168">
        <f t="shared" si="29"/>
        <v>6.0849617159357879E-3</v>
      </c>
      <c r="Q168" t="str">
        <f>IF(B168="","", IFERROR(VLOOKUP(B168, '基準資産配分（設定）'!$A$2:$C$2001, 3, FALSE), ""))</f>
        <v>東証REIT指数（配当込み）</v>
      </c>
      <c r="R168">
        <f>IF(B168="","", IFERROR(VLOOKUP(B168, '基準資産配分（設定）'!$A$2:$C$2001, 2, FALSE)/100, 0))</f>
        <v>3.9100000000000003E-2</v>
      </c>
      <c r="S168">
        <f>IF(B168="","", IFERROR(SUMIFS(ベンチマークリターン!$C$2:$C$2001, ベンチマークリターン!$A$2:$A$2001, A168, ベンチマークリターン!$B$2:$B$2001, Q168) / 100, 0))</f>
        <v>5.3373999999999998E-2</v>
      </c>
      <c r="T168">
        <f>IF(A168="","", SUMIFS($H$2:$H$2000, $A$2:$A$2000, A168))</f>
        <v>147535.20000000001</v>
      </c>
      <c r="U168">
        <f t="shared" si="30"/>
        <v>3.4859409822198359E-2</v>
      </c>
      <c r="V168">
        <f t="shared" si="31"/>
        <v>2.1211817420819297E-4</v>
      </c>
      <c r="W168">
        <f t="shared" si="32"/>
        <v>2.0869234000000002E-3</v>
      </c>
    </row>
    <row r="169" spans="1:23" x14ac:dyDescent="0.2">
      <c r="A169" s="4">
        <f>IF(ポートフォリオ実績!A170="","", ポートフォリオ実績!A170)</f>
        <v>45230</v>
      </c>
      <c r="B169" t="str">
        <f>IF(ポートフォリオ実績!B170="","", ポートフォリオ実績!B170)</f>
        <v>不動産（J-REIT含む）</v>
      </c>
      <c r="C169" s="10">
        <f>IF(ポートフォリオ実績!C170="","", ポートフォリオ実績!C170)</f>
        <v>4210</v>
      </c>
      <c r="D169" s="10">
        <f>IF(ポートフォリオ実績!D170="","", ポートフォリオ実績!D170)</f>
        <v>5196.45</v>
      </c>
      <c r="E169" s="10">
        <f>IF(ポートフォリオ実績!E170="","", ポートフォリオ実績!E170)</f>
        <v>15.3</v>
      </c>
      <c r="F169" s="10">
        <f>IF(ポートフォリオ実績!F170="","", ポートフォリオ実績!F170)</f>
        <v>0</v>
      </c>
      <c r="G169">
        <f t="shared" si="22"/>
        <v>45199</v>
      </c>
      <c r="H169">
        <f>IF(B169&lt;&gt;"", SUMIFS(ポートフォリオ実績!$D$2:$D$2001, ポートフォリオ実績!$B$2:$B$2001, B169, ポートフォリオ実績!$A$2:$A$2001, G169), 0)</f>
        <v>5162.78</v>
      </c>
      <c r="I169">
        <f>IF(B169&lt;&gt;"", SUMIFS(ポートフォリオ実績!$C$2:$C$2001, ポートフォリオ実績!$B$2:$B$2001, B169, ポートフォリオ実績!$A$2:$A$2001, G169), 0)</f>
        <v>4273.05</v>
      </c>
      <c r="J169">
        <f t="shared" si="23"/>
        <v>986.44999999999982</v>
      </c>
      <c r="K169">
        <f t="shared" si="24"/>
        <v>889.72999999999956</v>
      </c>
      <c r="L169">
        <f t="shared" si="25"/>
        <v>96.720000000000255</v>
      </c>
      <c r="M169">
        <f t="shared" si="26"/>
        <v>112.02000000000025</v>
      </c>
      <c r="N169">
        <f t="shared" si="27"/>
        <v>-78.350000000000179</v>
      </c>
      <c r="O169">
        <f t="shared" si="28"/>
        <v>5123.6049999999996</v>
      </c>
      <c r="P169">
        <f t="shared" si="29"/>
        <v>2.1863512116956765E-2</v>
      </c>
      <c r="Q169" t="str">
        <f>IF(B169="","", IFERROR(VLOOKUP(B169, '基準資産配分（設定）'!$A$2:$C$2001, 3, FALSE), ""))</f>
        <v>東証REIT指数（配当込み）</v>
      </c>
      <c r="R169">
        <f>IF(B169="","", IFERROR(VLOOKUP(B169, '基準資産配分（設定）'!$A$2:$C$2001, 2, FALSE)/100, 0))</f>
        <v>3.9100000000000003E-2</v>
      </c>
      <c r="S169">
        <f>IF(B169="","", IFERROR(SUMIFS(ベンチマークリターン!$C$2:$C$2001, ベンチマークリターン!$A$2:$A$2001, A169, ベンチマークリターン!$B$2:$B$2001, Q169) / 100, 0))</f>
        <v>-1.5605000000000001E-2</v>
      </c>
      <c r="T169">
        <f>IF(A169="","", SUMIFS($H$2:$H$2000, $A$2:$A$2000, A169))</f>
        <v>148508.15</v>
      </c>
      <c r="U169">
        <f t="shared" si="30"/>
        <v>3.4764287347192731E-2</v>
      </c>
      <c r="V169">
        <f t="shared" si="31"/>
        <v>7.6006941765271508E-4</v>
      </c>
      <c r="W169">
        <f t="shared" si="32"/>
        <v>-6.1015550000000009E-4</v>
      </c>
    </row>
    <row r="170" spans="1:23" x14ac:dyDescent="0.2">
      <c r="A170" s="4">
        <f>IF(ポートフォリオ実績!A171="","", ポートフォリオ実績!A171)</f>
        <v>45260</v>
      </c>
      <c r="B170" t="str">
        <f>IF(ポートフォリオ実績!B171="","", ポートフォリオ実績!B171)</f>
        <v>不動産（J-REIT含む）</v>
      </c>
      <c r="C170" s="10">
        <f>IF(ポートフォリオ実績!C171="","", ポートフォリオ実績!C171)</f>
        <v>4157.1000000000004</v>
      </c>
      <c r="D170" s="10">
        <f>IF(ポートフォリオ実績!D171="","", ポートフォリオ実績!D171)</f>
        <v>5288.6</v>
      </c>
      <c r="E170" s="10">
        <f>IF(ポートフォリオ実績!E171="","", ポートフォリオ実績!E171)</f>
        <v>15.43</v>
      </c>
      <c r="F170" s="10">
        <f>IF(ポートフォリオ実績!F171="","", ポートフォリオ実績!F171)</f>
        <v>0</v>
      </c>
      <c r="G170">
        <f t="shared" si="22"/>
        <v>45230</v>
      </c>
      <c r="H170">
        <f>IF(B170&lt;&gt;"", SUMIFS(ポートフォリオ実績!$D$2:$D$2001, ポートフォリオ実績!$B$2:$B$2001, B170, ポートフォリオ実績!$A$2:$A$2001, G170), 0)</f>
        <v>5196.45</v>
      </c>
      <c r="I170">
        <f>IF(B170&lt;&gt;"", SUMIFS(ポートフォリオ実績!$C$2:$C$2001, ポートフォリオ実績!$B$2:$B$2001, B170, ポートフォリオ実績!$A$2:$A$2001, G170), 0)</f>
        <v>4210</v>
      </c>
      <c r="J170">
        <f t="shared" si="23"/>
        <v>1131.5</v>
      </c>
      <c r="K170">
        <f t="shared" si="24"/>
        <v>986.44999999999982</v>
      </c>
      <c r="L170">
        <f t="shared" si="25"/>
        <v>145.05000000000018</v>
      </c>
      <c r="M170">
        <f t="shared" si="26"/>
        <v>160.48000000000019</v>
      </c>
      <c r="N170">
        <f t="shared" si="27"/>
        <v>-68.329999999999643</v>
      </c>
      <c r="O170">
        <f t="shared" si="28"/>
        <v>5162.2849999999999</v>
      </c>
      <c r="P170">
        <f t="shared" si="29"/>
        <v>3.108700895049386E-2</v>
      </c>
      <c r="Q170" t="str">
        <f>IF(B170="","", IFERROR(VLOOKUP(B170, '基準資産配分（設定）'!$A$2:$C$2001, 3, FALSE), ""))</f>
        <v>東証REIT指数（配当込み）</v>
      </c>
      <c r="R170">
        <f>IF(B170="","", IFERROR(VLOOKUP(B170, '基準資産配分（設定）'!$A$2:$C$2001, 2, FALSE)/100, 0))</f>
        <v>3.9100000000000003E-2</v>
      </c>
      <c r="S170">
        <f>IF(B170="","", IFERROR(SUMIFS(ベンチマークリターン!$C$2:$C$2001, ベンチマークリターン!$A$2:$A$2001, A170, ベンチマークリターン!$B$2:$B$2001, Q170) / 100, 0))</f>
        <v>-2.4666999999999998E-2</v>
      </c>
      <c r="T170">
        <f>IF(A170="","", SUMIFS($H$2:$H$2000, $A$2:$A$2000, A170))</f>
        <v>141833.18</v>
      </c>
      <c r="U170">
        <f t="shared" si="30"/>
        <v>3.6637759937413798E-2</v>
      </c>
      <c r="V170">
        <f t="shared" si="31"/>
        <v>1.1389583711004282E-3</v>
      </c>
      <c r="W170">
        <f t="shared" si="32"/>
        <v>-9.6447969999999999E-4</v>
      </c>
    </row>
    <row r="171" spans="1:23" x14ac:dyDescent="0.2">
      <c r="A171" s="4">
        <f>IF(ポートフォリオ実績!A172="","", ポートフォリオ実績!A172)</f>
        <v>45291</v>
      </c>
      <c r="B171" t="str">
        <f>IF(ポートフォリオ実績!B172="","", ポートフォリオ実績!B172)</f>
        <v>不動産（J-REIT含む）</v>
      </c>
      <c r="C171" s="10">
        <f>IF(ポートフォリオ実績!C172="","", ポートフォリオ実績!C172)</f>
        <v>4158.2</v>
      </c>
      <c r="D171" s="10">
        <f>IF(ポートフォリオ実績!D172="","", ポートフォリオ実績!D172)</f>
        <v>5405.5</v>
      </c>
      <c r="E171" s="10">
        <f>IF(ポートフォリオ実績!E172="","", ポートフォリオ実績!E172)</f>
        <v>15.87</v>
      </c>
      <c r="F171" s="10">
        <f>IF(ポートフォリオ実績!F172="","", ポートフォリオ実績!F172)</f>
        <v>0</v>
      </c>
      <c r="G171">
        <f t="shared" si="22"/>
        <v>45260</v>
      </c>
      <c r="H171">
        <f>IF(B171&lt;&gt;"", SUMIFS(ポートフォリオ実績!$D$2:$D$2001, ポートフォリオ実績!$B$2:$B$2001, B171, ポートフォリオ実績!$A$2:$A$2001, G171), 0)</f>
        <v>5288.6</v>
      </c>
      <c r="I171">
        <f>IF(B171&lt;&gt;"", SUMIFS(ポートフォリオ実績!$C$2:$C$2001, ポートフォリオ実績!$B$2:$B$2001, B171, ポートフォリオ実績!$A$2:$A$2001, G171), 0)</f>
        <v>4157.1000000000004</v>
      </c>
      <c r="J171">
        <f t="shared" si="23"/>
        <v>1247.3000000000002</v>
      </c>
      <c r="K171">
        <f t="shared" si="24"/>
        <v>1131.5</v>
      </c>
      <c r="L171">
        <f t="shared" si="25"/>
        <v>115.80000000000018</v>
      </c>
      <c r="M171">
        <f t="shared" si="26"/>
        <v>131.67000000000019</v>
      </c>
      <c r="N171">
        <f t="shared" si="27"/>
        <v>-14.77000000000055</v>
      </c>
      <c r="O171">
        <f t="shared" si="28"/>
        <v>5281.2150000000001</v>
      </c>
      <c r="P171">
        <f t="shared" si="29"/>
        <v>2.4931762861387045E-2</v>
      </c>
      <c r="Q171" t="str">
        <f>IF(B171="","", IFERROR(VLOOKUP(B171, '基準資産配分（設定）'!$A$2:$C$2001, 3, FALSE), ""))</f>
        <v>東証REIT指数（配当込み）</v>
      </c>
      <c r="R171">
        <f>IF(B171="","", IFERROR(VLOOKUP(B171, '基準資産配分（設定）'!$A$2:$C$2001, 2, FALSE)/100, 0))</f>
        <v>3.9100000000000003E-2</v>
      </c>
      <c r="S171">
        <f>IF(B171="","", IFERROR(SUMIFS(ベンチマークリターン!$C$2:$C$2001, ベンチマークリターン!$A$2:$A$2001, A171, ベンチマークリターン!$B$2:$B$2001, Q171) / 100, 0))</f>
        <v>2.0497000000000001E-2</v>
      </c>
      <c r="T171">
        <f>IF(A171="","", SUMIFS($H$2:$H$2000, $A$2:$A$2000, A171))</f>
        <v>142786.25</v>
      </c>
      <c r="U171">
        <f t="shared" si="30"/>
        <v>3.7038580395521277E-2</v>
      </c>
      <c r="V171">
        <f t="shared" si="31"/>
        <v>9.234371031435557E-4</v>
      </c>
      <c r="W171">
        <f t="shared" si="32"/>
        <v>8.0143270000000006E-4</v>
      </c>
    </row>
    <row r="172" spans="1:23" x14ac:dyDescent="0.2">
      <c r="A172" s="4">
        <f>IF(ポートフォリオ実績!A173="","", ポートフォリオ実績!A173)</f>
        <v>45322</v>
      </c>
      <c r="B172" t="str">
        <f>IF(ポートフォリオ実績!B173="","", ポートフォリオ実績!B173)</f>
        <v>不動産（J-REIT含む）</v>
      </c>
      <c r="C172" s="10">
        <f>IF(ポートフォリオ実績!C173="","", ポートフォリオ実績!C173)</f>
        <v>3724.7</v>
      </c>
      <c r="D172" s="10">
        <f>IF(ポートフォリオ実績!D173="","", ポートフォリオ実績!D173)</f>
        <v>5098.32</v>
      </c>
      <c r="E172" s="10">
        <f>IF(ポートフォリオ実績!E173="","", ポートフォリオ実績!E173)</f>
        <v>16.16</v>
      </c>
      <c r="F172" s="10">
        <f>IF(ポートフォリオ実績!F173="","", ポートフォリオ実績!F173)</f>
        <v>78.81</v>
      </c>
      <c r="G172">
        <f t="shared" si="22"/>
        <v>45291</v>
      </c>
      <c r="H172">
        <f>IF(B172&lt;&gt;"", SUMIFS(ポートフォリオ実績!$D$2:$D$2001, ポートフォリオ実績!$B$2:$B$2001, B172, ポートフォリオ実績!$A$2:$A$2001, G172), 0)</f>
        <v>5405.5</v>
      </c>
      <c r="I172">
        <f>IF(B172&lt;&gt;"", SUMIFS(ポートフォリオ実績!$C$2:$C$2001, ポートフォリオ実績!$B$2:$B$2001, B172, ポートフォリオ実績!$A$2:$A$2001, G172), 0)</f>
        <v>4158.2</v>
      </c>
      <c r="J172">
        <f t="shared" si="23"/>
        <v>1373.62</v>
      </c>
      <c r="K172">
        <f t="shared" si="24"/>
        <v>1247.3000000000002</v>
      </c>
      <c r="L172">
        <f t="shared" si="25"/>
        <v>126.31999999999971</v>
      </c>
      <c r="M172">
        <f t="shared" si="26"/>
        <v>221.28999999999971</v>
      </c>
      <c r="N172">
        <f t="shared" si="27"/>
        <v>-528.47</v>
      </c>
      <c r="O172">
        <f t="shared" si="28"/>
        <v>5141.2650000000003</v>
      </c>
      <c r="P172">
        <f t="shared" si="29"/>
        <v>4.3041936177185908E-2</v>
      </c>
      <c r="Q172" t="str">
        <f>IF(B172="","", IFERROR(VLOOKUP(B172, '基準資産配分（設定）'!$A$2:$C$2001, 3, FALSE), ""))</f>
        <v>東証REIT指数（配当込み）</v>
      </c>
      <c r="R172">
        <f>IF(B172="","", IFERROR(VLOOKUP(B172, '基準資産配分（設定）'!$A$2:$C$2001, 2, FALSE)/100, 0))</f>
        <v>3.9100000000000003E-2</v>
      </c>
      <c r="S172">
        <f>IF(B172="","", IFERROR(SUMIFS(ベンチマークリターン!$C$2:$C$2001, ベンチマークリターン!$A$2:$A$2001, A172, ベンチマークリターン!$B$2:$B$2001, Q172) / 100, 0))</f>
        <v>-1.4962999999999999E-2</v>
      </c>
      <c r="T172">
        <f>IF(A172="","", SUMIFS($H$2:$H$2000, $A$2:$A$2000, A172))</f>
        <v>144901.44999999998</v>
      </c>
      <c r="U172">
        <f t="shared" si="30"/>
        <v>3.7304664653114245E-2</v>
      </c>
      <c r="V172">
        <f t="shared" si="31"/>
        <v>1.6056649951106663E-3</v>
      </c>
      <c r="W172">
        <f t="shared" si="32"/>
        <v>-5.8505329999999998E-4</v>
      </c>
    </row>
    <row r="173" spans="1:23" x14ac:dyDescent="0.2">
      <c r="A173" s="4">
        <f>IF(ポートフォリオ実績!A174="","", ポートフォリオ実績!A174)</f>
        <v>45351</v>
      </c>
      <c r="B173" t="str">
        <f>IF(ポートフォリオ実績!B174="","", ポートフォリオ実績!B174)</f>
        <v>不動産（J-REIT含む）</v>
      </c>
      <c r="C173" s="10">
        <f>IF(ポートフォリオ実績!C174="","", ポートフォリオ実績!C174)</f>
        <v>3701.91</v>
      </c>
      <c r="D173" s="10">
        <f>IF(ポートフォリオ実績!D174="","", ポートフォリオ実績!D174)</f>
        <v>5017.28</v>
      </c>
      <c r="E173" s="10">
        <f>IF(ポートフォリオ実績!E174="","", ポートフォリオ実績!E174)</f>
        <v>15.23</v>
      </c>
      <c r="F173" s="10">
        <f>IF(ポートフォリオ実績!F174="","", ポートフォリオ実績!F174)</f>
        <v>0</v>
      </c>
      <c r="G173">
        <f t="shared" si="22"/>
        <v>45322</v>
      </c>
      <c r="H173">
        <f>IF(B173&lt;&gt;"", SUMIFS(ポートフォリオ実績!$D$2:$D$2001, ポートフォリオ実績!$B$2:$B$2001, B173, ポートフォリオ実績!$A$2:$A$2001, G173), 0)</f>
        <v>5098.32</v>
      </c>
      <c r="I173">
        <f>IF(B173&lt;&gt;"", SUMIFS(ポートフォリオ実績!$C$2:$C$2001, ポートフォリオ実績!$B$2:$B$2001, B173, ポートフォリオ実績!$A$2:$A$2001, G173), 0)</f>
        <v>3724.7</v>
      </c>
      <c r="J173">
        <f t="shared" si="23"/>
        <v>1315.37</v>
      </c>
      <c r="K173">
        <f t="shared" si="24"/>
        <v>1373.62</v>
      </c>
      <c r="L173">
        <f t="shared" si="25"/>
        <v>-58.25</v>
      </c>
      <c r="M173">
        <f t="shared" si="26"/>
        <v>-43.019999999999996</v>
      </c>
      <c r="N173">
        <f t="shared" si="27"/>
        <v>-38.019999999999968</v>
      </c>
      <c r="O173">
        <f t="shared" si="28"/>
        <v>5079.3099999999995</v>
      </c>
      <c r="P173">
        <f t="shared" si="29"/>
        <v>-8.4696543428142805E-3</v>
      </c>
      <c r="Q173" t="str">
        <f>IF(B173="","", IFERROR(VLOOKUP(B173, '基準資産配分（設定）'!$A$2:$C$2001, 3, FALSE), ""))</f>
        <v>東証REIT指数（配当込み）</v>
      </c>
      <c r="R173">
        <f>IF(B173="","", IFERROR(VLOOKUP(B173, '基準資産配分（設定）'!$A$2:$C$2001, 2, FALSE)/100, 0))</f>
        <v>3.9100000000000003E-2</v>
      </c>
      <c r="S173">
        <f>IF(B173="","", IFERROR(SUMIFS(ベンチマークリターン!$C$2:$C$2001, ベンチマークリターン!$A$2:$A$2001, A173, ベンチマークリターン!$B$2:$B$2001, Q173) / 100, 0))</f>
        <v>2.6092000000000001E-2</v>
      </c>
      <c r="T173">
        <f>IF(A173="","", SUMIFS($H$2:$H$2000, $A$2:$A$2000, A173))</f>
        <v>143790.06</v>
      </c>
      <c r="U173">
        <f t="shared" si="30"/>
        <v>3.5456692903528937E-2</v>
      </c>
      <c r="V173">
        <f t="shared" si="31"/>
        <v>-3.0030593303220614E-4</v>
      </c>
      <c r="W173">
        <f t="shared" si="32"/>
        <v>1.0201972000000001E-3</v>
      </c>
    </row>
    <row r="174" spans="1:23" x14ac:dyDescent="0.2">
      <c r="A174" s="4">
        <f>IF(ポートフォリオ実績!A175="","", ポートフォリオ実績!A175)</f>
        <v>45382</v>
      </c>
      <c r="B174" t="str">
        <f>IF(ポートフォリオ実績!B175="","", ポートフォリオ実績!B175)</f>
        <v>不動産（J-REIT含む）</v>
      </c>
      <c r="C174" s="10">
        <f>IF(ポートフォリオ実績!C175="","", ポートフォリオ実績!C175)</f>
        <v>3634.14</v>
      </c>
      <c r="D174" s="10">
        <f>IF(ポートフォリオ実績!D175="","", ポートフォリオ実績!D175)</f>
        <v>4838.3100000000004</v>
      </c>
      <c r="E174" s="10">
        <f>IF(ポートフォリオ実績!E175="","", ポートフォリオ実績!E175)</f>
        <v>14.85</v>
      </c>
      <c r="F174" s="10">
        <f>IF(ポートフォリオ実績!F175="","", ポートフォリオ実績!F175)</f>
        <v>0</v>
      </c>
      <c r="G174">
        <f t="shared" si="22"/>
        <v>45351</v>
      </c>
      <c r="H174">
        <f>IF(B174&lt;&gt;"", SUMIFS(ポートフォリオ実績!$D$2:$D$2001, ポートフォリオ実績!$B$2:$B$2001, B174, ポートフォリオ実績!$A$2:$A$2001, G174), 0)</f>
        <v>5017.28</v>
      </c>
      <c r="I174">
        <f>IF(B174&lt;&gt;"", SUMIFS(ポートフォリオ実績!$C$2:$C$2001, ポートフォリオ実績!$B$2:$B$2001, B174, ポートフォリオ実績!$A$2:$A$2001, G174), 0)</f>
        <v>3701.91</v>
      </c>
      <c r="J174">
        <f t="shared" si="23"/>
        <v>1204.1700000000005</v>
      </c>
      <c r="K174">
        <f t="shared" si="24"/>
        <v>1315.37</v>
      </c>
      <c r="L174">
        <f t="shared" si="25"/>
        <v>-111.19999999999936</v>
      </c>
      <c r="M174">
        <f t="shared" si="26"/>
        <v>-96.349999999999369</v>
      </c>
      <c r="N174">
        <f t="shared" si="27"/>
        <v>-82.619999999999976</v>
      </c>
      <c r="O174">
        <f t="shared" si="28"/>
        <v>4975.9699999999993</v>
      </c>
      <c r="P174">
        <f t="shared" si="29"/>
        <v>-1.9363058860885293E-2</v>
      </c>
      <c r="Q174" t="str">
        <f>IF(B174="","", IFERROR(VLOOKUP(B174, '基準資産配分（設定）'!$A$2:$C$2001, 3, FALSE), ""))</f>
        <v>東証REIT指数（配当込み）</v>
      </c>
      <c r="R174">
        <f>IF(B174="","", IFERROR(VLOOKUP(B174, '基準資産配分（設定）'!$A$2:$C$2001, 2, FALSE)/100, 0))</f>
        <v>3.9100000000000003E-2</v>
      </c>
      <c r="S174">
        <f>IF(B174="","", IFERROR(SUMIFS(ベンチマークリターン!$C$2:$C$2001, ベンチマークリターン!$A$2:$A$2001, A174, ベンチマークリターン!$B$2:$B$2001, Q174) / 100, 0))</f>
        <v>1.1195999999999999E-2</v>
      </c>
      <c r="T174">
        <f>IF(A174="","", SUMIFS($H$2:$H$2000, $A$2:$A$2000, A174))</f>
        <v>144636.99</v>
      </c>
      <c r="U174">
        <f t="shared" si="30"/>
        <v>3.4688774980729344E-2</v>
      </c>
      <c r="V174">
        <f t="shared" si="31"/>
        <v>-6.7168079176386738E-4</v>
      </c>
      <c r="W174">
        <f t="shared" si="32"/>
        <v>4.3776360000000002E-4</v>
      </c>
    </row>
    <row r="175" spans="1:23" x14ac:dyDescent="0.2">
      <c r="A175" s="4">
        <f>IF(ポートフォリオ実績!A176="","", ポートフォリオ実績!A176)</f>
        <v>45412</v>
      </c>
      <c r="B175" t="str">
        <f>IF(ポートフォリオ実績!B176="","", ポートフォリオ実績!B176)</f>
        <v>不動産（J-REIT含む）</v>
      </c>
      <c r="C175" s="10">
        <f>IF(ポートフォリオ実績!C176="","", ポートフォリオ実績!C176)</f>
        <v>3359.91</v>
      </c>
      <c r="D175" s="10">
        <f>IF(ポートフォリオ実績!D176="","", ポートフォリオ実績!D176)</f>
        <v>4559.0600000000004</v>
      </c>
      <c r="E175" s="10">
        <f>IF(ポートフォリオ実績!E176="","", ポートフォリオ実績!E176)</f>
        <v>14.81</v>
      </c>
      <c r="F175" s="10">
        <f>IF(ポートフォリオ実績!F176="","", ポートフォリオ実績!F176)</f>
        <v>-3.05</v>
      </c>
      <c r="G175">
        <f t="shared" si="22"/>
        <v>45382</v>
      </c>
      <c r="H175">
        <f>IF(B175&lt;&gt;"", SUMIFS(ポートフォリオ実績!$D$2:$D$2001, ポートフォリオ実績!$B$2:$B$2001, B175, ポートフォリオ実績!$A$2:$A$2001, G175), 0)</f>
        <v>4838.3100000000004</v>
      </c>
      <c r="I175">
        <f>IF(B175&lt;&gt;"", SUMIFS(ポートフォリオ実績!$C$2:$C$2001, ポートフォリオ実績!$B$2:$B$2001, B175, ポートフォリオ実績!$A$2:$A$2001, G175), 0)</f>
        <v>3634.14</v>
      </c>
      <c r="J175">
        <f t="shared" si="23"/>
        <v>1199.1500000000005</v>
      </c>
      <c r="K175">
        <f t="shared" si="24"/>
        <v>1204.1700000000005</v>
      </c>
      <c r="L175">
        <f t="shared" si="25"/>
        <v>-5.0199999999999818</v>
      </c>
      <c r="M175">
        <f t="shared" si="26"/>
        <v>6.7400000000000198</v>
      </c>
      <c r="N175">
        <f t="shared" si="27"/>
        <v>-285.99</v>
      </c>
      <c r="O175">
        <f t="shared" si="28"/>
        <v>4695.3150000000005</v>
      </c>
      <c r="P175">
        <f t="shared" si="29"/>
        <v>1.4354734453386022E-3</v>
      </c>
      <c r="Q175" t="str">
        <f>IF(B175="","", IFERROR(VLOOKUP(B175, '基準資産配分（設定）'!$A$2:$C$2001, 3, FALSE), ""))</f>
        <v>東証REIT指数（配当込み）</v>
      </c>
      <c r="R175">
        <f>IF(B175="","", IFERROR(VLOOKUP(B175, '基準資産配分（設定）'!$A$2:$C$2001, 2, FALSE)/100, 0))</f>
        <v>3.9100000000000003E-2</v>
      </c>
      <c r="S175">
        <f>IF(B175="","", IFERROR(SUMIFS(ベンチマークリターン!$C$2:$C$2001, ベンチマークリターン!$A$2:$A$2001, A175, ベンチマークリターン!$B$2:$B$2001, Q175) / 100, 0))</f>
        <v>-4.8339999999999994E-2</v>
      </c>
      <c r="T175">
        <f>IF(A175="","", SUMIFS($H$2:$H$2000, $A$2:$A$2000, A175))</f>
        <v>143236.52000000002</v>
      </c>
      <c r="U175">
        <f t="shared" si="30"/>
        <v>3.3778466553082968E-2</v>
      </c>
      <c r="V175">
        <f t="shared" si="31"/>
        <v>4.8488091761208746E-5</v>
      </c>
      <c r="W175">
        <f t="shared" si="32"/>
        <v>-1.8900939999999999E-3</v>
      </c>
    </row>
    <row r="176" spans="1:23" x14ac:dyDescent="0.2">
      <c r="A176" s="4">
        <f>IF(ポートフォリオ実績!A177="","", ポートフォリオ実績!A177)</f>
        <v>45443</v>
      </c>
      <c r="B176" t="str">
        <f>IF(ポートフォリオ実績!B177="","", ポートフォリオ実績!B177)</f>
        <v>不動産（J-REIT含む）</v>
      </c>
      <c r="C176" s="10">
        <f>IF(ポートフォリオ実績!C177="","", ポートフォリオ実績!C177)</f>
        <v>3387.17</v>
      </c>
      <c r="D176" s="10">
        <f>IF(ポートフォリオ実績!D177="","", ポートフォリオ実績!D177)</f>
        <v>4614.8599999999997</v>
      </c>
      <c r="E176" s="10">
        <f>IF(ポートフォリオ実績!E177="","", ポートフォリオ実績!E177)</f>
        <v>13.76</v>
      </c>
      <c r="F176" s="10">
        <f>IF(ポートフォリオ実績!F177="","", ポートフォリオ実績!F177)</f>
        <v>0</v>
      </c>
      <c r="G176">
        <f t="shared" si="22"/>
        <v>45412</v>
      </c>
      <c r="H176">
        <f>IF(B176&lt;&gt;"", SUMIFS(ポートフォリオ実績!$D$2:$D$2001, ポートフォリオ実績!$B$2:$B$2001, B176, ポートフォリオ実績!$A$2:$A$2001, G176), 0)</f>
        <v>4559.0600000000004</v>
      </c>
      <c r="I176">
        <f>IF(B176&lt;&gt;"", SUMIFS(ポートフォリオ実績!$C$2:$C$2001, ポートフォリオ実績!$B$2:$B$2001, B176, ポートフォリオ実績!$A$2:$A$2001, G176), 0)</f>
        <v>3359.91</v>
      </c>
      <c r="J176">
        <f t="shared" si="23"/>
        <v>1227.6899999999996</v>
      </c>
      <c r="K176">
        <f t="shared" si="24"/>
        <v>1199.1500000000005</v>
      </c>
      <c r="L176">
        <f t="shared" si="25"/>
        <v>28.539999999999054</v>
      </c>
      <c r="M176">
        <f t="shared" si="26"/>
        <v>42.299999999999052</v>
      </c>
      <c r="N176">
        <f t="shared" si="27"/>
        <v>13.50000000000022</v>
      </c>
      <c r="O176">
        <f t="shared" si="28"/>
        <v>4565.8100000000004</v>
      </c>
      <c r="P176">
        <f t="shared" si="29"/>
        <v>9.2645116638666626E-3</v>
      </c>
      <c r="Q176" t="str">
        <f>IF(B176="","", IFERROR(VLOOKUP(B176, '基準資産配分（設定）'!$A$2:$C$2001, 3, FALSE), ""))</f>
        <v>東証REIT指数（配当込み）</v>
      </c>
      <c r="R176">
        <f>IF(B176="","", IFERROR(VLOOKUP(B176, '基準資産配分（設定）'!$A$2:$C$2001, 2, FALSE)/100, 0))</f>
        <v>3.9100000000000003E-2</v>
      </c>
      <c r="S176">
        <f>IF(B176="","", IFERROR(SUMIFS(ベンチマークリターン!$C$2:$C$2001, ベンチマークリターン!$A$2:$A$2001, A176, ベンチマークリターン!$B$2:$B$2001, Q176) / 100, 0))</f>
        <v>5.7773999999999999E-2</v>
      </c>
      <c r="T176">
        <f>IF(A176="","", SUMIFS($H$2:$H$2000, $A$2:$A$2000, A176))</f>
        <v>142294.85999999999</v>
      </c>
      <c r="U176">
        <f t="shared" si="30"/>
        <v>3.2039526937234421E-2</v>
      </c>
      <c r="V176">
        <f t="shared" si="31"/>
        <v>2.9683057101477842E-4</v>
      </c>
      <c r="W176">
        <f t="shared" si="32"/>
        <v>2.2589634000000003E-3</v>
      </c>
    </row>
    <row r="177" spans="1:23" x14ac:dyDescent="0.2">
      <c r="A177" s="4">
        <f>IF(ポートフォリオ実績!A178="","", ポートフォリオ実績!A178)</f>
        <v>45473</v>
      </c>
      <c r="B177" t="str">
        <f>IF(ポートフォリオ実績!B178="","", ポートフォリオ実績!B178)</f>
        <v>不動産（J-REIT含む）</v>
      </c>
      <c r="C177" s="10">
        <f>IF(ポートフォリオ実績!C178="","", ポートフォリオ実績!C178)</f>
        <v>3385.83</v>
      </c>
      <c r="D177" s="10">
        <f>IF(ポートフォリオ実績!D178="","", ポートフォリオ実績!D178)</f>
        <v>4829.1099999999997</v>
      </c>
      <c r="E177" s="10">
        <f>IF(ポートフォリオ実績!E178="","", ポートフォリオ実績!E178)</f>
        <v>13.84</v>
      </c>
      <c r="F177" s="10">
        <f>IF(ポートフォリオ実績!F178="","", ポートフォリオ実績!F178)</f>
        <v>0</v>
      </c>
      <c r="G177">
        <f t="shared" si="22"/>
        <v>45443</v>
      </c>
      <c r="H177">
        <f>IF(B177&lt;&gt;"", SUMIFS(ポートフォリオ実績!$D$2:$D$2001, ポートフォリオ実績!$B$2:$B$2001, B177, ポートフォリオ実績!$A$2:$A$2001, G177), 0)</f>
        <v>4614.8599999999997</v>
      </c>
      <c r="I177">
        <f>IF(B177&lt;&gt;"", SUMIFS(ポートフォリオ実績!$C$2:$C$2001, ポートフォリオ実績!$B$2:$B$2001, B177, ポートフォリオ実績!$A$2:$A$2001, G177), 0)</f>
        <v>3387.17</v>
      </c>
      <c r="J177">
        <f t="shared" si="23"/>
        <v>1443.2799999999997</v>
      </c>
      <c r="K177">
        <f t="shared" si="24"/>
        <v>1227.6899999999996</v>
      </c>
      <c r="L177">
        <f t="shared" si="25"/>
        <v>215.59000000000015</v>
      </c>
      <c r="M177">
        <f t="shared" si="26"/>
        <v>229.43000000000015</v>
      </c>
      <c r="N177">
        <f t="shared" si="27"/>
        <v>-15.180000000000149</v>
      </c>
      <c r="O177">
        <f t="shared" si="28"/>
        <v>4607.2699999999995</v>
      </c>
      <c r="P177">
        <f t="shared" si="29"/>
        <v>4.9797385436494972E-2</v>
      </c>
      <c r="Q177" t="str">
        <f>IF(B177="","", IFERROR(VLOOKUP(B177, '基準資産配分（設定）'!$A$2:$C$2001, 3, FALSE), ""))</f>
        <v>東証REIT指数（配当込み）</v>
      </c>
      <c r="R177">
        <f>IF(B177="","", IFERROR(VLOOKUP(B177, '基準資産配分（設定）'!$A$2:$C$2001, 2, FALSE)/100, 0))</f>
        <v>3.9100000000000003E-2</v>
      </c>
      <c r="S177">
        <f>IF(B177="","", IFERROR(SUMIFS(ベンチマークリターン!$C$2:$C$2001, ベンチマークリターン!$A$2:$A$2001, A177, ベンチマークリターン!$B$2:$B$2001, Q177) / 100, 0))</f>
        <v>6.6378000000000006E-2</v>
      </c>
      <c r="T177">
        <f>IF(A177="","", SUMIFS($H$2:$H$2000, $A$2:$A$2000, A177))</f>
        <v>142297.76999999999</v>
      </c>
      <c r="U177">
        <f t="shared" si="30"/>
        <v>3.2431007176008449E-2</v>
      </c>
      <c r="V177">
        <f t="shared" si="31"/>
        <v>1.614979364437427E-3</v>
      </c>
      <c r="W177">
        <f t="shared" si="32"/>
        <v>2.5953798000000004E-3</v>
      </c>
    </row>
    <row r="178" spans="1:23" x14ac:dyDescent="0.2">
      <c r="A178" s="4">
        <f>IF(ポートフォリオ実績!A179="","", ポートフォリオ実績!A179)</f>
        <v>45504</v>
      </c>
      <c r="B178" t="str">
        <f>IF(ポートフォリオ実績!B179="","", ポートフォリオ実績!B179)</f>
        <v>不動産（J-REIT含む）</v>
      </c>
      <c r="C178" s="10">
        <f>IF(ポートフォリオ実績!C179="","", ポートフォリオ実績!C179)</f>
        <v>3354.3</v>
      </c>
      <c r="D178" s="10">
        <f>IF(ポートフォリオ実績!D179="","", ポートフォリオ実績!D179)</f>
        <v>4784.83</v>
      </c>
      <c r="E178" s="10">
        <f>IF(ポートフォリオ実績!E179="","", ポートフォリオ実績!E179)</f>
        <v>14.39</v>
      </c>
      <c r="F178" s="10">
        <f>IF(ポートフォリオ実績!F179="","", ポートフォリオ実績!F179)</f>
        <v>0</v>
      </c>
      <c r="G178">
        <f t="shared" si="22"/>
        <v>45473</v>
      </c>
      <c r="H178">
        <f>IF(B178&lt;&gt;"", SUMIFS(ポートフォリオ実績!$D$2:$D$2001, ポートフォリオ実績!$B$2:$B$2001, B178, ポートフォリオ実績!$A$2:$A$2001, G178), 0)</f>
        <v>4829.1099999999997</v>
      </c>
      <c r="I178">
        <f>IF(B178&lt;&gt;"", SUMIFS(ポートフォリオ実績!$C$2:$C$2001, ポートフォリオ実績!$B$2:$B$2001, B178, ポートフォリオ実績!$A$2:$A$2001, G178), 0)</f>
        <v>3385.83</v>
      </c>
      <c r="J178">
        <f t="shared" si="23"/>
        <v>1430.5299999999997</v>
      </c>
      <c r="K178">
        <f t="shared" si="24"/>
        <v>1443.2799999999997</v>
      </c>
      <c r="L178">
        <f t="shared" si="25"/>
        <v>-12.75</v>
      </c>
      <c r="M178">
        <f t="shared" si="26"/>
        <v>1.6400000000000006</v>
      </c>
      <c r="N178">
        <f t="shared" si="27"/>
        <v>-45.919999999999746</v>
      </c>
      <c r="O178">
        <f t="shared" si="28"/>
        <v>4806.1499999999996</v>
      </c>
      <c r="P178">
        <f t="shared" si="29"/>
        <v>3.4122946641282538E-4</v>
      </c>
      <c r="Q178" t="str">
        <f>IF(B178="","", IFERROR(VLOOKUP(B178, '基準資産配分（設定）'!$A$2:$C$2001, 3, FALSE), ""))</f>
        <v>東証REIT指数（配当込み）</v>
      </c>
      <c r="R178">
        <f>IF(B178="","", IFERROR(VLOOKUP(B178, '基準資産配分（設定）'!$A$2:$C$2001, 2, FALSE)/100, 0))</f>
        <v>3.9100000000000003E-2</v>
      </c>
      <c r="S178">
        <f>IF(B178="","", IFERROR(SUMIFS(ベンチマークリターン!$C$2:$C$2001, ベンチマークリターン!$A$2:$A$2001, A178, ベンチマークリターン!$B$2:$B$2001, Q178) / 100, 0))</f>
        <v>-1.7061E-2</v>
      </c>
      <c r="T178">
        <f>IF(A178="","", SUMIFS($H$2:$H$2000, $A$2:$A$2000, A178))</f>
        <v>135112.08000000002</v>
      </c>
      <c r="U178">
        <f t="shared" si="30"/>
        <v>3.5741511787843093E-2</v>
      </c>
      <c r="V178">
        <f t="shared" si="31"/>
        <v>1.2196056996153407E-5</v>
      </c>
      <c r="W178">
        <f t="shared" si="32"/>
        <v>-6.6708510000000002E-4</v>
      </c>
    </row>
    <row r="179" spans="1:23" x14ac:dyDescent="0.2">
      <c r="A179" s="4">
        <f>IF(ポートフォリオ実績!A180="","", ポートフォリオ実績!A180)</f>
        <v>45535</v>
      </c>
      <c r="B179" t="str">
        <f>IF(ポートフォリオ実績!B180="","", ポートフォリオ実績!B180)</f>
        <v>不動産（J-REIT含む）</v>
      </c>
      <c r="C179" s="10">
        <f>IF(ポートフォリオ実績!C180="","", ポートフォリオ実績!C180)</f>
        <v>3345.12</v>
      </c>
      <c r="D179" s="10">
        <f>IF(ポートフォリオ実績!D180="","", ポートフォリオ実績!D180)</f>
        <v>4895.41</v>
      </c>
      <c r="E179" s="10">
        <f>IF(ポートフォリオ実績!E180="","", ポートフォリオ実績!E180)</f>
        <v>14.33</v>
      </c>
      <c r="F179" s="10">
        <f>IF(ポートフォリオ実績!F180="","", ポートフォリオ実績!F180)</f>
        <v>0</v>
      </c>
      <c r="G179">
        <f t="shared" si="22"/>
        <v>45504</v>
      </c>
      <c r="H179">
        <f>IF(B179&lt;&gt;"", SUMIFS(ポートフォリオ実績!$D$2:$D$2001, ポートフォリオ実績!$B$2:$B$2001, B179, ポートフォリオ実績!$A$2:$A$2001, G179), 0)</f>
        <v>4784.83</v>
      </c>
      <c r="I179">
        <f>IF(B179&lt;&gt;"", SUMIFS(ポートフォリオ実績!$C$2:$C$2001, ポートフォリオ実績!$B$2:$B$2001, B179, ポートフォリオ実績!$A$2:$A$2001, G179), 0)</f>
        <v>3354.3</v>
      </c>
      <c r="J179">
        <f t="shared" si="23"/>
        <v>1550.29</v>
      </c>
      <c r="K179">
        <f t="shared" si="24"/>
        <v>1430.5299999999997</v>
      </c>
      <c r="L179">
        <f t="shared" si="25"/>
        <v>119.76000000000022</v>
      </c>
      <c r="M179">
        <f t="shared" si="26"/>
        <v>134.09000000000023</v>
      </c>
      <c r="N179">
        <f t="shared" si="27"/>
        <v>-23.510000000000304</v>
      </c>
      <c r="O179">
        <f t="shared" si="28"/>
        <v>4773.0749999999998</v>
      </c>
      <c r="P179">
        <f t="shared" si="29"/>
        <v>2.8093000843271945E-2</v>
      </c>
      <c r="Q179" t="str">
        <f>IF(B179="","", IFERROR(VLOOKUP(B179, '基準資産配分（設定）'!$A$2:$C$2001, 3, FALSE), ""))</f>
        <v>東証REIT指数（配当込み）</v>
      </c>
      <c r="R179">
        <f>IF(B179="","", IFERROR(VLOOKUP(B179, '基準資産配分（設定）'!$A$2:$C$2001, 2, FALSE)/100, 0))</f>
        <v>3.9100000000000003E-2</v>
      </c>
      <c r="S179">
        <f>IF(B179="","", IFERROR(SUMIFS(ベンチマークリターン!$C$2:$C$2001, ベンチマークリターン!$A$2:$A$2001, A179, ベンチマークリターン!$B$2:$B$2001, Q179) / 100, 0))</f>
        <v>-9.2639999999999997E-3</v>
      </c>
      <c r="T179">
        <f>IF(A179="","", SUMIFS($H$2:$H$2000, $A$2:$A$2000, A179))</f>
        <v>136612.22</v>
      </c>
      <c r="U179">
        <f t="shared" si="30"/>
        <v>3.5024904799878076E-2</v>
      </c>
      <c r="V179">
        <f t="shared" si="31"/>
        <v>9.8395468007849438E-4</v>
      </c>
      <c r="W179">
        <f t="shared" si="32"/>
        <v>-3.6222240000000002E-4</v>
      </c>
    </row>
    <row r="180" spans="1:23" x14ac:dyDescent="0.2">
      <c r="A180" s="4">
        <f>IF(ポートフォリオ実績!A181="","", ポートフォリオ実績!A181)</f>
        <v>45565</v>
      </c>
      <c r="B180" t="str">
        <f>IF(ポートフォリオ実績!B181="","", ポートフォリオ実績!B181)</f>
        <v>不動産（J-REIT含む）</v>
      </c>
      <c r="C180" s="10">
        <f>IF(ポートフォリオ実績!C181="","", ポートフォリオ実績!C181)</f>
        <v>3318.53</v>
      </c>
      <c r="D180" s="10">
        <f>IF(ポートフォリオ実績!D181="","", ポートフォリオ実績!D181)</f>
        <v>4504.92</v>
      </c>
      <c r="E180" s="10">
        <f>IF(ポートフォリオ実績!E181="","", ポートフォリオ実績!E181)</f>
        <v>14.61</v>
      </c>
      <c r="F180" s="10">
        <f>IF(ポートフォリオ実績!F181="","", ポートフォリオ実績!F181)</f>
        <v>0</v>
      </c>
      <c r="G180">
        <f t="shared" si="22"/>
        <v>45535</v>
      </c>
      <c r="H180">
        <f>IF(B180&lt;&gt;"", SUMIFS(ポートフォリオ実績!$D$2:$D$2001, ポートフォリオ実績!$B$2:$B$2001, B180, ポートフォリオ実績!$A$2:$A$2001, G180), 0)</f>
        <v>4895.41</v>
      </c>
      <c r="I180">
        <f>IF(B180&lt;&gt;"", SUMIFS(ポートフォリオ実績!$C$2:$C$2001, ポートフォリオ実績!$B$2:$B$2001, B180, ポートフォリオ実績!$A$2:$A$2001, G180), 0)</f>
        <v>3345.12</v>
      </c>
      <c r="J180">
        <f t="shared" si="23"/>
        <v>1186.3899999999999</v>
      </c>
      <c r="K180">
        <f t="shared" si="24"/>
        <v>1550.29</v>
      </c>
      <c r="L180">
        <f t="shared" si="25"/>
        <v>-363.90000000000009</v>
      </c>
      <c r="M180">
        <f t="shared" si="26"/>
        <v>-349.29000000000008</v>
      </c>
      <c r="N180">
        <f t="shared" si="27"/>
        <v>-41.199999999999704</v>
      </c>
      <c r="O180">
        <f t="shared" si="28"/>
        <v>4874.8100000000004</v>
      </c>
      <c r="P180">
        <f t="shared" si="29"/>
        <v>-7.1652023360910491E-2</v>
      </c>
      <c r="Q180" t="str">
        <f>IF(B180="","", IFERROR(VLOOKUP(B180, '基準資産配分（設定）'!$A$2:$C$2001, 3, FALSE), ""))</f>
        <v>東証REIT指数（配当込み）</v>
      </c>
      <c r="R180">
        <f>IF(B180="","", IFERROR(VLOOKUP(B180, '基準資産配分（設定）'!$A$2:$C$2001, 2, FALSE)/100, 0))</f>
        <v>3.9100000000000003E-2</v>
      </c>
      <c r="S180">
        <f>IF(B180="","", IFERROR(SUMIFS(ベンチマークリターン!$C$2:$C$2001, ベンチマークリターン!$A$2:$A$2001, A180, ベンチマークリターン!$B$2:$B$2001, Q180) / 100, 0))</f>
        <v>1.4069E-2</v>
      </c>
      <c r="T180">
        <f>IF(A180="","", SUMIFS($H$2:$H$2000, $A$2:$A$2000, A180))</f>
        <v>140301.49</v>
      </c>
      <c r="U180">
        <f t="shared" si="30"/>
        <v>3.4892074203916157E-2</v>
      </c>
      <c r="V180">
        <f t="shared" si="31"/>
        <v>-2.5000877159696228E-3</v>
      </c>
      <c r="W180">
        <f t="shared" si="32"/>
        <v>5.5009790000000002E-4</v>
      </c>
    </row>
    <row r="181" spans="1:23" x14ac:dyDescent="0.2">
      <c r="A181" s="4">
        <f>IF(ポートフォリオ実績!A182="","", ポートフォリオ実績!A182)</f>
        <v>45596</v>
      </c>
      <c r="B181" t="str">
        <f>IF(ポートフォリオ実績!B182="","", ポートフォリオ実績!B182)</f>
        <v>不動産（J-REIT含む）</v>
      </c>
      <c r="C181" s="10">
        <f>IF(ポートフォリオ実績!C182="","", ポートフォリオ実績!C182)</f>
        <v>3348.26</v>
      </c>
      <c r="D181" s="10">
        <f>IF(ポートフォリオ実績!D182="","", ポートフォリオ実績!D182)</f>
        <v>4212.97</v>
      </c>
      <c r="E181" s="10">
        <f>IF(ポートフォリオ実績!E182="","", ポートフォリオ実績!E182)</f>
        <v>13.6</v>
      </c>
      <c r="F181" s="10">
        <f>IF(ポートフォリオ実績!F182="","", ポートフォリオ実績!F182)</f>
        <v>0</v>
      </c>
      <c r="G181">
        <f t="shared" si="22"/>
        <v>45565</v>
      </c>
      <c r="H181">
        <f>IF(B181&lt;&gt;"", SUMIFS(ポートフォリオ実績!$D$2:$D$2001, ポートフォリオ実績!$B$2:$B$2001, B181, ポートフォリオ実績!$A$2:$A$2001, G181), 0)</f>
        <v>4504.92</v>
      </c>
      <c r="I181">
        <f>IF(B181&lt;&gt;"", SUMIFS(ポートフォリオ実績!$C$2:$C$2001, ポートフォリオ実績!$B$2:$B$2001, B181, ポートフォリオ実績!$A$2:$A$2001, G181), 0)</f>
        <v>3318.53</v>
      </c>
      <c r="J181">
        <f t="shared" si="23"/>
        <v>864.71</v>
      </c>
      <c r="K181">
        <f t="shared" si="24"/>
        <v>1186.3899999999999</v>
      </c>
      <c r="L181">
        <f t="shared" si="25"/>
        <v>-321.67999999999984</v>
      </c>
      <c r="M181">
        <f t="shared" si="26"/>
        <v>-308.07999999999981</v>
      </c>
      <c r="N181">
        <f t="shared" si="27"/>
        <v>16.129999999999995</v>
      </c>
      <c r="O181">
        <f t="shared" si="28"/>
        <v>4512.9849999999997</v>
      </c>
      <c r="P181">
        <f t="shared" si="29"/>
        <v>-6.8265239082336823E-2</v>
      </c>
      <c r="Q181" t="str">
        <f>IF(B181="","", IFERROR(VLOOKUP(B181, '基準資産配分（設定）'!$A$2:$C$2001, 3, FALSE), ""))</f>
        <v>東証REIT指数（配当込み）</v>
      </c>
      <c r="R181">
        <f>IF(B181="","", IFERROR(VLOOKUP(B181, '基準資産配分（設定）'!$A$2:$C$2001, 2, FALSE)/100, 0))</f>
        <v>3.9100000000000003E-2</v>
      </c>
      <c r="S181">
        <f>IF(B181="","", IFERROR(SUMIFS(ベンチマークリターン!$C$2:$C$2001, ベンチマークリターン!$A$2:$A$2001, A181, ベンチマークリターン!$B$2:$B$2001, Q181) / 100, 0))</f>
        <v>1.5753E-2</v>
      </c>
      <c r="T181">
        <f>IF(A181="","", SUMIFS($H$2:$H$2000, $A$2:$A$2000, A181))</f>
        <v>140341.03999999998</v>
      </c>
      <c r="U181">
        <f t="shared" si="30"/>
        <v>3.2099804875323719E-2</v>
      </c>
      <c r="V181">
        <f t="shared" si="31"/>
        <v>-2.1913008543103349E-3</v>
      </c>
      <c r="W181">
        <f t="shared" si="32"/>
        <v>6.1594230000000007E-4</v>
      </c>
    </row>
    <row r="182" spans="1:23" x14ac:dyDescent="0.2">
      <c r="A182" s="4">
        <f>IF(ポートフォリオ実績!A183="","", ポートフォリオ実績!A183)</f>
        <v>45626</v>
      </c>
      <c r="B182" t="str">
        <f>IF(ポートフォリオ実績!B183="","", ポートフォリオ実績!B183)</f>
        <v>不動産（J-REIT含む）</v>
      </c>
      <c r="C182" s="10">
        <f>IF(ポートフォリオ実績!C183="","", ポートフォリオ実績!C183)</f>
        <v>3310.81</v>
      </c>
      <c r="D182" s="10">
        <f>IF(ポートフォリオ実績!D183="","", ポートフォリオ実績!D183)</f>
        <v>4241.41</v>
      </c>
      <c r="E182" s="10">
        <f>IF(ポートフォリオ実績!E183="","", ポートフォリオ実績!E183)</f>
        <v>12.53</v>
      </c>
      <c r="F182" s="10">
        <f>IF(ポートフォリオ実績!F183="","", ポートフォリオ実績!F183)</f>
        <v>0</v>
      </c>
      <c r="G182">
        <f t="shared" si="22"/>
        <v>45596</v>
      </c>
      <c r="H182">
        <f>IF(B182&lt;&gt;"", SUMIFS(ポートフォリオ実績!$D$2:$D$2001, ポートフォリオ実績!$B$2:$B$2001, B182, ポートフォリオ実績!$A$2:$A$2001, G182), 0)</f>
        <v>4212.97</v>
      </c>
      <c r="I182">
        <f>IF(B182&lt;&gt;"", SUMIFS(ポートフォリオ実績!$C$2:$C$2001, ポートフォリオ実績!$B$2:$B$2001, B182, ポートフォリオ実績!$A$2:$A$2001, G182), 0)</f>
        <v>3348.26</v>
      </c>
      <c r="J182">
        <f t="shared" si="23"/>
        <v>930.59999999999991</v>
      </c>
      <c r="K182">
        <f t="shared" si="24"/>
        <v>864.71</v>
      </c>
      <c r="L182">
        <f t="shared" si="25"/>
        <v>65.889999999999873</v>
      </c>
      <c r="M182">
        <f t="shared" si="26"/>
        <v>78.419999999999874</v>
      </c>
      <c r="N182">
        <f t="shared" si="27"/>
        <v>-49.980000000000274</v>
      </c>
      <c r="O182">
        <f t="shared" si="28"/>
        <v>4187.9800000000005</v>
      </c>
      <c r="P182">
        <f t="shared" si="29"/>
        <v>1.8725017789005646E-2</v>
      </c>
      <c r="Q182" t="str">
        <f>IF(B182="","", IFERROR(VLOOKUP(B182, '基準資産配分（設定）'!$A$2:$C$2001, 3, FALSE), ""))</f>
        <v>東証REIT指数（配当込み）</v>
      </c>
      <c r="R182">
        <f>IF(B182="","", IFERROR(VLOOKUP(B182, '基準資産配分（設定）'!$A$2:$C$2001, 2, FALSE)/100, 0))</f>
        <v>3.9100000000000003E-2</v>
      </c>
      <c r="S182">
        <f>IF(B182="","", IFERROR(SUMIFS(ベンチマークリターン!$C$2:$C$2001, ベンチマークリターン!$A$2:$A$2001, A182, ベンチマークリターン!$B$2:$B$2001, Q182) / 100, 0))</f>
        <v>2.6979000000000003E-2</v>
      </c>
      <c r="T182">
        <f>IF(A182="","", SUMIFS($H$2:$H$2000, $A$2:$A$2000, A182))</f>
        <v>138030.65999999997</v>
      </c>
      <c r="U182">
        <f t="shared" si="30"/>
        <v>3.0521986926672677E-2</v>
      </c>
      <c r="V182">
        <f t="shared" si="31"/>
        <v>5.7152474815774367E-4</v>
      </c>
      <c r="W182">
        <f t="shared" si="32"/>
        <v>1.0548789000000003E-3</v>
      </c>
    </row>
    <row r="183" spans="1:23" x14ac:dyDescent="0.2">
      <c r="A183" s="4">
        <f>IF(ポートフォリオ実績!A184="","", ポートフォリオ実績!A184)</f>
        <v>45657</v>
      </c>
      <c r="B183" t="str">
        <f>IF(ポートフォリオ実績!B184="","", ポートフォリオ実績!B184)</f>
        <v>不動産（J-REIT含む）</v>
      </c>
      <c r="C183" s="10">
        <f>IF(ポートフォリオ実績!C184="","", ポートフォリオ実績!C184)</f>
        <v>3246.21</v>
      </c>
      <c r="D183" s="10">
        <f>IF(ポートフォリオ実績!D184="","", ポートフォリオ実績!D184)</f>
        <v>4209.2</v>
      </c>
      <c r="E183" s="10">
        <f>IF(ポートフォリオ実績!E184="","", ポートフォリオ実績!E184)</f>
        <v>12.53</v>
      </c>
      <c r="F183" s="10">
        <f>IF(ポートフォリオ実績!F184="","", ポートフォリオ実績!F184)</f>
        <v>0</v>
      </c>
      <c r="G183">
        <f t="shared" si="22"/>
        <v>45626</v>
      </c>
      <c r="H183">
        <f>IF(B183&lt;&gt;"", SUMIFS(ポートフォリオ実績!$D$2:$D$2001, ポートフォリオ実績!$B$2:$B$2001, B183, ポートフォリオ実績!$A$2:$A$2001, G183), 0)</f>
        <v>4241.41</v>
      </c>
      <c r="I183">
        <f>IF(B183&lt;&gt;"", SUMIFS(ポートフォリオ実績!$C$2:$C$2001, ポートフォリオ実績!$B$2:$B$2001, B183, ポートフォリオ実績!$A$2:$A$2001, G183), 0)</f>
        <v>3310.81</v>
      </c>
      <c r="J183">
        <f t="shared" si="23"/>
        <v>962.98999999999978</v>
      </c>
      <c r="K183">
        <f t="shared" si="24"/>
        <v>930.59999999999991</v>
      </c>
      <c r="L183">
        <f t="shared" si="25"/>
        <v>32.389999999999873</v>
      </c>
      <c r="M183">
        <f t="shared" si="26"/>
        <v>44.919999999999874</v>
      </c>
      <c r="N183">
        <f t="shared" si="27"/>
        <v>-77.12999999999991</v>
      </c>
      <c r="O183">
        <f t="shared" si="28"/>
        <v>4202.8450000000003</v>
      </c>
      <c r="P183">
        <f t="shared" si="29"/>
        <v>1.0687998248805243E-2</v>
      </c>
      <c r="Q183" t="str">
        <f>IF(B183="","", IFERROR(VLOOKUP(B183, '基準資産配分（設定）'!$A$2:$C$2001, 3, FALSE), ""))</f>
        <v>東証REIT指数（配当込み）</v>
      </c>
      <c r="R183">
        <f>IF(B183="","", IFERROR(VLOOKUP(B183, '基準資産配分（設定）'!$A$2:$C$2001, 2, FALSE)/100, 0))</f>
        <v>3.9100000000000003E-2</v>
      </c>
      <c r="S183">
        <f>IF(B183="","", IFERROR(SUMIFS(ベンチマークリターン!$C$2:$C$2001, ベンチマークリターン!$A$2:$A$2001, A183, ベンチマークリターン!$B$2:$B$2001, Q183) / 100, 0))</f>
        <v>7.3802000000000006E-2</v>
      </c>
      <c r="T183">
        <f>IF(A183="","", SUMIFS($H$2:$H$2000, $A$2:$A$2000, A183))</f>
        <v>140420.70000000001</v>
      </c>
      <c r="U183">
        <f t="shared" si="30"/>
        <v>3.0205019630296669E-2</v>
      </c>
      <c r="V183">
        <f t="shared" si="31"/>
        <v>3.2283119691373877E-4</v>
      </c>
      <c r="W183">
        <f t="shared" si="32"/>
        <v>2.8856582000000006E-3</v>
      </c>
    </row>
    <row r="184" spans="1:23" x14ac:dyDescent="0.2">
      <c r="A184" s="4">
        <f>IF(ポートフォリオ実績!A185="","", ポートフォリオ実績!A185)</f>
        <v>45688</v>
      </c>
      <c r="B184" t="str">
        <f>IF(ポートフォリオ実績!B185="","", ポートフォリオ実績!B185)</f>
        <v>不動産（J-REIT含む）</v>
      </c>
      <c r="C184" s="10">
        <f>IF(ポートフォリオ実績!C185="","", ポートフォリオ実績!C185)</f>
        <v>3241.85</v>
      </c>
      <c r="D184" s="10">
        <f>IF(ポートフォリオ実績!D185="","", ポートフォリオ実績!D185)</f>
        <v>4255.5</v>
      </c>
      <c r="E184" s="10">
        <f>IF(ポートフォリオ実績!E185="","", ポートフォリオ実績!E185)</f>
        <v>12.61</v>
      </c>
      <c r="F184" s="10">
        <f>IF(ポートフォリオ実績!F185="","", ポートフォリオ実績!F185)</f>
        <v>0</v>
      </c>
      <c r="G184">
        <f t="shared" si="22"/>
        <v>45657</v>
      </c>
      <c r="H184">
        <f>IF(B184&lt;&gt;"", SUMIFS(ポートフォリオ実績!$D$2:$D$2001, ポートフォリオ実績!$B$2:$B$2001, B184, ポートフォリオ実績!$A$2:$A$2001, G184), 0)</f>
        <v>4209.2</v>
      </c>
      <c r="I184">
        <f>IF(B184&lt;&gt;"", SUMIFS(ポートフォリオ実績!$C$2:$C$2001, ポートフォリオ実績!$B$2:$B$2001, B184, ポートフォリオ実績!$A$2:$A$2001, G184), 0)</f>
        <v>3246.21</v>
      </c>
      <c r="J184">
        <f t="shared" si="23"/>
        <v>1013.6500000000001</v>
      </c>
      <c r="K184">
        <f t="shared" si="24"/>
        <v>962.98999999999978</v>
      </c>
      <c r="L184">
        <f t="shared" si="25"/>
        <v>50.660000000000309</v>
      </c>
      <c r="M184">
        <f t="shared" si="26"/>
        <v>63.270000000000309</v>
      </c>
      <c r="N184">
        <f t="shared" si="27"/>
        <v>-16.970000000000127</v>
      </c>
      <c r="O184">
        <f t="shared" si="28"/>
        <v>4200.7150000000001</v>
      </c>
      <c r="P184">
        <f t="shared" si="29"/>
        <v>1.5061721635483557E-2</v>
      </c>
      <c r="Q184" t="str">
        <f>IF(B184="","", IFERROR(VLOOKUP(B184, '基準資産配分（設定）'!$A$2:$C$2001, 3, FALSE), ""))</f>
        <v>東証REIT指数（配当込み）</v>
      </c>
      <c r="R184">
        <f>IF(B184="","", IFERROR(VLOOKUP(B184, '基準資産配分（設定）'!$A$2:$C$2001, 2, FALSE)/100, 0))</f>
        <v>3.9100000000000003E-2</v>
      </c>
      <c r="S184">
        <f>IF(B184="","", IFERROR(SUMIFS(ベンチマークリターン!$C$2:$C$2001, ベンチマークリターン!$A$2:$A$2001, A184, ベンチマークリターン!$B$2:$B$2001, Q184) / 100, 0))</f>
        <v>-1.9629999999999999E-3</v>
      </c>
      <c r="T184">
        <f>IF(A184="","", SUMIFS($H$2:$H$2000, $A$2:$A$2000, A184))</f>
        <v>142763.42000000001</v>
      </c>
      <c r="U184">
        <f t="shared" si="30"/>
        <v>2.9483743104501137E-2</v>
      </c>
      <c r="V184">
        <f t="shared" si="31"/>
        <v>4.440759314121039E-4</v>
      </c>
      <c r="W184">
        <f t="shared" si="32"/>
        <v>-7.6753299999999996E-5</v>
      </c>
    </row>
    <row r="185" spans="1:23" x14ac:dyDescent="0.2">
      <c r="A185" s="4">
        <f>IF(ポートフォリオ実績!A186="","", ポートフォリオ実績!A186)</f>
        <v>45716</v>
      </c>
      <c r="B185" t="str">
        <f>IF(ポートフォリオ実績!B186="","", ポートフォリオ実績!B186)</f>
        <v>不動産（J-REIT含む）</v>
      </c>
      <c r="C185" s="10">
        <f>IF(ポートフォリオ実績!C186="","", ポートフォリオ実績!C186)</f>
        <v>3217.88</v>
      </c>
      <c r="D185" s="10">
        <f>IF(ポートフォリオ実績!D186="","", ポートフォリオ実績!D186)</f>
        <v>4245.68</v>
      </c>
      <c r="E185" s="10">
        <f>IF(ポートフォリオ実績!E186="","", ポートフォリオ実績!E186)</f>
        <v>12.69</v>
      </c>
      <c r="F185" s="10">
        <f>IF(ポートフォリオ実績!F186="","", ポートフォリオ実績!F186)</f>
        <v>0</v>
      </c>
      <c r="G185">
        <f t="shared" si="22"/>
        <v>45688</v>
      </c>
      <c r="H185">
        <f>IF(B185&lt;&gt;"", SUMIFS(ポートフォリオ実績!$D$2:$D$2001, ポートフォリオ実績!$B$2:$B$2001, B185, ポートフォリオ実績!$A$2:$A$2001, G185), 0)</f>
        <v>4255.5</v>
      </c>
      <c r="I185">
        <f>IF(B185&lt;&gt;"", SUMIFS(ポートフォリオ実績!$C$2:$C$2001, ポートフォリオ実績!$B$2:$B$2001, B185, ポートフォリオ実績!$A$2:$A$2001, G185), 0)</f>
        <v>3241.85</v>
      </c>
      <c r="J185">
        <f t="shared" si="23"/>
        <v>1027.8000000000002</v>
      </c>
      <c r="K185">
        <f t="shared" si="24"/>
        <v>1013.6500000000001</v>
      </c>
      <c r="L185">
        <f t="shared" si="25"/>
        <v>14.150000000000091</v>
      </c>
      <c r="M185">
        <f t="shared" si="26"/>
        <v>26.840000000000089</v>
      </c>
      <c r="N185">
        <f t="shared" si="27"/>
        <v>-36.659999999999798</v>
      </c>
      <c r="O185">
        <f t="shared" si="28"/>
        <v>4237.17</v>
      </c>
      <c r="P185">
        <f t="shared" si="29"/>
        <v>6.3344166035349276E-3</v>
      </c>
      <c r="Q185" t="str">
        <f>IF(B185="","", IFERROR(VLOOKUP(B185, '基準資産配分（設定）'!$A$2:$C$2001, 3, FALSE), ""))</f>
        <v>東証REIT指数（配当込み）</v>
      </c>
      <c r="R185">
        <f>IF(B185="","", IFERROR(VLOOKUP(B185, '基準資産配分（設定）'!$A$2:$C$2001, 2, FALSE)/100, 0))</f>
        <v>3.9100000000000003E-2</v>
      </c>
      <c r="S185">
        <f>IF(B185="","", IFERROR(SUMIFS(ベンチマークリターン!$C$2:$C$2001, ベンチマークリターン!$A$2:$A$2001, A185, ベンチマークリターン!$B$2:$B$2001, Q185) / 100, 0))</f>
        <v>-2.3487000000000001E-2</v>
      </c>
      <c r="T185">
        <f>IF(A185="","", SUMIFS($H$2:$H$2000, $A$2:$A$2000, A185))</f>
        <v>145068.1</v>
      </c>
      <c r="U185">
        <f t="shared" si="30"/>
        <v>2.9334498762994758E-2</v>
      </c>
      <c r="V185">
        <f t="shared" si="31"/>
        <v>1.858169360206888E-4</v>
      </c>
      <c r="W185">
        <f t="shared" si="32"/>
        <v>-9.1834170000000006E-4</v>
      </c>
    </row>
    <row r="186" spans="1:23" x14ac:dyDescent="0.2">
      <c r="A186" s="4">
        <f>IF(ポートフォリオ実績!A187="","", ポートフォリオ実績!A187)</f>
        <v>45747</v>
      </c>
      <c r="B186" t="str">
        <f>IF(ポートフォリオ実績!B187="","", ポートフォリオ実績!B187)</f>
        <v>不動産（J-REIT含む）</v>
      </c>
      <c r="C186" s="10">
        <f>IF(ポートフォリオ実績!C187="","", ポートフォリオ実績!C187)</f>
        <v>3230.68</v>
      </c>
      <c r="D186" s="10">
        <f>IF(ポートフォリオ実績!D187="","", ポートフォリオ実績!D187)</f>
        <v>4120.2299999999996</v>
      </c>
      <c r="E186" s="10">
        <f>IF(ポートフォリオ実績!E187="","", ポートフォリオ実績!E187)</f>
        <v>12.78</v>
      </c>
      <c r="F186" s="10">
        <f>IF(ポートフォリオ実績!F187="","", ポートフォリオ実績!F187)</f>
        <v>0</v>
      </c>
      <c r="G186">
        <f t="shared" si="22"/>
        <v>45716</v>
      </c>
      <c r="H186">
        <f>IF(B186&lt;&gt;"", SUMIFS(ポートフォリオ実績!$D$2:$D$2001, ポートフォリオ実績!$B$2:$B$2001, B186, ポートフォリオ実績!$A$2:$A$2001, G186), 0)</f>
        <v>4245.68</v>
      </c>
      <c r="I186">
        <f>IF(B186&lt;&gt;"", SUMIFS(ポートフォリオ実績!$C$2:$C$2001, ポートフォリオ実績!$B$2:$B$2001, B186, ポートフォリオ実績!$A$2:$A$2001, G186), 0)</f>
        <v>3217.88</v>
      </c>
      <c r="J186">
        <f t="shared" si="23"/>
        <v>889.54999999999973</v>
      </c>
      <c r="K186">
        <f t="shared" si="24"/>
        <v>1027.8000000000002</v>
      </c>
      <c r="L186">
        <f t="shared" si="25"/>
        <v>-138.25000000000045</v>
      </c>
      <c r="M186">
        <f t="shared" si="26"/>
        <v>-125.47000000000045</v>
      </c>
      <c r="N186">
        <f t="shared" si="27"/>
        <v>1.9999999999726015E-2</v>
      </c>
      <c r="O186">
        <f t="shared" si="28"/>
        <v>4245.6900000000005</v>
      </c>
      <c r="P186">
        <f t="shared" si="29"/>
        <v>-2.9552322472907924E-2</v>
      </c>
      <c r="Q186" t="str">
        <f>IF(B186="","", IFERROR(VLOOKUP(B186, '基準資産配分（設定）'!$A$2:$C$2001, 3, FALSE), ""))</f>
        <v>東証REIT指数（配当込み）</v>
      </c>
      <c r="R186">
        <f>IF(B186="","", IFERROR(VLOOKUP(B186, '基準資産配分（設定）'!$A$2:$C$2001, 2, FALSE)/100, 0))</f>
        <v>3.9100000000000003E-2</v>
      </c>
      <c r="S186">
        <f>IF(B186="","", IFERROR(SUMIFS(ベンチマークリターン!$C$2:$C$2001, ベンチマークリターン!$A$2:$A$2001, A186, ベンチマークリターン!$B$2:$B$2001, Q186) / 100, 0))</f>
        <v>-4.3614E-2</v>
      </c>
      <c r="T186">
        <f>IF(A186="","", SUMIFS($H$2:$H$2000, $A$2:$A$2000, A186))</f>
        <v>143923.46</v>
      </c>
      <c r="U186">
        <f t="shared" si="30"/>
        <v>2.9499568729100874E-2</v>
      </c>
      <c r="V186">
        <f t="shared" si="31"/>
        <v>-8.717807678940996E-4</v>
      </c>
      <c r="W186">
        <f t="shared" si="32"/>
        <v>-1.7053074000000002E-3</v>
      </c>
    </row>
    <row r="187" spans="1:23" x14ac:dyDescent="0.2">
      <c r="A187" s="4">
        <f>IF(ポートフォリオ実績!A188="","", ポートフォリオ実績!A188)</f>
        <v>44651</v>
      </c>
      <c r="B187" t="str">
        <f>IF(ポートフォリオ実績!B188="","", ポートフォリオ実績!B188)</f>
        <v>マルチアセット・その他投信</v>
      </c>
      <c r="C187" s="10">
        <f>IF(ポートフォリオ実績!C188="","", ポートフォリオ実績!C188)</f>
        <v>7840</v>
      </c>
      <c r="D187" s="10">
        <f>IF(ポートフォリオ実績!D188="","", ポートフォリオ実績!D188)</f>
        <v>8243.6200000000008</v>
      </c>
      <c r="E187" s="10">
        <f>IF(ポートフォリオ実績!E188="","", ポートフォリオ実績!E188)</f>
        <v>0</v>
      </c>
      <c r="F187" s="10">
        <f>IF(ポートフォリオ実績!F188="","", ポートフォリオ実績!F188)</f>
        <v>0</v>
      </c>
      <c r="G187">
        <f t="shared" si="22"/>
        <v>44620</v>
      </c>
      <c r="H187">
        <f>IF(B187&lt;&gt;"", SUMIFS(ポートフォリオ実績!$D$2:$D$2001, ポートフォリオ実績!$B$2:$B$2001, B187, ポートフォリオ実績!$A$2:$A$2001, G187), 0)</f>
        <v>0</v>
      </c>
      <c r="I187">
        <f>IF(B187&lt;&gt;"", SUMIFS(ポートフォリオ実績!$C$2:$C$2001, ポートフォリオ実績!$B$2:$B$2001, B187, ポートフォリオ実績!$A$2:$A$2001, G187), 0)</f>
        <v>0</v>
      </c>
      <c r="J187">
        <f t="shared" si="23"/>
        <v>403.6200000000008</v>
      </c>
      <c r="K187">
        <f t="shared" si="24"/>
        <v>0</v>
      </c>
      <c r="L187">
        <f t="shared" si="25"/>
        <v>0</v>
      </c>
      <c r="M187">
        <f t="shared" si="26"/>
        <v>0</v>
      </c>
      <c r="N187">
        <f t="shared" si="27"/>
        <v>0</v>
      </c>
      <c r="O187">
        <f t="shared" si="28"/>
        <v>0</v>
      </c>
      <c r="P187">
        <f t="shared" si="29"/>
        <v>0</v>
      </c>
      <c r="Q187" t="str">
        <f>IF(B187="","", IFERROR(VLOOKUP(B187, '基準資産配分（設定）'!$A$2:$C$2001, 3, FALSE), ""))</f>
        <v>バランス型指数</v>
      </c>
      <c r="R187">
        <f>IF(B187="","", IFERROR(VLOOKUP(B187, '基準資産配分（設定）'!$A$2:$C$2001, 2, FALSE)/100, 0))</f>
        <v>6.25E-2</v>
      </c>
      <c r="S187">
        <f>IF(B187="","", IFERROR(SUMIFS(ベンチマークリターン!$C$2:$C$2001, ベンチマークリターン!$A$2:$A$2001, A187, ベンチマークリターン!$B$2:$B$2001, Q187) / 100, 0))</f>
        <v>0</v>
      </c>
      <c r="T187">
        <f>IF(A187="","", SUMIFS($H$2:$H$2000, $A$2:$A$2000, A187))</f>
        <v>0</v>
      </c>
      <c r="U187">
        <f t="shared" si="30"/>
        <v>0</v>
      </c>
      <c r="V187">
        <f t="shared" si="31"/>
        <v>0</v>
      </c>
      <c r="W187">
        <f t="shared" si="32"/>
        <v>0</v>
      </c>
    </row>
    <row r="188" spans="1:23" x14ac:dyDescent="0.2">
      <c r="A188" s="4">
        <f>IF(ポートフォリオ実績!A189="","", ポートフォリオ実績!A189)</f>
        <v>44681</v>
      </c>
      <c r="B188" t="str">
        <f>IF(ポートフォリオ実績!B189="","", ポートフォリオ実績!B189)</f>
        <v>マルチアセット・その他投信</v>
      </c>
      <c r="C188" s="10">
        <f>IF(ポートフォリオ実績!C189="","", ポートフォリオ実績!C189)</f>
        <v>7975.74</v>
      </c>
      <c r="D188" s="10">
        <f>IF(ポートフォリオ実績!D189="","", ポートフォリオ実績!D189)</f>
        <v>8412.34</v>
      </c>
      <c r="E188" s="10">
        <f>IF(ポートフォリオ実績!E189="","", ポートフォリオ実績!E189)</f>
        <v>17.46</v>
      </c>
      <c r="F188" s="10">
        <f>IF(ポートフォリオ実績!F189="","", ポートフォリオ実績!F189)</f>
        <v>0</v>
      </c>
      <c r="G188">
        <f t="shared" si="22"/>
        <v>44651</v>
      </c>
      <c r="H188">
        <f>IF(B188&lt;&gt;"", SUMIFS(ポートフォリオ実績!$D$2:$D$2001, ポートフォリオ実績!$B$2:$B$2001, B188, ポートフォリオ実績!$A$2:$A$2001, G188), 0)</f>
        <v>8243.6200000000008</v>
      </c>
      <c r="I188">
        <f>IF(B188&lt;&gt;"", SUMIFS(ポートフォリオ実績!$C$2:$C$2001, ポートフォリオ実績!$B$2:$B$2001, B188, ポートフォリオ実績!$A$2:$A$2001, G188), 0)</f>
        <v>7840</v>
      </c>
      <c r="J188">
        <f t="shared" si="23"/>
        <v>436.60000000000036</v>
      </c>
      <c r="K188">
        <f t="shared" si="24"/>
        <v>403.6200000000008</v>
      </c>
      <c r="L188">
        <f t="shared" si="25"/>
        <v>32.979999999999563</v>
      </c>
      <c r="M188">
        <f t="shared" si="26"/>
        <v>50.439999999999564</v>
      </c>
      <c r="N188">
        <f t="shared" si="27"/>
        <v>118.27999999999977</v>
      </c>
      <c r="O188">
        <f t="shared" si="28"/>
        <v>8302.76</v>
      </c>
      <c r="P188">
        <f t="shared" si="29"/>
        <v>6.0750882838959052E-3</v>
      </c>
      <c r="Q188" t="str">
        <f>IF(B188="","", IFERROR(VLOOKUP(B188, '基準資産配分（設定）'!$A$2:$C$2001, 3, FALSE), ""))</f>
        <v>バランス型指数</v>
      </c>
      <c r="R188">
        <f>IF(B188="","", IFERROR(VLOOKUP(B188, '基準資産配分（設定）'!$A$2:$C$2001, 2, FALSE)/100, 0))</f>
        <v>6.25E-2</v>
      </c>
      <c r="S188">
        <f>IF(B188="","", IFERROR(SUMIFS(ベンチマークリターン!$C$2:$C$2001, ベンチマークリターン!$A$2:$A$2001, A188, ベンチマークリターン!$B$2:$B$2001, Q188) / 100, 0))</f>
        <v>-1.7350000000000001E-2</v>
      </c>
      <c r="T188">
        <f>IF(A188="","", SUMIFS($H$2:$H$2000, $A$2:$A$2000, A188))</f>
        <v>139117.94</v>
      </c>
      <c r="U188">
        <f t="shared" si="30"/>
        <v>5.9256340339714636E-2</v>
      </c>
      <c r="V188">
        <f t="shared" si="31"/>
        <v>3.5998749894434871E-4</v>
      </c>
      <c r="W188">
        <f t="shared" si="32"/>
        <v>-1.0843750000000001E-3</v>
      </c>
    </row>
    <row r="189" spans="1:23" x14ac:dyDescent="0.2">
      <c r="A189" s="4">
        <f>IF(ポートフォリオ実績!A190="","", ポートフォリオ実績!A190)</f>
        <v>44712</v>
      </c>
      <c r="B189" t="str">
        <f>IF(ポートフォリオ実績!B190="","", ポートフォリオ実績!B190)</f>
        <v>マルチアセット・その他投信</v>
      </c>
      <c r="C189" s="10">
        <f>IF(ポートフォリオ実績!C190="","", ポートフォリオ実績!C190)</f>
        <v>8075.11</v>
      </c>
      <c r="D189" s="10">
        <f>IF(ポートフォリオ実績!D190="","", ポートフォリオ実績!D190)</f>
        <v>9130.58</v>
      </c>
      <c r="E189" s="10">
        <f>IF(ポートフォリオ実績!E190="","", ポートフォリオ実績!E190)</f>
        <v>17.73</v>
      </c>
      <c r="F189" s="10">
        <f>IF(ポートフォリオ実績!F190="","", ポートフォリオ実績!F190)</f>
        <v>0</v>
      </c>
      <c r="G189">
        <f t="shared" si="22"/>
        <v>44681</v>
      </c>
      <c r="H189">
        <f>IF(B189&lt;&gt;"", SUMIFS(ポートフォリオ実績!$D$2:$D$2001, ポートフォリオ実績!$B$2:$B$2001, B189, ポートフォリオ実績!$A$2:$A$2001, G189), 0)</f>
        <v>8412.34</v>
      </c>
      <c r="I189">
        <f>IF(B189&lt;&gt;"", SUMIFS(ポートフォリオ実績!$C$2:$C$2001, ポートフォリオ実績!$B$2:$B$2001, B189, ポートフォリオ実績!$A$2:$A$2001, G189), 0)</f>
        <v>7975.74</v>
      </c>
      <c r="J189">
        <f t="shared" si="23"/>
        <v>1055.4700000000003</v>
      </c>
      <c r="K189">
        <f t="shared" si="24"/>
        <v>436.60000000000036</v>
      </c>
      <c r="L189">
        <f t="shared" si="25"/>
        <v>618.86999999999989</v>
      </c>
      <c r="M189">
        <f t="shared" si="26"/>
        <v>636.59999999999991</v>
      </c>
      <c r="N189">
        <f t="shared" si="27"/>
        <v>81.639999999999873</v>
      </c>
      <c r="O189">
        <f t="shared" si="28"/>
        <v>8453.16</v>
      </c>
      <c r="P189">
        <f t="shared" si="29"/>
        <v>7.5309115171131258E-2</v>
      </c>
      <c r="Q189" t="str">
        <f>IF(B189="","", IFERROR(VLOOKUP(B189, '基準資産配分（設定）'!$A$2:$C$2001, 3, FALSE), ""))</f>
        <v>バランス型指数</v>
      </c>
      <c r="R189">
        <f>IF(B189="","", IFERROR(VLOOKUP(B189, '基準資産配分（設定）'!$A$2:$C$2001, 2, FALSE)/100, 0))</f>
        <v>6.25E-2</v>
      </c>
      <c r="S189">
        <f>IF(B189="","", IFERROR(SUMIFS(ベンチマークリターン!$C$2:$C$2001, ベンチマークリターン!$A$2:$A$2001, A189, ベンチマークリターン!$B$2:$B$2001, Q189) / 100, 0))</f>
        <v>2.7939999999999996E-3</v>
      </c>
      <c r="T189">
        <f>IF(A189="","", SUMIFS($H$2:$H$2000, $A$2:$A$2000, A189))</f>
        <v>139899.38</v>
      </c>
      <c r="U189">
        <f t="shared" si="30"/>
        <v>6.0131360124683897E-2</v>
      </c>
      <c r="V189">
        <f t="shared" si="31"/>
        <v>4.5284395250265895E-3</v>
      </c>
      <c r="W189">
        <f t="shared" si="32"/>
        <v>1.7462499999999998E-4</v>
      </c>
    </row>
    <row r="190" spans="1:23" x14ac:dyDescent="0.2">
      <c r="A190" s="4">
        <f>IF(ポートフォリオ実績!A191="","", ポートフォリオ実績!A191)</f>
        <v>44742</v>
      </c>
      <c r="B190" t="str">
        <f>IF(ポートフォリオ実績!B191="","", ポートフォリオ実績!B191)</f>
        <v>マルチアセット・その他投信</v>
      </c>
      <c r="C190" s="10">
        <f>IF(ポートフォリオ実績!C191="","", ポートフォリオ実績!C191)</f>
        <v>8072.95</v>
      </c>
      <c r="D190" s="10">
        <f>IF(ポートフォリオ実績!D191="","", ポートフォリオ実績!D191)</f>
        <v>8893.1200000000008</v>
      </c>
      <c r="E190" s="10">
        <f>IF(ポートフォリオ実績!E191="","", ポートフォリオ実績!E191)</f>
        <v>19.02</v>
      </c>
      <c r="F190" s="10">
        <f>IF(ポートフォリオ実績!F191="","", ポートフォリオ実績!F191)</f>
        <v>0</v>
      </c>
      <c r="G190">
        <f t="shared" si="22"/>
        <v>44712</v>
      </c>
      <c r="H190">
        <f>IF(B190&lt;&gt;"", SUMIFS(ポートフォリオ実績!$D$2:$D$2001, ポートフォリオ実績!$B$2:$B$2001, B190, ポートフォリオ実績!$A$2:$A$2001, G190), 0)</f>
        <v>9130.58</v>
      </c>
      <c r="I190">
        <f>IF(B190&lt;&gt;"", SUMIFS(ポートフォリオ実績!$C$2:$C$2001, ポートフォリオ実績!$B$2:$B$2001, B190, ポートフォリオ実績!$A$2:$A$2001, G190), 0)</f>
        <v>8075.11</v>
      </c>
      <c r="J190">
        <f t="shared" si="23"/>
        <v>820.17000000000098</v>
      </c>
      <c r="K190">
        <f t="shared" si="24"/>
        <v>1055.4700000000003</v>
      </c>
      <c r="L190">
        <f t="shared" si="25"/>
        <v>-235.29999999999927</v>
      </c>
      <c r="M190">
        <f t="shared" si="26"/>
        <v>-216.27999999999926</v>
      </c>
      <c r="N190">
        <f t="shared" si="27"/>
        <v>-21.179999999999865</v>
      </c>
      <c r="O190">
        <f t="shared" si="28"/>
        <v>9119.99</v>
      </c>
      <c r="P190">
        <f t="shared" si="29"/>
        <v>-2.3714938283923476E-2</v>
      </c>
      <c r="Q190" t="str">
        <f>IF(B190="","", IFERROR(VLOOKUP(B190, '基準資産配分（設定）'!$A$2:$C$2001, 3, FALSE), ""))</f>
        <v>バランス型指数</v>
      </c>
      <c r="R190">
        <f>IF(B190="","", IFERROR(VLOOKUP(B190, '基準資産配分（設定）'!$A$2:$C$2001, 2, FALSE)/100, 0))</f>
        <v>6.25E-2</v>
      </c>
      <c r="S190">
        <f>IF(B190="","", IFERROR(SUMIFS(ベンチマークリターン!$C$2:$C$2001, ベンチマークリターン!$A$2:$A$2001, A190, ベンチマークリターン!$B$2:$B$2001, Q190) / 100, 0))</f>
        <v>5.5553999999999999E-2</v>
      </c>
      <c r="T190">
        <f>IF(A190="","", SUMIFS($H$2:$H$2000, $A$2:$A$2000, A190))</f>
        <v>143058.46</v>
      </c>
      <c r="U190">
        <f t="shared" si="30"/>
        <v>6.3824117776746653E-2</v>
      </c>
      <c r="V190">
        <f t="shared" si="31"/>
        <v>-1.5135850141014102E-3</v>
      </c>
      <c r="W190">
        <f t="shared" si="32"/>
        <v>3.472125E-3</v>
      </c>
    </row>
    <row r="191" spans="1:23" x14ac:dyDescent="0.2">
      <c r="A191" s="4">
        <f>IF(ポートフォリオ実績!A192="","", ポートフォリオ実績!A192)</f>
        <v>44773</v>
      </c>
      <c r="B191" t="str">
        <f>IF(ポートフォリオ実績!B192="","", ポートフォリオ実績!B192)</f>
        <v>マルチアセット・その他投信</v>
      </c>
      <c r="C191" s="10">
        <f>IF(ポートフォリオ実績!C192="","", ポートフォリオ実績!C192)</f>
        <v>7971.3</v>
      </c>
      <c r="D191" s="10">
        <f>IF(ポートフォリオ実績!D192="","", ポートフォリオ実績!D192)</f>
        <v>9182.33</v>
      </c>
      <c r="E191" s="10">
        <f>IF(ポートフォリオ実績!E192="","", ポートフォリオ実績!E192)</f>
        <v>18.32</v>
      </c>
      <c r="F191" s="10">
        <f>IF(ポートフォリオ実績!F192="","", ポートフォリオ実績!F192)</f>
        <v>0</v>
      </c>
      <c r="G191">
        <f t="shared" si="22"/>
        <v>44742</v>
      </c>
      <c r="H191">
        <f>IF(B191&lt;&gt;"", SUMIFS(ポートフォリオ実績!$D$2:$D$2001, ポートフォリオ実績!$B$2:$B$2001, B191, ポートフォリオ実績!$A$2:$A$2001, G191), 0)</f>
        <v>8893.1200000000008</v>
      </c>
      <c r="I191">
        <f>IF(B191&lt;&gt;"", SUMIFS(ポートフォリオ実績!$C$2:$C$2001, ポートフォリオ実績!$B$2:$B$2001, B191, ポートフォリオ実績!$A$2:$A$2001, G191), 0)</f>
        <v>8072.95</v>
      </c>
      <c r="J191">
        <f t="shared" si="23"/>
        <v>1211.0299999999997</v>
      </c>
      <c r="K191">
        <f t="shared" si="24"/>
        <v>820.17000000000098</v>
      </c>
      <c r="L191">
        <f t="shared" si="25"/>
        <v>390.85999999999876</v>
      </c>
      <c r="M191">
        <f t="shared" si="26"/>
        <v>409.17999999999876</v>
      </c>
      <c r="N191">
        <f t="shared" si="27"/>
        <v>-119.96999999999963</v>
      </c>
      <c r="O191">
        <f t="shared" si="28"/>
        <v>8833.1350000000002</v>
      </c>
      <c r="P191">
        <f t="shared" si="29"/>
        <v>4.6323304240227139E-2</v>
      </c>
      <c r="Q191" t="str">
        <f>IF(B191="","", IFERROR(VLOOKUP(B191, '基準資産配分（設定）'!$A$2:$C$2001, 3, FALSE), ""))</f>
        <v>バランス型指数</v>
      </c>
      <c r="R191">
        <f>IF(B191="","", IFERROR(VLOOKUP(B191, '基準資産配分（設定）'!$A$2:$C$2001, 2, FALSE)/100, 0))</f>
        <v>6.25E-2</v>
      </c>
      <c r="S191">
        <f>IF(B191="","", IFERROR(SUMIFS(ベンチマークリターン!$C$2:$C$2001, ベンチマークリターン!$A$2:$A$2001, A191, ベンチマークリターン!$B$2:$B$2001, Q191) / 100, 0))</f>
        <v>-1.1192000000000001E-2</v>
      </c>
      <c r="T191">
        <f>IF(A191="","", SUMIFS($H$2:$H$2000, $A$2:$A$2000, A191))</f>
        <v>143829.51</v>
      </c>
      <c r="U191">
        <f t="shared" si="30"/>
        <v>6.1830983085459999E-2</v>
      </c>
      <c r="V191">
        <f t="shared" si="31"/>
        <v>2.8642154409401015E-3</v>
      </c>
      <c r="W191">
        <f t="shared" si="32"/>
        <v>-6.9950000000000003E-4</v>
      </c>
    </row>
    <row r="192" spans="1:23" x14ac:dyDescent="0.2">
      <c r="A192" s="4">
        <f>IF(ポートフォリオ実績!A193="","", ポートフォリオ実績!A193)</f>
        <v>44804</v>
      </c>
      <c r="B192" t="str">
        <f>IF(ポートフォリオ実績!B193="","", ポートフォリオ実績!B193)</f>
        <v>マルチアセット・その他投信</v>
      </c>
      <c r="C192" s="10">
        <f>IF(ポートフォリオ実績!C193="","", ポートフォリオ実績!C193)</f>
        <v>8038.3</v>
      </c>
      <c r="D192" s="10">
        <f>IF(ポートフォリオ実績!D193="","", ポートフォリオ実績!D193)</f>
        <v>8914.44</v>
      </c>
      <c r="E192" s="10">
        <f>IF(ポートフォリオ実績!E193="","", ポートフォリオ実績!E193)</f>
        <v>19.27</v>
      </c>
      <c r="F192" s="10">
        <f>IF(ポートフォリオ実績!F193="","", ポートフォリオ実績!F193)</f>
        <v>0</v>
      </c>
      <c r="G192">
        <f t="shared" si="22"/>
        <v>44773</v>
      </c>
      <c r="H192">
        <f>IF(B192&lt;&gt;"", SUMIFS(ポートフォリオ実績!$D$2:$D$2001, ポートフォリオ実績!$B$2:$B$2001, B192, ポートフォリオ実績!$A$2:$A$2001, G192), 0)</f>
        <v>9182.33</v>
      </c>
      <c r="I192">
        <f>IF(B192&lt;&gt;"", SUMIFS(ポートフォリオ実績!$C$2:$C$2001, ポートフォリオ実績!$B$2:$B$2001, B192, ポートフォリオ実績!$A$2:$A$2001, G192), 0)</f>
        <v>7971.3</v>
      </c>
      <c r="J192">
        <f t="shared" si="23"/>
        <v>876.14000000000033</v>
      </c>
      <c r="K192">
        <f t="shared" si="24"/>
        <v>1211.0299999999997</v>
      </c>
      <c r="L192">
        <f t="shared" si="25"/>
        <v>-334.88999999999942</v>
      </c>
      <c r="M192">
        <f t="shared" si="26"/>
        <v>-315.61999999999944</v>
      </c>
      <c r="N192">
        <f t="shared" si="27"/>
        <v>47.730000000000018</v>
      </c>
      <c r="O192">
        <f t="shared" si="28"/>
        <v>9206.1949999999997</v>
      </c>
      <c r="P192">
        <f t="shared" si="29"/>
        <v>-3.4283436316523759E-2</v>
      </c>
      <c r="Q192" t="str">
        <f>IF(B192="","", IFERROR(VLOOKUP(B192, '基準資産配分（設定）'!$A$2:$C$2001, 3, FALSE), ""))</f>
        <v>バランス型指数</v>
      </c>
      <c r="R192">
        <f>IF(B192="","", IFERROR(VLOOKUP(B192, '基準資産配分（設定）'!$A$2:$C$2001, 2, FALSE)/100, 0))</f>
        <v>6.25E-2</v>
      </c>
      <c r="S192">
        <f>IF(B192="","", IFERROR(SUMIFS(ベンチマークリターン!$C$2:$C$2001, ベンチマークリターン!$A$2:$A$2001, A192, ベンチマークリターン!$B$2:$B$2001, Q192) / 100, 0))</f>
        <v>1.0209999999999999E-2</v>
      </c>
      <c r="T192">
        <f>IF(A192="","", SUMIFS($H$2:$H$2000, $A$2:$A$2000, A192))</f>
        <v>145658.63</v>
      </c>
      <c r="U192">
        <f t="shared" si="30"/>
        <v>6.3040068412012387E-2</v>
      </c>
      <c r="V192">
        <f t="shared" si="31"/>
        <v>-2.1612301707925278E-3</v>
      </c>
      <c r="W192">
        <f t="shared" si="32"/>
        <v>6.3812499999999991E-4</v>
      </c>
    </row>
    <row r="193" spans="1:23" x14ac:dyDescent="0.2">
      <c r="A193" s="4">
        <f>IF(ポートフォリオ実績!A194="","", ポートフォリオ実績!A194)</f>
        <v>44834</v>
      </c>
      <c r="B193" t="str">
        <f>IF(ポートフォリオ実績!B194="","", ポートフォリオ実績!B194)</f>
        <v>マルチアセット・その他投信</v>
      </c>
      <c r="C193" s="10">
        <f>IF(ポートフォリオ実績!C194="","", ポートフォリオ実績!C194)</f>
        <v>7997.35</v>
      </c>
      <c r="D193" s="10">
        <f>IF(ポートフォリオ実績!D194="","", ポートフォリオ実績!D194)</f>
        <v>8793.1200000000008</v>
      </c>
      <c r="E193" s="10">
        <f>IF(ポートフォリオ実績!E194="","", ポートフォリオ実績!E194)</f>
        <v>18.489999999999998</v>
      </c>
      <c r="F193" s="10">
        <f>IF(ポートフォリオ実績!F194="","", ポートフォリオ実績!F194)</f>
        <v>0</v>
      </c>
      <c r="G193">
        <f t="shared" ref="G193:G256" si="33">IF(A193&lt;&gt;"", EOMONTH(A193, -1), "")</f>
        <v>44804</v>
      </c>
      <c r="H193">
        <f>IF(B193&lt;&gt;"", SUMIFS(ポートフォリオ実績!$D$2:$D$2001, ポートフォリオ実績!$B$2:$B$2001, B193, ポートフォリオ実績!$A$2:$A$2001, G193), 0)</f>
        <v>8914.44</v>
      </c>
      <c r="I193">
        <f>IF(B193&lt;&gt;"", SUMIFS(ポートフォリオ実績!$C$2:$C$2001, ポートフォリオ実績!$B$2:$B$2001, B193, ポートフォリオ実績!$A$2:$A$2001, G193), 0)</f>
        <v>8038.3</v>
      </c>
      <c r="J193">
        <f t="shared" ref="J193:J256" si="34">IF(A193&lt;&gt;"", D193-C193, 0)</f>
        <v>795.77000000000044</v>
      </c>
      <c r="K193">
        <f t="shared" ref="K193:K256" si="35">IF(A193&lt;&gt;"", H193-I193, 0)</f>
        <v>876.14000000000033</v>
      </c>
      <c r="L193">
        <f t="shared" ref="L193:L256" si="36">IF(H193=0, 0, J193-K193)</f>
        <v>-80.369999999999891</v>
      </c>
      <c r="M193">
        <f t="shared" ref="M193:M256" si="37">IF(A193&lt;&gt;"", E193+F193+L193, 0)</f>
        <v>-61.879999999999896</v>
      </c>
      <c r="N193">
        <f t="shared" ref="N193:N256" si="38">IF(H193=0, 0, (D193-H193)-M193)</f>
        <v>-59.439999999999813</v>
      </c>
      <c r="O193">
        <f t="shared" ref="O193:O256" si="39">IF(A193&lt;&gt;"", H193+N193*0.5, 0)</f>
        <v>8884.7200000000012</v>
      </c>
      <c r="P193">
        <f t="shared" ref="P193:P256" si="40">IF(A193="","", IF(O193&gt;0.000001, M193/O193, IF(ABS(M193)&lt;0.000001, 0, 0)))</f>
        <v>-6.9647664754769857E-3</v>
      </c>
      <c r="Q193" t="str">
        <f>IF(B193="","", IFERROR(VLOOKUP(B193, '基準資産配分（設定）'!$A$2:$C$2001, 3, FALSE), ""))</f>
        <v>バランス型指数</v>
      </c>
      <c r="R193">
        <f>IF(B193="","", IFERROR(VLOOKUP(B193, '基準資産配分（設定）'!$A$2:$C$2001, 2, FALSE)/100, 0))</f>
        <v>6.25E-2</v>
      </c>
      <c r="S193">
        <f>IF(B193="","", IFERROR(SUMIFS(ベンチマークリターン!$C$2:$C$2001, ベンチマークリターン!$A$2:$A$2001, A193, ベンチマークリターン!$B$2:$B$2001, Q193) / 100, 0))</f>
        <v>3.2759999999999998E-3</v>
      </c>
      <c r="T193">
        <f>IF(A193="","", SUMIFS($H$2:$H$2000, $A$2:$A$2000, A193))</f>
        <v>144325.42000000001</v>
      </c>
      <c r="U193">
        <f t="shared" ref="U193:U256" si="41">IF(A193="","", IFERROR(H193/T193, 0))</f>
        <v>6.176625018655757E-2</v>
      </c>
      <c r="V193">
        <f t="shared" ref="V193:V256" si="42">IF(A193="","", U193*P193)</f>
        <v>-4.3018750861526027E-4</v>
      </c>
      <c r="W193">
        <f t="shared" ref="W193:W256" si="43">IF(A193="","", R193*S193)</f>
        <v>2.0474999999999999E-4</v>
      </c>
    </row>
    <row r="194" spans="1:23" x14ac:dyDescent="0.2">
      <c r="A194" s="4">
        <f>IF(ポートフォリオ実績!A195="","", ポートフォリオ実績!A195)</f>
        <v>44865</v>
      </c>
      <c r="B194" t="str">
        <f>IF(ポートフォリオ実績!B195="","", ポートフォリオ実績!B195)</f>
        <v>マルチアセット・その他投信</v>
      </c>
      <c r="C194" s="10">
        <f>IF(ポートフォリオ実績!C195="","", ポートフォリオ実績!C195)</f>
        <v>7936.03</v>
      </c>
      <c r="D194" s="10">
        <f>IF(ポートフォリオ実績!D195="","", ポートフォリオ実績!D195)</f>
        <v>8618.86</v>
      </c>
      <c r="E194" s="10">
        <f>IF(ポートフォリオ実績!E195="","", ポートフォリオ実績!E195)</f>
        <v>18.190000000000001</v>
      </c>
      <c r="F194" s="10">
        <f>IF(ポートフォリオ実績!F195="","", ポートフォリオ実績!F195)</f>
        <v>0</v>
      </c>
      <c r="G194">
        <f t="shared" si="33"/>
        <v>44834</v>
      </c>
      <c r="H194">
        <f>IF(B194&lt;&gt;"", SUMIFS(ポートフォリオ実績!$D$2:$D$2001, ポートフォリオ実績!$B$2:$B$2001, B194, ポートフォリオ実績!$A$2:$A$2001, G194), 0)</f>
        <v>8793.1200000000008</v>
      </c>
      <c r="I194">
        <f>IF(B194&lt;&gt;"", SUMIFS(ポートフォリオ実績!$C$2:$C$2001, ポートフォリオ実績!$B$2:$B$2001, B194, ポートフォリオ実績!$A$2:$A$2001, G194), 0)</f>
        <v>7997.35</v>
      </c>
      <c r="J194">
        <f t="shared" si="34"/>
        <v>682.83000000000084</v>
      </c>
      <c r="K194">
        <f t="shared" si="35"/>
        <v>795.77000000000044</v>
      </c>
      <c r="L194">
        <f t="shared" si="36"/>
        <v>-112.9399999999996</v>
      </c>
      <c r="M194">
        <f t="shared" si="37"/>
        <v>-94.749999999999602</v>
      </c>
      <c r="N194">
        <f t="shared" si="38"/>
        <v>-79.510000000000616</v>
      </c>
      <c r="O194">
        <f t="shared" si="39"/>
        <v>8753.3649999999998</v>
      </c>
      <c r="P194">
        <f t="shared" si="40"/>
        <v>-1.0824408670265618E-2</v>
      </c>
      <c r="Q194" t="str">
        <f>IF(B194="","", IFERROR(VLOOKUP(B194, '基準資産配分（設定）'!$A$2:$C$2001, 3, FALSE), ""))</f>
        <v>バランス型指数</v>
      </c>
      <c r="R194">
        <f>IF(B194="","", IFERROR(VLOOKUP(B194, '基準資産配分（設定）'!$A$2:$C$2001, 2, FALSE)/100, 0))</f>
        <v>6.25E-2</v>
      </c>
      <c r="S194">
        <f>IF(B194="","", IFERROR(SUMIFS(ベンチマークリターン!$C$2:$C$2001, ベンチマークリターン!$A$2:$A$2001, A194, ベンチマークリターン!$B$2:$B$2001, Q194) / 100, 0))</f>
        <v>3.8056E-2</v>
      </c>
      <c r="T194">
        <f>IF(A194="","", SUMIFS($H$2:$H$2000, $A$2:$A$2000, A194))</f>
        <v>145674.57</v>
      </c>
      <c r="U194">
        <f t="shared" si="41"/>
        <v>6.0361393206789626E-2</v>
      </c>
      <c r="V194">
        <f t="shared" si="42"/>
        <v>-6.5337638797688575E-4</v>
      </c>
      <c r="W194">
        <f t="shared" si="43"/>
        <v>2.3785E-3</v>
      </c>
    </row>
    <row r="195" spans="1:23" x14ac:dyDescent="0.2">
      <c r="A195" s="4">
        <f>IF(ポートフォリオ実績!A196="","", ポートフォリオ実績!A196)</f>
        <v>44895</v>
      </c>
      <c r="B195" t="str">
        <f>IF(ポートフォリオ実績!B196="","", ポートフォリオ実績!B196)</f>
        <v>マルチアセット・その他投信</v>
      </c>
      <c r="C195" s="10">
        <f>IF(ポートフォリオ実績!C196="","", ポートフォリオ実績!C196)</f>
        <v>8009.41</v>
      </c>
      <c r="D195" s="10">
        <f>IF(ポートフォリオ実績!D196="","", ポートフォリオ実績!D196)</f>
        <v>8100.45</v>
      </c>
      <c r="E195" s="10">
        <f>IF(ポートフォリオ実績!E196="","", ポートフォリオ実績!E196)</f>
        <v>18.11</v>
      </c>
      <c r="F195" s="10">
        <f>IF(ポートフォリオ実績!F196="","", ポートフォリオ実績!F196)</f>
        <v>0</v>
      </c>
      <c r="G195">
        <f t="shared" si="33"/>
        <v>44865</v>
      </c>
      <c r="H195">
        <f>IF(B195&lt;&gt;"", SUMIFS(ポートフォリオ実績!$D$2:$D$2001, ポートフォリオ実績!$B$2:$B$2001, B195, ポートフォリオ実績!$A$2:$A$2001, G195), 0)</f>
        <v>8618.86</v>
      </c>
      <c r="I195">
        <f>IF(B195&lt;&gt;"", SUMIFS(ポートフォリオ実績!$C$2:$C$2001, ポートフォリオ実績!$B$2:$B$2001, B195, ポートフォリオ実績!$A$2:$A$2001, G195), 0)</f>
        <v>7936.03</v>
      </c>
      <c r="J195">
        <f t="shared" si="34"/>
        <v>91.039999999999964</v>
      </c>
      <c r="K195">
        <f t="shared" si="35"/>
        <v>682.83000000000084</v>
      </c>
      <c r="L195">
        <f t="shared" si="36"/>
        <v>-591.79000000000087</v>
      </c>
      <c r="M195">
        <f t="shared" si="37"/>
        <v>-573.68000000000086</v>
      </c>
      <c r="N195">
        <f t="shared" si="38"/>
        <v>55.270000000000095</v>
      </c>
      <c r="O195">
        <f t="shared" si="39"/>
        <v>8646.4950000000008</v>
      </c>
      <c r="P195">
        <f t="shared" si="40"/>
        <v>-6.634827175635917E-2</v>
      </c>
      <c r="Q195" t="str">
        <f>IF(B195="","", IFERROR(VLOOKUP(B195, '基準資産配分（設定）'!$A$2:$C$2001, 3, FALSE), ""))</f>
        <v>バランス型指数</v>
      </c>
      <c r="R195">
        <f>IF(B195="","", IFERROR(VLOOKUP(B195, '基準資産配分（設定）'!$A$2:$C$2001, 2, FALSE)/100, 0))</f>
        <v>6.25E-2</v>
      </c>
      <c r="S195">
        <f>IF(B195="","", IFERROR(SUMIFS(ベンチマークリターン!$C$2:$C$2001, ベンチマークリターン!$A$2:$A$2001, A195, ベンチマークリターン!$B$2:$B$2001, Q195) / 100, 0))</f>
        <v>7.6696E-2</v>
      </c>
      <c r="T195">
        <f>IF(A195="","", SUMIFS($H$2:$H$2000, $A$2:$A$2000, A195))</f>
        <v>149722.51</v>
      </c>
      <c r="U195">
        <f t="shared" si="41"/>
        <v>5.7565559113322375E-2</v>
      </c>
      <c r="V195">
        <f t="shared" si="42"/>
        <v>-3.8193753598574709E-3</v>
      </c>
      <c r="W195">
        <f t="shared" si="43"/>
        <v>4.7935E-3</v>
      </c>
    </row>
    <row r="196" spans="1:23" x14ac:dyDescent="0.2">
      <c r="A196" s="4">
        <f>IF(ポートフォリオ実績!A197="","", ポートフォリオ実績!A197)</f>
        <v>44926</v>
      </c>
      <c r="B196" t="str">
        <f>IF(ポートフォリオ実績!B197="","", ポートフォリオ実績!B197)</f>
        <v>マルチアセット・その他投信</v>
      </c>
      <c r="C196" s="10">
        <f>IF(ポートフォリオ実績!C197="","", ポートフォリオ実績!C197)</f>
        <v>7949.39</v>
      </c>
      <c r="D196" s="10">
        <f>IF(ポートフォリオ実績!D197="","", ポートフォリオ実績!D197)</f>
        <v>8018.48</v>
      </c>
      <c r="E196" s="10">
        <f>IF(ポートフォリオ実績!E197="","", ポートフォリオ実績!E197)</f>
        <v>16.75</v>
      </c>
      <c r="F196" s="10">
        <f>IF(ポートフォリオ実績!F197="","", ポートフォリオ実績!F197)</f>
        <v>0</v>
      </c>
      <c r="G196">
        <f t="shared" si="33"/>
        <v>44895</v>
      </c>
      <c r="H196">
        <f>IF(B196&lt;&gt;"", SUMIFS(ポートフォリオ実績!$D$2:$D$2001, ポートフォリオ実績!$B$2:$B$2001, B196, ポートフォリオ実績!$A$2:$A$2001, G196), 0)</f>
        <v>8100.45</v>
      </c>
      <c r="I196">
        <f>IF(B196&lt;&gt;"", SUMIFS(ポートフォリオ実績!$C$2:$C$2001, ポートフォリオ実績!$B$2:$B$2001, B196, ポートフォリオ実績!$A$2:$A$2001, G196), 0)</f>
        <v>8009.41</v>
      </c>
      <c r="J196">
        <f t="shared" si="34"/>
        <v>69.089999999999236</v>
      </c>
      <c r="K196">
        <f t="shared" si="35"/>
        <v>91.039999999999964</v>
      </c>
      <c r="L196">
        <f t="shared" si="36"/>
        <v>-21.950000000000728</v>
      </c>
      <c r="M196">
        <f t="shared" si="37"/>
        <v>-5.2000000000007276</v>
      </c>
      <c r="N196">
        <f t="shared" si="38"/>
        <v>-76.769999999999527</v>
      </c>
      <c r="O196">
        <f t="shared" si="39"/>
        <v>8062.0650000000005</v>
      </c>
      <c r="P196">
        <f t="shared" si="40"/>
        <v>-6.4499604009651715E-4</v>
      </c>
      <c r="Q196" t="str">
        <f>IF(B196="","", IFERROR(VLOOKUP(B196, '基準資産配分（設定）'!$A$2:$C$2001, 3, FALSE), ""))</f>
        <v>バランス型指数</v>
      </c>
      <c r="R196">
        <f>IF(B196="","", IFERROR(VLOOKUP(B196, '基準資産配分（設定）'!$A$2:$C$2001, 2, FALSE)/100, 0))</f>
        <v>6.25E-2</v>
      </c>
      <c r="S196">
        <f>IF(B196="","", IFERROR(SUMIFS(ベンチマークリターン!$C$2:$C$2001, ベンチマークリターン!$A$2:$A$2001, A196, ベンチマークリターン!$B$2:$B$2001, Q196) / 100, 0))</f>
        <v>-1.1575E-2</v>
      </c>
      <c r="T196">
        <f>IF(A196="","", SUMIFS($H$2:$H$2000, $A$2:$A$2000, A196))</f>
        <v>146745.91999999998</v>
      </c>
      <c r="U196">
        <f t="shared" si="41"/>
        <v>5.5200512559395183E-2</v>
      </c>
      <c r="V196">
        <f t="shared" si="42"/>
        <v>-3.5604112012107956E-5</v>
      </c>
      <c r="W196">
        <f t="shared" si="43"/>
        <v>-7.2343750000000001E-4</v>
      </c>
    </row>
    <row r="197" spans="1:23" x14ac:dyDescent="0.2">
      <c r="A197" s="4">
        <f>IF(ポートフォリオ実績!A198="","", ポートフォリオ実績!A198)</f>
        <v>44957</v>
      </c>
      <c r="B197" t="str">
        <f>IF(ポートフォリオ実績!B198="","", ポートフォリオ実績!B198)</f>
        <v>マルチアセット・その他投信</v>
      </c>
      <c r="C197" s="10">
        <f>IF(ポートフォリオ実績!C198="","", ポートフォリオ実績!C198)</f>
        <v>7984.69</v>
      </c>
      <c r="D197" s="10">
        <f>IF(ポートフォリオ実績!D198="","", ポートフォリオ実績!D198)</f>
        <v>8142.51</v>
      </c>
      <c r="E197" s="10">
        <f>IF(ポートフォリオ実績!E198="","", ポートフォリオ実績!E198)</f>
        <v>16.78</v>
      </c>
      <c r="F197" s="10">
        <f>IF(ポートフォリオ実績!F198="","", ポートフォリオ実績!F198)</f>
        <v>0</v>
      </c>
      <c r="G197">
        <f t="shared" si="33"/>
        <v>44926</v>
      </c>
      <c r="H197">
        <f>IF(B197&lt;&gt;"", SUMIFS(ポートフォリオ実績!$D$2:$D$2001, ポートフォリオ実績!$B$2:$B$2001, B197, ポートフォリオ実績!$A$2:$A$2001, G197), 0)</f>
        <v>8018.48</v>
      </c>
      <c r="I197">
        <f>IF(B197&lt;&gt;"", SUMIFS(ポートフォリオ実績!$C$2:$C$2001, ポートフォリオ実績!$B$2:$B$2001, B197, ポートフォリオ実績!$A$2:$A$2001, G197), 0)</f>
        <v>7949.39</v>
      </c>
      <c r="J197">
        <f t="shared" si="34"/>
        <v>157.82000000000062</v>
      </c>
      <c r="K197">
        <f t="shared" si="35"/>
        <v>69.089999999999236</v>
      </c>
      <c r="L197">
        <f t="shared" si="36"/>
        <v>88.730000000001382</v>
      </c>
      <c r="M197">
        <f t="shared" si="37"/>
        <v>105.51000000000138</v>
      </c>
      <c r="N197">
        <f t="shared" si="38"/>
        <v>18.519999999999271</v>
      </c>
      <c r="O197">
        <f t="shared" si="39"/>
        <v>8027.7399999999989</v>
      </c>
      <c r="P197">
        <f t="shared" si="40"/>
        <v>1.314317603709156E-2</v>
      </c>
      <c r="Q197" t="str">
        <f>IF(B197="","", IFERROR(VLOOKUP(B197, '基準資産配分（設定）'!$A$2:$C$2001, 3, FALSE), ""))</f>
        <v>バランス型指数</v>
      </c>
      <c r="R197">
        <f>IF(B197="","", IFERROR(VLOOKUP(B197, '基準資産配分（設定）'!$A$2:$C$2001, 2, FALSE)/100, 0))</f>
        <v>6.25E-2</v>
      </c>
      <c r="S197">
        <f>IF(B197="","", IFERROR(SUMIFS(ベンチマークリターン!$C$2:$C$2001, ベンチマークリターン!$A$2:$A$2001, A197, ベンチマークリターン!$B$2:$B$2001, Q197) / 100, 0))</f>
        <v>-1.0379000000000001E-2</v>
      </c>
      <c r="T197">
        <f>IF(A197="","", SUMIFS($H$2:$H$2000, $A$2:$A$2000, A197))</f>
        <v>148588.96000000002</v>
      </c>
      <c r="U197">
        <f t="shared" si="41"/>
        <v>5.3964170689397101E-2</v>
      </c>
      <c r="V197">
        <f t="shared" si="42"/>
        <v>7.092605950664027E-4</v>
      </c>
      <c r="W197">
        <f t="shared" si="43"/>
        <v>-6.4868750000000007E-4</v>
      </c>
    </row>
    <row r="198" spans="1:23" x14ac:dyDescent="0.2">
      <c r="A198" s="4">
        <f>IF(ポートフォリオ実績!A199="","", ポートフォリオ実績!A199)</f>
        <v>44985</v>
      </c>
      <c r="B198" t="str">
        <f>IF(ポートフォリオ実績!B199="","", ポートフォリオ実績!B199)</f>
        <v>マルチアセット・その他投信</v>
      </c>
      <c r="C198" s="10">
        <f>IF(ポートフォリオ実績!C199="","", ポートフォリオ実績!C199)</f>
        <v>7918.66</v>
      </c>
      <c r="D198" s="10">
        <f>IF(ポートフォリオ実績!D199="","", ポートフォリオ実績!D199)</f>
        <v>8226.92</v>
      </c>
      <c r="E198" s="10">
        <f>IF(ポートフォリオ実績!E199="","", ポートフォリオ実績!E199)</f>
        <v>16.829999999999998</v>
      </c>
      <c r="F198" s="10">
        <f>IF(ポートフォリオ実績!F199="","", ポートフォリオ実績!F199)</f>
        <v>0</v>
      </c>
      <c r="G198">
        <f t="shared" si="33"/>
        <v>44957</v>
      </c>
      <c r="H198">
        <f>IF(B198&lt;&gt;"", SUMIFS(ポートフォリオ実績!$D$2:$D$2001, ポートフォリオ実績!$B$2:$B$2001, B198, ポートフォリオ実績!$A$2:$A$2001, G198), 0)</f>
        <v>8142.51</v>
      </c>
      <c r="I198">
        <f>IF(B198&lt;&gt;"", SUMIFS(ポートフォリオ実績!$C$2:$C$2001, ポートフォリオ実績!$B$2:$B$2001, B198, ポートフォリオ実績!$A$2:$A$2001, G198), 0)</f>
        <v>7984.69</v>
      </c>
      <c r="J198">
        <f t="shared" si="34"/>
        <v>308.26000000000022</v>
      </c>
      <c r="K198">
        <f t="shared" si="35"/>
        <v>157.82000000000062</v>
      </c>
      <c r="L198">
        <f t="shared" si="36"/>
        <v>150.4399999999996</v>
      </c>
      <c r="M198">
        <f t="shared" si="37"/>
        <v>167.26999999999958</v>
      </c>
      <c r="N198">
        <f t="shared" si="38"/>
        <v>-82.859999999999729</v>
      </c>
      <c r="O198">
        <f t="shared" si="39"/>
        <v>8101.08</v>
      </c>
      <c r="P198">
        <f t="shared" si="40"/>
        <v>2.0647864235385848E-2</v>
      </c>
      <c r="Q198" t="str">
        <f>IF(B198="","", IFERROR(VLOOKUP(B198, '基準資産配分（設定）'!$A$2:$C$2001, 3, FALSE), ""))</f>
        <v>バランス型指数</v>
      </c>
      <c r="R198">
        <f>IF(B198="","", IFERROR(VLOOKUP(B198, '基準資産配分（設定）'!$A$2:$C$2001, 2, FALSE)/100, 0))</f>
        <v>6.25E-2</v>
      </c>
      <c r="S198">
        <f>IF(B198="","", IFERROR(SUMIFS(ベンチマークリターン!$C$2:$C$2001, ベンチマークリターン!$A$2:$A$2001, A198, ベンチマークリターン!$B$2:$B$2001, Q198) / 100, 0))</f>
        <v>3.3892000000000005E-2</v>
      </c>
      <c r="T198">
        <f>IF(A198="","", SUMIFS($H$2:$H$2000, $A$2:$A$2000, A198))</f>
        <v>149058.73000000001</v>
      </c>
      <c r="U198">
        <f t="shared" si="41"/>
        <v>5.4626186604434371E-2</v>
      </c>
      <c r="V198">
        <f t="shared" si="42"/>
        <v>1.127914084705214E-3</v>
      </c>
      <c r="W198">
        <f t="shared" si="43"/>
        <v>2.1182500000000003E-3</v>
      </c>
    </row>
    <row r="199" spans="1:23" x14ac:dyDescent="0.2">
      <c r="A199" s="4">
        <f>IF(ポートフォリオ実績!A200="","", ポートフォリオ実績!A200)</f>
        <v>45016</v>
      </c>
      <c r="B199" t="str">
        <f>IF(ポートフォリオ実績!B200="","", ポートフォリオ実績!B200)</f>
        <v>マルチアセット・その他投信</v>
      </c>
      <c r="C199" s="10">
        <f>IF(ポートフォリオ実績!C200="","", ポートフォリオ実績!C200)</f>
        <v>8065.62</v>
      </c>
      <c r="D199" s="10">
        <f>IF(ポートフォリオ実績!D200="","", ポートフォリオ実績!D200)</f>
        <v>8902.7099999999991</v>
      </c>
      <c r="E199" s="10">
        <f>IF(ポートフォリオ実績!E200="","", ポートフォリオ実績!E200)</f>
        <v>17.45</v>
      </c>
      <c r="F199" s="10">
        <f>IF(ポートフォリオ実績!F200="","", ポートフォリオ実績!F200)</f>
        <v>0</v>
      </c>
      <c r="G199">
        <f t="shared" si="33"/>
        <v>44985</v>
      </c>
      <c r="H199">
        <f>IF(B199&lt;&gt;"", SUMIFS(ポートフォリオ実績!$D$2:$D$2001, ポートフォリオ実績!$B$2:$B$2001, B199, ポートフォリオ実績!$A$2:$A$2001, G199), 0)</f>
        <v>8226.92</v>
      </c>
      <c r="I199">
        <f>IF(B199&lt;&gt;"", SUMIFS(ポートフォリオ実績!$C$2:$C$2001, ポートフォリオ実績!$B$2:$B$2001, B199, ポートフォリオ実績!$A$2:$A$2001, G199), 0)</f>
        <v>7918.66</v>
      </c>
      <c r="J199">
        <f t="shared" si="34"/>
        <v>837.08999999999924</v>
      </c>
      <c r="K199">
        <f t="shared" si="35"/>
        <v>308.26000000000022</v>
      </c>
      <c r="L199">
        <f t="shared" si="36"/>
        <v>528.82999999999902</v>
      </c>
      <c r="M199">
        <f t="shared" si="37"/>
        <v>546.27999999999906</v>
      </c>
      <c r="N199">
        <f t="shared" si="38"/>
        <v>129.51</v>
      </c>
      <c r="O199">
        <f t="shared" si="39"/>
        <v>8291.6749999999993</v>
      </c>
      <c r="P199">
        <f t="shared" si="40"/>
        <v>6.5882948861357815E-2</v>
      </c>
      <c r="Q199" t="str">
        <f>IF(B199="","", IFERROR(VLOOKUP(B199, '基準資産配分（設定）'!$A$2:$C$2001, 3, FALSE), ""))</f>
        <v>バランス型指数</v>
      </c>
      <c r="R199">
        <f>IF(B199="","", IFERROR(VLOOKUP(B199, '基準資産配分（設定）'!$A$2:$C$2001, 2, FALSE)/100, 0))</f>
        <v>6.25E-2</v>
      </c>
      <c r="S199">
        <f>IF(B199="","", IFERROR(SUMIFS(ベンチマークリターン!$C$2:$C$2001, ベンチマークリターン!$A$2:$A$2001, A199, ベンチマークリターン!$B$2:$B$2001, Q199) / 100, 0))</f>
        <v>2.3435000000000001E-2</v>
      </c>
      <c r="T199">
        <f>IF(A199="","", SUMIFS($H$2:$H$2000, $A$2:$A$2000, A199))</f>
        <v>149288.46000000002</v>
      </c>
      <c r="U199">
        <f t="shared" si="41"/>
        <v>5.5107541467036357E-2</v>
      </c>
      <c r="V199">
        <f t="shared" si="42"/>
        <v>3.6306473363479116E-3</v>
      </c>
      <c r="W199">
        <f t="shared" si="43"/>
        <v>1.4646875000000001E-3</v>
      </c>
    </row>
    <row r="200" spans="1:23" x14ac:dyDescent="0.2">
      <c r="A200" s="4">
        <f>IF(ポートフォリオ実績!A201="","", ポートフォリオ実績!A201)</f>
        <v>45046</v>
      </c>
      <c r="B200" t="str">
        <f>IF(ポートフォリオ実績!B201="","", ポートフォリオ実績!B201)</f>
        <v>マルチアセット・その他投信</v>
      </c>
      <c r="C200" s="10">
        <f>IF(ポートフォリオ実績!C201="","", ポートフォリオ実績!C201)</f>
        <v>8131.26</v>
      </c>
      <c r="D200" s="10">
        <f>IF(ポートフォリオ実績!D201="","", ポートフォリオ実績!D201)</f>
        <v>8834.16</v>
      </c>
      <c r="E200" s="10">
        <f>IF(ポートフォリオ実績!E201="","", ポートフォリオ実績!E201)</f>
        <v>18.68</v>
      </c>
      <c r="F200" s="10">
        <f>IF(ポートフォリオ実績!F201="","", ポートフォリオ実績!F201)</f>
        <v>0</v>
      </c>
      <c r="G200">
        <f t="shared" si="33"/>
        <v>45016</v>
      </c>
      <c r="H200">
        <f>IF(B200&lt;&gt;"", SUMIFS(ポートフォリオ実績!$D$2:$D$2001, ポートフォリオ実績!$B$2:$B$2001, B200, ポートフォリオ実績!$A$2:$A$2001, G200), 0)</f>
        <v>8902.7099999999991</v>
      </c>
      <c r="I200">
        <f>IF(B200&lt;&gt;"", SUMIFS(ポートフォリオ実績!$C$2:$C$2001, ポートフォリオ実績!$B$2:$B$2001, B200, ポートフォリオ実績!$A$2:$A$2001, G200), 0)</f>
        <v>8065.62</v>
      </c>
      <c r="J200">
        <f t="shared" si="34"/>
        <v>702.89999999999964</v>
      </c>
      <c r="K200">
        <f t="shared" si="35"/>
        <v>837.08999999999924</v>
      </c>
      <c r="L200">
        <f t="shared" si="36"/>
        <v>-134.1899999999996</v>
      </c>
      <c r="M200">
        <f t="shared" si="37"/>
        <v>-115.50999999999959</v>
      </c>
      <c r="N200">
        <f t="shared" si="38"/>
        <v>46.960000000000321</v>
      </c>
      <c r="O200">
        <f t="shared" si="39"/>
        <v>8926.1899999999987</v>
      </c>
      <c r="P200">
        <f t="shared" si="40"/>
        <v>-1.2940571509232899E-2</v>
      </c>
      <c r="Q200" t="str">
        <f>IF(B200="","", IFERROR(VLOOKUP(B200, '基準資産配分（設定）'!$A$2:$C$2001, 3, FALSE), ""))</f>
        <v>バランス型指数</v>
      </c>
      <c r="R200">
        <f>IF(B200="","", IFERROR(VLOOKUP(B200, '基準資産配分（設定）'!$A$2:$C$2001, 2, FALSE)/100, 0))</f>
        <v>6.25E-2</v>
      </c>
      <c r="S200">
        <f>IF(B200="","", IFERROR(SUMIFS(ベンチマークリターン!$C$2:$C$2001, ベンチマークリターン!$A$2:$A$2001, A200, ベンチマークリターン!$B$2:$B$2001, Q200) / 100, 0))</f>
        <v>5.7060000000000007E-2</v>
      </c>
      <c r="T200">
        <f>IF(A200="","", SUMIFS($H$2:$H$2000, $A$2:$A$2000, A200))</f>
        <v>148343.76</v>
      </c>
      <c r="U200">
        <f t="shared" si="41"/>
        <v>6.0014051147146322E-2</v>
      </c>
      <c r="V200">
        <f t="shared" si="42"/>
        <v>-7.7661612042840764E-4</v>
      </c>
      <c r="W200">
        <f t="shared" si="43"/>
        <v>3.5662500000000004E-3</v>
      </c>
    </row>
    <row r="201" spans="1:23" x14ac:dyDescent="0.2">
      <c r="A201" s="4">
        <f>IF(ポートフォリオ実績!A202="","", ポートフォリオ実績!A202)</f>
        <v>45077</v>
      </c>
      <c r="B201" t="str">
        <f>IF(ポートフォリオ実績!B202="","", ポートフォリオ実績!B202)</f>
        <v>マルチアセット・その他投信</v>
      </c>
      <c r="C201" s="10">
        <f>IF(ポートフォリオ実績!C202="","", ポートフォリオ実績!C202)</f>
        <v>7903.84</v>
      </c>
      <c r="D201" s="10">
        <f>IF(ポートフォリオ実績!D202="","", ポートフォリオ実績!D202)</f>
        <v>8712.1200000000008</v>
      </c>
      <c r="E201" s="10">
        <f>IF(ポートフォリオ実績!E202="","", ポートフォリオ実績!E202)</f>
        <v>17.93</v>
      </c>
      <c r="F201" s="10">
        <f>IF(ポートフォリオ実績!F202="","", ポートフォリオ実績!F202)</f>
        <v>0</v>
      </c>
      <c r="G201">
        <f t="shared" si="33"/>
        <v>45046</v>
      </c>
      <c r="H201">
        <f>IF(B201&lt;&gt;"", SUMIFS(ポートフォリオ実績!$D$2:$D$2001, ポートフォリオ実績!$B$2:$B$2001, B201, ポートフォリオ実績!$A$2:$A$2001, G201), 0)</f>
        <v>8834.16</v>
      </c>
      <c r="I201">
        <f>IF(B201&lt;&gt;"", SUMIFS(ポートフォリオ実績!$C$2:$C$2001, ポートフォリオ実績!$B$2:$B$2001, B201, ポートフォリオ実績!$A$2:$A$2001, G201), 0)</f>
        <v>8131.26</v>
      </c>
      <c r="J201">
        <f t="shared" si="34"/>
        <v>808.28000000000065</v>
      </c>
      <c r="K201">
        <f t="shared" si="35"/>
        <v>702.89999999999964</v>
      </c>
      <c r="L201">
        <f t="shared" si="36"/>
        <v>105.38000000000102</v>
      </c>
      <c r="M201">
        <f t="shared" si="37"/>
        <v>123.31000000000103</v>
      </c>
      <c r="N201">
        <f t="shared" si="38"/>
        <v>-245.35000000000008</v>
      </c>
      <c r="O201">
        <f t="shared" si="39"/>
        <v>8711.4850000000006</v>
      </c>
      <c r="P201">
        <f t="shared" si="40"/>
        <v>1.4154877153550861E-2</v>
      </c>
      <c r="Q201" t="str">
        <f>IF(B201="","", IFERROR(VLOOKUP(B201, '基準資産配分（設定）'!$A$2:$C$2001, 3, FALSE), ""))</f>
        <v>バランス型指数</v>
      </c>
      <c r="R201">
        <f>IF(B201="","", IFERROR(VLOOKUP(B201, '基準資産配分（設定）'!$A$2:$C$2001, 2, FALSE)/100, 0))</f>
        <v>6.25E-2</v>
      </c>
      <c r="S201">
        <f>IF(B201="","", IFERROR(SUMIFS(ベンチマークリターン!$C$2:$C$2001, ベンチマークリターン!$A$2:$A$2001, A201, ベンチマークリターン!$B$2:$B$2001, Q201) / 100, 0))</f>
        <v>2.0607E-2</v>
      </c>
      <c r="T201">
        <f>IF(A201="","", SUMIFS($H$2:$H$2000, $A$2:$A$2000, A201))</f>
        <v>149279.44000000003</v>
      </c>
      <c r="U201">
        <f t="shared" si="41"/>
        <v>5.9178678590970049E-2</v>
      </c>
      <c r="V201">
        <f t="shared" si="42"/>
        <v>8.3766692556465144E-4</v>
      </c>
      <c r="W201">
        <f t="shared" si="43"/>
        <v>1.2879375E-3</v>
      </c>
    </row>
    <row r="202" spans="1:23" x14ac:dyDescent="0.2">
      <c r="A202" s="4">
        <f>IF(ポートフォリオ実績!A203="","", ポートフォリオ実績!A203)</f>
        <v>45107</v>
      </c>
      <c r="B202" t="str">
        <f>IF(ポートフォリオ実績!B203="","", ポートフォリオ実績!B203)</f>
        <v>マルチアセット・その他投信</v>
      </c>
      <c r="C202" s="10">
        <f>IF(ポートフォリオ実績!C203="","", ポートフォリオ実績!C203)</f>
        <v>7839.58</v>
      </c>
      <c r="D202" s="10">
        <f>IF(ポートフォリオ実績!D203="","", ポートフォリオ実績!D203)</f>
        <v>8748.7199999999993</v>
      </c>
      <c r="E202" s="10">
        <f>IF(ポートフォリオ実績!E203="","", ポートフォリオ実績!E203)</f>
        <v>18.02</v>
      </c>
      <c r="F202" s="10">
        <f>IF(ポートフォリオ実績!F203="","", ポートフォリオ実績!F203)</f>
        <v>0</v>
      </c>
      <c r="G202">
        <f t="shared" si="33"/>
        <v>45077</v>
      </c>
      <c r="H202">
        <f>IF(B202&lt;&gt;"", SUMIFS(ポートフォリオ実績!$D$2:$D$2001, ポートフォリオ実績!$B$2:$B$2001, B202, ポートフォリオ実績!$A$2:$A$2001, G202), 0)</f>
        <v>8712.1200000000008</v>
      </c>
      <c r="I202">
        <f>IF(B202&lt;&gt;"", SUMIFS(ポートフォリオ実績!$C$2:$C$2001, ポートフォリオ実績!$B$2:$B$2001, B202, ポートフォリオ実績!$A$2:$A$2001, G202), 0)</f>
        <v>7903.84</v>
      </c>
      <c r="J202">
        <f t="shared" si="34"/>
        <v>909.13999999999942</v>
      </c>
      <c r="K202">
        <f t="shared" si="35"/>
        <v>808.28000000000065</v>
      </c>
      <c r="L202">
        <f t="shared" si="36"/>
        <v>100.85999999999876</v>
      </c>
      <c r="M202">
        <f t="shared" si="37"/>
        <v>118.87999999999876</v>
      </c>
      <c r="N202">
        <f t="shared" si="38"/>
        <v>-82.280000000000214</v>
      </c>
      <c r="O202">
        <f t="shared" si="39"/>
        <v>8670.9800000000014</v>
      </c>
      <c r="P202">
        <f t="shared" si="40"/>
        <v>1.3710099665781577E-2</v>
      </c>
      <c r="Q202" t="str">
        <f>IF(B202="","", IFERROR(VLOOKUP(B202, '基準資産配分（設定）'!$A$2:$C$2001, 3, FALSE), ""))</f>
        <v>バランス型指数</v>
      </c>
      <c r="R202">
        <f>IF(B202="","", IFERROR(VLOOKUP(B202, '基準資産配分（設定）'!$A$2:$C$2001, 2, FALSE)/100, 0))</f>
        <v>6.25E-2</v>
      </c>
      <c r="S202">
        <f>IF(B202="","", IFERROR(SUMIFS(ベンチマークリターン!$C$2:$C$2001, ベンチマークリターン!$A$2:$A$2001, A202, ベンチマークリターン!$B$2:$B$2001, Q202) / 100, 0))</f>
        <v>-6.6220000000000003E-3</v>
      </c>
      <c r="T202">
        <f>IF(A202="","", SUMIFS($H$2:$H$2000, $A$2:$A$2000, A202))</f>
        <v>149189.19</v>
      </c>
      <c r="U202">
        <f t="shared" si="41"/>
        <v>5.8396456204367092E-2</v>
      </c>
      <c r="V202">
        <f t="shared" si="42"/>
        <v>8.0062123469032181E-4</v>
      </c>
      <c r="W202">
        <f t="shared" si="43"/>
        <v>-4.1387500000000002E-4</v>
      </c>
    </row>
    <row r="203" spans="1:23" x14ac:dyDescent="0.2">
      <c r="A203" s="4">
        <f>IF(ポートフォリオ実績!A204="","", ポートフォリオ実績!A204)</f>
        <v>45138</v>
      </c>
      <c r="B203" t="str">
        <f>IF(ポートフォリオ実績!B204="","", ポートフォリオ実績!B204)</f>
        <v>マルチアセット・その他投信</v>
      </c>
      <c r="C203" s="10">
        <f>IF(ポートフォリオ実績!C204="","", ポートフォリオ実績!C204)</f>
        <v>7877.58</v>
      </c>
      <c r="D203" s="10">
        <f>IF(ポートフォリオ実績!D204="","", ポートフォリオ実績!D204)</f>
        <v>8534.39</v>
      </c>
      <c r="E203" s="10">
        <f>IF(ポートフォリオ実績!E204="","", ポートフォリオ実績!E204)</f>
        <v>18.309999999999999</v>
      </c>
      <c r="F203" s="10">
        <f>IF(ポートフォリオ実績!F204="","", ポートフォリオ実績!F204)</f>
        <v>0</v>
      </c>
      <c r="G203">
        <f t="shared" si="33"/>
        <v>45107</v>
      </c>
      <c r="H203">
        <f>IF(B203&lt;&gt;"", SUMIFS(ポートフォリオ実績!$D$2:$D$2001, ポートフォリオ実績!$B$2:$B$2001, B203, ポートフォリオ実績!$A$2:$A$2001, G203), 0)</f>
        <v>8748.7199999999993</v>
      </c>
      <c r="I203">
        <f>IF(B203&lt;&gt;"", SUMIFS(ポートフォリオ実績!$C$2:$C$2001, ポートフォリオ実績!$B$2:$B$2001, B203, ポートフォリオ実績!$A$2:$A$2001, G203), 0)</f>
        <v>7839.58</v>
      </c>
      <c r="J203">
        <f t="shared" si="34"/>
        <v>656.80999999999949</v>
      </c>
      <c r="K203">
        <f t="shared" si="35"/>
        <v>909.13999999999942</v>
      </c>
      <c r="L203">
        <f t="shared" si="36"/>
        <v>-252.32999999999993</v>
      </c>
      <c r="M203">
        <f t="shared" si="37"/>
        <v>-234.01999999999992</v>
      </c>
      <c r="N203">
        <f t="shared" si="38"/>
        <v>19.689999999999998</v>
      </c>
      <c r="O203">
        <f t="shared" si="39"/>
        <v>8758.5649999999987</v>
      </c>
      <c r="P203">
        <f t="shared" si="40"/>
        <v>-2.6718988784121597E-2</v>
      </c>
      <c r="Q203" t="str">
        <f>IF(B203="","", IFERROR(VLOOKUP(B203, '基準資産配分（設定）'!$A$2:$C$2001, 3, FALSE), ""))</f>
        <v>バランス型指数</v>
      </c>
      <c r="R203">
        <f>IF(B203="","", IFERROR(VLOOKUP(B203, '基準資産配分（設定）'!$A$2:$C$2001, 2, FALSE)/100, 0))</f>
        <v>6.25E-2</v>
      </c>
      <c r="S203">
        <f>IF(B203="","", IFERROR(SUMIFS(ベンチマークリターン!$C$2:$C$2001, ベンチマークリターン!$A$2:$A$2001, A203, ベンチマークリターン!$B$2:$B$2001, Q203) / 100, 0))</f>
        <v>2.0801E-2</v>
      </c>
      <c r="T203">
        <f>IF(A203="","", SUMIFS($H$2:$H$2000, $A$2:$A$2000, A203))</f>
        <v>147474.57</v>
      </c>
      <c r="U203">
        <f t="shared" si="41"/>
        <v>5.9323583720230541E-2</v>
      </c>
      <c r="V203">
        <f t="shared" si="42"/>
        <v>-1.5850661680547383E-3</v>
      </c>
      <c r="W203">
        <f t="shared" si="43"/>
        <v>1.3000625E-3</v>
      </c>
    </row>
    <row r="204" spans="1:23" x14ac:dyDescent="0.2">
      <c r="A204" s="4">
        <f>IF(ポートフォリオ実績!A205="","", ポートフォリオ実績!A205)</f>
        <v>45169</v>
      </c>
      <c r="B204" t="str">
        <f>IF(ポートフォリオ実績!B205="","", ポートフォリオ実績!B205)</f>
        <v>マルチアセット・その他投信</v>
      </c>
      <c r="C204" s="10">
        <f>IF(ポートフォリオ実績!C205="","", ポートフォリオ実績!C205)</f>
        <v>7895.85</v>
      </c>
      <c r="D204" s="10">
        <f>IF(ポートフォリオ実績!D205="","", ポートフォリオ実績!D205)</f>
        <v>8427.36</v>
      </c>
      <c r="E204" s="10">
        <f>IF(ポートフォリオ実績!E205="","", ポートフォリオ実績!E205)</f>
        <v>17.82</v>
      </c>
      <c r="F204" s="10">
        <f>IF(ポートフォリオ実績!F205="","", ポートフォリオ実績!F205)</f>
        <v>0</v>
      </c>
      <c r="G204">
        <f t="shared" si="33"/>
        <v>45138</v>
      </c>
      <c r="H204">
        <f>IF(B204&lt;&gt;"", SUMIFS(ポートフォリオ実績!$D$2:$D$2001, ポートフォリオ実績!$B$2:$B$2001, B204, ポートフォリオ実績!$A$2:$A$2001, G204), 0)</f>
        <v>8534.39</v>
      </c>
      <c r="I204">
        <f>IF(B204&lt;&gt;"", SUMIFS(ポートフォリオ実績!$C$2:$C$2001, ポートフォリオ実績!$B$2:$B$2001, B204, ポートフォリオ実績!$A$2:$A$2001, G204), 0)</f>
        <v>7877.58</v>
      </c>
      <c r="J204">
        <f t="shared" si="34"/>
        <v>531.51000000000022</v>
      </c>
      <c r="K204">
        <f t="shared" si="35"/>
        <v>656.80999999999949</v>
      </c>
      <c r="L204">
        <f t="shared" si="36"/>
        <v>-125.29999999999927</v>
      </c>
      <c r="M204">
        <f t="shared" si="37"/>
        <v>-107.47999999999928</v>
      </c>
      <c r="N204">
        <f t="shared" si="38"/>
        <v>0.45000000000044338</v>
      </c>
      <c r="O204">
        <f t="shared" si="39"/>
        <v>8534.6149999999998</v>
      </c>
      <c r="P204">
        <f t="shared" si="40"/>
        <v>-1.2593421027193293E-2</v>
      </c>
      <c r="Q204" t="str">
        <f>IF(B204="","", IFERROR(VLOOKUP(B204, '基準資産配分（設定）'!$A$2:$C$2001, 3, FALSE), ""))</f>
        <v>バランス型指数</v>
      </c>
      <c r="R204">
        <f>IF(B204="","", IFERROR(VLOOKUP(B204, '基準資産配分（設定）'!$A$2:$C$2001, 2, FALSE)/100, 0))</f>
        <v>6.25E-2</v>
      </c>
      <c r="S204">
        <f>IF(B204="","", IFERROR(SUMIFS(ベンチマークリターン!$C$2:$C$2001, ベンチマークリターン!$A$2:$A$2001, A204, ベンチマークリターン!$B$2:$B$2001, Q204) / 100, 0))</f>
        <v>3.5756000000000003E-2</v>
      </c>
      <c r="T204">
        <f>IF(A204="","", SUMIFS($H$2:$H$2000, $A$2:$A$2000, A204))</f>
        <v>147887.32999999999</v>
      </c>
      <c r="U204">
        <f t="shared" si="41"/>
        <v>5.7708730017642484E-2</v>
      </c>
      <c r="V204">
        <f t="shared" si="42"/>
        <v>-7.2675033405679966E-4</v>
      </c>
      <c r="W204">
        <f t="shared" si="43"/>
        <v>2.2347500000000002E-3</v>
      </c>
    </row>
    <row r="205" spans="1:23" x14ac:dyDescent="0.2">
      <c r="A205" s="4">
        <f>IF(ポートフォリオ実績!A206="","", ポートフォリオ実績!A206)</f>
        <v>45199</v>
      </c>
      <c r="B205" t="str">
        <f>IF(ポートフォリオ実績!B206="","", ポートフォリオ実績!B206)</f>
        <v>マルチアセット・その他投信</v>
      </c>
      <c r="C205" s="10">
        <f>IF(ポートフォリオ実績!C206="","", ポートフォリオ実績!C206)</f>
        <v>7973.96</v>
      </c>
      <c r="D205" s="10">
        <f>IF(ポートフォリオ実績!D206="","", ポートフォリオ実績!D206)</f>
        <v>8393.1200000000008</v>
      </c>
      <c r="E205" s="10">
        <f>IF(ポートフォリオ実績!E206="","", ポートフォリオ実績!E206)</f>
        <v>17.72</v>
      </c>
      <c r="F205" s="10">
        <f>IF(ポートフォリオ実績!F206="","", ポートフォリオ実績!F206)</f>
        <v>0</v>
      </c>
      <c r="G205">
        <f t="shared" si="33"/>
        <v>45169</v>
      </c>
      <c r="H205">
        <f>IF(B205&lt;&gt;"", SUMIFS(ポートフォリオ実績!$D$2:$D$2001, ポートフォリオ実績!$B$2:$B$2001, B205, ポートフォリオ実績!$A$2:$A$2001, G205), 0)</f>
        <v>8427.36</v>
      </c>
      <c r="I205">
        <f>IF(B205&lt;&gt;"", SUMIFS(ポートフォリオ実績!$C$2:$C$2001, ポートフォリオ実績!$B$2:$B$2001, B205, ポートフォリオ実績!$A$2:$A$2001, G205), 0)</f>
        <v>7895.85</v>
      </c>
      <c r="J205">
        <f t="shared" si="34"/>
        <v>419.16000000000076</v>
      </c>
      <c r="K205">
        <f t="shared" si="35"/>
        <v>531.51000000000022</v>
      </c>
      <c r="L205">
        <f t="shared" si="36"/>
        <v>-112.34999999999945</v>
      </c>
      <c r="M205">
        <f t="shared" si="37"/>
        <v>-94.629999999999455</v>
      </c>
      <c r="N205">
        <f t="shared" si="38"/>
        <v>60.389999999999674</v>
      </c>
      <c r="O205">
        <f t="shared" si="39"/>
        <v>8457.5550000000003</v>
      </c>
      <c r="P205">
        <f t="shared" si="40"/>
        <v>-1.1188812842482189E-2</v>
      </c>
      <c r="Q205" t="str">
        <f>IF(B205="","", IFERROR(VLOOKUP(B205, '基準資産配分（設定）'!$A$2:$C$2001, 3, FALSE), ""))</f>
        <v>バランス型指数</v>
      </c>
      <c r="R205">
        <f>IF(B205="","", IFERROR(VLOOKUP(B205, '基準資産配分（設定）'!$A$2:$C$2001, 2, FALSE)/100, 0))</f>
        <v>6.25E-2</v>
      </c>
      <c r="S205">
        <f>IF(B205="","", IFERROR(SUMIFS(ベンチマークリターン!$C$2:$C$2001, ベンチマークリターン!$A$2:$A$2001, A205, ベンチマークリターン!$B$2:$B$2001, Q205) / 100, 0))</f>
        <v>2.7435000000000001E-2</v>
      </c>
      <c r="T205">
        <f>IF(A205="","", SUMIFS($H$2:$H$2000, $A$2:$A$2000, A205))</f>
        <v>147535.20000000001</v>
      </c>
      <c r="U205">
        <f t="shared" si="41"/>
        <v>5.7121012477022434E-2</v>
      </c>
      <c r="V205">
        <f t="shared" si="42"/>
        <v>-6.3911631797849402E-4</v>
      </c>
      <c r="W205">
        <f t="shared" si="43"/>
        <v>1.7146875000000001E-3</v>
      </c>
    </row>
    <row r="206" spans="1:23" x14ac:dyDescent="0.2">
      <c r="A206" s="4">
        <f>IF(ポートフォリオ実績!A207="","", ポートフォリオ実績!A207)</f>
        <v>45230</v>
      </c>
      <c r="B206" t="str">
        <f>IF(ポートフォリオ実績!B207="","", ポートフォリオ実績!B207)</f>
        <v>マルチアセット・その他投信</v>
      </c>
      <c r="C206" s="10">
        <f>IF(ポートフォリオ実績!C207="","", ポートフォリオ実績!C207)</f>
        <v>8108.95</v>
      </c>
      <c r="D206" s="10">
        <f>IF(ポートフォリオ実績!D207="","", ポートフォリオ実績!D207)</f>
        <v>8694.06</v>
      </c>
      <c r="E206" s="10">
        <f>IF(ポートフォリオ実績!E207="","", ポートフォリオ実績!E207)</f>
        <v>17.77</v>
      </c>
      <c r="F206" s="10">
        <f>IF(ポートフォリオ実績!F207="","", ポートフォリオ実績!F207)</f>
        <v>0</v>
      </c>
      <c r="G206">
        <f t="shared" si="33"/>
        <v>45199</v>
      </c>
      <c r="H206">
        <f>IF(B206&lt;&gt;"", SUMIFS(ポートフォリオ実績!$D$2:$D$2001, ポートフォリオ実績!$B$2:$B$2001, B206, ポートフォリオ実績!$A$2:$A$2001, G206), 0)</f>
        <v>8393.1200000000008</v>
      </c>
      <c r="I206">
        <f>IF(B206&lt;&gt;"", SUMIFS(ポートフォリオ実績!$C$2:$C$2001, ポートフォリオ実績!$B$2:$B$2001, B206, ポートフォリオ実績!$A$2:$A$2001, G206), 0)</f>
        <v>7973.96</v>
      </c>
      <c r="J206">
        <f t="shared" si="34"/>
        <v>585.10999999999967</v>
      </c>
      <c r="K206">
        <f t="shared" si="35"/>
        <v>419.16000000000076</v>
      </c>
      <c r="L206">
        <f t="shared" si="36"/>
        <v>165.94999999999891</v>
      </c>
      <c r="M206">
        <f t="shared" si="37"/>
        <v>183.71999999999892</v>
      </c>
      <c r="N206">
        <f t="shared" si="38"/>
        <v>117.21999999999977</v>
      </c>
      <c r="O206">
        <f t="shared" si="39"/>
        <v>8451.7300000000014</v>
      </c>
      <c r="P206">
        <f t="shared" si="40"/>
        <v>2.1737561422335887E-2</v>
      </c>
      <c r="Q206" t="str">
        <f>IF(B206="","", IFERROR(VLOOKUP(B206, '基準資産配分（設定）'!$A$2:$C$2001, 3, FALSE), ""))</f>
        <v>バランス型指数</v>
      </c>
      <c r="R206">
        <f>IF(B206="","", IFERROR(VLOOKUP(B206, '基準資産配分（設定）'!$A$2:$C$2001, 2, FALSE)/100, 0))</f>
        <v>6.25E-2</v>
      </c>
      <c r="S206">
        <f>IF(B206="","", IFERROR(SUMIFS(ベンチマークリターン!$C$2:$C$2001, ベンチマークリターン!$A$2:$A$2001, A206, ベンチマークリターン!$B$2:$B$2001, Q206) / 100, 0))</f>
        <v>1.8394000000000001E-2</v>
      </c>
      <c r="T206">
        <f>IF(A206="","", SUMIFS($H$2:$H$2000, $A$2:$A$2000, A206))</f>
        <v>148508.15</v>
      </c>
      <c r="U206">
        <f t="shared" si="41"/>
        <v>5.6516224867120095E-2</v>
      </c>
      <c r="V206">
        <f t="shared" si="42"/>
        <v>1.22852490940757E-3</v>
      </c>
      <c r="W206">
        <f t="shared" si="43"/>
        <v>1.149625E-3</v>
      </c>
    </row>
    <row r="207" spans="1:23" x14ac:dyDescent="0.2">
      <c r="A207" s="4">
        <f>IF(ポートフォリオ実績!A208="","", ポートフォリオ実績!A208)</f>
        <v>45260</v>
      </c>
      <c r="B207" t="str">
        <f>IF(ポートフォリオ実績!B208="","", ポートフォリオ実績!B208)</f>
        <v>マルチアセット・その他投信</v>
      </c>
      <c r="C207" s="10">
        <f>IF(ポートフォリオ実績!C208="","", ポートフォリオ実績!C208)</f>
        <v>8033.66</v>
      </c>
      <c r="D207" s="10">
        <f>IF(ポートフォリオ実績!D208="","", ポートフォリオ実績!D208)</f>
        <v>8214.24</v>
      </c>
      <c r="E207" s="10">
        <f>IF(ポートフォリオ実績!E208="","", ポートフォリオ実績!E208)</f>
        <v>17.96</v>
      </c>
      <c r="F207" s="10">
        <f>IF(ポートフォリオ実績!F208="","", ポートフォリオ実績!F208)</f>
        <v>0</v>
      </c>
      <c r="G207">
        <f t="shared" si="33"/>
        <v>45230</v>
      </c>
      <c r="H207">
        <f>IF(B207&lt;&gt;"", SUMIFS(ポートフォリオ実績!$D$2:$D$2001, ポートフォリオ実績!$B$2:$B$2001, B207, ポートフォリオ実績!$A$2:$A$2001, G207), 0)</f>
        <v>8694.06</v>
      </c>
      <c r="I207">
        <f>IF(B207&lt;&gt;"", SUMIFS(ポートフォリオ実績!$C$2:$C$2001, ポートフォリオ実績!$B$2:$B$2001, B207, ポートフォリオ実績!$A$2:$A$2001, G207), 0)</f>
        <v>8108.95</v>
      </c>
      <c r="J207">
        <f t="shared" si="34"/>
        <v>180.57999999999993</v>
      </c>
      <c r="K207">
        <f t="shared" si="35"/>
        <v>585.10999999999967</v>
      </c>
      <c r="L207">
        <f t="shared" si="36"/>
        <v>-404.52999999999975</v>
      </c>
      <c r="M207">
        <f t="shared" si="37"/>
        <v>-386.56999999999977</v>
      </c>
      <c r="N207">
        <f t="shared" si="38"/>
        <v>-93.249999999999943</v>
      </c>
      <c r="O207">
        <f t="shared" si="39"/>
        <v>8647.4349999999995</v>
      </c>
      <c r="P207">
        <f t="shared" si="40"/>
        <v>-4.4703429398428529E-2</v>
      </c>
      <c r="Q207" t="str">
        <f>IF(B207="","", IFERROR(VLOOKUP(B207, '基準資産配分（設定）'!$A$2:$C$2001, 3, FALSE), ""))</f>
        <v>バランス型指数</v>
      </c>
      <c r="R207">
        <f>IF(B207="","", IFERROR(VLOOKUP(B207, '基準資産配分（設定）'!$A$2:$C$2001, 2, FALSE)/100, 0))</f>
        <v>6.25E-2</v>
      </c>
      <c r="S207">
        <f>IF(B207="","", IFERROR(SUMIFS(ベンチマークリターン!$C$2:$C$2001, ベンチマークリターン!$A$2:$A$2001, A207, ベンチマークリターン!$B$2:$B$2001, Q207) / 100, 0))</f>
        <v>3.4542000000000003E-2</v>
      </c>
      <c r="T207">
        <f>IF(A207="","", SUMIFS($H$2:$H$2000, $A$2:$A$2000, A207))</f>
        <v>141833.18</v>
      </c>
      <c r="U207">
        <f t="shared" si="41"/>
        <v>6.1297786596902076E-2</v>
      </c>
      <c r="V207">
        <f t="shared" si="42"/>
        <v>-2.7402212754145507E-3</v>
      </c>
      <c r="W207">
        <f t="shared" si="43"/>
        <v>2.1588750000000002E-3</v>
      </c>
    </row>
    <row r="208" spans="1:23" x14ac:dyDescent="0.2">
      <c r="A208" s="4">
        <f>IF(ポートフォリオ実績!A209="","", ポートフォリオ実績!A209)</f>
        <v>45291</v>
      </c>
      <c r="B208" t="str">
        <f>IF(ポートフォリオ実績!B209="","", ポートフォリオ実績!B209)</f>
        <v>マルチアセット・その他投信</v>
      </c>
      <c r="C208" s="10">
        <f>IF(ポートフォリオ実績!C209="","", ポートフォリオ実績!C209)</f>
        <v>7997.74</v>
      </c>
      <c r="D208" s="10">
        <f>IF(ポートフォリオ実績!D209="","", ポートフォリオ実績!D209)</f>
        <v>8300.02</v>
      </c>
      <c r="E208" s="10">
        <f>IF(ポートフォリオ実績!E209="","", ポートフォリオ実績!E209)</f>
        <v>17.04</v>
      </c>
      <c r="F208" s="10">
        <f>IF(ポートフォリオ実績!F209="","", ポートフォリオ実績!F209)</f>
        <v>0</v>
      </c>
      <c r="G208">
        <f t="shared" si="33"/>
        <v>45260</v>
      </c>
      <c r="H208">
        <f>IF(B208&lt;&gt;"", SUMIFS(ポートフォリオ実績!$D$2:$D$2001, ポートフォリオ実績!$B$2:$B$2001, B208, ポートフォリオ実績!$A$2:$A$2001, G208), 0)</f>
        <v>8214.24</v>
      </c>
      <c r="I208">
        <f>IF(B208&lt;&gt;"", SUMIFS(ポートフォリオ実績!$C$2:$C$2001, ポートフォリオ実績!$B$2:$B$2001, B208, ポートフォリオ実績!$A$2:$A$2001, G208), 0)</f>
        <v>8033.66</v>
      </c>
      <c r="J208">
        <f t="shared" si="34"/>
        <v>302.28000000000065</v>
      </c>
      <c r="K208">
        <f t="shared" si="35"/>
        <v>180.57999999999993</v>
      </c>
      <c r="L208">
        <f t="shared" si="36"/>
        <v>121.70000000000073</v>
      </c>
      <c r="M208">
        <f t="shared" si="37"/>
        <v>138.74000000000072</v>
      </c>
      <c r="N208">
        <f t="shared" si="38"/>
        <v>-52.960000000000065</v>
      </c>
      <c r="O208">
        <f t="shared" si="39"/>
        <v>8187.7599999999993</v>
      </c>
      <c r="P208">
        <f t="shared" si="40"/>
        <v>1.694480541686624E-2</v>
      </c>
      <c r="Q208" t="str">
        <f>IF(B208="","", IFERROR(VLOOKUP(B208, '基準資産配分（設定）'!$A$2:$C$2001, 3, FALSE), ""))</f>
        <v>バランス型指数</v>
      </c>
      <c r="R208">
        <f>IF(B208="","", IFERROR(VLOOKUP(B208, '基準資産配分（設定）'!$A$2:$C$2001, 2, FALSE)/100, 0))</f>
        <v>6.25E-2</v>
      </c>
      <c r="S208">
        <f>IF(B208="","", IFERROR(SUMIFS(ベンチマークリターン!$C$2:$C$2001, ベンチマークリターン!$A$2:$A$2001, A208, ベンチマークリターン!$B$2:$B$2001, Q208) / 100, 0))</f>
        <v>3.7505000000000004E-2</v>
      </c>
      <c r="T208">
        <f>IF(A208="","", SUMIFS($H$2:$H$2000, $A$2:$A$2000, A208))</f>
        <v>142786.25</v>
      </c>
      <c r="U208">
        <f t="shared" si="41"/>
        <v>5.7528228383335225E-2</v>
      </c>
      <c r="V208">
        <f t="shared" si="42"/>
        <v>9.7480463593265692E-4</v>
      </c>
      <c r="W208">
        <f t="shared" si="43"/>
        <v>2.3440625000000002E-3</v>
      </c>
    </row>
    <row r="209" spans="1:23" x14ac:dyDescent="0.2">
      <c r="A209" s="4">
        <f>IF(ポートフォリオ実績!A210="","", ポートフォリオ実績!A210)</f>
        <v>45322</v>
      </c>
      <c r="B209" t="str">
        <f>IF(ポートフォリオ実績!B210="","", ポートフォリオ実績!B210)</f>
        <v>マルチアセット・その他投信</v>
      </c>
      <c r="C209" s="10">
        <f>IF(ポートフォリオ実績!C210="","", ポートフォリオ実績!C210)</f>
        <v>8142.72</v>
      </c>
      <c r="D209" s="10">
        <f>IF(ポートフォリオ実績!D210="","", ポートフォリオ実績!D210)</f>
        <v>8599.17</v>
      </c>
      <c r="E209" s="10">
        <f>IF(ポートフォリオ実績!E210="","", ポートフォリオ実績!E210)</f>
        <v>17.59</v>
      </c>
      <c r="F209" s="10">
        <f>IF(ポートフォリオ実績!F210="","", ポートフォリオ実績!F210)</f>
        <v>0</v>
      </c>
      <c r="G209">
        <f t="shared" si="33"/>
        <v>45291</v>
      </c>
      <c r="H209">
        <f>IF(B209&lt;&gt;"", SUMIFS(ポートフォリオ実績!$D$2:$D$2001, ポートフォリオ実績!$B$2:$B$2001, B209, ポートフォリオ実績!$A$2:$A$2001, G209), 0)</f>
        <v>8300.02</v>
      </c>
      <c r="I209">
        <f>IF(B209&lt;&gt;"", SUMIFS(ポートフォリオ実績!$C$2:$C$2001, ポートフォリオ実績!$B$2:$B$2001, B209, ポートフォリオ実績!$A$2:$A$2001, G209), 0)</f>
        <v>7997.74</v>
      </c>
      <c r="J209">
        <f t="shared" si="34"/>
        <v>456.44999999999982</v>
      </c>
      <c r="K209">
        <f t="shared" si="35"/>
        <v>302.28000000000065</v>
      </c>
      <c r="L209">
        <f t="shared" si="36"/>
        <v>154.16999999999916</v>
      </c>
      <c r="M209">
        <f t="shared" si="37"/>
        <v>171.75999999999917</v>
      </c>
      <c r="N209">
        <f t="shared" si="38"/>
        <v>127.39000000000047</v>
      </c>
      <c r="O209">
        <f t="shared" si="39"/>
        <v>8363.7150000000001</v>
      </c>
      <c r="P209">
        <f t="shared" si="40"/>
        <v>2.0536328652996805E-2</v>
      </c>
      <c r="Q209" t="str">
        <f>IF(B209="","", IFERROR(VLOOKUP(B209, '基準資産配分（設定）'!$A$2:$C$2001, 3, FALSE), ""))</f>
        <v>バランス型指数</v>
      </c>
      <c r="R209">
        <f>IF(B209="","", IFERROR(VLOOKUP(B209, '基準資産配分（設定）'!$A$2:$C$2001, 2, FALSE)/100, 0))</f>
        <v>6.25E-2</v>
      </c>
      <c r="S209">
        <f>IF(B209="","", IFERROR(SUMIFS(ベンチマークリターン!$C$2:$C$2001, ベンチマークリターン!$A$2:$A$2001, A209, ベンチマークリターン!$B$2:$B$2001, Q209) / 100, 0))</f>
        <v>4.3648999999999993E-2</v>
      </c>
      <c r="T209">
        <f>IF(A209="","", SUMIFS($H$2:$H$2000, $A$2:$A$2000, A209))</f>
        <v>144901.44999999998</v>
      </c>
      <c r="U209">
        <f t="shared" si="41"/>
        <v>5.7280448194272741E-2</v>
      </c>
      <c r="V209">
        <f t="shared" si="42"/>
        <v>1.1763301095085424E-3</v>
      </c>
      <c r="W209">
        <f t="shared" si="43"/>
        <v>2.7280624999999996E-3</v>
      </c>
    </row>
    <row r="210" spans="1:23" x14ac:dyDescent="0.2">
      <c r="A210" s="4">
        <f>IF(ポートフォリオ実績!A211="","", ポートフォリオ実績!A211)</f>
        <v>45351</v>
      </c>
      <c r="B210" t="str">
        <f>IF(ポートフォリオ実績!B211="","", ポートフォリオ実績!B211)</f>
        <v>マルチアセット・その他投信</v>
      </c>
      <c r="C210" s="10">
        <f>IF(ポートフォリオ実績!C211="","", ポートフォリオ実績!C211)</f>
        <v>8121.63</v>
      </c>
      <c r="D210" s="10">
        <f>IF(ポートフォリオ実績!D211="","", ポートフォリオ実績!D211)</f>
        <v>8697.43</v>
      </c>
      <c r="E210" s="10">
        <f>IF(ポートフォリオ実績!E211="","", ポートフォリオ実績!E211)</f>
        <v>17.87</v>
      </c>
      <c r="F210" s="10">
        <f>IF(ポートフォリオ実績!F211="","", ポートフォリオ実績!F211)</f>
        <v>0</v>
      </c>
      <c r="G210">
        <f t="shared" si="33"/>
        <v>45322</v>
      </c>
      <c r="H210">
        <f>IF(B210&lt;&gt;"", SUMIFS(ポートフォリオ実績!$D$2:$D$2001, ポートフォリオ実績!$B$2:$B$2001, B210, ポートフォリオ実績!$A$2:$A$2001, G210), 0)</f>
        <v>8599.17</v>
      </c>
      <c r="I210">
        <f>IF(B210&lt;&gt;"", SUMIFS(ポートフォリオ実績!$C$2:$C$2001, ポートフォリオ実績!$B$2:$B$2001, B210, ポートフォリオ実績!$A$2:$A$2001, G210), 0)</f>
        <v>8142.72</v>
      </c>
      <c r="J210">
        <f t="shared" si="34"/>
        <v>575.80000000000018</v>
      </c>
      <c r="K210">
        <f t="shared" si="35"/>
        <v>456.44999999999982</v>
      </c>
      <c r="L210">
        <f t="shared" si="36"/>
        <v>119.35000000000036</v>
      </c>
      <c r="M210">
        <f t="shared" si="37"/>
        <v>137.22000000000037</v>
      </c>
      <c r="N210">
        <f t="shared" si="38"/>
        <v>-38.96000000000015</v>
      </c>
      <c r="O210">
        <f t="shared" si="39"/>
        <v>8579.69</v>
      </c>
      <c r="P210">
        <f t="shared" si="40"/>
        <v>1.5993584849802307E-2</v>
      </c>
      <c r="Q210" t="str">
        <f>IF(B210="","", IFERROR(VLOOKUP(B210, '基準資産配分（設定）'!$A$2:$C$2001, 3, FALSE), ""))</f>
        <v>バランス型指数</v>
      </c>
      <c r="R210">
        <f>IF(B210="","", IFERROR(VLOOKUP(B210, '基準資産配分（設定）'!$A$2:$C$2001, 2, FALSE)/100, 0))</f>
        <v>6.25E-2</v>
      </c>
      <c r="S210">
        <f>IF(B210="","", IFERROR(SUMIFS(ベンチマークリターン!$C$2:$C$2001, ベンチマークリターン!$A$2:$A$2001, A210, ベンチマークリターン!$B$2:$B$2001, Q210) / 100, 0))</f>
        <v>2.2477E-2</v>
      </c>
      <c r="T210">
        <f>IF(A210="","", SUMIFS($H$2:$H$2000, $A$2:$A$2000, A210))</f>
        <v>143790.06</v>
      </c>
      <c r="U210">
        <f t="shared" si="41"/>
        <v>5.9803647067119943E-2</v>
      </c>
      <c r="V210">
        <f t="shared" si="42"/>
        <v>9.5647470369561362E-4</v>
      </c>
      <c r="W210">
        <f t="shared" si="43"/>
        <v>1.4048125E-3</v>
      </c>
    </row>
    <row r="211" spans="1:23" x14ac:dyDescent="0.2">
      <c r="A211" s="4">
        <f>IF(ポートフォリオ実績!A212="","", ポートフォリオ実績!A212)</f>
        <v>45382</v>
      </c>
      <c r="B211" t="str">
        <f>IF(ポートフォリオ実績!B212="","", ポートフォリオ実績!B212)</f>
        <v>マルチアセット・その他投信</v>
      </c>
      <c r="C211" s="10">
        <f>IF(ポートフォリオ実績!C212="","", ポートフォリオ実績!C212)</f>
        <v>8108.38</v>
      </c>
      <c r="D211" s="10">
        <f>IF(ポートフォリオ実績!D212="","", ポートフォリオ実績!D212)</f>
        <v>8640.52</v>
      </c>
      <c r="E211" s="10">
        <f>IF(ポートフォリオ実績!E212="","", ポートフォリオ実績!E212)</f>
        <v>18.09</v>
      </c>
      <c r="F211" s="10">
        <f>IF(ポートフォリオ実績!F212="","", ポートフォリオ実績!F212)</f>
        <v>0</v>
      </c>
      <c r="G211">
        <f t="shared" si="33"/>
        <v>45351</v>
      </c>
      <c r="H211">
        <f>IF(B211&lt;&gt;"", SUMIFS(ポートフォリオ実績!$D$2:$D$2001, ポートフォリオ実績!$B$2:$B$2001, B211, ポートフォリオ実績!$A$2:$A$2001, G211), 0)</f>
        <v>8697.43</v>
      </c>
      <c r="I211">
        <f>IF(B211&lt;&gt;"", SUMIFS(ポートフォリオ実績!$C$2:$C$2001, ポートフォリオ実績!$B$2:$B$2001, B211, ポートフォリオ実績!$A$2:$A$2001, G211), 0)</f>
        <v>8121.63</v>
      </c>
      <c r="J211">
        <f t="shared" si="34"/>
        <v>532.14000000000033</v>
      </c>
      <c r="K211">
        <f t="shared" si="35"/>
        <v>575.80000000000018</v>
      </c>
      <c r="L211">
        <f t="shared" si="36"/>
        <v>-43.659999999999854</v>
      </c>
      <c r="M211">
        <f t="shared" si="37"/>
        <v>-25.569999999999855</v>
      </c>
      <c r="N211">
        <f t="shared" si="38"/>
        <v>-31.34</v>
      </c>
      <c r="O211">
        <f t="shared" si="39"/>
        <v>8681.76</v>
      </c>
      <c r="P211">
        <f t="shared" si="40"/>
        <v>-2.9452553399310572E-3</v>
      </c>
      <c r="Q211" t="str">
        <f>IF(B211="","", IFERROR(VLOOKUP(B211, '基準資産配分（設定）'!$A$2:$C$2001, 3, FALSE), ""))</f>
        <v>バランス型指数</v>
      </c>
      <c r="R211">
        <f>IF(B211="","", IFERROR(VLOOKUP(B211, '基準資産配分（設定）'!$A$2:$C$2001, 2, FALSE)/100, 0))</f>
        <v>6.25E-2</v>
      </c>
      <c r="S211">
        <f>IF(B211="","", IFERROR(SUMIFS(ベンチマークリターン!$C$2:$C$2001, ベンチマークリターン!$A$2:$A$2001, A211, ベンチマークリターン!$B$2:$B$2001, Q211) / 100, 0))</f>
        <v>-1.0739999999999999E-3</v>
      </c>
      <c r="T211">
        <f>IF(A211="","", SUMIFS($H$2:$H$2000, $A$2:$A$2000, A211))</f>
        <v>144636.99</v>
      </c>
      <c r="U211">
        <f t="shared" si="41"/>
        <v>6.0132819412240267E-2</v>
      </c>
      <c r="V211">
        <f t="shared" si="42"/>
        <v>-1.7710650747901059E-4</v>
      </c>
      <c r="W211">
        <f t="shared" si="43"/>
        <v>-6.7124999999999992E-5</v>
      </c>
    </row>
    <row r="212" spans="1:23" x14ac:dyDescent="0.2">
      <c r="A212" s="4">
        <f>IF(ポートフォリオ実績!A213="","", ポートフォリオ実績!A213)</f>
        <v>45412</v>
      </c>
      <c r="B212" t="str">
        <f>IF(ポートフォリオ実績!B213="","", ポートフォリオ実績!B213)</f>
        <v>マルチアセット・その他投信</v>
      </c>
      <c r="C212" s="10">
        <f>IF(ポートフォリオ実績!C213="","", ポートフォリオ実績!C213)</f>
        <v>8302.11</v>
      </c>
      <c r="D212" s="10">
        <f>IF(ポートフォリオ実績!D213="","", ポートフォリオ実績!D213)</f>
        <v>8944.9500000000007</v>
      </c>
      <c r="E212" s="10">
        <f>IF(ポートフォリオ実績!E213="","", ポートフォリオ実績!E213)</f>
        <v>18.399999999999999</v>
      </c>
      <c r="F212" s="10">
        <f>IF(ポートフォリオ実績!F213="","", ポートフォリオ実績!F213)</f>
        <v>0</v>
      </c>
      <c r="G212">
        <f t="shared" si="33"/>
        <v>45382</v>
      </c>
      <c r="H212">
        <f>IF(B212&lt;&gt;"", SUMIFS(ポートフォリオ実績!$D$2:$D$2001, ポートフォリオ実績!$B$2:$B$2001, B212, ポートフォリオ実績!$A$2:$A$2001, G212), 0)</f>
        <v>8640.52</v>
      </c>
      <c r="I212">
        <f>IF(B212&lt;&gt;"", SUMIFS(ポートフォリオ実績!$C$2:$C$2001, ポートフォリオ実績!$B$2:$B$2001, B212, ポートフォリオ実績!$A$2:$A$2001, G212), 0)</f>
        <v>8108.38</v>
      </c>
      <c r="J212">
        <f t="shared" si="34"/>
        <v>642.84000000000015</v>
      </c>
      <c r="K212">
        <f t="shared" si="35"/>
        <v>532.14000000000033</v>
      </c>
      <c r="L212">
        <f t="shared" si="36"/>
        <v>110.69999999999982</v>
      </c>
      <c r="M212">
        <f t="shared" si="37"/>
        <v>129.09999999999982</v>
      </c>
      <c r="N212">
        <f t="shared" si="38"/>
        <v>175.33000000000047</v>
      </c>
      <c r="O212">
        <f t="shared" si="39"/>
        <v>8728.1850000000013</v>
      </c>
      <c r="P212">
        <f t="shared" si="40"/>
        <v>1.4791162194660151E-2</v>
      </c>
      <c r="Q212" t="str">
        <f>IF(B212="","", IFERROR(VLOOKUP(B212, '基準資産配分（設定）'!$A$2:$C$2001, 3, FALSE), ""))</f>
        <v>バランス型指数</v>
      </c>
      <c r="R212">
        <f>IF(B212="","", IFERROR(VLOOKUP(B212, '基準資産配分（設定）'!$A$2:$C$2001, 2, FALSE)/100, 0))</f>
        <v>6.25E-2</v>
      </c>
      <c r="S212">
        <f>IF(B212="","", IFERROR(SUMIFS(ベンチマークリターン!$C$2:$C$2001, ベンチマークリターン!$A$2:$A$2001, A212, ベンチマークリターン!$B$2:$B$2001, Q212) / 100, 0))</f>
        <v>7.984999999999999E-3</v>
      </c>
      <c r="T212">
        <f>IF(A212="","", SUMIFS($H$2:$H$2000, $A$2:$A$2000, A212))</f>
        <v>143236.52000000002</v>
      </c>
      <c r="U212">
        <f t="shared" si="41"/>
        <v>6.0323442652753634E-2</v>
      </c>
      <c r="V212">
        <f t="shared" si="42"/>
        <v>8.9225382441715918E-4</v>
      </c>
      <c r="W212">
        <f t="shared" si="43"/>
        <v>4.9906249999999994E-4</v>
      </c>
    </row>
    <row r="213" spans="1:23" x14ac:dyDescent="0.2">
      <c r="A213" s="4">
        <f>IF(ポートフォリオ実績!A214="","", ポートフォリオ実績!A214)</f>
        <v>45443</v>
      </c>
      <c r="B213" t="str">
        <f>IF(ポートフォリオ実績!B214="","", ポートフォリオ実績!B214)</f>
        <v>マルチアセット・その他投信</v>
      </c>
      <c r="C213" s="10">
        <f>IF(ポートフォリオ実績!C214="","", ポートフォリオ実績!C214)</f>
        <v>8401.7800000000007</v>
      </c>
      <c r="D213" s="10">
        <f>IF(ポートフォリオ実績!D214="","", ポートフォリオ実績!D214)</f>
        <v>9011.76</v>
      </c>
      <c r="E213" s="10">
        <f>IF(ポートフォリオ実績!E214="","", ポートフォリオ実績!E214)</f>
        <v>18.84</v>
      </c>
      <c r="F213" s="10">
        <f>IF(ポートフォリオ実績!F214="","", ポートフォリオ実績!F214)</f>
        <v>0</v>
      </c>
      <c r="G213">
        <f t="shared" si="33"/>
        <v>45412</v>
      </c>
      <c r="H213">
        <f>IF(B213&lt;&gt;"", SUMIFS(ポートフォリオ実績!$D$2:$D$2001, ポートフォリオ実績!$B$2:$B$2001, B213, ポートフォリオ実績!$A$2:$A$2001, G213), 0)</f>
        <v>8944.9500000000007</v>
      </c>
      <c r="I213">
        <f>IF(B213&lt;&gt;"", SUMIFS(ポートフォリオ実績!$C$2:$C$2001, ポートフォリオ実績!$B$2:$B$2001, B213, ポートフォリオ実績!$A$2:$A$2001, G213), 0)</f>
        <v>8302.11</v>
      </c>
      <c r="J213">
        <f t="shared" si="34"/>
        <v>609.97999999999956</v>
      </c>
      <c r="K213">
        <f t="shared" si="35"/>
        <v>642.84000000000015</v>
      </c>
      <c r="L213">
        <f t="shared" si="36"/>
        <v>-32.860000000000582</v>
      </c>
      <c r="M213">
        <f t="shared" si="37"/>
        <v>-14.020000000000582</v>
      </c>
      <c r="N213">
        <f t="shared" si="38"/>
        <v>80.830000000000069</v>
      </c>
      <c r="O213">
        <f t="shared" si="39"/>
        <v>8985.3650000000016</v>
      </c>
      <c r="P213">
        <f t="shared" si="40"/>
        <v>-1.5603150233741846E-3</v>
      </c>
      <c r="Q213" t="str">
        <f>IF(B213="","", IFERROR(VLOOKUP(B213, '基準資産配分（設定）'!$A$2:$C$2001, 3, FALSE), ""))</f>
        <v>バランス型指数</v>
      </c>
      <c r="R213">
        <f>IF(B213="","", IFERROR(VLOOKUP(B213, '基準資産配分（設定）'!$A$2:$C$2001, 2, FALSE)/100, 0))</f>
        <v>6.25E-2</v>
      </c>
      <c r="S213">
        <f>IF(B213="","", IFERROR(SUMIFS(ベンチマークリターン!$C$2:$C$2001, ベンチマークリターン!$A$2:$A$2001, A213, ベンチマークリターン!$B$2:$B$2001, Q213) / 100, 0))</f>
        <v>3.8579000000000002E-2</v>
      </c>
      <c r="T213">
        <f>IF(A213="","", SUMIFS($H$2:$H$2000, $A$2:$A$2000, A213))</f>
        <v>142294.85999999999</v>
      </c>
      <c r="U213">
        <f t="shared" si="41"/>
        <v>6.2862073865493112E-2</v>
      </c>
      <c r="V213">
        <f t="shared" si="42"/>
        <v>-9.8084638252786605E-5</v>
      </c>
      <c r="W213">
        <f t="shared" si="43"/>
        <v>2.4111875000000001E-3</v>
      </c>
    </row>
    <row r="214" spans="1:23" x14ac:dyDescent="0.2">
      <c r="A214" s="4">
        <f>IF(ポートフォリオ実績!A215="","", ポートフォリオ実績!A215)</f>
        <v>45473</v>
      </c>
      <c r="B214" t="str">
        <f>IF(ポートフォリオ実績!B215="","", ポートフォリオ実績!B215)</f>
        <v>マルチアセット・その他投信</v>
      </c>
      <c r="C214" s="10">
        <f>IF(ポートフォリオ実績!C215="","", ポートフォリオ実績!C215)</f>
        <v>8325.9500000000007</v>
      </c>
      <c r="D214" s="10">
        <f>IF(ポートフォリオ実績!D215="","", ポートフォリオ実績!D215)</f>
        <v>8447.42</v>
      </c>
      <c r="E214" s="10">
        <f>IF(ポートフォリオ実績!E215="","", ポートフォリオ実績!E215)</f>
        <v>18.62</v>
      </c>
      <c r="F214" s="10">
        <f>IF(ポートフォリオ実績!F215="","", ポートフォリオ実績!F215)</f>
        <v>0</v>
      </c>
      <c r="G214">
        <f t="shared" si="33"/>
        <v>45443</v>
      </c>
      <c r="H214">
        <f>IF(B214&lt;&gt;"", SUMIFS(ポートフォリオ実績!$D$2:$D$2001, ポートフォリオ実績!$B$2:$B$2001, B214, ポートフォリオ実績!$A$2:$A$2001, G214), 0)</f>
        <v>9011.76</v>
      </c>
      <c r="I214">
        <f>IF(B214&lt;&gt;"", SUMIFS(ポートフォリオ実績!$C$2:$C$2001, ポートフォリオ実績!$B$2:$B$2001, B214, ポートフォリオ実績!$A$2:$A$2001, G214), 0)</f>
        <v>8401.7800000000007</v>
      </c>
      <c r="J214">
        <f t="shared" si="34"/>
        <v>121.46999999999935</v>
      </c>
      <c r="K214">
        <f t="shared" si="35"/>
        <v>609.97999999999956</v>
      </c>
      <c r="L214">
        <f t="shared" si="36"/>
        <v>-488.51000000000022</v>
      </c>
      <c r="M214">
        <f t="shared" si="37"/>
        <v>-469.89000000000021</v>
      </c>
      <c r="N214">
        <f t="shared" si="38"/>
        <v>-94.449999999999932</v>
      </c>
      <c r="O214">
        <f t="shared" si="39"/>
        <v>8964.5349999999999</v>
      </c>
      <c r="P214">
        <f t="shared" si="40"/>
        <v>-5.2416550328600452E-2</v>
      </c>
      <c r="Q214" t="str">
        <f>IF(B214="","", IFERROR(VLOOKUP(B214, '基準資産配分（設定）'!$A$2:$C$2001, 3, FALSE), ""))</f>
        <v>バランス型指数</v>
      </c>
      <c r="R214">
        <f>IF(B214="","", IFERROR(VLOOKUP(B214, '基準資産配分（設定）'!$A$2:$C$2001, 2, FALSE)/100, 0))</f>
        <v>6.25E-2</v>
      </c>
      <c r="S214">
        <f>IF(B214="","", IFERROR(SUMIFS(ベンチマークリターン!$C$2:$C$2001, ベンチマークリターン!$A$2:$A$2001, A214, ベンチマークリターン!$B$2:$B$2001, Q214) / 100, 0))</f>
        <v>-1.9833E-2</v>
      </c>
      <c r="T214">
        <f>IF(A214="","", SUMIFS($H$2:$H$2000, $A$2:$A$2000, A214))</f>
        <v>142297.76999999999</v>
      </c>
      <c r="U214">
        <f t="shared" si="41"/>
        <v>6.3330296743230763E-2</v>
      </c>
      <c r="V214">
        <f t="shared" si="42"/>
        <v>-3.3195556865667566E-3</v>
      </c>
      <c r="W214">
        <f t="shared" si="43"/>
        <v>-1.2395625E-3</v>
      </c>
    </row>
    <row r="215" spans="1:23" x14ac:dyDescent="0.2">
      <c r="A215" s="4">
        <f>IF(ポートフォリオ実績!A216="","", ポートフォリオ実績!A216)</f>
        <v>45504</v>
      </c>
      <c r="B215" t="str">
        <f>IF(ポートフォリオ実績!B216="","", ポートフォリオ実績!B216)</f>
        <v>マルチアセット・その他投信</v>
      </c>
      <c r="C215" s="10">
        <f>IF(ポートフォリオ実績!C216="","", ポートフォリオ実績!C216)</f>
        <v>8268.77</v>
      </c>
      <c r="D215" s="10">
        <f>IF(ポートフォリオ実績!D216="","", ポートフォリオ実績!D216)</f>
        <v>8679.9</v>
      </c>
      <c r="E215" s="10">
        <f>IF(ポートフォリオ実績!E216="","", ポートフォリオ実績!E216)</f>
        <v>17.48</v>
      </c>
      <c r="F215" s="10">
        <f>IF(ポートフォリオ実績!F216="","", ポートフォリオ実績!F216)</f>
        <v>0</v>
      </c>
      <c r="G215">
        <f t="shared" si="33"/>
        <v>45473</v>
      </c>
      <c r="H215">
        <f>IF(B215&lt;&gt;"", SUMIFS(ポートフォリオ実績!$D$2:$D$2001, ポートフォリオ実績!$B$2:$B$2001, B215, ポートフォリオ実績!$A$2:$A$2001, G215), 0)</f>
        <v>8447.42</v>
      </c>
      <c r="I215">
        <f>IF(B215&lt;&gt;"", SUMIFS(ポートフォリオ実績!$C$2:$C$2001, ポートフォリオ実績!$B$2:$B$2001, B215, ポートフォリオ実績!$A$2:$A$2001, G215), 0)</f>
        <v>8325.9500000000007</v>
      </c>
      <c r="J215">
        <f t="shared" si="34"/>
        <v>411.1299999999992</v>
      </c>
      <c r="K215">
        <f t="shared" si="35"/>
        <v>121.46999999999935</v>
      </c>
      <c r="L215">
        <f t="shared" si="36"/>
        <v>289.65999999999985</v>
      </c>
      <c r="M215">
        <f t="shared" si="37"/>
        <v>307.13999999999987</v>
      </c>
      <c r="N215">
        <f t="shared" si="38"/>
        <v>-74.660000000000309</v>
      </c>
      <c r="O215">
        <f t="shared" si="39"/>
        <v>8410.09</v>
      </c>
      <c r="P215">
        <f t="shared" si="40"/>
        <v>3.6520417736314342E-2</v>
      </c>
      <c r="Q215" t="str">
        <f>IF(B215="","", IFERROR(VLOOKUP(B215, '基準資産配分（設定）'!$A$2:$C$2001, 3, FALSE), ""))</f>
        <v>バランス型指数</v>
      </c>
      <c r="R215">
        <f>IF(B215="","", IFERROR(VLOOKUP(B215, '基準資産配分（設定）'!$A$2:$C$2001, 2, FALSE)/100, 0))</f>
        <v>6.25E-2</v>
      </c>
      <c r="S215">
        <f>IF(B215="","", IFERROR(SUMIFS(ベンチマークリターン!$C$2:$C$2001, ベンチマークリターン!$A$2:$A$2001, A215, ベンチマークリターン!$B$2:$B$2001, Q215) / 100, 0))</f>
        <v>1.4393E-2</v>
      </c>
      <c r="T215">
        <f>IF(A215="","", SUMIFS($H$2:$H$2000, $A$2:$A$2000, A215))</f>
        <v>135112.08000000002</v>
      </c>
      <c r="U215">
        <f t="shared" si="41"/>
        <v>6.2521574680813138E-2</v>
      </c>
      <c r="V215">
        <f t="shared" si="42"/>
        <v>2.28331402487547E-3</v>
      </c>
      <c r="W215">
        <f t="shared" si="43"/>
        <v>8.9956249999999997E-4</v>
      </c>
    </row>
    <row r="216" spans="1:23" x14ac:dyDescent="0.2">
      <c r="A216" s="4">
        <f>IF(ポートフォリオ実績!A217="","", ポートフォリオ実績!A217)</f>
        <v>45535</v>
      </c>
      <c r="B216" t="str">
        <f>IF(ポートフォリオ実績!B217="","", ポートフォリオ実績!B217)</f>
        <v>マルチアセット・その他投信</v>
      </c>
      <c r="C216" s="10">
        <f>IF(ポートフォリオ実績!C217="","", ポートフォリオ実績!C217)</f>
        <v>8264.2199999999993</v>
      </c>
      <c r="D216" s="10">
        <f>IF(ポートフォリオ実績!D217="","", ポートフォリオ実績!D217)</f>
        <v>8793.3700000000008</v>
      </c>
      <c r="E216" s="10">
        <f>IF(ポートフォリオ実績!E217="","", ポートフォリオ実績!E217)</f>
        <v>18.07</v>
      </c>
      <c r="F216" s="10">
        <f>IF(ポートフォリオ実績!F217="","", ポートフォリオ実績!F217)</f>
        <v>0</v>
      </c>
      <c r="G216">
        <f t="shared" si="33"/>
        <v>45504</v>
      </c>
      <c r="H216">
        <f>IF(B216&lt;&gt;"", SUMIFS(ポートフォリオ実績!$D$2:$D$2001, ポートフォリオ実績!$B$2:$B$2001, B216, ポートフォリオ実績!$A$2:$A$2001, G216), 0)</f>
        <v>8679.9</v>
      </c>
      <c r="I216">
        <f>IF(B216&lt;&gt;"", SUMIFS(ポートフォリオ実績!$C$2:$C$2001, ポートフォリオ実績!$B$2:$B$2001, B216, ポートフォリオ実績!$A$2:$A$2001, G216), 0)</f>
        <v>8268.77</v>
      </c>
      <c r="J216">
        <f t="shared" si="34"/>
        <v>529.15000000000146</v>
      </c>
      <c r="K216">
        <f t="shared" si="35"/>
        <v>411.1299999999992</v>
      </c>
      <c r="L216">
        <f t="shared" si="36"/>
        <v>118.02000000000226</v>
      </c>
      <c r="M216">
        <f t="shared" si="37"/>
        <v>136.09000000000225</v>
      </c>
      <c r="N216">
        <f t="shared" si="38"/>
        <v>-22.620000000001085</v>
      </c>
      <c r="O216">
        <f t="shared" si="39"/>
        <v>8668.5899999999983</v>
      </c>
      <c r="P216">
        <f t="shared" si="40"/>
        <v>1.5699208291083358E-2</v>
      </c>
      <c r="Q216" t="str">
        <f>IF(B216="","", IFERROR(VLOOKUP(B216, '基準資産配分（設定）'!$A$2:$C$2001, 3, FALSE), ""))</f>
        <v>バランス型指数</v>
      </c>
      <c r="R216">
        <f>IF(B216="","", IFERROR(VLOOKUP(B216, '基準資産配分（設定）'!$A$2:$C$2001, 2, FALSE)/100, 0))</f>
        <v>6.25E-2</v>
      </c>
      <c r="S216">
        <f>IF(B216="","", IFERROR(SUMIFS(ベンチマークリターン!$C$2:$C$2001, ベンチマークリターン!$A$2:$A$2001, A216, ベンチマークリターン!$B$2:$B$2001, Q216) / 100, 0))</f>
        <v>-7.6049999999999998E-3</v>
      </c>
      <c r="T216">
        <f>IF(A216="","", SUMIFS($H$2:$H$2000, $A$2:$A$2000, A216))</f>
        <v>136612.22</v>
      </c>
      <c r="U216">
        <f t="shared" si="41"/>
        <v>6.3536775846260315E-2</v>
      </c>
      <c r="V216">
        <f t="shared" si="42"/>
        <v>9.974770781543147E-4</v>
      </c>
      <c r="W216">
        <f t="shared" si="43"/>
        <v>-4.7531249999999999E-4</v>
      </c>
    </row>
    <row r="217" spans="1:23" x14ac:dyDescent="0.2">
      <c r="A217" s="4">
        <f>IF(ポートフォリオ実績!A218="","", ポートフォリオ実績!A218)</f>
        <v>45565</v>
      </c>
      <c r="B217" t="str">
        <f>IF(ポートフォリオ実績!B218="","", ポートフォリオ実績!B218)</f>
        <v>マルチアセット・その他投信</v>
      </c>
      <c r="C217" s="10">
        <f>IF(ポートフォリオ実績!C218="","", ポートフォリオ実績!C218)</f>
        <v>8287.2900000000009</v>
      </c>
      <c r="D217" s="10">
        <f>IF(ポートフォリオ実績!D218="","", ポートフォリオ実績!D218)</f>
        <v>9080.2900000000009</v>
      </c>
      <c r="E217" s="10">
        <f>IF(ポートフォリオ実績!E218="","", ポートフォリオ実績!E218)</f>
        <v>18.37</v>
      </c>
      <c r="F217" s="10">
        <f>IF(ポートフォリオ実績!F218="","", ポートフォリオ実績!F218)</f>
        <v>0</v>
      </c>
      <c r="G217">
        <f t="shared" si="33"/>
        <v>45535</v>
      </c>
      <c r="H217">
        <f>IF(B217&lt;&gt;"", SUMIFS(ポートフォリオ実績!$D$2:$D$2001, ポートフォリオ実績!$B$2:$B$2001, B217, ポートフォリオ実績!$A$2:$A$2001, G217), 0)</f>
        <v>8793.3700000000008</v>
      </c>
      <c r="I217">
        <f>IF(B217&lt;&gt;"", SUMIFS(ポートフォリオ実績!$C$2:$C$2001, ポートフォリオ実績!$B$2:$B$2001, B217, ポートフォリオ実績!$A$2:$A$2001, G217), 0)</f>
        <v>8264.2199999999993</v>
      </c>
      <c r="J217">
        <f t="shared" si="34"/>
        <v>793</v>
      </c>
      <c r="K217">
        <f t="shared" si="35"/>
        <v>529.15000000000146</v>
      </c>
      <c r="L217">
        <f t="shared" si="36"/>
        <v>263.84999999999854</v>
      </c>
      <c r="M217">
        <f t="shared" si="37"/>
        <v>282.21999999999855</v>
      </c>
      <c r="N217">
        <f t="shared" si="38"/>
        <v>4.7000000000015234</v>
      </c>
      <c r="O217">
        <f t="shared" si="39"/>
        <v>8795.7200000000012</v>
      </c>
      <c r="P217">
        <f t="shared" si="40"/>
        <v>3.2086060038291182E-2</v>
      </c>
      <c r="Q217" t="str">
        <f>IF(B217="","", IFERROR(VLOOKUP(B217, '基準資産配分（設定）'!$A$2:$C$2001, 3, FALSE), ""))</f>
        <v>バランス型指数</v>
      </c>
      <c r="R217">
        <f>IF(B217="","", IFERROR(VLOOKUP(B217, '基準資産配分（設定）'!$A$2:$C$2001, 2, FALSE)/100, 0))</f>
        <v>6.25E-2</v>
      </c>
      <c r="S217">
        <f>IF(B217="","", IFERROR(SUMIFS(ベンチマークリターン!$C$2:$C$2001, ベンチマークリターン!$A$2:$A$2001, A217, ベンチマークリターン!$B$2:$B$2001, Q217) / 100, 0))</f>
        <v>4.5799999999999999E-3</v>
      </c>
      <c r="T217">
        <f>IF(A217="","", SUMIFS($H$2:$H$2000, $A$2:$A$2000, A217))</f>
        <v>140301.49</v>
      </c>
      <c r="U217">
        <f t="shared" si="41"/>
        <v>6.2674815499108388E-2</v>
      </c>
      <c r="V217">
        <f t="shared" si="42"/>
        <v>2.0109878929932146E-3</v>
      </c>
      <c r="W217">
        <f t="shared" si="43"/>
        <v>2.8624999999999999E-4</v>
      </c>
    </row>
    <row r="218" spans="1:23" x14ac:dyDescent="0.2">
      <c r="A218" s="4">
        <f>IF(ポートフォリオ実績!A219="","", ポートフォリオ実績!A219)</f>
        <v>45596</v>
      </c>
      <c r="B218" t="str">
        <f>IF(ポートフォリオ実績!B219="","", ポートフォリオ実績!B219)</f>
        <v>マルチアセット・その他投信</v>
      </c>
      <c r="C218" s="10">
        <f>IF(ポートフォリオ実績!C219="","", ポートフォリオ実績!C219)</f>
        <v>8406.2800000000007</v>
      </c>
      <c r="D218" s="10">
        <f>IF(ポートフォリオ実績!D219="","", ポートフォリオ実績!D219)</f>
        <v>8844.9599999999991</v>
      </c>
      <c r="E218" s="10">
        <f>IF(ポートフォリオ実績!E219="","", ポートフォリオ実績!E219)</f>
        <v>19.170000000000002</v>
      </c>
      <c r="F218" s="10">
        <f>IF(ポートフォリオ実績!F219="","", ポートフォリオ実績!F219)</f>
        <v>0</v>
      </c>
      <c r="G218">
        <f t="shared" si="33"/>
        <v>45565</v>
      </c>
      <c r="H218">
        <f>IF(B218&lt;&gt;"", SUMIFS(ポートフォリオ実績!$D$2:$D$2001, ポートフォリオ実績!$B$2:$B$2001, B218, ポートフォリオ実績!$A$2:$A$2001, G218), 0)</f>
        <v>9080.2900000000009</v>
      </c>
      <c r="I218">
        <f>IF(B218&lt;&gt;"", SUMIFS(ポートフォリオ実績!$C$2:$C$2001, ポートフォリオ実績!$B$2:$B$2001, B218, ポートフォリオ実績!$A$2:$A$2001, G218), 0)</f>
        <v>8287.2900000000009</v>
      </c>
      <c r="J218">
        <f t="shared" si="34"/>
        <v>438.67999999999847</v>
      </c>
      <c r="K218">
        <f t="shared" si="35"/>
        <v>793</v>
      </c>
      <c r="L218">
        <f t="shared" si="36"/>
        <v>-354.32000000000153</v>
      </c>
      <c r="M218">
        <f t="shared" si="37"/>
        <v>-335.15000000000151</v>
      </c>
      <c r="N218">
        <f t="shared" si="38"/>
        <v>99.819999999999766</v>
      </c>
      <c r="O218">
        <f t="shared" si="39"/>
        <v>9130.2000000000007</v>
      </c>
      <c r="P218">
        <f t="shared" si="40"/>
        <v>-3.6707848678013785E-2</v>
      </c>
      <c r="Q218" t="str">
        <f>IF(B218="","", IFERROR(VLOOKUP(B218, '基準資産配分（設定）'!$A$2:$C$2001, 3, FALSE), ""))</f>
        <v>バランス型指数</v>
      </c>
      <c r="R218">
        <f>IF(B218="","", IFERROR(VLOOKUP(B218, '基準資産配分（設定）'!$A$2:$C$2001, 2, FALSE)/100, 0))</f>
        <v>6.25E-2</v>
      </c>
      <c r="S218">
        <f>IF(B218="","", IFERROR(SUMIFS(ベンチマークリターン!$C$2:$C$2001, ベンチマークリターン!$A$2:$A$2001, A218, ベンチマークリターン!$B$2:$B$2001, Q218) / 100, 0))</f>
        <v>4.0655999999999998E-2</v>
      </c>
      <c r="T218">
        <f>IF(A218="","", SUMIFS($H$2:$H$2000, $A$2:$A$2000, A218))</f>
        <v>140341.03999999998</v>
      </c>
      <c r="U218">
        <f t="shared" si="41"/>
        <v>6.4701601185227095E-2</v>
      </c>
      <c r="V218">
        <f t="shared" si="42"/>
        <v>-2.3750565855325135E-3</v>
      </c>
      <c r="W218">
        <f t="shared" si="43"/>
        <v>2.5409999999999999E-3</v>
      </c>
    </row>
    <row r="219" spans="1:23" x14ac:dyDescent="0.2">
      <c r="A219" s="4">
        <f>IF(ポートフォリオ実績!A220="","", ポートフォリオ実績!A220)</f>
        <v>45626</v>
      </c>
      <c r="B219" t="str">
        <f>IF(ポートフォリオ実績!B220="","", ポートフォリオ実績!B220)</f>
        <v>マルチアセット・その他投信</v>
      </c>
      <c r="C219" s="10">
        <f>IF(ポートフォリオ実績!C220="","", ポートフォリオ実績!C220)</f>
        <v>8531.34</v>
      </c>
      <c r="D219" s="10">
        <f>IF(ポートフォリオ実績!D220="","", ポートフォリオ実績!D220)</f>
        <v>9139.2999999999993</v>
      </c>
      <c r="E219" s="10">
        <f>IF(ポートフォリオ実績!E220="","", ポートフォリオ実績!E220)</f>
        <v>18.690000000000001</v>
      </c>
      <c r="F219" s="10">
        <f>IF(ポートフォリオ実績!F220="","", ポートフォリオ実績!F220)</f>
        <v>0</v>
      </c>
      <c r="G219">
        <f t="shared" si="33"/>
        <v>45596</v>
      </c>
      <c r="H219">
        <f>IF(B219&lt;&gt;"", SUMIFS(ポートフォリオ実績!$D$2:$D$2001, ポートフォリオ実績!$B$2:$B$2001, B219, ポートフォリオ実績!$A$2:$A$2001, G219), 0)</f>
        <v>8844.9599999999991</v>
      </c>
      <c r="I219">
        <f>IF(B219&lt;&gt;"", SUMIFS(ポートフォリオ実績!$C$2:$C$2001, ポートフォリオ実績!$B$2:$B$2001, B219, ポートフォリオ実績!$A$2:$A$2001, G219), 0)</f>
        <v>8406.2800000000007</v>
      </c>
      <c r="J219">
        <f t="shared" si="34"/>
        <v>607.95999999999913</v>
      </c>
      <c r="K219">
        <f t="shared" si="35"/>
        <v>438.67999999999847</v>
      </c>
      <c r="L219">
        <f t="shared" si="36"/>
        <v>169.28000000000065</v>
      </c>
      <c r="M219">
        <f t="shared" si="37"/>
        <v>187.97000000000065</v>
      </c>
      <c r="N219">
        <f t="shared" si="38"/>
        <v>106.36999999999949</v>
      </c>
      <c r="O219">
        <f t="shared" si="39"/>
        <v>8898.1449999999986</v>
      </c>
      <c r="P219">
        <f t="shared" si="40"/>
        <v>2.1124627661158666E-2</v>
      </c>
      <c r="Q219" t="str">
        <f>IF(B219="","", IFERROR(VLOOKUP(B219, '基準資産配分（設定）'!$A$2:$C$2001, 3, FALSE), ""))</f>
        <v>バランス型指数</v>
      </c>
      <c r="R219">
        <f>IF(B219="","", IFERROR(VLOOKUP(B219, '基準資産配分（設定）'!$A$2:$C$2001, 2, FALSE)/100, 0))</f>
        <v>6.25E-2</v>
      </c>
      <c r="S219">
        <f>IF(B219="","", IFERROR(SUMIFS(ベンチマークリターン!$C$2:$C$2001, ベンチマークリターン!$A$2:$A$2001, A219, ベンチマークリターン!$B$2:$B$2001, Q219) / 100, 0))</f>
        <v>9.2669999999999992E-3</v>
      </c>
      <c r="T219">
        <f>IF(A219="","", SUMIFS($H$2:$H$2000, $A$2:$A$2000, A219))</f>
        <v>138030.65999999997</v>
      </c>
      <c r="U219">
        <f t="shared" si="41"/>
        <v>6.4079676211067887E-2</v>
      </c>
      <c r="V219">
        <f t="shared" si="42"/>
        <v>1.3536593006064157E-3</v>
      </c>
      <c r="W219">
        <f t="shared" si="43"/>
        <v>5.7918749999999995E-4</v>
      </c>
    </row>
    <row r="220" spans="1:23" x14ac:dyDescent="0.2">
      <c r="A220" s="4">
        <f>IF(ポートフォリオ実績!A221="","", ポートフォリオ実績!A221)</f>
        <v>45657</v>
      </c>
      <c r="B220" t="str">
        <f>IF(ポートフォリオ実績!B221="","", ポートフォリオ実績!B221)</f>
        <v>マルチアセット・その他投信</v>
      </c>
      <c r="C220" s="10">
        <f>IF(ポートフォリオ実績!C221="","", ポートフォリオ実績!C221)</f>
        <v>8569.26</v>
      </c>
      <c r="D220" s="10">
        <f>IF(ポートフォリオ実績!D221="","", ポートフォリオ実績!D221)</f>
        <v>9263.64</v>
      </c>
      <c r="E220" s="10">
        <f>IF(ポートフォリオ実績!E221="","", ポートフォリオ実績!E221)</f>
        <v>19.12</v>
      </c>
      <c r="F220" s="10">
        <f>IF(ポートフォリオ実績!F221="","", ポートフォリオ実績!F221)</f>
        <v>0</v>
      </c>
      <c r="G220">
        <f t="shared" si="33"/>
        <v>45626</v>
      </c>
      <c r="H220">
        <f>IF(B220&lt;&gt;"", SUMIFS(ポートフォリオ実績!$D$2:$D$2001, ポートフォリオ実績!$B$2:$B$2001, B220, ポートフォリオ実績!$A$2:$A$2001, G220), 0)</f>
        <v>9139.2999999999993</v>
      </c>
      <c r="I220">
        <f>IF(B220&lt;&gt;"", SUMIFS(ポートフォリオ実績!$C$2:$C$2001, ポートフォリオ実績!$B$2:$B$2001, B220, ポートフォリオ実績!$A$2:$A$2001, G220), 0)</f>
        <v>8531.34</v>
      </c>
      <c r="J220">
        <f t="shared" si="34"/>
        <v>694.3799999999992</v>
      </c>
      <c r="K220">
        <f t="shared" si="35"/>
        <v>607.95999999999913</v>
      </c>
      <c r="L220">
        <f t="shared" si="36"/>
        <v>86.420000000000073</v>
      </c>
      <c r="M220">
        <f t="shared" si="37"/>
        <v>105.54000000000008</v>
      </c>
      <c r="N220">
        <f t="shared" si="38"/>
        <v>18.800000000000068</v>
      </c>
      <c r="O220">
        <f t="shared" si="39"/>
        <v>9148.6999999999989</v>
      </c>
      <c r="P220">
        <f t="shared" si="40"/>
        <v>1.1536065233311847E-2</v>
      </c>
      <c r="Q220" t="str">
        <f>IF(B220="","", IFERROR(VLOOKUP(B220, '基準資産配分（設定）'!$A$2:$C$2001, 3, FALSE), ""))</f>
        <v>バランス型指数</v>
      </c>
      <c r="R220">
        <f>IF(B220="","", IFERROR(VLOOKUP(B220, '基準資産配分（設定）'!$A$2:$C$2001, 2, FALSE)/100, 0))</f>
        <v>6.25E-2</v>
      </c>
      <c r="S220">
        <f>IF(B220="","", IFERROR(SUMIFS(ベンチマークリターン!$C$2:$C$2001, ベンチマークリターン!$A$2:$A$2001, A220, ベンチマークリターン!$B$2:$B$2001, Q220) / 100, 0))</f>
        <v>5.091E-3</v>
      </c>
      <c r="T220">
        <f>IF(A220="","", SUMIFS($H$2:$H$2000, $A$2:$A$2000, A220))</f>
        <v>140420.70000000001</v>
      </c>
      <c r="U220">
        <f t="shared" si="41"/>
        <v>6.5085133459667974E-2</v>
      </c>
      <c r="V220">
        <f t="shared" si="42"/>
        <v>7.5082634530953738E-4</v>
      </c>
      <c r="W220">
        <f t="shared" si="43"/>
        <v>3.181875E-4</v>
      </c>
    </row>
    <row r="221" spans="1:23" x14ac:dyDescent="0.2">
      <c r="A221" s="4">
        <f>IF(ポートフォリオ実績!A222="","", ポートフォリオ実績!A222)</f>
        <v>45688</v>
      </c>
      <c r="B221" t="str">
        <f>IF(ポートフォリオ実績!B222="","", ポートフォリオ実績!B222)</f>
        <v>マルチアセット・その他投信</v>
      </c>
      <c r="C221" s="10">
        <f>IF(ポートフォリオ実績!C222="","", ポートフォリオ実績!C222)</f>
        <v>8509.02</v>
      </c>
      <c r="D221" s="10">
        <f>IF(ポートフォリオ実績!D222="","", ポートフォリオ実績!D222)</f>
        <v>8951.7800000000007</v>
      </c>
      <c r="E221" s="10">
        <f>IF(ポートフォリオ実績!E222="","", ポートフォリオ実績!E222)</f>
        <v>19.170000000000002</v>
      </c>
      <c r="F221" s="10">
        <f>IF(ポートフォリオ実績!F222="","", ポートフォリオ実績!F222)</f>
        <v>0</v>
      </c>
      <c r="G221">
        <f t="shared" si="33"/>
        <v>45657</v>
      </c>
      <c r="H221">
        <f>IF(B221&lt;&gt;"", SUMIFS(ポートフォリオ実績!$D$2:$D$2001, ポートフォリオ実績!$B$2:$B$2001, B221, ポートフォリオ実績!$A$2:$A$2001, G221), 0)</f>
        <v>9263.64</v>
      </c>
      <c r="I221">
        <f>IF(B221&lt;&gt;"", SUMIFS(ポートフォリオ実績!$C$2:$C$2001, ポートフォリオ実績!$B$2:$B$2001, B221, ポートフォリオ実績!$A$2:$A$2001, G221), 0)</f>
        <v>8569.26</v>
      </c>
      <c r="J221">
        <f t="shared" si="34"/>
        <v>442.76000000000022</v>
      </c>
      <c r="K221">
        <f t="shared" si="35"/>
        <v>694.3799999999992</v>
      </c>
      <c r="L221">
        <f t="shared" si="36"/>
        <v>-251.61999999999898</v>
      </c>
      <c r="M221">
        <f t="shared" si="37"/>
        <v>-232.44999999999897</v>
      </c>
      <c r="N221">
        <f t="shared" si="38"/>
        <v>-79.409999999999798</v>
      </c>
      <c r="O221">
        <f t="shared" si="39"/>
        <v>9223.9349999999995</v>
      </c>
      <c r="P221">
        <f t="shared" si="40"/>
        <v>-2.5200741332197046E-2</v>
      </c>
      <c r="Q221" t="str">
        <f>IF(B221="","", IFERROR(VLOOKUP(B221, '基準資産配分（設定）'!$A$2:$C$2001, 3, FALSE), ""))</f>
        <v>バランス型指数</v>
      </c>
      <c r="R221">
        <f>IF(B221="","", IFERROR(VLOOKUP(B221, '基準資産配分（設定）'!$A$2:$C$2001, 2, FALSE)/100, 0))</f>
        <v>6.25E-2</v>
      </c>
      <c r="S221">
        <f>IF(B221="","", IFERROR(SUMIFS(ベンチマークリターン!$C$2:$C$2001, ベンチマークリターン!$A$2:$A$2001, A221, ベンチマークリターン!$B$2:$B$2001, Q221) / 100, 0))</f>
        <v>-3.5506000000000003E-2</v>
      </c>
      <c r="T221">
        <f>IF(A221="","", SUMIFS($H$2:$H$2000, $A$2:$A$2000, A221))</f>
        <v>142763.42000000001</v>
      </c>
      <c r="U221">
        <f t="shared" si="41"/>
        <v>6.4888050454381091E-2</v>
      </c>
      <c r="V221">
        <f t="shared" si="42"/>
        <v>-1.6352269750514088E-3</v>
      </c>
      <c r="W221">
        <f t="shared" si="43"/>
        <v>-2.2191250000000002E-3</v>
      </c>
    </row>
    <row r="222" spans="1:23" x14ac:dyDescent="0.2">
      <c r="A222" s="4">
        <f>IF(ポートフォリオ実績!A223="","", ポートフォリオ実績!A223)</f>
        <v>45716</v>
      </c>
      <c r="B222" t="str">
        <f>IF(ポートフォリオ実績!B223="","", ポートフォリオ実績!B223)</f>
        <v>マルチアセット・その他投信</v>
      </c>
      <c r="C222" s="10">
        <f>IF(ポートフォリオ実績!C223="","", ポートフォリオ実績!C223)</f>
        <v>8481.18</v>
      </c>
      <c r="D222" s="10">
        <f>IF(ポートフォリオ実績!D223="","", ポートフォリオ実績!D223)</f>
        <v>8979.56</v>
      </c>
      <c r="E222" s="10">
        <f>IF(ポートフォリオ実績!E223="","", ポートフォリオ実績!E223)</f>
        <v>18.59</v>
      </c>
      <c r="F222" s="10">
        <f>IF(ポートフォリオ実績!F223="","", ポートフォリオ実績!F223)</f>
        <v>0</v>
      </c>
      <c r="G222">
        <f t="shared" si="33"/>
        <v>45688</v>
      </c>
      <c r="H222">
        <f>IF(B222&lt;&gt;"", SUMIFS(ポートフォリオ実績!$D$2:$D$2001, ポートフォリオ実績!$B$2:$B$2001, B222, ポートフォリオ実績!$A$2:$A$2001, G222), 0)</f>
        <v>8951.7800000000007</v>
      </c>
      <c r="I222">
        <f>IF(B222&lt;&gt;"", SUMIFS(ポートフォリオ実績!$C$2:$C$2001, ポートフォリオ実績!$B$2:$B$2001, B222, ポートフォリオ実績!$A$2:$A$2001, G222), 0)</f>
        <v>8509.02</v>
      </c>
      <c r="J222">
        <f t="shared" si="34"/>
        <v>498.3799999999992</v>
      </c>
      <c r="K222">
        <f t="shared" si="35"/>
        <v>442.76000000000022</v>
      </c>
      <c r="L222">
        <f t="shared" si="36"/>
        <v>55.619999999998981</v>
      </c>
      <c r="M222">
        <f t="shared" si="37"/>
        <v>74.209999999998985</v>
      </c>
      <c r="N222">
        <f t="shared" si="38"/>
        <v>-46.430000000000149</v>
      </c>
      <c r="O222">
        <f t="shared" si="39"/>
        <v>8928.5650000000005</v>
      </c>
      <c r="P222">
        <f t="shared" si="40"/>
        <v>8.3115259842985942E-3</v>
      </c>
      <c r="Q222" t="str">
        <f>IF(B222="","", IFERROR(VLOOKUP(B222, '基準資産配分（設定）'!$A$2:$C$2001, 3, FALSE), ""))</f>
        <v>バランス型指数</v>
      </c>
      <c r="R222">
        <f>IF(B222="","", IFERROR(VLOOKUP(B222, '基準資産配分（設定）'!$A$2:$C$2001, 2, FALSE)/100, 0))</f>
        <v>6.25E-2</v>
      </c>
      <c r="S222">
        <f>IF(B222="","", IFERROR(SUMIFS(ベンチマークリターン!$C$2:$C$2001, ベンチマークリターン!$A$2:$A$2001, A222, ベンチマークリターン!$B$2:$B$2001, Q222) / 100, 0))</f>
        <v>2.5291999999999999E-2</v>
      </c>
      <c r="T222">
        <f>IF(A222="","", SUMIFS($H$2:$H$2000, $A$2:$A$2000, A222))</f>
        <v>145068.1</v>
      </c>
      <c r="U222">
        <f t="shared" si="41"/>
        <v>6.1707432578216717E-2</v>
      </c>
      <c r="V222">
        <f t="shared" si="42"/>
        <v>5.1288292929820185E-4</v>
      </c>
      <c r="W222">
        <f t="shared" si="43"/>
        <v>1.5807499999999999E-3</v>
      </c>
    </row>
    <row r="223" spans="1:23" x14ac:dyDescent="0.2">
      <c r="A223" s="4">
        <f>IF(ポートフォリオ実績!A224="","", ポートフォリオ実績!A224)</f>
        <v>45747</v>
      </c>
      <c r="B223" t="str">
        <f>IF(ポートフォリオ実績!B224="","", ポートフォリオ実績!B224)</f>
        <v>マルチアセット・その他投信</v>
      </c>
      <c r="C223" s="10">
        <f>IF(ポートフォリオ実績!C224="","", ポートフォリオ実績!C224)</f>
        <v>8570.6</v>
      </c>
      <c r="D223" s="10">
        <f>IF(ポートフォリオ実績!D224="","", ポートフォリオ実績!D224)</f>
        <v>9015.7900000000009</v>
      </c>
      <c r="E223" s="10">
        <f>IF(ポートフォリオ実績!E224="","", ポートフォリオ実績!E224)</f>
        <v>18.89</v>
      </c>
      <c r="F223" s="10">
        <f>IF(ポートフォリオ実績!F224="","", ポートフォリオ実績!F224)</f>
        <v>0</v>
      </c>
      <c r="G223">
        <f t="shared" si="33"/>
        <v>45716</v>
      </c>
      <c r="H223">
        <f>IF(B223&lt;&gt;"", SUMIFS(ポートフォリオ実績!$D$2:$D$2001, ポートフォリオ実績!$B$2:$B$2001, B223, ポートフォリオ実績!$A$2:$A$2001, G223), 0)</f>
        <v>8979.56</v>
      </c>
      <c r="I223">
        <f>IF(B223&lt;&gt;"", SUMIFS(ポートフォリオ実績!$C$2:$C$2001, ポートフォリオ実績!$B$2:$B$2001, B223, ポートフォリオ実績!$A$2:$A$2001, G223), 0)</f>
        <v>8481.18</v>
      </c>
      <c r="J223">
        <f t="shared" si="34"/>
        <v>445.19000000000051</v>
      </c>
      <c r="K223">
        <f t="shared" si="35"/>
        <v>498.3799999999992</v>
      </c>
      <c r="L223">
        <f t="shared" si="36"/>
        <v>-53.18999999999869</v>
      </c>
      <c r="M223">
        <f t="shared" si="37"/>
        <v>-34.29999999999869</v>
      </c>
      <c r="N223">
        <f t="shared" si="38"/>
        <v>70.530000000000072</v>
      </c>
      <c r="O223">
        <f t="shared" si="39"/>
        <v>9014.8249999999989</v>
      </c>
      <c r="P223">
        <f t="shared" si="40"/>
        <v>-3.8048436880359512E-3</v>
      </c>
      <c r="Q223" t="str">
        <f>IF(B223="","", IFERROR(VLOOKUP(B223, '基準資産配分（設定）'!$A$2:$C$2001, 3, FALSE), ""))</f>
        <v>バランス型指数</v>
      </c>
      <c r="R223">
        <f>IF(B223="","", IFERROR(VLOOKUP(B223, '基準資産配分（設定）'!$A$2:$C$2001, 2, FALSE)/100, 0))</f>
        <v>6.25E-2</v>
      </c>
      <c r="S223">
        <f>IF(B223="","", IFERROR(SUMIFS(ベンチマークリターン!$C$2:$C$2001, ベンチマークリターン!$A$2:$A$2001, A223, ベンチマークリターン!$B$2:$B$2001, Q223) / 100, 0))</f>
        <v>2.2384000000000001E-2</v>
      </c>
      <c r="T223">
        <f>IF(A223="","", SUMIFS($H$2:$H$2000, $A$2:$A$2000, A223))</f>
        <v>143923.46</v>
      </c>
      <c r="U223">
        <f t="shared" si="41"/>
        <v>6.2391218221129481E-2</v>
      </c>
      <c r="V223">
        <f t="shared" si="42"/>
        <v>-2.3738883283753814E-4</v>
      </c>
      <c r="W223">
        <f t="shared" si="43"/>
        <v>1.3990000000000001E-3</v>
      </c>
    </row>
    <row r="224" spans="1:23" x14ac:dyDescent="0.2">
      <c r="A224" s="4">
        <f>IF(ポートフォリオ実績!A225="","", ポートフォリオ実績!A225)</f>
        <v>44651</v>
      </c>
      <c r="B224" t="str">
        <f>IF(ポートフォリオ実績!B225="","", ポートフォリオ実績!B225)</f>
        <v>（参考）政策保有株式</v>
      </c>
      <c r="C224" s="10">
        <f>IF(ポートフォリオ実績!C225="","", ポートフォリオ実績!C225)</f>
        <v>9800</v>
      </c>
      <c r="D224" s="10">
        <f>IF(ポートフォリオ実績!D225="","", ポートフォリオ実績!D225)</f>
        <v>9918.1</v>
      </c>
      <c r="E224" s="10">
        <f>IF(ポートフォリオ実績!E225="","", ポートフォリオ実績!E225)</f>
        <v>0</v>
      </c>
      <c r="F224" s="10">
        <f>IF(ポートフォリオ実績!F225="","", ポートフォリオ実績!F225)</f>
        <v>0</v>
      </c>
      <c r="G224">
        <f t="shared" si="33"/>
        <v>44620</v>
      </c>
      <c r="H224">
        <f>IF(B224&lt;&gt;"", SUMIFS(ポートフォリオ実績!$D$2:$D$2001, ポートフォリオ実績!$B$2:$B$2001, B224, ポートフォリオ実績!$A$2:$A$2001, G224), 0)</f>
        <v>0</v>
      </c>
      <c r="I224">
        <f>IF(B224&lt;&gt;"", SUMIFS(ポートフォリオ実績!$C$2:$C$2001, ポートフォリオ実績!$B$2:$B$2001, B224, ポートフォリオ実績!$A$2:$A$2001, G224), 0)</f>
        <v>0</v>
      </c>
      <c r="J224">
        <f t="shared" si="34"/>
        <v>118.10000000000036</v>
      </c>
      <c r="K224">
        <f t="shared" si="35"/>
        <v>0</v>
      </c>
      <c r="L224">
        <f t="shared" si="36"/>
        <v>0</v>
      </c>
      <c r="M224">
        <f t="shared" si="37"/>
        <v>0</v>
      </c>
      <c r="N224">
        <f t="shared" si="38"/>
        <v>0</v>
      </c>
      <c r="O224">
        <f t="shared" si="39"/>
        <v>0</v>
      </c>
      <c r="P224">
        <f t="shared" si="40"/>
        <v>0</v>
      </c>
      <c r="Q224" t="str">
        <f>IF(B224="","", IFERROR(VLOOKUP(B224, '基準資産配分（設定）'!$A$2:$C$2001, 3, FALSE), ""))</f>
        <v>TOPIX（配当込み）</v>
      </c>
      <c r="R224">
        <f>IF(B224="","", IFERROR(VLOOKUP(B224, '基準資産配分（設定）'!$A$2:$C$2001, 2, FALSE)/100, 0))</f>
        <v>0</v>
      </c>
      <c r="S224">
        <f>IF(B224="","", IFERROR(SUMIFS(ベンチマークリターン!$C$2:$C$2001, ベンチマークリターン!$A$2:$A$2001, A224, ベンチマークリターン!$B$2:$B$2001, Q224) / 100, 0))</f>
        <v>0</v>
      </c>
      <c r="T224">
        <f>IF(A224="","", SUMIFS($H$2:$H$2000, $A$2:$A$2000, A224))</f>
        <v>0</v>
      </c>
      <c r="U224">
        <f t="shared" si="41"/>
        <v>0</v>
      </c>
      <c r="V224">
        <f t="shared" si="42"/>
        <v>0</v>
      </c>
      <c r="W224">
        <f t="shared" si="43"/>
        <v>0</v>
      </c>
    </row>
    <row r="225" spans="1:23" x14ac:dyDescent="0.2">
      <c r="A225" s="4">
        <f>IF(ポートフォリオ実績!A226="","", ポートフォリオ実績!A226)</f>
        <v>44681</v>
      </c>
      <c r="B225" t="str">
        <f>IF(ポートフォリオ実績!B226="","", ポートフォリオ実績!B226)</f>
        <v>（参考）政策保有株式</v>
      </c>
      <c r="C225" s="10">
        <f>IF(ポートフォリオ実績!C226="","", ポートフォリオ実績!C226)</f>
        <v>9747.67</v>
      </c>
      <c r="D225" s="10">
        <f>IF(ポートフォリオ実績!D226="","", ポートフォリオ実績!D226)</f>
        <v>9421.57</v>
      </c>
      <c r="E225" s="10">
        <f>IF(ポートフォリオ実績!E226="","", ポートフォリオ実績!E226)</f>
        <v>17.27</v>
      </c>
      <c r="F225" s="10">
        <f>IF(ポートフォリオ実績!F226="","", ポートフォリオ実績!F226)</f>
        <v>0</v>
      </c>
      <c r="G225">
        <f t="shared" si="33"/>
        <v>44651</v>
      </c>
      <c r="H225">
        <f>IF(B225&lt;&gt;"", SUMIFS(ポートフォリオ実績!$D$2:$D$2001, ポートフォリオ実績!$B$2:$B$2001, B225, ポートフォリオ実績!$A$2:$A$2001, G225), 0)</f>
        <v>9918.1</v>
      </c>
      <c r="I225">
        <f>IF(B225&lt;&gt;"", SUMIFS(ポートフォリオ実績!$C$2:$C$2001, ポートフォリオ実績!$B$2:$B$2001, B225, ポートフォリオ実績!$A$2:$A$2001, G225), 0)</f>
        <v>9800</v>
      </c>
      <c r="J225">
        <f t="shared" si="34"/>
        <v>-326.10000000000036</v>
      </c>
      <c r="K225">
        <f t="shared" si="35"/>
        <v>118.10000000000036</v>
      </c>
      <c r="L225">
        <f t="shared" si="36"/>
        <v>-444.20000000000073</v>
      </c>
      <c r="M225">
        <f t="shared" si="37"/>
        <v>-426.93000000000075</v>
      </c>
      <c r="N225">
        <f t="shared" si="38"/>
        <v>-69.599999999999909</v>
      </c>
      <c r="O225">
        <f t="shared" si="39"/>
        <v>9883.3000000000011</v>
      </c>
      <c r="P225">
        <f t="shared" si="40"/>
        <v>-4.3197110276931863E-2</v>
      </c>
      <c r="Q225" t="str">
        <f>IF(B225="","", IFERROR(VLOOKUP(B225, '基準資産配分（設定）'!$A$2:$C$2001, 3, FALSE), ""))</f>
        <v>TOPIX（配当込み）</v>
      </c>
      <c r="R225">
        <f>IF(B225="","", IFERROR(VLOOKUP(B225, '基準資産配分（設定）'!$A$2:$C$2001, 2, FALSE)/100, 0))</f>
        <v>0</v>
      </c>
      <c r="S225">
        <f>IF(B225="","", IFERROR(SUMIFS(ベンチマークリターン!$C$2:$C$2001, ベンチマークリターン!$A$2:$A$2001, A225, ベンチマークリターン!$B$2:$B$2001, Q225) / 100, 0))</f>
        <v>-2.0148000000000003E-2</v>
      </c>
      <c r="T225">
        <f>IF(A225="","", SUMIFS($H$2:$H$2000, $A$2:$A$2000, A225))</f>
        <v>139117.94</v>
      </c>
      <c r="U225">
        <f t="shared" si="41"/>
        <v>7.129274628419599E-2</v>
      </c>
      <c r="V225">
        <f t="shared" si="42"/>
        <v>-3.0796406231837384E-3</v>
      </c>
      <c r="W225">
        <f t="shared" si="43"/>
        <v>0</v>
      </c>
    </row>
    <row r="226" spans="1:23" x14ac:dyDescent="0.2">
      <c r="A226" s="4">
        <f>IF(ポートフォリオ実績!A227="","", ポートフォリオ実績!A227)</f>
        <v>44712</v>
      </c>
      <c r="B226" t="str">
        <f>IF(ポートフォリオ実績!B227="","", ポートフォリオ実績!B227)</f>
        <v>（参考）政策保有株式</v>
      </c>
      <c r="C226" s="10">
        <f>IF(ポートフォリオ実績!C227="","", ポートフォリオ実績!C227)</f>
        <v>9830.6299999999992</v>
      </c>
      <c r="D226" s="10">
        <f>IF(ポートフォリオ実績!D227="","", ポートフォリオ実績!D227)</f>
        <v>9746.31</v>
      </c>
      <c r="E226" s="10">
        <f>IF(ポートフォリオ実績!E227="","", ポートフォリオ実績!E227)</f>
        <v>16.63</v>
      </c>
      <c r="F226" s="10">
        <f>IF(ポートフォリオ実績!F227="","", ポートフォリオ実績!F227)</f>
        <v>0</v>
      </c>
      <c r="G226">
        <f t="shared" si="33"/>
        <v>44681</v>
      </c>
      <c r="H226">
        <f>IF(B226&lt;&gt;"", SUMIFS(ポートフォリオ実績!$D$2:$D$2001, ポートフォリオ実績!$B$2:$B$2001, B226, ポートフォリオ実績!$A$2:$A$2001, G226), 0)</f>
        <v>9421.57</v>
      </c>
      <c r="I226">
        <f>IF(B226&lt;&gt;"", SUMIFS(ポートフォリオ実績!$C$2:$C$2001, ポートフォリオ実績!$B$2:$B$2001, B226, ポートフォリオ実績!$A$2:$A$2001, G226), 0)</f>
        <v>9747.67</v>
      </c>
      <c r="J226">
        <f t="shared" si="34"/>
        <v>-84.319999999999709</v>
      </c>
      <c r="K226">
        <f t="shared" si="35"/>
        <v>-326.10000000000036</v>
      </c>
      <c r="L226">
        <f t="shared" si="36"/>
        <v>241.78000000000065</v>
      </c>
      <c r="M226">
        <f t="shared" si="37"/>
        <v>258.41000000000065</v>
      </c>
      <c r="N226">
        <f t="shared" si="38"/>
        <v>66.329999999999131</v>
      </c>
      <c r="O226">
        <f t="shared" si="39"/>
        <v>9454.7349999999988</v>
      </c>
      <c r="P226">
        <f t="shared" si="40"/>
        <v>2.7331278983493527E-2</v>
      </c>
      <c r="Q226" t="str">
        <f>IF(B226="","", IFERROR(VLOOKUP(B226, '基準資産配分（設定）'!$A$2:$C$2001, 3, FALSE), ""))</f>
        <v>TOPIX（配当込み）</v>
      </c>
      <c r="R226">
        <f>IF(B226="","", IFERROR(VLOOKUP(B226, '基準資産配分（設定）'!$A$2:$C$2001, 2, FALSE)/100, 0))</f>
        <v>0</v>
      </c>
      <c r="S226">
        <f>IF(B226="","", IFERROR(SUMIFS(ベンチマークリターン!$C$2:$C$2001, ベンチマークリターン!$A$2:$A$2001, A226, ベンチマークリターン!$B$2:$B$2001, Q226) / 100, 0))</f>
        <v>1.1660999999999999E-2</v>
      </c>
      <c r="T226">
        <f>IF(A226="","", SUMIFS($H$2:$H$2000, $A$2:$A$2000, A226))</f>
        <v>139899.38</v>
      </c>
      <c r="U226">
        <f t="shared" si="41"/>
        <v>6.7345330622623198E-2</v>
      </c>
      <c r="V226">
        <f t="shared" si="42"/>
        <v>1.8406340194825244E-3</v>
      </c>
      <c r="W226">
        <f t="shared" si="43"/>
        <v>0</v>
      </c>
    </row>
    <row r="227" spans="1:23" x14ac:dyDescent="0.2">
      <c r="A227" s="4">
        <f>IF(ポートフォリオ実績!A228="","", ポートフォリオ実績!A228)</f>
        <v>44742</v>
      </c>
      <c r="B227" t="str">
        <f>IF(ポートフォリオ実績!B228="","", ポートフォリオ実績!B228)</f>
        <v>（参考）政策保有株式</v>
      </c>
      <c r="C227" s="10">
        <f>IF(ポートフォリオ実績!C228="","", ポートフォリオ実績!C228)</f>
        <v>9862.7999999999993</v>
      </c>
      <c r="D227" s="10">
        <f>IF(ポートフォリオ実績!D228="","", ポートフォリオ実績!D228)</f>
        <v>10330.19</v>
      </c>
      <c r="E227" s="10">
        <f>IF(ポートフォリオ実績!E228="","", ポートフォリオ実績!E228)</f>
        <v>17.11</v>
      </c>
      <c r="F227" s="10">
        <f>IF(ポートフォリオ実績!F228="","", ポートフォリオ実績!F228)</f>
        <v>0</v>
      </c>
      <c r="G227">
        <f t="shared" si="33"/>
        <v>44712</v>
      </c>
      <c r="H227">
        <f>IF(B227&lt;&gt;"", SUMIFS(ポートフォリオ実績!$D$2:$D$2001, ポートフォリオ実績!$B$2:$B$2001, B227, ポートフォリオ実績!$A$2:$A$2001, G227), 0)</f>
        <v>9746.31</v>
      </c>
      <c r="I227">
        <f>IF(B227&lt;&gt;"", SUMIFS(ポートフォリオ実績!$C$2:$C$2001, ポートフォリオ実績!$B$2:$B$2001, B227, ポートフォリオ実績!$A$2:$A$2001, G227), 0)</f>
        <v>9830.6299999999992</v>
      </c>
      <c r="J227">
        <f t="shared" si="34"/>
        <v>467.39000000000124</v>
      </c>
      <c r="K227">
        <f t="shared" si="35"/>
        <v>-84.319999999999709</v>
      </c>
      <c r="L227">
        <f t="shared" si="36"/>
        <v>551.71000000000095</v>
      </c>
      <c r="M227">
        <f t="shared" si="37"/>
        <v>568.82000000000096</v>
      </c>
      <c r="N227">
        <f t="shared" si="38"/>
        <v>15.060000000000059</v>
      </c>
      <c r="O227">
        <f t="shared" si="39"/>
        <v>9753.84</v>
      </c>
      <c r="P227">
        <f t="shared" si="40"/>
        <v>5.831754467983901E-2</v>
      </c>
      <c r="Q227" t="str">
        <f>IF(B227="","", IFERROR(VLOOKUP(B227, '基準資産配分（設定）'!$A$2:$C$2001, 3, FALSE), ""))</f>
        <v>TOPIX（配当込み）</v>
      </c>
      <c r="R227">
        <f>IF(B227="","", IFERROR(VLOOKUP(B227, '基準資産配分（設定）'!$A$2:$C$2001, 2, FALSE)/100, 0))</f>
        <v>0</v>
      </c>
      <c r="S227">
        <f>IF(B227="","", IFERROR(SUMIFS(ベンチマークリターン!$C$2:$C$2001, ベンチマークリターン!$A$2:$A$2001, A227, ベンチマークリターン!$B$2:$B$2001, Q227) / 100, 0))</f>
        <v>-1.7354000000000001E-2</v>
      </c>
      <c r="T227">
        <f>IF(A227="","", SUMIFS($H$2:$H$2000, $A$2:$A$2000, A227))</f>
        <v>143058.46</v>
      </c>
      <c r="U227">
        <f t="shared" si="41"/>
        <v>6.8128162430939068E-2</v>
      </c>
      <c r="V227">
        <f t="shared" si="42"/>
        <v>3.9730671565216188E-3</v>
      </c>
      <c r="W227">
        <f t="shared" si="43"/>
        <v>0</v>
      </c>
    </row>
    <row r="228" spans="1:23" x14ac:dyDescent="0.2">
      <c r="A228" s="4">
        <f>IF(ポートフォリオ実績!A229="","", ポートフォリオ実績!A229)</f>
        <v>44773</v>
      </c>
      <c r="B228" t="str">
        <f>IF(ポートフォリオ実績!B229="","", ポートフォリオ実績!B229)</f>
        <v>（参考）政策保有株式</v>
      </c>
      <c r="C228" s="10">
        <f>IF(ポートフォリオ実績!C229="","", ポートフォリオ実績!C229)</f>
        <v>9744.86</v>
      </c>
      <c r="D228" s="10">
        <f>IF(ポートフォリオ実績!D229="","", ポートフォリオ実績!D229)</f>
        <v>11267.73</v>
      </c>
      <c r="E228" s="10">
        <f>IF(ポートフォリオ実績!E229="","", ポートフォリオ実績!E229)</f>
        <v>17.87</v>
      </c>
      <c r="F228" s="10">
        <f>IF(ポートフォリオ実績!F229="","", ポートフォリオ実績!F229)</f>
        <v>0</v>
      </c>
      <c r="G228">
        <f t="shared" si="33"/>
        <v>44742</v>
      </c>
      <c r="H228">
        <f>IF(B228&lt;&gt;"", SUMIFS(ポートフォリオ実績!$D$2:$D$2001, ポートフォリオ実績!$B$2:$B$2001, B228, ポートフォリオ実績!$A$2:$A$2001, G228), 0)</f>
        <v>10330.19</v>
      </c>
      <c r="I228">
        <f>IF(B228&lt;&gt;"", SUMIFS(ポートフォリオ実績!$C$2:$C$2001, ポートフォリオ実績!$B$2:$B$2001, B228, ポートフォリオ実績!$A$2:$A$2001, G228), 0)</f>
        <v>9862.7999999999993</v>
      </c>
      <c r="J228">
        <f t="shared" si="34"/>
        <v>1522.869999999999</v>
      </c>
      <c r="K228">
        <f t="shared" si="35"/>
        <v>467.39000000000124</v>
      </c>
      <c r="L228">
        <f t="shared" si="36"/>
        <v>1055.4799999999977</v>
      </c>
      <c r="M228">
        <f t="shared" si="37"/>
        <v>1073.3499999999976</v>
      </c>
      <c r="N228">
        <f t="shared" si="38"/>
        <v>-135.80999999999858</v>
      </c>
      <c r="O228">
        <f t="shared" si="39"/>
        <v>10262.285000000002</v>
      </c>
      <c r="P228">
        <f t="shared" si="40"/>
        <v>0.10459171617237267</v>
      </c>
      <c r="Q228" t="str">
        <f>IF(B228="","", IFERROR(VLOOKUP(B228, '基準資産配分（設定）'!$A$2:$C$2001, 3, FALSE), ""))</f>
        <v>TOPIX（配当込み）</v>
      </c>
      <c r="R228">
        <f>IF(B228="","", IFERROR(VLOOKUP(B228, '基準資産配分（設定）'!$A$2:$C$2001, 2, FALSE)/100, 0))</f>
        <v>0</v>
      </c>
      <c r="S228">
        <f>IF(B228="","", IFERROR(SUMIFS(ベンチマークリターン!$C$2:$C$2001, ベンチマークリターン!$A$2:$A$2001, A228, ベンチマークリターン!$B$2:$B$2001, Q228) / 100, 0))</f>
        <v>-1.5910000000000001E-2</v>
      </c>
      <c r="T228">
        <f>IF(A228="","", SUMIFS($H$2:$H$2000, $A$2:$A$2000, A228))</f>
        <v>143829.51</v>
      </c>
      <c r="U228">
        <f t="shared" si="41"/>
        <v>7.1822465361941368E-2</v>
      </c>
      <c r="V228">
        <f t="shared" si="42"/>
        <v>7.5120349119362391E-3</v>
      </c>
      <c r="W228">
        <f t="shared" si="43"/>
        <v>0</v>
      </c>
    </row>
    <row r="229" spans="1:23" x14ac:dyDescent="0.2">
      <c r="A229" s="4">
        <f>IF(ポートフォリオ実績!A230="","", ポートフォリオ実績!A230)</f>
        <v>44804</v>
      </c>
      <c r="B229" t="str">
        <f>IF(ポートフォリオ実績!B230="","", ポートフォリオ実績!B230)</f>
        <v>（参考）政策保有株式</v>
      </c>
      <c r="C229" s="10">
        <f>IF(ポートフォリオ実績!C230="","", ポートフォリオ実績!C230)</f>
        <v>9535.0499999999993</v>
      </c>
      <c r="D229" s="10">
        <f>IF(ポートフォリオ実績!D230="","", ポートフォリオ実績!D230)</f>
        <v>10827.71</v>
      </c>
      <c r="E229" s="10">
        <f>IF(ポートフォリオ実績!E230="","", ポートフォリオ実績!E230)</f>
        <v>19.350000000000001</v>
      </c>
      <c r="F229" s="10">
        <f>IF(ポートフォリオ実績!F230="","", ポートフォリオ実績!F230)</f>
        <v>0</v>
      </c>
      <c r="G229">
        <f t="shared" si="33"/>
        <v>44773</v>
      </c>
      <c r="H229">
        <f>IF(B229&lt;&gt;"", SUMIFS(ポートフォリオ実績!$D$2:$D$2001, ポートフォリオ実績!$B$2:$B$2001, B229, ポートフォリオ実績!$A$2:$A$2001, G229), 0)</f>
        <v>11267.73</v>
      </c>
      <c r="I229">
        <f>IF(B229&lt;&gt;"", SUMIFS(ポートフォリオ実績!$C$2:$C$2001, ポートフォリオ実績!$B$2:$B$2001, B229, ポートフォリオ実績!$A$2:$A$2001, G229), 0)</f>
        <v>9744.86</v>
      </c>
      <c r="J229">
        <f t="shared" si="34"/>
        <v>1292.6599999999999</v>
      </c>
      <c r="K229">
        <f t="shared" si="35"/>
        <v>1522.869999999999</v>
      </c>
      <c r="L229">
        <f t="shared" si="36"/>
        <v>-230.20999999999913</v>
      </c>
      <c r="M229">
        <f t="shared" si="37"/>
        <v>-210.85999999999913</v>
      </c>
      <c r="N229">
        <f t="shared" si="38"/>
        <v>-229.1600000000013</v>
      </c>
      <c r="O229">
        <f t="shared" si="39"/>
        <v>11153.15</v>
      </c>
      <c r="P229">
        <f t="shared" si="40"/>
        <v>-1.8905869642208625E-2</v>
      </c>
      <c r="Q229" t="str">
        <f>IF(B229="","", IFERROR(VLOOKUP(B229, '基準資産配分（設定）'!$A$2:$C$2001, 3, FALSE), ""))</f>
        <v>TOPIX（配当込み）</v>
      </c>
      <c r="R229">
        <f>IF(B229="","", IFERROR(VLOOKUP(B229, '基準資産配分（設定）'!$A$2:$C$2001, 2, FALSE)/100, 0))</f>
        <v>0</v>
      </c>
      <c r="S229">
        <f>IF(B229="","", IFERROR(SUMIFS(ベンチマークリターン!$C$2:$C$2001, ベンチマークリターン!$A$2:$A$2001, A229, ベンチマークリターン!$B$2:$B$2001, Q229) / 100, 0))</f>
        <v>-9.3980000000000001E-3</v>
      </c>
      <c r="T229">
        <f>IF(A229="","", SUMIFS($H$2:$H$2000, $A$2:$A$2000, A229))</f>
        <v>145658.63</v>
      </c>
      <c r="U229">
        <f t="shared" si="41"/>
        <v>7.735710544579473E-2</v>
      </c>
      <c r="V229">
        <f t="shared" si="42"/>
        <v>-1.4625033514567821E-3</v>
      </c>
      <c r="W229">
        <f t="shared" si="43"/>
        <v>0</v>
      </c>
    </row>
    <row r="230" spans="1:23" x14ac:dyDescent="0.2">
      <c r="A230" s="4">
        <f>IF(ポートフォリオ実績!A231="","", ポートフォリオ実績!A231)</f>
        <v>44834</v>
      </c>
      <c r="B230" t="str">
        <f>IF(ポートフォリオ実績!B231="","", ポートフォリオ実績!B231)</f>
        <v>（参考）政策保有株式</v>
      </c>
      <c r="C230" s="10">
        <f>IF(ポートフォリオ実績!C231="","", ポートフォリオ実績!C231)</f>
        <v>9545.57</v>
      </c>
      <c r="D230" s="10">
        <f>IF(ポートフォリオ実績!D231="","", ポートフォリオ実績!D231)</f>
        <v>11743.99</v>
      </c>
      <c r="E230" s="10">
        <f>IF(ポートフォリオ実績!E231="","", ポートフォリオ実績!E231)</f>
        <v>18.97</v>
      </c>
      <c r="F230" s="10">
        <f>IF(ポートフォリオ実績!F231="","", ポートフォリオ実績!F231)</f>
        <v>0</v>
      </c>
      <c r="G230">
        <f t="shared" si="33"/>
        <v>44804</v>
      </c>
      <c r="H230">
        <f>IF(B230&lt;&gt;"", SUMIFS(ポートフォリオ実績!$D$2:$D$2001, ポートフォリオ実績!$B$2:$B$2001, B230, ポートフォリオ実績!$A$2:$A$2001, G230), 0)</f>
        <v>10827.71</v>
      </c>
      <c r="I230">
        <f>IF(B230&lt;&gt;"", SUMIFS(ポートフォリオ実績!$C$2:$C$2001, ポートフォリオ実績!$B$2:$B$2001, B230, ポートフォリオ実績!$A$2:$A$2001, G230), 0)</f>
        <v>9535.0499999999993</v>
      </c>
      <c r="J230">
        <f t="shared" si="34"/>
        <v>2198.42</v>
      </c>
      <c r="K230">
        <f t="shared" si="35"/>
        <v>1292.6599999999999</v>
      </c>
      <c r="L230">
        <f t="shared" si="36"/>
        <v>905.76000000000022</v>
      </c>
      <c r="M230">
        <f t="shared" si="37"/>
        <v>924.73000000000025</v>
      </c>
      <c r="N230">
        <f t="shared" si="38"/>
        <v>-8.4499999999995907</v>
      </c>
      <c r="O230">
        <f t="shared" si="39"/>
        <v>10823.484999999999</v>
      </c>
      <c r="P230">
        <f t="shared" si="40"/>
        <v>8.5437361441347254E-2</v>
      </c>
      <c r="Q230" t="str">
        <f>IF(B230="","", IFERROR(VLOOKUP(B230, '基準資産配分（設定）'!$A$2:$C$2001, 3, FALSE), ""))</f>
        <v>TOPIX（配当込み）</v>
      </c>
      <c r="R230">
        <f>IF(B230="","", IFERROR(VLOOKUP(B230, '基準資産配分（設定）'!$A$2:$C$2001, 2, FALSE)/100, 0))</f>
        <v>0</v>
      </c>
      <c r="S230">
        <f>IF(B230="","", IFERROR(SUMIFS(ベンチマークリターン!$C$2:$C$2001, ベンチマークリターン!$A$2:$A$2001, A230, ベンチマークリターン!$B$2:$B$2001, Q230) / 100, 0))</f>
        <v>1.8208999999999999E-2</v>
      </c>
      <c r="T230">
        <f>IF(A230="","", SUMIFS($H$2:$H$2000, $A$2:$A$2000, A230))</f>
        <v>144325.42000000001</v>
      </c>
      <c r="U230">
        <f t="shared" si="41"/>
        <v>7.5022889245705979E-2</v>
      </c>
      <c r="V230">
        <f t="shared" si="42"/>
        <v>6.4097577048595452E-3</v>
      </c>
      <c r="W230">
        <f t="shared" si="43"/>
        <v>0</v>
      </c>
    </row>
    <row r="231" spans="1:23" x14ac:dyDescent="0.2">
      <c r="A231" s="4">
        <f>IF(ポートフォリオ実績!A232="","", ポートフォリオ実績!A232)</f>
        <v>44865</v>
      </c>
      <c r="B231" t="str">
        <f>IF(ポートフォリオ実績!B232="","", ポートフォリオ実績!B232)</f>
        <v>（参考）政策保有株式</v>
      </c>
      <c r="C231" s="10">
        <f>IF(ポートフォリオ実績!C232="","", ポートフォリオ実績!C232)</f>
        <v>9548.6299999999992</v>
      </c>
      <c r="D231" s="10">
        <f>IF(ポートフォリオ実績!D232="","", ポートフォリオ実績!D232)</f>
        <v>13429.19</v>
      </c>
      <c r="E231" s="10">
        <f>IF(ポートフォリオ実績!E232="","", ポートフォリオ実績!E232)</f>
        <v>20.56</v>
      </c>
      <c r="F231" s="10">
        <f>IF(ポートフォリオ実績!F232="","", ポートフォリオ実績!F232)</f>
        <v>0</v>
      </c>
      <c r="G231">
        <f t="shared" si="33"/>
        <v>44834</v>
      </c>
      <c r="H231">
        <f>IF(B231&lt;&gt;"", SUMIFS(ポートフォリオ実績!$D$2:$D$2001, ポートフォリオ実績!$B$2:$B$2001, B231, ポートフォリオ実績!$A$2:$A$2001, G231), 0)</f>
        <v>11743.99</v>
      </c>
      <c r="I231">
        <f>IF(B231&lt;&gt;"", SUMIFS(ポートフォリオ実績!$C$2:$C$2001, ポートフォリオ実績!$B$2:$B$2001, B231, ポートフォリオ実績!$A$2:$A$2001, G231), 0)</f>
        <v>9545.57</v>
      </c>
      <c r="J231">
        <f t="shared" si="34"/>
        <v>3880.5600000000013</v>
      </c>
      <c r="K231">
        <f t="shared" si="35"/>
        <v>2198.42</v>
      </c>
      <c r="L231">
        <f t="shared" si="36"/>
        <v>1682.1400000000012</v>
      </c>
      <c r="M231">
        <f t="shared" si="37"/>
        <v>1702.7000000000012</v>
      </c>
      <c r="N231">
        <f t="shared" si="38"/>
        <v>-17.500000000000455</v>
      </c>
      <c r="O231">
        <f t="shared" si="39"/>
        <v>11735.24</v>
      </c>
      <c r="P231">
        <f t="shared" si="40"/>
        <v>0.14509289967652994</v>
      </c>
      <c r="Q231" t="str">
        <f>IF(B231="","", IFERROR(VLOOKUP(B231, '基準資産配分（設定）'!$A$2:$C$2001, 3, FALSE), ""))</f>
        <v>TOPIX（配当込み）</v>
      </c>
      <c r="R231">
        <f>IF(B231="","", IFERROR(VLOOKUP(B231, '基準資産配分（設定）'!$A$2:$C$2001, 2, FALSE)/100, 0))</f>
        <v>0</v>
      </c>
      <c r="S231">
        <f>IF(B231="","", IFERROR(SUMIFS(ベンチマークリターン!$C$2:$C$2001, ベンチマークリターン!$A$2:$A$2001, A231, ベンチマークリターン!$B$2:$B$2001, Q231) / 100, 0))</f>
        <v>-1.821E-2</v>
      </c>
      <c r="T231">
        <f>IF(A231="","", SUMIFS($H$2:$H$2000, $A$2:$A$2000, A231))</f>
        <v>145674.57</v>
      </c>
      <c r="U231">
        <f t="shared" si="41"/>
        <v>8.0617982946508779E-2</v>
      </c>
      <c r="V231">
        <f t="shared" si="42"/>
        <v>1.1697096911781999E-2</v>
      </c>
      <c r="W231">
        <f t="shared" si="43"/>
        <v>0</v>
      </c>
    </row>
    <row r="232" spans="1:23" x14ac:dyDescent="0.2">
      <c r="A232" s="4">
        <f>IF(ポートフォリオ実績!A233="","", ポートフォリオ実績!A233)</f>
        <v>44895</v>
      </c>
      <c r="B232" t="str">
        <f>IF(ポートフォリオ実績!B233="","", ポートフォリオ実績!B233)</f>
        <v>（参考）政策保有株式</v>
      </c>
      <c r="C232" s="10">
        <f>IF(ポートフォリオ実績!C233="","", ポートフォリオ実績!C233)</f>
        <v>9566.56</v>
      </c>
      <c r="D232" s="10">
        <f>IF(ポートフォリオ実績!D233="","", ポートフォリオ実績!D233)</f>
        <v>14032.68</v>
      </c>
      <c r="E232" s="10">
        <f>IF(ポートフォリオ実績!E233="","", ポートフォリオ実績!E233)</f>
        <v>23.53</v>
      </c>
      <c r="F232" s="10">
        <f>IF(ポートフォリオ実績!F233="","", ポートフォリオ実績!F233)</f>
        <v>0</v>
      </c>
      <c r="G232">
        <f t="shared" si="33"/>
        <v>44865</v>
      </c>
      <c r="H232">
        <f>IF(B232&lt;&gt;"", SUMIFS(ポートフォリオ実績!$D$2:$D$2001, ポートフォリオ実績!$B$2:$B$2001, B232, ポートフォリオ実績!$A$2:$A$2001, G232), 0)</f>
        <v>13429.19</v>
      </c>
      <c r="I232">
        <f>IF(B232&lt;&gt;"", SUMIFS(ポートフォリオ実績!$C$2:$C$2001, ポートフォリオ実績!$B$2:$B$2001, B232, ポートフォリオ実績!$A$2:$A$2001, G232), 0)</f>
        <v>9548.6299999999992</v>
      </c>
      <c r="J232">
        <f t="shared" si="34"/>
        <v>4466.1200000000008</v>
      </c>
      <c r="K232">
        <f t="shared" si="35"/>
        <v>3880.5600000000013</v>
      </c>
      <c r="L232">
        <f t="shared" si="36"/>
        <v>585.55999999999949</v>
      </c>
      <c r="M232">
        <f t="shared" si="37"/>
        <v>609.08999999999946</v>
      </c>
      <c r="N232">
        <f t="shared" si="38"/>
        <v>-5.5999999999996817</v>
      </c>
      <c r="O232">
        <f t="shared" si="39"/>
        <v>13426.390000000001</v>
      </c>
      <c r="P232">
        <f t="shared" si="40"/>
        <v>4.5365135378906719E-2</v>
      </c>
      <c r="Q232" t="str">
        <f>IF(B232="","", IFERROR(VLOOKUP(B232, '基準資産配分（設定）'!$A$2:$C$2001, 3, FALSE), ""))</f>
        <v>TOPIX（配当込み）</v>
      </c>
      <c r="R232">
        <f>IF(B232="","", IFERROR(VLOOKUP(B232, '基準資産配分（設定）'!$A$2:$C$2001, 2, FALSE)/100, 0))</f>
        <v>0</v>
      </c>
      <c r="S232">
        <f>IF(B232="","", IFERROR(SUMIFS(ベンチマークリターン!$C$2:$C$2001, ベンチマークリターン!$A$2:$A$2001, A232, ベンチマークリターン!$B$2:$B$2001, Q232) / 100, 0))</f>
        <v>7.1917999999999996E-2</v>
      </c>
      <c r="T232">
        <f>IF(A232="","", SUMIFS($H$2:$H$2000, $A$2:$A$2000, A232))</f>
        <v>149722.51</v>
      </c>
      <c r="U232">
        <f t="shared" si="41"/>
        <v>8.9693860996586286E-2</v>
      </c>
      <c r="V232">
        <f t="shared" si="42"/>
        <v>4.0689741467669783E-3</v>
      </c>
      <c r="W232">
        <f t="shared" si="43"/>
        <v>0</v>
      </c>
    </row>
    <row r="233" spans="1:23" x14ac:dyDescent="0.2">
      <c r="A233" s="4">
        <f>IF(ポートフォリオ実績!A234="","", ポートフォリオ実績!A234)</f>
        <v>44926</v>
      </c>
      <c r="B233" t="str">
        <f>IF(ポートフォリオ実績!B234="","", ポートフォリオ実績!B234)</f>
        <v>（参考）政策保有株式</v>
      </c>
      <c r="C233" s="10">
        <f>IF(ポートフォリオ実績!C234="","", ポートフォリオ実績!C234)</f>
        <v>9818.9699999999993</v>
      </c>
      <c r="D233" s="10">
        <f>IF(ポートフォリオ実績!D234="","", ポートフォリオ実績!D234)</f>
        <v>14696.59</v>
      </c>
      <c r="E233" s="10">
        <f>IF(ポートフォリオ実績!E234="","", ポートフォリオ実績!E234)</f>
        <v>25</v>
      </c>
      <c r="F233" s="10">
        <f>IF(ポートフォリオ実績!F234="","", ポートフォリオ実績!F234)</f>
        <v>0</v>
      </c>
      <c r="G233">
        <f t="shared" si="33"/>
        <v>44895</v>
      </c>
      <c r="H233">
        <f>IF(B233&lt;&gt;"", SUMIFS(ポートフォリオ実績!$D$2:$D$2001, ポートフォリオ実績!$B$2:$B$2001, B233, ポートフォリオ実績!$A$2:$A$2001, G233), 0)</f>
        <v>14032.68</v>
      </c>
      <c r="I233">
        <f>IF(B233&lt;&gt;"", SUMIFS(ポートフォリオ実績!$C$2:$C$2001, ポートフォリオ実績!$B$2:$B$2001, B233, ポートフォリオ実績!$A$2:$A$2001, G233), 0)</f>
        <v>9566.56</v>
      </c>
      <c r="J233">
        <f t="shared" si="34"/>
        <v>4877.6200000000008</v>
      </c>
      <c r="K233">
        <f t="shared" si="35"/>
        <v>4466.1200000000008</v>
      </c>
      <c r="L233">
        <f t="shared" si="36"/>
        <v>411.5</v>
      </c>
      <c r="M233">
        <f t="shared" si="37"/>
        <v>436.5</v>
      </c>
      <c r="N233">
        <f t="shared" si="38"/>
        <v>227.40999999999985</v>
      </c>
      <c r="O233">
        <f t="shared" si="39"/>
        <v>14146.385</v>
      </c>
      <c r="P233">
        <f t="shared" si="40"/>
        <v>3.0855939520944748E-2</v>
      </c>
      <c r="Q233" t="str">
        <f>IF(B233="","", IFERROR(VLOOKUP(B233, '基準資産配分（設定）'!$A$2:$C$2001, 3, FALSE), ""))</f>
        <v>TOPIX（配当込み）</v>
      </c>
      <c r="R233">
        <f>IF(B233="","", IFERROR(VLOOKUP(B233, '基準資産配分（設定）'!$A$2:$C$2001, 2, FALSE)/100, 0))</f>
        <v>0</v>
      </c>
      <c r="S233">
        <f>IF(B233="","", IFERROR(SUMIFS(ベンチマークリターン!$C$2:$C$2001, ベンチマークリターン!$A$2:$A$2001, A233, ベンチマークリターン!$B$2:$B$2001, Q233) / 100, 0))</f>
        <v>-3.9817999999999999E-2</v>
      </c>
      <c r="T233">
        <f>IF(A233="","", SUMIFS($H$2:$H$2000, $A$2:$A$2000, A233))</f>
        <v>146745.91999999998</v>
      </c>
      <c r="U233">
        <f t="shared" si="41"/>
        <v>9.5625690990250367E-2</v>
      </c>
      <c r="V233">
        <f t="shared" si="42"/>
        <v>2.9506205378437163E-3</v>
      </c>
      <c r="W233">
        <f t="shared" si="43"/>
        <v>0</v>
      </c>
    </row>
    <row r="234" spans="1:23" x14ac:dyDescent="0.2">
      <c r="A234" s="4">
        <f>IF(ポートフォリオ実績!A235="","", ポートフォリオ実績!A235)</f>
        <v>44957</v>
      </c>
      <c r="B234" t="str">
        <f>IF(ポートフォリオ実績!B235="","", ポートフォリオ実績!B235)</f>
        <v>（参考）政策保有株式</v>
      </c>
      <c r="C234" s="10">
        <f>IF(ポートフォリオ実績!C235="","", ポートフォリオ実績!C235)</f>
        <v>9833.75</v>
      </c>
      <c r="D234" s="10">
        <f>IF(ポートフォリオ実績!D235="","", ポートフォリオ実績!D235)</f>
        <v>15825.66</v>
      </c>
      <c r="E234" s="10">
        <f>IF(ポートフォリオ実績!E235="","", ポートフォリオ実績!E235)</f>
        <v>25.74</v>
      </c>
      <c r="F234" s="10">
        <f>IF(ポートフォリオ実績!F235="","", ポートフォリオ実績!F235)</f>
        <v>0</v>
      </c>
      <c r="G234">
        <f t="shared" si="33"/>
        <v>44926</v>
      </c>
      <c r="H234">
        <f>IF(B234&lt;&gt;"", SUMIFS(ポートフォリオ実績!$D$2:$D$2001, ポートフォリオ実績!$B$2:$B$2001, B234, ポートフォリオ実績!$A$2:$A$2001, G234), 0)</f>
        <v>14696.59</v>
      </c>
      <c r="I234">
        <f>IF(B234&lt;&gt;"", SUMIFS(ポートフォリオ実績!$C$2:$C$2001, ポートフォリオ実績!$B$2:$B$2001, B234, ポートフォリオ実績!$A$2:$A$2001, G234), 0)</f>
        <v>9818.9699999999993</v>
      </c>
      <c r="J234">
        <f t="shared" si="34"/>
        <v>5991.91</v>
      </c>
      <c r="K234">
        <f t="shared" si="35"/>
        <v>4877.6200000000008</v>
      </c>
      <c r="L234">
        <f t="shared" si="36"/>
        <v>1114.2899999999991</v>
      </c>
      <c r="M234">
        <f t="shared" si="37"/>
        <v>1140.0299999999991</v>
      </c>
      <c r="N234">
        <f t="shared" si="38"/>
        <v>-10.959999999999354</v>
      </c>
      <c r="O234">
        <f t="shared" si="39"/>
        <v>14691.11</v>
      </c>
      <c r="P234">
        <f t="shared" si="40"/>
        <v>7.7599990742700797E-2</v>
      </c>
      <c r="Q234" t="str">
        <f>IF(B234="","", IFERROR(VLOOKUP(B234, '基準資産配分（設定）'!$A$2:$C$2001, 3, FALSE), ""))</f>
        <v>TOPIX（配当込み）</v>
      </c>
      <c r="R234">
        <f>IF(B234="","", IFERROR(VLOOKUP(B234, '基準資産配分（設定）'!$A$2:$C$2001, 2, FALSE)/100, 0))</f>
        <v>0</v>
      </c>
      <c r="S234">
        <f>IF(B234="","", IFERROR(SUMIFS(ベンチマークリターン!$C$2:$C$2001, ベンチマークリターン!$A$2:$A$2001, A234, ベンチマークリターン!$B$2:$B$2001, Q234) / 100, 0))</f>
        <v>-3.0430000000000001E-3</v>
      </c>
      <c r="T234">
        <f>IF(A234="","", SUMIFS($H$2:$H$2000, $A$2:$A$2000, A234))</f>
        <v>148588.96000000002</v>
      </c>
      <c r="U234">
        <f t="shared" si="41"/>
        <v>9.8907684662440584E-2</v>
      </c>
      <c r="V234">
        <f t="shared" si="42"/>
        <v>7.6752354141873588E-3</v>
      </c>
      <c r="W234">
        <f t="shared" si="43"/>
        <v>0</v>
      </c>
    </row>
    <row r="235" spans="1:23" x14ac:dyDescent="0.2">
      <c r="A235" s="4">
        <f>IF(ポートフォリオ実績!A236="","", ポートフォリオ実績!A236)</f>
        <v>44985</v>
      </c>
      <c r="B235" t="str">
        <f>IF(ポートフォリオ実績!B236="","", ポートフォリオ実績!B236)</f>
        <v>（参考）政策保有株式</v>
      </c>
      <c r="C235" s="10">
        <f>IF(ポートフォリオ実績!C236="","", ポートフォリオ実績!C236)</f>
        <v>9663.9500000000007</v>
      </c>
      <c r="D235" s="10">
        <f>IF(ポートフォリオ実績!D236="","", ポートフォリオ実績!D236)</f>
        <v>15828.61</v>
      </c>
      <c r="E235" s="10">
        <f>IF(ポートフォリオ実績!E236="","", ポートフォリオ実績!E236)</f>
        <v>27.4</v>
      </c>
      <c r="F235" s="10">
        <f>IF(ポートフォリオ実績!F236="","", ポートフォリオ実績!F236)</f>
        <v>0</v>
      </c>
      <c r="G235">
        <f t="shared" si="33"/>
        <v>44957</v>
      </c>
      <c r="H235">
        <f>IF(B235&lt;&gt;"", SUMIFS(ポートフォリオ実績!$D$2:$D$2001, ポートフォリオ実績!$B$2:$B$2001, B235, ポートフォリオ実績!$A$2:$A$2001, G235), 0)</f>
        <v>15825.66</v>
      </c>
      <c r="I235">
        <f>IF(B235&lt;&gt;"", SUMIFS(ポートフォリオ実績!$C$2:$C$2001, ポートフォリオ実績!$B$2:$B$2001, B235, ポートフォリオ実績!$A$2:$A$2001, G235), 0)</f>
        <v>9833.75</v>
      </c>
      <c r="J235">
        <f t="shared" si="34"/>
        <v>6164.66</v>
      </c>
      <c r="K235">
        <f t="shared" si="35"/>
        <v>5991.91</v>
      </c>
      <c r="L235">
        <f t="shared" si="36"/>
        <v>172.75</v>
      </c>
      <c r="M235">
        <f t="shared" si="37"/>
        <v>200.15</v>
      </c>
      <c r="N235">
        <f t="shared" si="38"/>
        <v>-197.19999999999928</v>
      </c>
      <c r="O235">
        <f t="shared" si="39"/>
        <v>15727.06</v>
      </c>
      <c r="P235">
        <f t="shared" si="40"/>
        <v>1.2726472716451772E-2</v>
      </c>
      <c r="Q235" t="str">
        <f>IF(B235="","", IFERROR(VLOOKUP(B235, '基準資産配分（設定）'!$A$2:$C$2001, 3, FALSE), ""))</f>
        <v>TOPIX（配当込み）</v>
      </c>
      <c r="R235">
        <f>IF(B235="","", IFERROR(VLOOKUP(B235, '基準資産配分（設定）'!$A$2:$C$2001, 2, FALSE)/100, 0))</f>
        <v>0</v>
      </c>
      <c r="S235">
        <f>IF(B235="","", IFERROR(SUMIFS(ベンチマークリターン!$C$2:$C$2001, ベンチマークリターン!$A$2:$A$2001, A235, ベンチマークリターン!$B$2:$B$2001, Q235) / 100, 0))</f>
        <v>-1.6182000000000002E-2</v>
      </c>
      <c r="T235">
        <f>IF(A235="","", SUMIFS($H$2:$H$2000, $A$2:$A$2000, A235))</f>
        <v>149058.73000000001</v>
      </c>
      <c r="U235">
        <f t="shared" si="41"/>
        <v>0.10617063489001952</v>
      </c>
      <c r="V235">
        <f t="shared" si="42"/>
        <v>1.3511776882161959E-3</v>
      </c>
      <c r="W235">
        <f t="shared" si="43"/>
        <v>0</v>
      </c>
    </row>
    <row r="236" spans="1:23" x14ac:dyDescent="0.2">
      <c r="A236" s="4">
        <f>IF(ポートフォリオ実績!A237="","", ポートフォリオ実績!A237)</f>
        <v>45016</v>
      </c>
      <c r="B236" t="str">
        <f>IF(ポートフォリオ実績!B237="","", ポートフォリオ実績!B237)</f>
        <v>（参考）政策保有株式</v>
      </c>
      <c r="C236" s="10">
        <f>IF(ポートフォリオ実績!C237="","", ポートフォリオ実績!C237)</f>
        <v>10052.6</v>
      </c>
      <c r="D236" s="10">
        <f>IF(ポートフォリオ実績!D237="","", ポートフォリオ実績!D237)</f>
        <v>16205.86</v>
      </c>
      <c r="E236" s="10">
        <f>IF(ポートフォリオ実績!E237="","", ポートフォリオ実績!E237)</f>
        <v>28.38</v>
      </c>
      <c r="F236" s="10">
        <f>IF(ポートフォリオ実績!F237="","", ポートフォリオ実績!F237)</f>
        <v>0</v>
      </c>
      <c r="G236">
        <f t="shared" si="33"/>
        <v>44985</v>
      </c>
      <c r="H236">
        <f>IF(B236&lt;&gt;"", SUMIFS(ポートフォリオ実績!$D$2:$D$2001, ポートフォリオ実績!$B$2:$B$2001, B236, ポートフォリオ実績!$A$2:$A$2001, G236), 0)</f>
        <v>15828.61</v>
      </c>
      <c r="I236">
        <f>IF(B236&lt;&gt;"", SUMIFS(ポートフォリオ実績!$C$2:$C$2001, ポートフォリオ実績!$B$2:$B$2001, B236, ポートフォリオ実績!$A$2:$A$2001, G236), 0)</f>
        <v>9663.9500000000007</v>
      </c>
      <c r="J236">
        <f t="shared" si="34"/>
        <v>6153.26</v>
      </c>
      <c r="K236">
        <f t="shared" si="35"/>
        <v>6164.66</v>
      </c>
      <c r="L236">
        <f t="shared" si="36"/>
        <v>-11.399999999999636</v>
      </c>
      <c r="M236">
        <f t="shared" si="37"/>
        <v>16.980000000000363</v>
      </c>
      <c r="N236">
        <f t="shared" si="38"/>
        <v>360.26999999999964</v>
      </c>
      <c r="O236">
        <f t="shared" si="39"/>
        <v>16008.745000000001</v>
      </c>
      <c r="P236">
        <f t="shared" si="40"/>
        <v>1.0606702774015305E-3</v>
      </c>
      <c r="Q236" t="str">
        <f>IF(B236="","", IFERROR(VLOOKUP(B236, '基準資産配分（設定）'!$A$2:$C$2001, 3, FALSE), ""))</f>
        <v>TOPIX（配当込み）</v>
      </c>
      <c r="R236">
        <f>IF(B236="","", IFERROR(VLOOKUP(B236, '基準資産配分（設定）'!$A$2:$C$2001, 2, FALSE)/100, 0))</f>
        <v>0</v>
      </c>
      <c r="S236">
        <f>IF(B236="","", IFERROR(SUMIFS(ベンチマークリターン!$C$2:$C$2001, ベンチマークリターン!$A$2:$A$2001, A236, ベンチマークリターン!$B$2:$B$2001, Q236) / 100, 0))</f>
        <v>8.1853999999999996E-2</v>
      </c>
      <c r="T236">
        <f>IF(A236="","", SUMIFS($H$2:$H$2000, $A$2:$A$2000, A236))</f>
        <v>149288.46000000002</v>
      </c>
      <c r="U236">
        <f t="shared" si="41"/>
        <v>0.10602701642176494</v>
      </c>
      <c r="V236">
        <f t="shared" si="42"/>
        <v>1.1245970492013004E-4</v>
      </c>
      <c r="W236">
        <f t="shared" si="43"/>
        <v>0</v>
      </c>
    </row>
    <row r="237" spans="1:23" x14ac:dyDescent="0.2">
      <c r="A237" s="4">
        <f>IF(ポートフォリオ実績!A238="","", ポートフォリオ実績!A238)</f>
        <v>45046</v>
      </c>
      <c r="B237" t="str">
        <f>IF(ポートフォリオ実績!B238="","", ポートフォリオ実績!B238)</f>
        <v>（参考）政策保有株式</v>
      </c>
      <c r="C237" s="10">
        <f>IF(ポートフォリオ実績!C238="","", ポートフォリオ実績!C238)</f>
        <v>10013.48</v>
      </c>
      <c r="D237" s="10">
        <f>IF(ポートフォリオ実績!D238="","", ポートフォリオ実績!D238)</f>
        <v>16701.2</v>
      </c>
      <c r="E237" s="10">
        <f>IF(ポートフォリオ実績!E238="","", ポートフォリオ実績!E238)</f>
        <v>28.29</v>
      </c>
      <c r="F237" s="10">
        <f>IF(ポートフォリオ実績!F238="","", ポートフォリオ実績!F238)</f>
        <v>0</v>
      </c>
      <c r="G237">
        <f t="shared" si="33"/>
        <v>45016</v>
      </c>
      <c r="H237">
        <f>IF(B237&lt;&gt;"", SUMIFS(ポートフォリオ実績!$D$2:$D$2001, ポートフォリオ実績!$B$2:$B$2001, B237, ポートフォリオ実績!$A$2:$A$2001, G237), 0)</f>
        <v>16205.86</v>
      </c>
      <c r="I237">
        <f>IF(B237&lt;&gt;"", SUMIFS(ポートフォリオ実績!$C$2:$C$2001, ポートフォリオ実績!$B$2:$B$2001, B237, ポートフォリオ実績!$A$2:$A$2001, G237), 0)</f>
        <v>10052.6</v>
      </c>
      <c r="J237">
        <f t="shared" si="34"/>
        <v>6687.7200000000012</v>
      </c>
      <c r="K237">
        <f t="shared" si="35"/>
        <v>6153.26</v>
      </c>
      <c r="L237">
        <f t="shared" si="36"/>
        <v>534.46000000000095</v>
      </c>
      <c r="M237">
        <f t="shared" si="37"/>
        <v>562.75000000000091</v>
      </c>
      <c r="N237">
        <f t="shared" si="38"/>
        <v>-67.410000000000764</v>
      </c>
      <c r="O237">
        <f t="shared" si="39"/>
        <v>16172.155000000001</v>
      </c>
      <c r="P237">
        <f t="shared" si="40"/>
        <v>3.4797465149202497E-2</v>
      </c>
      <c r="Q237" t="str">
        <f>IF(B237="","", IFERROR(VLOOKUP(B237, '基準資産配分（設定）'!$A$2:$C$2001, 3, FALSE), ""))</f>
        <v>TOPIX（配当込み）</v>
      </c>
      <c r="R237">
        <f>IF(B237="","", IFERROR(VLOOKUP(B237, '基準資産配分（設定）'!$A$2:$C$2001, 2, FALSE)/100, 0))</f>
        <v>0</v>
      </c>
      <c r="S237">
        <f>IF(B237="","", IFERROR(SUMIFS(ベンチマークリターン!$C$2:$C$2001, ベンチマークリターン!$A$2:$A$2001, A237, ベンチマークリターン!$B$2:$B$2001, Q237) / 100, 0))</f>
        <v>1.6879999999999999E-2</v>
      </c>
      <c r="T237">
        <f>IF(A237="","", SUMIFS($H$2:$H$2000, $A$2:$A$2000, A237))</f>
        <v>148343.76</v>
      </c>
      <c r="U237">
        <f t="shared" si="41"/>
        <v>0.10924530967800734</v>
      </c>
      <c r="V237">
        <f t="shared" si="42"/>
        <v>3.8014598562342949E-3</v>
      </c>
      <c r="W237">
        <f t="shared" si="43"/>
        <v>0</v>
      </c>
    </row>
    <row r="238" spans="1:23" x14ac:dyDescent="0.2">
      <c r="A238" s="4">
        <f>IF(ポートフォリオ実績!A239="","", ポートフォリオ実績!A239)</f>
        <v>45077</v>
      </c>
      <c r="B238" t="str">
        <f>IF(ポートフォリオ実績!B239="","", ポートフォリオ実績!B239)</f>
        <v>（参考）政策保有株式</v>
      </c>
      <c r="C238" s="10">
        <f>IF(ポートフォリオ実績!C239="","", ポートフォリオ実績!C239)</f>
        <v>10141.9</v>
      </c>
      <c r="D238" s="10">
        <f>IF(ポートフォリオ実績!D239="","", ポートフォリオ実績!D239)</f>
        <v>16554.490000000002</v>
      </c>
      <c r="E238" s="10">
        <f>IF(ポートフォリオ実績!E239="","", ポートフォリオ実績!E239)</f>
        <v>29.45</v>
      </c>
      <c r="F238" s="10">
        <f>IF(ポートフォリオ実績!F239="","", ポートフォリオ実績!F239)</f>
        <v>0</v>
      </c>
      <c r="G238">
        <f t="shared" si="33"/>
        <v>45046</v>
      </c>
      <c r="H238">
        <f>IF(B238&lt;&gt;"", SUMIFS(ポートフォリオ実績!$D$2:$D$2001, ポートフォリオ実績!$B$2:$B$2001, B238, ポートフォリオ実績!$A$2:$A$2001, G238), 0)</f>
        <v>16701.2</v>
      </c>
      <c r="I238">
        <f>IF(B238&lt;&gt;"", SUMIFS(ポートフォリオ実績!$C$2:$C$2001, ポートフォリオ実績!$B$2:$B$2001, B238, ポートフォリオ実績!$A$2:$A$2001, G238), 0)</f>
        <v>10013.48</v>
      </c>
      <c r="J238">
        <f t="shared" si="34"/>
        <v>6412.590000000002</v>
      </c>
      <c r="K238">
        <f t="shared" si="35"/>
        <v>6687.7200000000012</v>
      </c>
      <c r="L238">
        <f t="shared" si="36"/>
        <v>-275.1299999999992</v>
      </c>
      <c r="M238">
        <f t="shared" si="37"/>
        <v>-245.67999999999921</v>
      </c>
      <c r="N238">
        <f t="shared" si="38"/>
        <v>98.970000000000084</v>
      </c>
      <c r="O238">
        <f t="shared" si="39"/>
        <v>16750.685000000001</v>
      </c>
      <c r="P238">
        <f t="shared" si="40"/>
        <v>-1.4666862877547945E-2</v>
      </c>
      <c r="Q238" t="str">
        <f>IF(B238="","", IFERROR(VLOOKUP(B238, '基準資産配分（設定）'!$A$2:$C$2001, 3, FALSE), ""))</f>
        <v>TOPIX（配当込み）</v>
      </c>
      <c r="R238">
        <f>IF(B238="","", IFERROR(VLOOKUP(B238, '基準資産配分（設定）'!$A$2:$C$2001, 2, FALSE)/100, 0))</f>
        <v>0</v>
      </c>
      <c r="S238">
        <f>IF(B238="","", IFERROR(SUMIFS(ベンチマークリターン!$C$2:$C$2001, ベンチマークリターン!$A$2:$A$2001, A238, ベンチマークリターン!$B$2:$B$2001, Q238) / 100, 0))</f>
        <v>6.0282999999999996E-2</v>
      </c>
      <c r="T238">
        <f>IF(A238="","", SUMIFS($H$2:$H$2000, $A$2:$A$2000, A238))</f>
        <v>149279.44000000003</v>
      </c>
      <c r="U238">
        <f t="shared" si="41"/>
        <v>0.11187876910577906</v>
      </c>
      <c r="V238">
        <f t="shared" si="42"/>
        <v>-1.6409105653833087E-3</v>
      </c>
      <c r="W238">
        <f t="shared" si="43"/>
        <v>0</v>
      </c>
    </row>
    <row r="239" spans="1:23" x14ac:dyDescent="0.2">
      <c r="A239" s="4">
        <f>IF(ポートフォリオ実績!A240="","", ポートフォリオ実績!A240)</f>
        <v>45107</v>
      </c>
      <c r="B239" t="str">
        <f>IF(ポートフォリオ実績!B240="","", ポートフォリオ実績!B240)</f>
        <v>（参考）政策保有株式</v>
      </c>
      <c r="C239" s="10">
        <f>IF(ポートフォリオ実績!C240="","", ポートフォリオ実績!C240)</f>
        <v>9914.56</v>
      </c>
      <c r="D239" s="10">
        <f>IF(ポートフォリオ実績!D240="","", ポートフォリオ実績!D240)</f>
        <v>14453.51</v>
      </c>
      <c r="E239" s="10">
        <f>IF(ポートフォリオ実績!E240="","", ポートフォリオ実績!E240)</f>
        <v>28.57</v>
      </c>
      <c r="F239" s="10">
        <f>IF(ポートフォリオ実績!F240="","", ポートフォリオ実績!F240)</f>
        <v>0</v>
      </c>
      <c r="G239">
        <f t="shared" si="33"/>
        <v>45077</v>
      </c>
      <c r="H239">
        <f>IF(B239&lt;&gt;"", SUMIFS(ポートフォリオ実績!$D$2:$D$2001, ポートフォリオ実績!$B$2:$B$2001, B239, ポートフォリオ実績!$A$2:$A$2001, G239), 0)</f>
        <v>16554.490000000002</v>
      </c>
      <c r="I239">
        <f>IF(B239&lt;&gt;"", SUMIFS(ポートフォリオ実績!$C$2:$C$2001, ポートフォリオ実績!$B$2:$B$2001, B239, ポートフォリオ実績!$A$2:$A$2001, G239), 0)</f>
        <v>10141.9</v>
      </c>
      <c r="J239">
        <f t="shared" si="34"/>
        <v>4538.9500000000007</v>
      </c>
      <c r="K239">
        <f t="shared" si="35"/>
        <v>6412.590000000002</v>
      </c>
      <c r="L239">
        <f t="shared" si="36"/>
        <v>-1873.6400000000012</v>
      </c>
      <c r="M239">
        <f t="shared" si="37"/>
        <v>-1845.0700000000013</v>
      </c>
      <c r="N239">
        <f t="shared" si="38"/>
        <v>-255.91000000000008</v>
      </c>
      <c r="O239">
        <f t="shared" si="39"/>
        <v>16426.535</v>
      </c>
      <c r="P239">
        <f t="shared" si="40"/>
        <v>-0.11232253180600786</v>
      </c>
      <c r="Q239" t="str">
        <f>IF(B239="","", IFERROR(VLOOKUP(B239, '基準資産配分（設定）'!$A$2:$C$2001, 3, FALSE), ""))</f>
        <v>TOPIX（配当込み）</v>
      </c>
      <c r="R239">
        <f>IF(B239="","", IFERROR(VLOOKUP(B239, '基準資産配分（設定）'!$A$2:$C$2001, 2, FALSE)/100, 0))</f>
        <v>0</v>
      </c>
      <c r="S239">
        <f>IF(B239="","", IFERROR(SUMIFS(ベンチマークリターン!$C$2:$C$2001, ベンチマークリターン!$A$2:$A$2001, A239, ベンチマークリターン!$B$2:$B$2001, Q239) / 100, 0))</f>
        <v>-7.0525000000000004E-2</v>
      </c>
      <c r="T239">
        <f>IF(A239="","", SUMIFS($H$2:$H$2000, $A$2:$A$2000, A239))</f>
        <v>149189.19</v>
      </c>
      <c r="U239">
        <f t="shared" si="41"/>
        <v>0.11096306642592538</v>
      </c>
      <c r="V239">
        <f t="shared" si="42"/>
        <v>-1.2463652557918167E-2</v>
      </c>
      <c r="W239">
        <f t="shared" si="43"/>
        <v>0</v>
      </c>
    </row>
    <row r="240" spans="1:23" x14ac:dyDescent="0.2">
      <c r="A240" s="4">
        <f>IF(ポートフォリオ実績!A241="","", ポートフォリオ実績!A241)</f>
        <v>45138</v>
      </c>
      <c r="B240" t="str">
        <f>IF(ポートフォリオ実績!B241="","", ポートフォリオ実績!B241)</f>
        <v>（参考）政策保有株式</v>
      </c>
      <c r="C240" s="10">
        <f>IF(ポートフォリオ実績!C241="","", ポートフォリオ実績!C241)</f>
        <v>9685.31</v>
      </c>
      <c r="D240" s="10">
        <f>IF(ポートフォリオ実績!D241="","", ポートフォリオ実績!D241)</f>
        <v>13350.03</v>
      </c>
      <c r="E240" s="10">
        <f>IF(ポートフォリオ実績!E241="","", ポートフォリオ実績!E241)</f>
        <v>24.89</v>
      </c>
      <c r="F240" s="10">
        <f>IF(ポートフォリオ実績!F241="","", ポートフォリオ実績!F241)</f>
        <v>0</v>
      </c>
      <c r="G240">
        <f t="shared" si="33"/>
        <v>45107</v>
      </c>
      <c r="H240">
        <f>IF(B240&lt;&gt;"", SUMIFS(ポートフォリオ実績!$D$2:$D$2001, ポートフォリオ実績!$B$2:$B$2001, B240, ポートフォリオ実績!$A$2:$A$2001, G240), 0)</f>
        <v>14453.51</v>
      </c>
      <c r="I240">
        <f>IF(B240&lt;&gt;"", SUMIFS(ポートフォリオ実績!$C$2:$C$2001, ポートフォリオ実績!$B$2:$B$2001, B240, ポートフォリオ実績!$A$2:$A$2001, G240), 0)</f>
        <v>9914.56</v>
      </c>
      <c r="J240">
        <f t="shared" si="34"/>
        <v>3664.7200000000012</v>
      </c>
      <c r="K240">
        <f t="shared" si="35"/>
        <v>4538.9500000000007</v>
      </c>
      <c r="L240">
        <f t="shared" si="36"/>
        <v>-874.22999999999956</v>
      </c>
      <c r="M240">
        <f t="shared" si="37"/>
        <v>-849.33999999999958</v>
      </c>
      <c r="N240">
        <f t="shared" si="38"/>
        <v>-254.14</v>
      </c>
      <c r="O240">
        <f t="shared" si="39"/>
        <v>14326.44</v>
      </c>
      <c r="P240">
        <f t="shared" si="40"/>
        <v>-5.9284790918050792E-2</v>
      </c>
      <c r="Q240" t="str">
        <f>IF(B240="","", IFERROR(VLOOKUP(B240, '基準資産配分（設定）'!$A$2:$C$2001, 3, FALSE), ""))</f>
        <v>TOPIX（配当込み）</v>
      </c>
      <c r="R240">
        <f>IF(B240="","", IFERROR(VLOOKUP(B240, '基準資産配分（設定）'!$A$2:$C$2001, 2, FALSE)/100, 0))</f>
        <v>0</v>
      </c>
      <c r="S240">
        <f>IF(B240="","", IFERROR(SUMIFS(ベンチマークリターン!$C$2:$C$2001, ベンチマークリターン!$A$2:$A$2001, A240, ベンチマークリターン!$B$2:$B$2001, Q240) / 100, 0))</f>
        <v>2.0542999999999999E-2</v>
      </c>
      <c r="T240">
        <f>IF(A240="","", SUMIFS($H$2:$H$2000, $A$2:$A$2000, A240))</f>
        <v>147474.57</v>
      </c>
      <c r="U240">
        <f t="shared" si="41"/>
        <v>9.8006795341054387E-2</v>
      </c>
      <c r="V240">
        <f t="shared" si="42"/>
        <v>-5.8103123703426036E-3</v>
      </c>
      <c r="W240">
        <f t="shared" si="43"/>
        <v>0</v>
      </c>
    </row>
    <row r="241" spans="1:23" x14ac:dyDescent="0.2">
      <c r="A241" s="4">
        <f>IF(ポートフォリオ実績!A242="","", ポートフォリオ実績!A242)</f>
        <v>45169</v>
      </c>
      <c r="B241" t="str">
        <f>IF(ポートフォリオ実績!B242="","", ポートフォリオ実績!B242)</f>
        <v>（参考）政策保有株式</v>
      </c>
      <c r="C241" s="10">
        <f>IF(ポートフォリオ実績!C242="","", ポートフォリオ実績!C242)</f>
        <v>9641.3799999999992</v>
      </c>
      <c r="D241" s="10">
        <f>IF(ポートフォリオ実績!D242="","", ポートフォリオ実績!D242)</f>
        <v>13203.44</v>
      </c>
      <c r="E241" s="10">
        <f>IF(ポートフォリオ実績!E242="","", ポートフォリオ実績!E242)</f>
        <v>23.29</v>
      </c>
      <c r="F241" s="10">
        <f>IF(ポートフォリオ実績!F242="","", ポートフォリオ実績!F242)</f>
        <v>0</v>
      </c>
      <c r="G241">
        <f t="shared" si="33"/>
        <v>45138</v>
      </c>
      <c r="H241">
        <f>IF(B241&lt;&gt;"", SUMIFS(ポートフォリオ実績!$D$2:$D$2001, ポートフォリオ実績!$B$2:$B$2001, B241, ポートフォリオ実績!$A$2:$A$2001, G241), 0)</f>
        <v>13350.03</v>
      </c>
      <c r="I241">
        <f>IF(B241&lt;&gt;"", SUMIFS(ポートフォリオ実績!$C$2:$C$2001, ポートフォリオ実績!$B$2:$B$2001, B241, ポートフォリオ実績!$A$2:$A$2001, G241), 0)</f>
        <v>9685.31</v>
      </c>
      <c r="J241">
        <f t="shared" si="34"/>
        <v>3562.0600000000013</v>
      </c>
      <c r="K241">
        <f t="shared" si="35"/>
        <v>3664.7200000000012</v>
      </c>
      <c r="L241">
        <f t="shared" si="36"/>
        <v>-102.65999999999985</v>
      </c>
      <c r="M241">
        <f t="shared" si="37"/>
        <v>-79.369999999999862</v>
      </c>
      <c r="N241">
        <f t="shared" si="38"/>
        <v>-67.220000000000283</v>
      </c>
      <c r="O241">
        <f t="shared" si="39"/>
        <v>13316.42</v>
      </c>
      <c r="P241">
        <f t="shared" si="40"/>
        <v>-5.9603106540646704E-3</v>
      </c>
      <c r="Q241" t="str">
        <f>IF(B241="","", IFERROR(VLOOKUP(B241, '基準資産配分（設定）'!$A$2:$C$2001, 3, FALSE), ""))</f>
        <v>TOPIX（配当込み）</v>
      </c>
      <c r="R241">
        <f>IF(B241="","", IFERROR(VLOOKUP(B241, '基準資産配分（設定）'!$A$2:$C$2001, 2, FALSE)/100, 0))</f>
        <v>0</v>
      </c>
      <c r="S241">
        <f>IF(B241="","", IFERROR(SUMIFS(ベンチマークリターン!$C$2:$C$2001, ベンチマークリターン!$A$2:$A$2001, A241, ベンチマークリターン!$B$2:$B$2001, Q241) / 100, 0))</f>
        <v>5.2892999999999996E-2</v>
      </c>
      <c r="T241">
        <f>IF(A241="","", SUMIFS($H$2:$H$2000, $A$2:$A$2000, A241))</f>
        <v>147887.32999999999</v>
      </c>
      <c r="U241">
        <f t="shared" si="41"/>
        <v>9.0271627731733348E-2</v>
      </c>
      <c r="V241">
        <f t="shared" si="42"/>
        <v>-5.3804694452920998E-4</v>
      </c>
      <c r="W241">
        <f t="shared" si="43"/>
        <v>0</v>
      </c>
    </row>
    <row r="242" spans="1:23" x14ac:dyDescent="0.2">
      <c r="A242" s="4">
        <f>IF(ポートフォリオ実績!A243="","", ポートフォリオ実績!A243)</f>
        <v>45199</v>
      </c>
      <c r="B242" t="str">
        <f>IF(ポートフォリオ実績!B243="","", ポートフォリオ実績!B243)</f>
        <v>（参考）政策保有株式</v>
      </c>
      <c r="C242" s="10">
        <f>IF(ポートフォリオ実績!C243="","", ポートフォリオ実績!C243)</f>
        <v>9736.59</v>
      </c>
      <c r="D242" s="10">
        <f>IF(ポートフォリオ実績!D243="","", ポートフォリオ実績!D243)</f>
        <v>13187.77</v>
      </c>
      <c r="E242" s="10">
        <f>IF(ポートフォリオ実績!E243="","", ポートフォリオ実績!E243)</f>
        <v>23.27</v>
      </c>
      <c r="F242" s="10">
        <f>IF(ポートフォリオ実績!F243="","", ポートフォリオ実績!F243)</f>
        <v>0</v>
      </c>
      <c r="G242">
        <f t="shared" si="33"/>
        <v>45169</v>
      </c>
      <c r="H242">
        <f>IF(B242&lt;&gt;"", SUMIFS(ポートフォリオ実績!$D$2:$D$2001, ポートフォリオ実績!$B$2:$B$2001, B242, ポートフォリオ実績!$A$2:$A$2001, G242), 0)</f>
        <v>13203.44</v>
      </c>
      <c r="I242">
        <f>IF(B242&lt;&gt;"", SUMIFS(ポートフォリオ実績!$C$2:$C$2001, ポートフォリオ実績!$B$2:$B$2001, B242, ポートフォリオ実績!$A$2:$A$2001, G242), 0)</f>
        <v>9641.3799999999992</v>
      </c>
      <c r="J242">
        <f t="shared" si="34"/>
        <v>3451.1800000000003</v>
      </c>
      <c r="K242">
        <f t="shared" si="35"/>
        <v>3562.0600000000013</v>
      </c>
      <c r="L242">
        <f t="shared" si="36"/>
        <v>-110.88000000000102</v>
      </c>
      <c r="M242">
        <f t="shared" si="37"/>
        <v>-87.610000000001023</v>
      </c>
      <c r="N242">
        <f t="shared" si="38"/>
        <v>71.94000000000095</v>
      </c>
      <c r="O242">
        <f t="shared" si="39"/>
        <v>13239.410000000002</v>
      </c>
      <c r="P242">
        <f t="shared" si="40"/>
        <v>-6.6173643689560946E-3</v>
      </c>
      <c r="Q242" t="str">
        <f>IF(B242="","", IFERROR(VLOOKUP(B242, '基準資産配分（設定）'!$A$2:$C$2001, 3, FALSE), ""))</f>
        <v>TOPIX（配当込み）</v>
      </c>
      <c r="R242">
        <f>IF(B242="","", IFERROR(VLOOKUP(B242, '基準資産配分（設定）'!$A$2:$C$2001, 2, FALSE)/100, 0))</f>
        <v>0</v>
      </c>
      <c r="S242">
        <f>IF(B242="","", IFERROR(SUMIFS(ベンチマークリターン!$C$2:$C$2001, ベンチマークリターン!$A$2:$A$2001, A242, ベンチマークリターン!$B$2:$B$2001, Q242) / 100, 0))</f>
        <v>1.0942E-2</v>
      </c>
      <c r="T242">
        <f>IF(A242="","", SUMIFS($H$2:$H$2000, $A$2:$A$2000, A242))</f>
        <v>147535.20000000001</v>
      </c>
      <c r="U242">
        <f t="shared" si="41"/>
        <v>8.9493490367044612E-2</v>
      </c>
      <c r="V242">
        <f t="shared" si="42"/>
        <v>-5.9221103440839653E-4</v>
      </c>
      <c r="W242">
        <f t="shared" si="43"/>
        <v>0</v>
      </c>
    </row>
    <row r="243" spans="1:23" x14ac:dyDescent="0.2">
      <c r="A243" s="4">
        <f>IF(ポートフォリオ実績!A244="","", ポートフォリオ実績!A244)</f>
        <v>45230</v>
      </c>
      <c r="B243" t="str">
        <f>IF(ポートフォリオ実績!B244="","", ポートフォリオ実績!B244)</f>
        <v>（参考）政策保有株式</v>
      </c>
      <c r="C243" s="10">
        <f>IF(ポートフォリオ実績!C244="","", ポートフォリオ実績!C244)</f>
        <v>8972.49</v>
      </c>
      <c r="D243" s="10">
        <f>IF(ポートフォリオ実績!D244="","", ポートフォリオ実績!D244)</f>
        <v>12403.97</v>
      </c>
      <c r="E243" s="10">
        <f>IF(ポートフォリオ実績!E244="","", ポートフォリオ実績!E244)</f>
        <v>23.49</v>
      </c>
      <c r="F243" s="10">
        <f>IF(ポートフォリオ実績!F244="","", ポートフォリオ実績!F244)</f>
        <v>-11.64</v>
      </c>
      <c r="G243">
        <f t="shared" si="33"/>
        <v>45199</v>
      </c>
      <c r="H243">
        <f>IF(B243&lt;&gt;"", SUMIFS(ポートフォリオ実績!$D$2:$D$2001, ポートフォリオ実績!$B$2:$B$2001, B243, ポートフォリオ実績!$A$2:$A$2001, G243), 0)</f>
        <v>13187.77</v>
      </c>
      <c r="I243">
        <f>IF(B243&lt;&gt;"", SUMIFS(ポートフォリオ実績!$C$2:$C$2001, ポートフォリオ実績!$B$2:$B$2001, B243, ポートフォリオ実績!$A$2:$A$2001, G243), 0)</f>
        <v>9736.59</v>
      </c>
      <c r="J243">
        <f t="shared" si="34"/>
        <v>3431.4799999999996</v>
      </c>
      <c r="K243">
        <f t="shared" si="35"/>
        <v>3451.1800000000003</v>
      </c>
      <c r="L243">
        <f t="shared" si="36"/>
        <v>-19.700000000000728</v>
      </c>
      <c r="M243">
        <f t="shared" si="37"/>
        <v>-7.8500000000007297</v>
      </c>
      <c r="N243">
        <f t="shared" si="38"/>
        <v>-775.95000000000039</v>
      </c>
      <c r="O243">
        <f t="shared" si="39"/>
        <v>12799.795</v>
      </c>
      <c r="P243">
        <f t="shared" si="40"/>
        <v>-6.1329107223988581E-4</v>
      </c>
      <c r="Q243" t="str">
        <f>IF(B243="","", IFERROR(VLOOKUP(B243, '基準資産配分（設定）'!$A$2:$C$2001, 3, FALSE), ""))</f>
        <v>TOPIX（配当込み）</v>
      </c>
      <c r="R243">
        <f>IF(B243="","", IFERROR(VLOOKUP(B243, '基準資産配分（設定）'!$A$2:$C$2001, 2, FALSE)/100, 0))</f>
        <v>0</v>
      </c>
      <c r="S243">
        <f>IF(B243="","", IFERROR(SUMIFS(ベンチマークリターン!$C$2:$C$2001, ベンチマークリターン!$A$2:$A$2001, A243, ベンチマークリターン!$B$2:$B$2001, Q243) / 100, 0))</f>
        <v>6.2031000000000003E-2</v>
      </c>
      <c r="T243">
        <f>IF(A243="","", SUMIFS($H$2:$H$2000, $A$2:$A$2000, A243))</f>
        <v>148508.15</v>
      </c>
      <c r="U243">
        <f t="shared" si="41"/>
        <v>8.8801658360164085E-2</v>
      </c>
      <c r="V243">
        <f t="shared" si="42"/>
        <v>-5.4461264272385048E-5</v>
      </c>
      <c r="W243">
        <f t="shared" si="43"/>
        <v>0</v>
      </c>
    </row>
    <row r="244" spans="1:23" x14ac:dyDescent="0.2">
      <c r="A244" s="4">
        <f>IF(ポートフォリオ実績!A245="","", ポートフォリオ実績!A245)</f>
        <v>45260</v>
      </c>
      <c r="B244" t="str">
        <f>IF(ポートフォリオ実績!B245="","", ポートフォリオ実績!B245)</f>
        <v>（参考）政策保有株式</v>
      </c>
      <c r="C244" s="10">
        <f>IF(ポートフォリオ実績!C245="","", ポートフォリオ実績!C245)</f>
        <v>8835.99</v>
      </c>
      <c r="D244" s="10">
        <f>IF(ポートフォリオ実績!D245="","", ポートフォリオ実績!D245)</f>
        <v>13057.14</v>
      </c>
      <c r="E244" s="10">
        <f>IF(ポートフォリオ実績!E245="","", ポートフォリオ実績!E245)</f>
        <v>21.47</v>
      </c>
      <c r="F244" s="10">
        <f>IF(ポートフォリオ実績!F245="","", ポートフォリオ実績!F245)</f>
        <v>0</v>
      </c>
      <c r="G244">
        <f t="shared" si="33"/>
        <v>45230</v>
      </c>
      <c r="H244">
        <f>IF(B244&lt;&gt;"", SUMIFS(ポートフォリオ実績!$D$2:$D$2001, ポートフォリオ実績!$B$2:$B$2001, B244, ポートフォリオ実績!$A$2:$A$2001, G244), 0)</f>
        <v>12403.97</v>
      </c>
      <c r="I244">
        <f>IF(B244&lt;&gt;"", SUMIFS(ポートフォリオ実績!$C$2:$C$2001, ポートフォリオ実績!$B$2:$B$2001, B244, ポートフォリオ実績!$A$2:$A$2001, G244), 0)</f>
        <v>8972.49</v>
      </c>
      <c r="J244">
        <f t="shared" si="34"/>
        <v>4221.1499999999996</v>
      </c>
      <c r="K244">
        <f t="shared" si="35"/>
        <v>3431.4799999999996</v>
      </c>
      <c r="L244">
        <f t="shared" si="36"/>
        <v>789.67000000000007</v>
      </c>
      <c r="M244">
        <f t="shared" si="37"/>
        <v>811.1400000000001</v>
      </c>
      <c r="N244">
        <f t="shared" si="38"/>
        <v>-157.97000000000003</v>
      </c>
      <c r="O244">
        <f t="shared" si="39"/>
        <v>12324.984999999999</v>
      </c>
      <c r="P244">
        <f t="shared" si="40"/>
        <v>6.5812656161447672E-2</v>
      </c>
      <c r="Q244" t="str">
        <f>IF(B244="","", IFERROR(VLOOKUP(B244, '基準資産配分（設定）'!$A$2:$C$2001, 3, FALSE), ""))</f>
        <v>TOPIX（配当込み）</v>
      </c>
      <c r="R244">
        <f>IF(B244="","", IFERROR(VLOOKUP(B244, '基準資産配分（設定）'!$A$2:$C$2001, 2, FALSE)/100, 0))</f>
        <v>0</v>
      </c>
      <c r="S244">
        <f>IF(B244="","", IFERROR(SUMIFS(ベンチマークリターン!$C$2:$C$2001, ベンチマークリターン!$A$2:$A$2001, A244, ベンチマークリターン!$B$2:$B$2001, Q244) / 100, 0))</f>
        <v>-2.0211999999999997E-2</v>
      </c>
      <c r="T244">
        <f>IF(A244="","", SUMIFS($H$2:$H$2000, $A$2:$A$2000, A244))</f>
        <v>141833.18</v>
      </c>
      <c r="U244">
        <f t="shared" si="41"/>
        <v>8.7454642136628402E-2</v>
      </c>
      <c r="V244">
        <f t="shared" si="42"/>
        <v>5.7556222926603787E-3</v>
      </c>
      <c r="W244">
        <f t="shared" si="43"/>
        <v>0</v>
      </c>
    </row>
    <row r="245" spans="1:23" x14ac:dyDescent="0.2">
      <c r="A245" s="4">
        <f>IF(ポートフォリオ実績!A246="","", ポートフォリオ実績!A246)</f>
        <v>45291</v>
      </c>
      <c r="B245" t="str">
        <f>IF(ポートフォリオ実績!B246="","", ポートフォリオ実績!B246)</f>
        <v>（参考）政策保有株式</v>
      </c>
      <c r="C245" s="10">
        <f>IF(ポートフォリオ実績!C246="","", ポートフォリオ実績!C246)</f>
        <v>8790</v>
      </c>
      <c r="D245" s="10">
        <f>IF(ポートフォリオ実績!D246="","", ポートフォリオ実績!D246)</f>
        <v>13436.35</v>
      </c>
      <c r="E245" s="10">
        <f>IF(ポートフォリオ実績!E246="","", ポートフォリオ実績!E246)</f>
        <v>22.77</v>
      </c>
      <c r="F245" s="10">
        <f>IF(ポートフォリオ実績!F246="","", ポートフォリオ実績!F246)</f>
        <v>0</v>
      </c>
      <c r="G245">
        <f t="shared" si="33"/>
        <v>45260</v>
      </c>
      <c r="H245">
        <f>IF(B245&lt;&gt;"", SUMIFS(ポートフォリオ実績!$D$2:$D$2001, ポートフォリオ実績!$B$2:$B$2001, B245, ポートフォリオ実績!$A$2:$A$2001, G245), 0)</f>
        <v>13057.14</v>
      </c>
      <c r="I245">
        <f>IF(B245&lt;&gt;"", SUMIFS(ポートフォリオ実績!$C$2:$C$2001, ポートフォリオ実績!$B$2:$B$2001, B245, ポートフォリオ実績!$A$2:$A$2001, G245), 0)</f>
        <v>8835.99</v>
      </c>
      <c r="J245">
        <f t="shared" si="34"/>
        <v>4646.3500000000004</v>
      </c>
      <c r="K245">
        <f t="shared" si="35"/>
        <v>4221.1499999999996</v>
      </c>
      <c r="L245">
        <f t="shared" si="36"/>
        <v>425.20000000000073</v>
      </c>
      <c r="M245">
        <f t="shared" si="37"/>
        <v>447.97000000000071</v>
      </c>
      <c r="N245">
        <f t="shared" si="38"/>
        <v>-68.759999999999764</v>
      </c>
      <c r="O245">
        <f t="shared" si="39"/>
        <v>13022.76</v>
      </c>
      <c r="P245">
        <f t="shared" si="40"/>
        <v>3.439900604787316E-2</v>
      </c>
      <c r="Q245" t="str">
        <f>IF(B245="","", IFERROR(VLOOKUP(B245, '基準資産配分（設定）'!$A$2:$C$2001, 3, FALSE), ""))</f>
        <v>TOPIX（配当込み）</v>
      </c>
      <c r="R245">
        <f>IF(B245="","", IFERROR(VLOOKUP(B245, '基準資産配分（設定）'!$A$2:$C$2001, 2, FALSE)/100, 0))</f>
        <v>0</v>
      </c>
      <c r="S245">
        <f>IF(B245="","", IFERROR(SUMIFS(ベンチマークリターン!$C$2:$C$2001, ベンチマークリターン!$A$2:$A$2001, A245, ベンチマークリターン!$B$2:$B$2001, Q245) / 100, 0))</f>
        <v>7.9898999999999998E-2</v>
      </c>
      <c r="T245">
        <f>IF(A245="","", SUMIFS($H$2:$H$2000, $A$2:$A$2000, A245))</f>
        <v>142786.25</v>
      </c>
      <c r="U245">
        <f t="shared" si="41"/>
        <v>9.1445359759780784E-2</v>
      </c>
      <c r="V245">
        <f t="shared" si="42"/>
        <v>3.145629483426636E-3</v>
      </c>
      <c r="W245">
        <f t="shared" si="43"/>
        <v>0</v>
      </c>
    </row>
    <row r="246" spans="1:23" x14ac:dyDescent="0.2">
      <c r="A246" s="4">
        <f>IF(ポートフォリオ実績!A247="","", ポートフォリオ実績!A247)</f>
        <v>45322</v>
      </c>
      <c r="B246" t="str">
        <f>IF(ポートフォリオ実績!B247="","", ポートフォリオ実績!B247)</f>
        <v>（参考）政策保有株式</v>
      </c>
      <c r="C246" s="10">
        <f>IF(ポートフォリオ実績!C247="","", ポートフォリオ実績!C247)</f>
        <v>8778.89</v>
      </c>
      <c r="D246" s="10">
        <f>IF(ポートフォリオ実績!D247="","", ポートフォリオ実績!D247)</f>
        <v>12731.66</v>
      </c>
      <c r="E246" s="10">
        <f>IF(ポートフォリオ実績!E247="","", ポートフォリオ実績!E247)</f>
        <v>23.49</v>
      </c>
      <c r="F246" s="10">
        <f>IF(ポートフォリオ実績!F247="","", ポートフォリオ実績!F247)</f>
        <v>0</v>
      </c>
      <c r="G246">
        <f t="shared" si="33"/>
        <v>45291</v>
      </c>
      <c r="H246">
        <f>IF(B246&lt;&gt;"", SUMIFS(ポートフォリオ実績!$D$2:$D$2001, ポートフォリオ実績!$B$2:$B$2001, B246, ポートフォリオ実績!$A$2:$A$2001, G246), 0)</f>
        <v>13436.35</v>
      </c>
      <c r="I246">
        <f>IF(B246&lt;&gt;"", SUMIFS(ポートフォリオ実績!$C$2:$C$2001, ポートフォリオ実績!$B$2:$B$2001, B246, ポートフォリオ実績!$A$2:$A$2001, G246), 0)</f>
        <v>8790</v>
      </c>
      <c r="J246">
        <f t="shared" si="34"/>
        <v>3952.7700000000004</v>
      </c>
      <c r="K246">
        <f t="shared" si="35"/>
        <v>4646.3500000000004</v>
      </c>
      <c r="L246">
        <f t="shared" si="36"/>
        <v>-693.57999999999993</v>
      </c>
      <c r="M246">
        <f t="shared" si="37"/>
        <v>-670.08999999999992</v>
      </c>
      <c r="N246">
        <f t="shared" si="38"/>
        <v>-34.600000000000591</v>
      </c>
      <c r="O246">
        <f t="shared" si="39"/>
        <v>13419.05</v>
      </c>
      <c r="P246">
        <f t="shared" si="40"/>
        <v>-4.9935725703384365E-2</v>
      </c>
      <c r="Q246" t="str">
        <f>IF(B246="","", IFERROR(VLOOKUP(B246, '基準資産配分（設定）'!$A$2:$C$2001, 3, FALSE), ""))</f>
        <v>TOPIX（配当込み）</v>
      </c>
      <c r="R246">
        <f>IF(B246="","", IFERROR(VLOOKUP(B246, '基準資産配分（設定）'!$A$2:$C$2001, 2, FALSE)/100, 0))</f>
        <v>0</v>
      </c>
      <c r="S246">
        <f>IF(B246="","", IFERROR(SUMIFS(ベンチマークリターン!$C$2:$C$2001, ベンチマークリターン!$A$2:$A$2001, A246, ベンチマークリターン!$B$2:$B$2001, Q246) / 100, 0))</f>
        <v>0.12612100000000001</v>
      </c>
      <c r="T246">
        <f>IF(A246="","", SUMIFS($H$2:$H$2000, $A$2:$A$2000, A246))</f>
        <v>144901.44999999998</v>
      </c>
      <c r="U246">
        <f t="shared" si="41"/>
        <v>9.2727505487350204E-2</v>
      </c>
      <c r="V246">
        <f t="shared" si="42"/>
        <v>-4.6304152791753882E-3</v>
      </c>
      <c r="W246">
        <f t="shared" si="43"/>
        <v>0</v>
      </c>
    </row>
    <row r="247" spans="1:23" x14ac:dyDescent="0.2">
      <c r="A247" s="4">
        <f>IF(ポートフォリオ実績!A248="","", ポートフォリオ実績!A248)</f>
        <v>45351</v>
      </c>
      <c r="B247" t="str">
        <f>IF(ポートフォリオ実績!B248="","", ポートフォリオ実績!B248)</f>
        <v>（参考）政策保有株式</v>
      </c>
      <c r="C247" s="10">
        <f>IF(ポートフォリオ実績!C248="","", ポートフォリオ実績!C248)</f>
        <v>8770.06</v>
      </c>
      <c r="D247" s="10">
        <f>IF(ポートフォリオ実績!D248="","", ポートフォリオ実績!D248)</f>
        <v>12901.66</v>
      </c>
      <c r="E247" s="10">
        <f>IF(ポートフォリオ実績!E248="","", ポートフォリオ実績!E248)</f>
        <v>22.26</v>
      </c>
      <c r="F247" s="10">
        <f>IF(ポートフォリオ実績!F248="","", ポートフォリオ実績!F248)</f>
        <v>0</v>
      </c>
      <c r="G247">
        <f t="shared" si="33"/>
        <v>45322</v>
      </c>
      <c r="H247">
        <f>IF(B247&lt;&gt;"", SUMIFS(ポートフォリオ実績!$D$2:$D$2001, ポートフォリオ実績!$B$2:$B$2001, B247, ポートフォリオ実績!$A$2:$A$2001, G247), 0)</f>
        <v>12731.66</v>
      </c>
      <c r="I247">
        <f>IF(B247&lt;&gt;"", SUMIFS(ポートフォリオ実績!$C$2:$C$2001, ポートフォリオ実績!$B$2:$B$2001, B247, ポートフォリオ実績!$A$2:$A$2001, G247), 0)</f>
        <v>8778.89</v>
      </c>
      <c r="J247">
        <f t="shared" si="34"/>
        <v>4131.6000000000004</v>
      </c>
      <c r="K247">
        <f t="shared" si="35"/>
        <v>3952.7700000000004</v>
      </c>
      <c r="L247">
        <f t="shared" si="36"/>
        <v>178.82999999999993</v>
      </c>
      <c r="M247">
        <f t="shared" si="37"/>
        <v>201.08999999999992</v>
      </c>
      <c r="N247">
        <f t="shared" si="38"/>
        <v>-31.089999999999918</v>
      </c>
      <c r="O247">
        <f t="shared" si="39"/>
        <v>12716.115</v>
      </c>
      <c r="P247">
        <f t="shared" si="40"/>
        <v>1.5813792184169451E-2</v>
      </c>
      <c r="Q247" t="str">
        <f>IF(B247="","", IFERROR(VLOOKUP(B247, '基準資産配分（設定）'!$A$2:$C$2001, 3, FALSE), ""))</f>
        <v>TOPIX（配当込み）</v>
      </c>
      <c r="R247">
        <f>IF(B247="","", IFERROR(VLOOKUP(B247, '基準資産配分（設定）'!$A$2:$C$2001, 2, FALSE)/100, 0))</f>
        <v>0</v>
      </c>
      <c r="S247">
        <f>IF(B247="","", IFERROR(SUMIFS(ベンチマークリターン!$C$2:$C$2001, ベンチマークリターン!$A$2:$A$2001, A247, ベンチマークリターン!$B$2:$B$2001, Q247) / 100, 0))</f>
        <v>-1.2186999999999998E-2</v>
      </c>
      <c r="T247">
        <f>IF(A247="","", SUMIFS($H$2:$H$2000, $A$2:$A$2000, A247))</f>
        <v>143790.06</v>
      </c>
      <c r="U247">
        <f t="shared" si="41"/>
        <v>8.8543394446041687E-2</v>
      </c>
      <c r="V247">
        <f t="shared" si="42"/>
        <v>1.4002068390506469E-3</v>
      </c>
      <c r="W247">
        <f t="shared" si="43"/>
        <v>0</v>
      </c>
    </row>
    <row r="248" spans="1:23" x14ac:dyDescent="0.2">
      <c r="A248" s="4">
        <f>IF(ポートフォリオ実績!A249="","", ポートフォリオ実績!A249)</f>
        <v>45382</v>
      </c>
      <c r="B248" t="str">
        <f>IF(ポートフォリオ実績!B249="","", ポートフォリオ実績!B249)</f>
        <v>（参考）政策保有株式</v>
      </c>
      <c r="C248" s="10">
        <f>IF(ポートフォリオ実績!C249="","", ポートフォリオ実績!C249)</f>
        <v>8744.49</v>
      </c>
      <c r="D248" s="10">
        <f>IF(ポートフォリオ実績!D249="","", ポートフォリオ実績!D249)</f>
        <v>12935.06</v>
      </c>
      <c r="E248" s="10">
        <f>IF(ポートフォリオ実績!E249="","", ポートフォリオ実績!E249)</f>
        <v>22.53</v>
      </c>
      <c r="F248" s="10">
        <f>IF(ポートフォリオ実績!F249="","", ポートフォリオ実績!F249)</f>
        <v>0</v>
      </c>
      <c r="G248">
        <f t="shared" si="33"/>
        <v>45351</v>
      </c>
      <c r="H248">
        <f>IF(B248&lt;&gt;"", SUMIFS(ポートフォリオ実績!$D$2:$D$2001, ポートフォリオ実績!$B$2:$B$2001, B248, ポートフォリオ実績!$A$2:$A$2001, G248), 0)</f>
        <v>12901.66</v>
      </c>
      <c r="I248">
        <f>IF(B248&lt;&gt;"", SUMIFS(ポートフォリオ実績!$C$2:$C$2001, ポートフォリオ実績!$B$2:$B$2001, B248, ポートフォリオ実績!$A$2:$A$2001, G248), 0)</f>
        <v>8770.06</v>
      </c>
      <c r="J248">
        <f t="shared" si="34"/>
        <v>4190.57</v>
      </c>
      <c r="K248">
        <f t="shared" si="35"/>
        <v>4131.6000000000004</v>
      </c>
      <c r="L248">
        <f t="shared" si="36"/>
        <v>58.969999999999345</v>
      </c>
      <c r="M248">
        <f t="shared" si="37"/>
        <v>81.499999999999346</v>
      </c>
      <c r="N248">
        <f t="shared" si="38"/>
        <v>-48.09999999999971</v>
      </c>
      <c r="O248">
        <f t="shared" si="39"/>
        <v>12877.61</v>
      </c>
      <c r="P248">
        <f t="shared" si="40"/>
        <v>6.3288141200113484E-3</v>
      </c>
      <c r="Q248" t="str">
        <f>IF(B248="","", IFERROR(VLOOKUP(B248, '基準資産配分（設定）'!$A$2:$C$2001, 3, FALSE), ""))</f>
        <v>TOPIX（配当込み）</v>
      </c>
      <c r="R248">
        <f>IF(B248="","", IFERROR(VLOOKUP(B248, '基準資産配分（設定）'!$A$2:$C$2001, 2, FALSE)/100, 0))</f>
        <v>0</v>
      </c>
      <c r="S248">
        <f>IF(B248="","", IFERROR(SUMIFS(ベンチマークリターン!$C$2:$C$2001, ベンチマークリターン!$A$2:$A$2001, A248, ベンチマークリターン!$B$2:$B$2001, Q248) / 100, 0))</f>
        <v>-1.6482E-2</v>
      </c>
      <c r="T248">
        <f>IF(A248="","", SUMIFS($H$2:$H$2000, $A$2:$A$2000, A248))</f>
        <v>144636.99</v>
      </c>
      <c r="U248">
        <f t="shared" si="41"/>
        <v>8.9200279956047207E-2</v>
      </c>
      <c r="V248">
        <f t="shared" si="42"/>
        <v>5.6453199129479685E-4</v>
      </c>
      <c r="W248">
        <f t="shared" si="43"/>
        <v>0</v>
      </c>
    </row>
    <row r="249" spans="1:23" x14ac:dyDescent="0.2">
      <c r="A249" s="4">
        <f>IF(ポートフォリオ実績!A250="","", ポートフォリオ実績!A250)</f>
        <v>45412</v>
      </c>
      <c r="B249" t="str">
        <f>IF(ポートフォリオ実績!B250="","", ポートフォリオ実績!B250)</f>
        <v>（参考）政策保有株式</v>
      </c>
      <c r="C249" s="10">
        <f>IF(ポートフォリオ実績!C250="","", ポートフォリオ実績!C250)</f>
        <v>8729.4699999999993</v>
      </c>
      <c r="D249" s="10">
        <f>IF(ポートフォリオ実績!D250="","", ポートフォリオ実績!D250)</f>
        <v>13099.49</v>
      </c>
      <c r="E249" s="10">
        <f>IF(ポートフォリオ実績!E250="","", ポートフォリオ実績!E250)</f>
        <v>22.61</v>
      </c>
      <c r="F249" s="10">
        <f>IF(ポートフォリオ実績!F250="","", ポートフォリオ実績!F250)</f>
        <v>0</v>
      </c>
      <c r="G249">
        <f t="shared" si="33"/>
        <v>45382</v>
      </c>
      <c r="H249">
        <f>IF(B249&lt;&gt;"", SUMIFS(ポートフォリオ実績!$D$2:$D$2001, ポートフォリオ実績!$B$2:$B$2001, B249, ポートフォリオ実績!$A$2:$A$2001, G249), 0)</f>
        <v>12935.06</v>
      </c>
      <c r="I249">
        <f>IF(B249&lt;&gt;"", SUMIFS(ポートフォリオ実績!$C$2:$C$2001, ポートフォリオ実績!$B$2:$B$2001, B249, ポートフォリオ実績!$A$2:$A$2001, G249), 0)</f>
        <v>8744.49</v>
      </c>
      <c r="J249">
        <f t="shared" si="34"/>
        <v>4370.0200000000004</v>
      </c>
      <c r="K249">
        <f t="shared" si="35"/>
        <v>4190.57</v>
      </c>
      <c r="L249">
        <f t="shared" si="36"/>
        <v>179.45000000000073</v>
      </c>
      <c r="M249">
        <f t="shared" si="37"/>
        <v>202.06000000000074</v>
      </c>
      <c r="N249">
        <f t="shared" si="38"/>
        <v>-37.63000000000045</v>
      </c>
      <c r="O249">
        <f t="shared" si="39"/>
        <v>12916.244999999999</v>
      </c>
      <c r="P249">
        <f t="shared" si="40"/>
        <v>1.5643865535223338E-2</v>
      </c>
      <c r="Q249" t="str">
        <f>IF(B249="","", IFERROR(VLOOKUP(B249, '基準資産配分（設定）'!$A$2:$C$2001, 3, FALSE), ""))</f>
        <v>TOPIX（配当込み）</v>
      </c>
      <c r="R249">
        <f>IF(B249="","", IFERROR(VLOOKUP(B249, '基準資産配分（設定）'!$A$2:$C$2001, 2, FALSE)/100, 0))</f>
        <v>0</v>
      </c>
      <c r="S249">
        <f>IF(B249="","", IFERROR(SUMIFS(ベンチマークリターン!$C$2:$C$2001, ベンチマークリターン!$A$2:$A$2001, A249, ベンチマークリターン!$B$2:$B$2001, Q249) / 100, 0))</f>
        <v>8.2186999999999996E-2</v>
      </c>
      <c r="T249">
        <f>IF(A249="","", SUMIFS($H$2:$H$2000, $A$2:$A$2000, A249))</f>
        <v>143236.52000000002</v>
      </c>
      <c r="U249">
        <f t="shared" si="41"/>
        <v>9.0305600834200653E-2</v>
      </c>
      <c r="V249">
        <f t="shared" si="42"/>
        <v>1.4127286765277874E-3</v>
      </c>
      <c r="W249">
        <f t="shared" si="43"/>
        <v>0</v>
      </c>
    </row>
    <row r="250" spans="1:23" x14ac:dyDescent="0.2">
      <c r="A250" s="4">
        <f>IF(ポートフォリオ実績!A251="","", ポートフォリオ実績!A251)</f>
        <v>45443</v>
      </c>
      <c r="B250" t="str">
        <f>IF(ポートフォリオ実績!B251="","", ポートフォリオ実績!B251)</f>
        <v>（参考）政策保有株式</v>
      </c>
      <c r="C250" s="10">
        <f>IF(ポートフォリオ実績!C251="","", ポートフォリオ実績!C251)</f>
        <v>8900.4500000000007</v>
      </c>
      <c r="D250" s="10">
        <f>IF(ポートフォリオ実績!D251="","", ポートフォリオ実績!D251)</f>
        <v>12973.17</v>
      </c>
      <c r="E250" s="10">
        <f>IF(ポートフォリオ実績!E251="","", ポートフォリオ実績!E251)</f>
        <v>23.22</v>
      </c>
      <c r="F250" s="10">
        <f>IF(ポートフォリオ実績!F251="","", ポートフォリオ実績!F251)</f>
        <v>0</v>
      </c>
      <c r="G250">
        <f t="shared" si="33"/>
        <v>45412</v>
      </c>
      <c r="H250">
        <f>IF(B250&lt;&gt;"", SUMIFS(ポートフォリオ実績!$D$2:$D$2001, ポートフォリオ実績!$B$2:$B$2001, B250, ポートフォリオ実績!$A$2:$A$2001, G250), 0)</f>
        <v>13099.49</v>
      </c>
      <c r="I250">
        <f>IF(B250&lt;&gt;"", SUMIFS(ポートフォリオ実績!$C$2:$C$2001, ポートフォリオ実績!$B$2:$B$2001, B250, ポートフォリオ実績!$A$2:$A$2001, G250), 0)</f>
        <v>8729.4699999999993</v>
      </c>
      <c r="J250">
        <f t="shared" si="34"/>
        <v>4072.7199999999993</v>
      </c>
      <c r="K250">
        <f t="shared" si="35"/>
        <v>4370.0200000000004</v>
      </c>
      <c r="L250">
        <f t="shared" si="36"/>
        <v>-297.30000000000109</v>
      </c>
      <c r="M250">
        <f t="shared" si="37"/>
        <v>-274.08000000000106</v>
      </c>
      <c r="N250">
        <f t="shared" si="38"/>
        <v>147.76000000000136</v>
      </c>
      <c r="O250">
        <f t="shared" si="39"/>
        <v>13173.37</v>
      </c>
      <c r="P250">
        <f t="shared" si="40"/>
        <v>-2.0805610105842396E-2</v>
      </c>
      <c r="Q250" t="str">
        <f>IF(B250="","", IFERROR(VLOOKUP(B250, '基準資産配分（設定）'!$A$2:$C$2001, 3, FALSE), ""))</f>
        <v>TOPIX（配当込み）</v>
      </c>
      <c r="R250">
        <f>IF(B250="","", IFERROR(VLOOKUP(B250, '基準資産配分（設定）'!$A$2:$C$2001, 2, FALSE)/100, 0))</f>
        <v>0</v>
      </c>
      <c r="S250">
        <f>IF(B250="","", IFERROR(SUMIFS(ベンチマークリターン!$C$2:$C$2001, ベンチマークリターン!$A$2:$A$2001, A250, ベンチマークリターン!$B$2:$B$2001, Q250) / 100, 0))</f>
        <v>8.874399999999999E-2</v>
      </c>
      <c r="T250">
        <f>IF(A250="","", SUMIFS($H$2:$H$2000, $A$2:$A$2000, A250))</f>
        <v>142294.85999999999</v>
      </c>
      <c r="U250">
        <f t="shared" si="41"/>
        <v>9.2058771483383178E-2</v>
      </c>
      <c r="V250">
        <f t="shared" si="42"/>
        <v>-1.9153389063061128E-3</v>
      </c>
      <c r="W250">
        <f t="shared" si="43"/>
        <v>0</v>
      </c>
    </row>
    <row r="251" spans="1:23" x14ac:dyDescent="0.2">
      <c r="A251" s="4">
        <f>IF(ポートフォリオ実績!A252="","", ポートフォリオ実績!A252)</f>
        <v>45473</v>
      </c>
      <c r="B251" t="str">
        <f>IF(ポートフォリオ実績!B252="","", ポートフォリオ実績!B252)</f>
        <v>（参考）政策保有株式</v>
      </c>
      <c r="C251" s="10">
        <f>IF(ポートフォリオ実績!C252="","", ポートフォリオ実績!C252)</f>
        <v>9051.2999999999993</v>
      </c>
      <c r="D251" s="10">
        <f>IF(ポートフォリオ実績!D252="","", ポートフォリオ実績!D252)</f>
        <v>11387.04</v>
      </c>
      <c r="E251" s="10">
        <f>IF(ポートフォリオ実績!E252="","", ポートフォリオ実績!E252)</f>
        <v>22.97</v>
      </c>
      <c r="F251" s="10">
        <f>IF(ポートフォリオ実績!F252="","", ポートフォリオ実績!F252)</f>
        <v>0</v>
      </c>
      <c r="G251">
        <f t="shared" si="33"/>
        <v>45443</v>
      </c>
      <c r="H251">
        <f>IF(B251&lt;&gt;"", SUMIFS(ポートフォリオ実績!$D$2:$D$2001, ポートフォリオ実績!$B$2:$B$2001, B251, ポートフォリオ実績!$A$2:$A$2001, G251), 0)</f>
        <v>12973.17</v>
      </c>
      <c r="I251">
        <f>IF(B251&lt;&gt;"", SUMIFS(ポートフォリオ実績!$C$2:$C$2001, ポートフォリオ実績!$B$2:$B$2001, B251, ポートフォリオ実績!$A$2:$A$2001, G251), 0)</f>
        <v>8900.4500000000007</v>
      </c>
      <c r="J251">
        <f t="shared" si="34"/>
        <v>2335.7400000000016</v>
      </c>
      <c r="K251">
        <f t="shared" si="35"/>
        <v>4072.7199999999993</v>
      </c>
      <c r="L251">
        <f t="shared" si="36"/>
        <v>-1736.9799999999977</v>
      </c>
      <c r="M251">
        <f t="shared" si="37"/>
        <v>-1714.0099999999977</v>
      </c>
      <c r="N251">
        <f t="shared" si="38"/>
        <v>127.87999999999852</v>
      </c>
      <c r="O251">
        <f t="shared" si="39"/>
        <v>13037.109999999999</v>
      </c>
      <c r="P251">
        <f t="shared" si="40"/>
        <v>-0.13147162216165989</v>
      </c>
      <c r="Q251" t="str">
        <f>IF(B251="","", IFERROR(VLOOKUP(B251, '基準資産配分（設定）'!$A$2:$C$2001, 3, FALSE), ""))</f>
        <v>TOPIX（配当込み）</v>
      </c>
      <c r="R251">
        <f>IF(B251="","", IFERROR(VLOOKUP(B251, '基準資産配分（設定）'!$A$2:$C$2001, 2, FALSE)/100, 0))</f>
        <v>0</v>
      </c>
      <c r="S251">
        <f>IF(B251="","", IFERROR(SUMIFS(ベンチマークリターン!$C$2:$C$2001, ベンチマークリターン!$A$2:$A$2001, A251, ベンチマークリターン!$B$2:$B$2001, Q251) / 100, 0))</f>
        <v>-2.0501999999999999E-2</v>
      </c>
      <c r="T251">
        <f>IF(A251="","", SUMIFS($H$2:$H$2000, $A$2:$A$2000, A251))</f>
        <v>142297.76999999999</v>
      </c>
      <c r="U251">
        <f t="shared" si="41"/>
        <v>9.1169172925197633E-2</v>
      </c>
      <c r="V251">
        <f t="shared" si="42"/>
        <v>-1.1986159055612617E-2</v>
      </c>
      <c r="W251">
        <f t="shared" si="43"/>
        <v>0</v>
      </c>
    </row>
    <row r="252" spans="1:23" x14ac:dyDescent="0.2">
      <c r="A252" s="4">
        <f>IF(ポートフォリオ実績!A253="","", ポートフォリオ実績!A253)</f>
        <v>45504</v>
      </c>
      <c r="B252" t="str">
        <f>IF(ポートフォリオ実績!B253="","", ポートフォリオ実績!B253)</f>
        <v>（参考）政策保有株式</v>
      </c>
      <c r="C252" s="10">
        <f>IF(ポートフォリオ実績!C253="","", ポートフォリオ実績!C253)</f>
        <v>9074.81</v>
      </c>
      <c r="D252" s="10">
        <f>IF(ポートフォリオ実績!D253="","", ポートフォリオ実績!D253)</f>
        <v>10247.780000000001</v>
      </c>
      <c r="E252" s="10">
        <f>IF(ポートフォリオ実績!E253="","", ポートフォリオ実績!E253)</f>
        <v>19.97</v>
      </c>
      <c r="F252" s="10">
        <f>IF(ポートフォリオ実績!F253="","", ポートフォリオ実績!F253)</f>
        <v>0</v>
      </c>
      <c r="G252">
        <f t="shared" si="33"/>
        <v>45473</v>
      </c>
      <c r="H252">
        <f>IF(B252&lt;&gt;"", SUMIFS(ポートフォリオ実績!$D$2:$D$2001, ポートフォリオ実績!$B$2:$B$2001, B252, ポートフォリオ実績!$A$2:$A$2001, G252), 0)</f>
        <v>11387.04</v>
      </c>
      <c r="I252">
        <f>IF(B252&lt;&gt;"", SUMIFS(ポートフォリオ実績!$C$2:$C$2001, ポートフォリオ実績!$B$2:$B$2001, B252, ポートフォリオ実績!$A$2:$A$2001, G252), 0)</f>
        <v>9051.2999999999993</v>
      </c>
      <c r="J252">
        <f t="shared" si="34"/>
        <v>1172.9700000000012</v>
      </c>
      <c r="K252">
        <f t="shared" si="35"/>
        <v>2335.7400000000016</v>
      </c>
      <c r="L252">
        <f t="shared" si="36"/>
        <v>-1162.7700000000004</v>
      </c>
      <c r="M252">
        <f t="shared" si="37"/>
        <v>-1142.8000000000004</v>
      </c>
      <c r="N252">
        <f t="shared" si="38"/>
        <v>3.540000000000191</v>
      </c>
      <c r="O252">
        <f t="shared" si="39"/>
        <v>11388.810000000001</v>
      </c>
      <c r="P252">
        <f t="shared" si="40"/>
        <v>-0.10034410970066233</v>
      </c>
      <c r="Q252" t="str">
        <f>IF(B252="","", IFERROR(VLOOKUP(B252, '基準資産配分（設定）'!$A$2:$C$2001, 3, FALSE), ""))</f>
        <v>TOPIX（配当込み）</v>
      </c>
      <c r="R252">
        <f>IF(B252="","", IFERROR(VLOOKUP(B252, '基準資産配分（設定）'!$A$2:$C$2001, 2, FALSE)/100, 0))</f>
        <v>0</v>
      </c>
      <c r="S252">
        <f>IF(B252="","", IFERROR(SUMIFS(ベンチマークリターン!$C$2:$C$2001, ベンチマークリターン!$A$2:$A$2001, A252, ベンチマークリターン!$B$2:$B$2001, Q252) / 100, 0))</f>
        <v>-1.5167E-2</v>
      </c>
      <c r="T252">
        <f>IF(A252="","", SUMIFS($H$2:$H$2000, $A$2:$A$2000, A252))</f>
        <v>135112.08000000002</v>
      </c>
      <c r="U252">
        <f t="shared" si="41"/>
        <v>8.4278474581991475E-2</v>
      </c>
      <c r="V252">
        <f t="shared" si="42"/>
        <v>-8.4568484988598348E-3</v>
      </c>
      <c r="W252">
        <f t="shared" si="43"/>
        <v>0</v>
      </c>
    </row>
    <row r="253" spans="1:23" x14ac:dyDescent="0.2">
      <c r="A253" s="4">
        <f>IF(ポートフォリオ実績!A254="","", ポートフォリオ実績!A254)</f>
        <v>45535</v>
      </c>
      <c r="B253" t="str">
        <f>IF(ポートフォリオ実績!B254="","", ポートフォリオ実績!B254)</f>
        <v>（参考）政策保有株式</v>
      </c>
      <c r="C253" s="10">
        <f>IF(ポートフォリオ実績!C254="","", ポートフォリオ実績!C254)</f>
        <v>8922.0400000000009</v>
      </c>
      <c r="D253" s="10">
        <f>IF(ポートフォリオ実績!D254="","", ポートフォリオ実績!D254)</f>
        <v>10020.23</v>
      </c>
      <c r="E253" s="10">
        <f>IF(ポートフォリオ実績!E254="","", ポートフォリオ実績!E254)</f>
        <v>17.670000000000002</v>
      </c>
      <c r="F253" s="10">
        <f>IF(ポートフォリオ実績!F254="","", ポートフォリオ実績!F254)</f>
        <v>0</v>
      </c>
      <c r="G253">
        <f t="shared" si="33"/>
        <v>45504</v>
      </c>
      <c r="H253">
        <f>IF(B253&lt;&gt;"", SUMIFS(ポートフォリオ実績!$D$2:$D$2001, ポートフォリオ実績!$B$2:$B$2001, B253, ポートフォリオ実績!$A$2:$A$2001, G253), 0)</f>
        <v>10247.780000000001</v>
      </c>
      <c r="I253">
        <f>IF(B253&lt;&gt;"", SUMIFS(ポートフォリオ実績!$C$2:$C$2001, ポートフォリオ実績!$B$2:$B$2001, B253, ポートフォリオ実績!$A$2:$A$2001, G253), 0)</f>
        <v>9074.81</v>
      </c>
      <c r="J253">
        <f t="shared" si="34"/>
        <v>1098.1899999999987</v>
      </c>
      <c r="K253">
        <f t="shared" si="35"/>
        <v>1172.9700000000012</v>
      </c>
      <c r="L253">
        <f t="shared" si="36"/>
        <v>-74.780000000002474</v>
      </c>
      <c r="M253">
        <f t="shared" si="37"/>
        <v>-57.110000000002472</v>
      </c>
      <c r="N253">
        <f t="shared" si="38"/>
        <v>-170.43999999999863</v>
      </c>
      <c r="O253">
        <f t="shared" si="39"/>
        <v>10162.560000000001</v>
      </c>
      <c r="P253">
        <f t="shared" si="40"/>
        <v>-5.6196470180744284E-3</v>
      </c>
      <c r="Q253" t="str">
        <f>IF(B253="","", IFERROR(VLOOKUP(B253, '基準資産配分（設定）'!$A$2:$C$2001, 3, FALSE), ""))</f>
        <v>TOPIX（配当込み）</v>
      </c>
      <c r="R253">
        <f>IF(B253="","", IFERROR(VLOOKUP(B253, '基準資産配分（設定）'!$A$2:$C$2001, 2, FALSE)/100, 0))</f>
        <v>0</v>
      </c>
      <c r="S253">
        <f>IF(B253="","", IFERROR(SUMIFS(ベンチマークリターン!$C$2:$C$2001, ベンチマークリターン!$A$2:$A$2001, A253, ベンチマークリターン!$B$2:$B$2001, Q253) / 100, 0))</f>
        <v>-7.9749999999999995E-3</v>
      </c>
      <c r="T253">
        <f>IF(A253="","", SUMIFS($H$2:$H$2000, $A$2:$A$2000, A253))</f>
        <v>136612.22</v>
      </c>
      <c r="U253">
        <f t="shared" si="41"/>
        <v>7.5013640800215386E-2</v>
      </c>
      <c r="V253">
        <f t="shared" si="42"/>
        <v>-4.215501828378367E-4</v>
      </c>
      <c r="W253">
        <f t="shared" si="43"/>
        <v>0</v>
      </c>
    </row>
    <row r="254" spans="1:23" x14ac:dyDescent="0.2">
      <c r="A254" s="4">
        <f>IF(ポートフォリオ実績!A255="","", ポートフォリオ実績!A255)</f>
        <v>45565</v>
      </c>
      <c r="B254" t="str">
        <f>IF(ポートフォリオ実績!B255="","", ポートフォリオ実績!B255)</f>
        <v>（参考）政策保有株式</v>
      </c>
      <c r="C254" s="10">
        <f>IF(ポートフォリオ実績!C255="","", ポートフォリオ実績!C255)</f>
        <v>8877.42</v>
      </c>
      <c r="D254" s="10">
        <f>IF(ポートフォリオ実績!D255="","", ポートフォリオ実績!D255)</f>
        <v>9630.6200000000008</v>
      </c>
      <c r="E254" s="10">
        <f>IF(ポートフォリオ実績!E255="","", ポートフォリオ実績!E255)</f>
        <v>17.46</v>
      </c>
      <c r="F254" s="10">
        <f>IF(ポートフォリオ実績!F255="","", ポートフォリオ実績!F255)</f>
        <v>0</v>
      </c>
      <c r="G254">
        <f t="shared" si="33"/>
        <v>45535</v>
      </c>
      <c r="H254">
        <f>IF(B254&lt;&gt;"", SUMIFS(ポートフォリオ実績!$D$2:$D$2001, ポートフォリオ実績!$B$2:$B$2001, B254, ポートフォリオ実績!$A$2:$A$2001, G254), 0)</f>
        <v>10020.23</v>
      </c>
      <c r="I254">
        <f>IF(B254&lt;&gt;"", SUMIFS(ポートフォリオ実績!$C$2:$C$2001, ポートフォリオ実績!$B$2:$B$2001, B254, ポートフォリオ実績!$A$2:$A$2001, G254), 0)</f>
        <v>8922.0400000000009</v>
      </c>
      <c r="J254">
        <f t="shared" si="34"/>
        <v>753.20000000000073</v>
      </c>
      <c r="K254">
        <f t="shared" si="35"/>
        <v>1098.1899999999987</v>
      </c>
      <c r="L254">
        <f t="shared" si="36"/>
        <v>-344.98999999999796</v>
      </c>
      <c r="M254">
        <f t="shared" si="37"/>
        <v>-327.52999999999798</v>
      </c>
      <c r="N254">
        <f t="shared" si="38"/>
        <v>-62.08000000000078</v>
      </c>
      <c r="O254">
        <f t="shared" si="39"/>
        <v>9989.1899999999987</v>
      </c>
      <c r="P254">
        <f t="shared" si="40"/>
        <v>-3.2788444308297068E-2</v>
      </c>
      <c r="Q254" t="str">
        <f>IF(B254="","", IFERROR(VLOOKUP(B254, '基準資産配分（設定）'!$A$2:$C$2001, 3, FALSE), ""))</f>
        <v>TOPIX（配当込み）</v>
      </c>
      <c r="R254">
        <f>IF(B254="","", IFERROR(VLOOKUP(B254, '基準資産配分（設定）'!$A$2:$C$2001, 2, FALSE)/100, 0))</f>
        <v>0</v>
      </c>
      <c r="S254">
        <f>IF(B254="","", IFERROR(SUMIFS(ベンチマークリターン!$C$2:$C$2001, ベンチマークリターン!$A$2:$A$2001, A254, ベンチマークリターン!$B$2:$B$2001, Q254) / 100, 0))</f>
        <v>-6.3192999999999999E-2</v>
      </c>
      <c r="T254">
        <f>IF(A254="","", SUMIFS($H$2:$H$2000, $A$2:$A$2000, A254))</f>
        <v>140301.49</v>
      </c>
      <c r="U254">
        <f t="shared" si="41"/>
        <v>7.1419270030560617E-2</v>
      </c>
      <c r="V254">
        <f t="shared" si="42"/>
        <v>-2.3417267579362668E-3</v>
      </c>
      <c r="W254">
        <f t="shared" si="43"/>
        <v>0</v>
      </c>
    </row>
    <row r="255" spans="1:23" x14ac:dyDescent="0.2">
      <c r="A255" s="4">
        <f>IF(ポートフォリオ実績!A256="","", ポートフォリオ実績!A256)</f>
        <v>45596</v>
      </c>
      <c r="B255" t="str">
        <f>IF(ポートフォリオ実績!B256="","", ポートフォリオ実績!B256)</f>
        <v>（参考）政策保有株式</v>
      </c>
      <c r="C255" s="10">
        <f>IF(ポートフォリオ実績!C256="","", ポートフォリオ実績!C256)</f>
        <v>8063.56</v>
      </c>
      <c r="D255" s="10">
        <f>IF(ポートフォリオ実績!D256="","", ポートフォリオ実績!D256)</f>
        <v>8828.36</v>
      </c>
      <c r="E255" s="10">
        <f>IF(ポートフォリオ実績!E256="","", ポートフォリオ実績!E256)</f>
        <v>17</v>
      </c>
      <c r="F255" s="10">
        <f>IF(ポートフォリオ実績!F256="","", ポートフォリオ実績!F256)</f>
        <v>9.93</v>
      </c>
      <c r="G255">
        <f t="shared" si="33"/>
        <v>45565</v>
      </c>
      <c r="H255">
        <f>IF(B255&lt;&gt;"", SUMIFS(ポートフォリオ実績!$D$2:$D$2001, ポートフォリオ実績!$B$2:$B$2001, B255, ポートフォリオ実績!$A$2:$A$2001, G255), 0)</f>
        <v>9630.6200000000008</v>
      </c>
      <c r="I255">
        <f>IF(B255&lt;&gt;"", SUMIFS(ポートフォリオ実績!$C$2:$C$2001, ポートフォリオ実績!$B$2:$B$2001, B255, ポートフォリオ実績!$A$2:$A$2001, G255), 0)</f>
        <v>8877.42</v>
      </c>
      <c r="J255">
        <f t="shared" si="34"/>
        <v>764.80000000000018</v>
      </c>
      <c r="K255">
        <f t="shared" si="35"/>
        <v>753.20000000000073</v>
      </c>
      <c r="L255">
        <f t="shared" si="36"/>
        <v>11.599999999999454</v>
      </c>
      <c r="M255">
        <f t="shared" si="37"/>
        <v>38.529999999999454</v>
      </c>
      <c r="N255">
        <f t="shared" si="38"/>
        <v>-840.78999999999962</v>
      </c>
      <c r="O255">
        <f t="shared" si="39"/>
        <v>9210.2250000000004</v>
      </c>
      <c r="P255">
        <f t="shared" si="40"/>
        <v>4.1833939996036417E-3</v>
      </c>
      <c r="Q255" t="str">
        <f>IF(B255="","", IFERROR(VLOOKUP(B255, '基準資産配分（設定）'!$A$2:$C$2001, 3, FALSE), ""))</f>
        <v>TOPIX（配当込み）</v>
      </c>
      <c r="R255">
        <f>IF(B255="","", IFERROR(VLOOKUP(B255, '基準資産配分（設定）'!$A$2:$C$2001, 2, FALSE)/100, 0))</f>
        <v>0</v>
      </c>
      <c r="S255">
        <f>IF(B255="","", IFERROR(SUMIFS(ベンチマークリターン!$C$2:$C$2001, ベンチマークリターン!$A$2:$A$2001, A255, ベンチマークリターン!$B$2:$B$2001, Q255) / 100, 0))</f>
        <v>-4.1068E-2</v>
      </c>
      <c r="T255">
        <f>IF(A255="","", SUMIFS($H$2:$H$2000, $A$2:$A$2000, A255))</f>
        <v>140341.03999999998</v>
      </c>
      <c r="U255">
        <f t="shared" si="41"/>
        <v>6.8622977284477887E-2</v>
      </c>
      <c r="V255">
        <f t="shared" si="42"/>
        <v>2.870769514068218E-4</v>
      </c>
      <c r="W255">
        <f t="shared" si="43"/>
        <v>0</v>
      </c>
    </row>
    <row r="256" spans="1:23" x14ac:dyDescent="0.2">
      <c r="A256" s="4">
        <f>IF(ポートフォリオ実績!A257="","", ポートフォリオ実績!A257)</f>
        <v>45626</v>
      </c>
      <c r="B256" t="str">
        <f>IF(ポートフォリオ実績!B257="","", ポートフォリオ実績!B257)</f>
        <v>（参考）政策保有株式</v>
      </c>
      <c r="C256" s="10">
        <f>IF(ポートフォリオ実績!C257="","", ポートフォリオ実績!C257)</f>
        <v>7994.01</v>
      </c>
      <c r="D256" s="10">
        <f>IF(ポートフォリオ実績!D257="","", ポートフォリオ実績!D257)</f>
        <v>9388.6200000000008</v>
      </c>
      <c r="E256" s="10">
        <f>IF(ポートフォリオ実績!E257="","", ポートフォリオ実績!E257)</f>
        <v>15.33</v>
      </c>
      <c r="F256" s="10">
        <f>IF(ポートフォリオ実績!F257="","", ポートフォリオ実績!F257)</f>
        <v>0</v>
      </c>
      <c r="G256">
        <f t="shared" si="33"/>
        <v>45596</v>
      </c>
      <c r="H256">
        <f>IF(B256&lt;&gt;"", SUMIFS(ポートフォリオ実績!$D$2:$D$2001, ポートフォリオ実績!$B$2:$B$2001, B256, ポートフォリオ実績!$A$2:$A$2001, G256), 0)</f>
        <v>8828.36</v>
      </c>
      <c r="I256">
        <f>IF(B256&lt;&gt;"", SUMIFS(ポートフォリオ実績!$C$2:$C$2001, ポートフォリオ実績!$B$2:$B$2001, B256, ポートフォリオ実績!$A$2:$A$2001, G256), 0)</f>
        <v>8063.56</v>
      </c>
      <c r="J256">
        <f t="shared" si="34"/>
        <v>1394.6100000000006</v>
      </c>
      <c r="K256">
        <f t="shared" si="35"/>
        <v>764.80000000000018</v>
      </c>
      <c r="L256">
        <f t="shared" si="36"/>
        <v>629.8100000000004</v>
      </c>
      <c r="M256">
        <f t="shared" si="37"/>
        <v>645.14000000000044</v>
      </c>
      <c r="N256">
        <f t="shared" si="38"/>
        <v>-84.880000000000223</v>
      </c>
      <c r="O256">
        <f t="shared" si="39"/>
        <v>8785.92</v>
      </c>
      <c r="P256">
        <f t="shared" si="40"/>
        <v>7.3428849796037352E-2</v>
      </c>
      <c r="Q256" t="str">
        <f>IF(B256="","", IFERROR(VLOOKUP(B256, '基準資産配分（設定）'!$A$2:$C$2001, 3, FALSE), ""))</f>
        <v>TOPIX（配当込み）</v>
      </c>
      <c r="R256">
        <f>IF(B256="","", IFERROR(VLOOKUP(B256, '基準資産配分（設定）'!$A$2:$C$2001, 2, FALSE)/100, 0))</f>
        <v>0</v>
      </c>
      <c r="S256">
        <f>IF(B256="","", IFERROR(SUMIFS(ベンチマークリターン!$C$2:$C$2001, ベンチマークリターン!$A$2:$A$2001, A256, ベンチマークリターン!$B$2:$B$2001, Q256) / 100, 0))</f>
        <v>-4.5510000000000002E-2</v>
      </c>
      <c r="T256">
        <f>IF(A256="","", SUMIFS($H$2:$H$2000, $A$2:$A$2000, A256))</f>
        <v>138030.65999999997</v>
      </c>
      <c r="U256">
        <f t="shared" si="41"/>
        <v>6.3959413075326904E-2</v>
      </c>
      <c r="V256">
        <f t="shared" si="42"/>
        <v>4.6964661357508869E-3</v>
      </c>
      <c r="W256">
        <f t="shared" si="43"/>
        <v>0</v>
      </c>
    </row>
    <row r="257" spans="1:23" x14ac:dyDescent="0.2">
      <c r="A257" s="4">
        <f>IF(ポートフォリオ実績!A258="","", ポートフォリオ実績!A258)</f>
        <v>45657</v>
      </c>
      <c r="B257" t="str">
        <f>IF(ポートフォリオ実績!B258="","", ポートフォリオ実績!B258)</f>
        <v>（参考）政策保有株式</v>
      </c>
      <c r="C257" s="10">
        <f>IF(ポートフォリオ実績!C258="","", ポートフォリオ実績!C258)</f>
        <v>7936.94</v>
      </c>
      <c r="D257" s="10">
        <f>IF(ポートフォリオ実績!D258="","", ポートフォリオ実績!D258)</f>
        <v>9032.84</v>
      </c>
      <c r="E257" s="10">
        <f>IF(ポートフォリオ実績!E258="","", ポートフォリオ実績!E258)</f>
        <v>16.329999999999998</v>
      </c>
      <c r="F257" s="10">
        <f>IF(ポートフォリオ実績!F258="","", ポートフォリオ実績!F258)</f>
        <v>0</v>
      </c>
      <c r="G257">
        <f t="shared" ref="G257:G320" si="44">IF(A257&lt;&gt;"", EOMONTH(A257, -1), "")</f>
        <v>45626</v>
      </c>
      <c r="H257">
        <f>IF(B257&lt;&gt;"", SUMIFS(ポートフォリオ実績!$D$2:$D$2001, ポートフォリオ実績!$B$2:$B$2001, B257, ポートフォリオ実績!$A$2:$A$2001, G257), 0)</f>
        <v>9388.6200000000008</v>
      </c>
      <c r="I257">
        <f>IF(B257&lt;&gt;"", SUMIFS(ポートフォリオ実績!$C$2:$C$2001, ポートフォリオ実績!$B$2:$B$2001, B257, ポートフォリオ実績!$A$2:$A$2001, G257), 0)</f>
        <v>7994.01</v>
      </c>
      <c r="J257">
        <f t="shared" ref="J257:J320" si="45">IF(A257&lt;&gt;"", D257-C257, 0)</f>
        <v>1095.9000000000005</v>
      </c>
      <c r="K257">
        <f t="shared" ref="K257:K320" si="46">IF(A257&lt;&gt;"", H257-I257, 0)</f>
        <v>1394.6100000000006</v>
      </c>
      <c r="L257">
        <f t="shared" ref="L257:L320" si="47">IF(H257=0, 0, J257-K257)</f>
        <v>-298.71000000000004</v>
      </c>
      <c r="M257">
        <f t="shared" ref="M257:M320" si="48">IF(A257&lt;&gt;"", E257+F257+L257, 0)</f>
        <v>-282.38000000000005</v>
      </c>
      <c r="N257">
        <f t="shared" ref="N257:N320" si="49">IF(H257=0, 0, (D257-H257)-M257)</f>
        <v>-73.400000000000603</v>
      </c>
      <c r="O257">
        <f t="shared" ref="O257:O320" si="50">IF(A257&lt;&gt;"", H257+N257*0.5, 0)</f>
        <v>9351.92</v>
      </c>
      <c r="P257">
        <f t="shared" ref="P257:P320" si="51">IF(A257="","", IF(O257&gt;0.000001, M257/O257, IF(ABS(M257)&lt;0.000001, 0, 0)))</f>
        <v>-3.0194869075013477E-2</v>
      </c>
      <c r="Q257" t="str">
        <f>IF(B257="","", IFERROR(VLOOKUP(B257, '基準資産配分（設定）'!$A$2:$C$2001, 3, FALSE), ""))</f>
        <v>TOPIX（配当込み）</v>
      </c>
      <c r="R257">
        <f>IF(B257="","", IFERROR(VLOOKUP(B257, '基準資産配分（設定）'!$A$2:$C$2001, 2, FALSE)/100, 0))</f>
        <v>0</v>
      </c>
      <c r="S257">
        <f>IF(B257="","", IFERROR(SUMIFS(ベンチマークリターン!$C$2:$C$2001, ベンチマークリターン!$A$2:$A$2001, A257, ベンチマークリターン!$B$2:$B$2001, Q257) / 100, 0))</f>
        <v>-3.3229000000000002E-2</v>
      </c>
      <c r="T257">
        <f>IF(A257="","", SUMIFS($H$2:$H$2000, $A$2:$A$2000, A257))</f>
        <v>140420.70000000001</v>
      </c>
      <c r="U257">
        <f t="shared" ref="U257:U320" si="52">IF(A257="","", IFERROR(H257/T257, 0))</f>
        <v>6.6860655159816179E-2</v>
      </c>
      <c r="V257">
        <f t="shared" ref="V257:V320" si="53">IF(A257="","", U257*P257)</f>
        <v>-2.0188487288202738E-3</v>
      </c>
      <c r="W257">
        <f t="shared" ref="W257:W320" si="54">IF(A257="","", R257*S257)</f>
        <v>0</v>
      </c>
    </row>
    <row r="258" spans="1:23" x14ac:dyDescent="0.2">
      <c r="A258" s="4">
        <f>IF(ポートフォリオ実績!A259="","", ポートフォリオ実績!A259)</f>
        <v>45688</v>
      </c>
      <c r="B258" t="str">
        <f>IF(ポートフォリオ実績!B259="","", ポートフォリオ実績!B259)</f>
        <v>（参考）政策保有株式</v>
      </c>
      <c r="C258" s="10">
        <f>IF(ポートフォリオ実績!C259="","", ポートフォリオ実績!C259)</f>
        <v>7897.74</v>
      </c>
      <c r="D258" s="10">
        <f>IF(ポートフォリオ実績!D259="","", ポートフォリオ実績!D259)</f>
        <v>9274.7900000000009</v>
      </c>
      <c r="E258" s="10">
        <f>IF(ポートフォリオ実績!E259="","", ポートフォリオ実績!E259)</f>
        <v>15.74</v>
      </c>
      <c r="F258" s="10">
        <f>IF(ポートフォリオ実績!F259="","", ポートフォリオ実績!F259)</f>
        <v>0</v>
      </c>
      <c r="G258">
        <f t="shared" si="44"/>
        <v>45657</v>
      </c>
      <c r="H258">
        <f>IF(B258&lt;&gt;"", SUMIFS(ポートフォリオ実績!$D$2:$D$2001, ポートフォリオ実績!$B$2:$B$2001, B258, ポートフォリオ実績!$A$2:$A$2001, G258), 0)</f>
        <v>9032.84</v>
      </c>
      <c r="I258">
        <f>IF(B258&lt;&gt;"", SUMIFS(ポートフォリオ実績!$C$2:$C$2001, ポートフォリオ実績!$B$2:$B$2001, B258, ポートフォリオ実績!$A$2:$A$2001, G258), 0)</f>
        <v>7936.94</v>
      </c>
      <c r="J258">
        <f t="shared" si="45"/>
        <v>1377.0500000000011</v>
      </c>
      <c r="K258">
        <f t="shared" si="46"/>
        <v>1095.9000000000005</v>
      </c>
      <c r="L258">
        <f t="shared" si="47"/>
        <v>281.15000000000055</v>
      </c>
      <c r="M258">
        <f t="shared" si="48"/>
        <v>296.89000000000055</v>
      </c>
      <c r="N258">
        <f t="shared" si="49"/>
        <v>-54.939999999999827</v>
      </c>
      <c r="O258">
        <f t="shared" si="50"/>
        <v>9005.3700000000008</v>
      </c>
      <c r="P258">
        <f t="shared" si="51"/>
        <v>3.2968106807382762E-2</v>
      </c>
      <c r="Q258" t="str">
        <f>IF(B258="","", IFERROR(VLOOKUP(B258, '基準資産配分（設定）'!$A$2:$C$2001, 3, FALSE), ""))</f>
        <v>TOPIX（配当込み）</v>
      </c>
      <c r="R258">
        <f>IF(B258="","", IFERROR(VLOOKUP(B258, '基準資産配分（設定）'!$A$2:$C$2001, 2, FALSE)/100, 0))</f>
        <v>0</v>
      </c>
      <c r="S258">
        <f>IF(B258="","", IFERROR(SUMIFS(ベンチマークリターン!$C$2:$C$2001, ベンチマークリターン!$A$2:$A$2001, A258, ベンチマークリターン!$B$2:$B$2001, Q258) / 100, 0))</f>
        <v>4.8640000000000003E-3</v>
      </c>
      <c r="T258">
        <f>IF(A258="","", SUMIFS($H$2:$H$2000, $A$2:$A$2000, A258))</f>
        <v>142763.42000000001</v>
      </c>
      <c r="U258">
        <f t="shared" si="52"/>
        <v>6.327138982801056E-2</v>
      </c>
      <c r="V258">
        <f t="shared" si="53"/>
        <v>2.0859379377014035E-3</v>
      </c>
      <c r="W258">
        <f t="shared" si="54"/>
        <v>0</v>
      </c>
    </row>
    <row r="259" spans="1:23" x14ac:dyDescent="0.2">
      <c r="A259" s="4">
        <f>IF(ポートフォリオ実績!A260="","", ポートフォリオ実績!A260)</f>
        <v>45716</v>
      </c>
      <c r="B259" t="str">
        <f>IF(ポートフォリオ実績!B260="","", ポートフォリオ実績!B260)</f>
        <v>（参考）政策保有株式</v>
      </c>
      <c r="C259" s="10">
        <f>IF(ポートフォリオ実績!C260="","", ポートフォリオ実績!C260)</f>
        <v>7955.95</v>
      </c>
      <c r="D259" s="10">
        <f>IF(ポートフォリオ実績!D260="","", ポートフォリオ実績!D260)</f>
        <v>9276.2800000000007</v>
      </c>
      <c r="E259" s="10">
        <f>IF(ポートフォリオ実績!E260="","", ポートフォリオ実績!E260)</f>
        <v>16.329999999999998</v>
      </c>
      <c r="F259" s="10">
        <f>IF(ポートフォリオ実績!F260="","", ポートフォリオ実績!F260)</f>
        <v>0</v>
      </c>
      <c r="G259">
        <f t="shared" si="44"/>
        <v>45688</v>
      </c>
      <c r="H259">
        <f>IF(B259&lt;&gt;"", SUMIFS(ポートフォリオ実績!$D$2:$D$2001, ポートフォリオ実績!$B$2:$B$2001, B259, ポートフォリオ実績!$A$2:$A$2001, G259), 0)</f>
        <v>9274.7900000000009</v>
      </c>
      <c r="I259">
        <f>IF(B259&lt;&gt;"", SUMIFS(ポートフォリオ実績!$C$2:$C$2001, ポートフォリオ実績!$B$2:$B$2001, B259, ポートフォリオ実績!$A$2:$A$2001, G259), 0)</f>
        <v>7897.74</v>
      </c>
      <c r="J259">
        <f t="shared" si="45"/>
        <v>1320.3300000000008</v>
      </c>
      <c r="K259">
        <f t="shared" si="46"/>
        <v>1377.0500000000011</v>
      </c>
      <c r="L259">
        <f t="shared" si="47"/>
        <v>-56.720000000000255</v>
      </c>
      <c r="M259">
        <f t="shared" si="48"/>
        <v>-40.390000000000256</v>
      </c>
      <c r="N259">
        <f t="shared" si="49"/>
        <v>41.880000000000038</v>
      </c>
      <c r="O259">
        <f t="shared" si="50"/>
        <v>9295.7300000000014</v>
      </c>
      <c r="P259">
        <f t="shared" si="51"/>
        <v>-4.3450057176790046E-3</v>
      </c>
      <c r="Q259" t="str">
        <f>IF(B259="","", IFERROR(VLOOKUP(B259, '基準資産配分（設定）'!$A$2:$C$2001, 3, FALSE), ""))</f>
        <v>TOPIX（配当込み）</v>
      </c>
      <c r="R259">
        <f>IF(B259="","", IFERROR(VLOOKUP(B259, '基準資産配分（設定）'!$A$2:$C$2001, 2, FALSE)/100, 0))</f>
        <v>0</v>
      </c>
      <c r="S259">
        <f>IF(B259="","", IFERROR(SUMIFS(ベンチマークリターン!$C$2:$C$2001, ベンチマークリターン!$A$2:$A$2001, A259, ベンチマークリターン!$B$2:$B$2001, Q259) / 100, 0))</f>
        <v>1.8837E-2</v>
      </c>
      <c r="T259">
        <f>IF(A259="","", SUMIFS($H$2:$H$2000, $A$2:$A$2000, A259))</f>
        <v>145068.1</v>
      </c>
      <c r="U259">
        <f t="shared" si="52"/>
        <v>6.3934042011992986E-2</v>
      </c>
      <c r="V259">
        <f t="shared" si="53"/>
        <v>-2.777937780964392E-4</v>
      </c>
      <c r="W259">
        <f t="shared" si="54"/>
        <v>0</v>
      </c>
    </row>
    <row r="260" spans="1:23" x14ac:dyDescent="0.2">
      <c r="A260" s="4">
        <f>IF(ポートフォリオ実績!A261="","", ポートフォリオ実績!A261)</f>
        <v>45747</v>
      </c>
      <c r="B260" t="str">
        <f>IF(ポートフォリオ実績!B261="","", ポートフォリオ実績!B261)</f>
        <v>（参考）政策保有株式</v>
      </c>
      <c r="C260" s="10">
        <f>IF(ポートフォリオ実績!C261="","", ポートフォリオ実績!C261)</f>
        <v>8100.94</v>
      </c>
      <c r="D260" s="10">
        <f>IF(ポートフォリオ実績!D261="","", ポートフォリオ実績!D261)</f>
        <v>9693.7199999999993</v>
      </c>
      <c r="E260" s="10">
        <f>IF(ポートフォリオ実績!E261="","", ポートフォリオ実績!E261)</f>
        <v>16.489999999999998</v>
      </c>
      <c r="F260" s="10">
        <f>IF(ポートフォリオ実績!F261="","", ポートフォリオ実績!F261)</f>
        <v>0</v>
      </c>
      <c r="G260">
        <f t="shared" si="44"/>
        <v>45716</v>
      </c>
      <c r="H260">
        <f>IF(B260&lt;&gt;"", SUMIFS(ポートフォリオ実績!$D$2:$D$2001, ポートフォリオ実績!$B$2:$B$2001, B260, ポートフォリオ実績!$A$2:$A$2001, G260), 0)</f>
        <v>9276.2800000000007</v>
      </c>
      <c r="I260">
        <f>IF(B260&lt;&gt;"", SUMIFS(ポートフォリオ実績!$C$2:$C$2001, ポートフォリオ実績!$B$2:$B$2001, B260, ポートフォリオ実績!$A$2:$A$2001, G260), 0)</f>
        <v>7955.95</v>
      </c>
      <c r="J260">
        <f t="shared" si="45"/>
        <v>1592.7799999999997</v>
      </c>
      <c r="K260">
        <f t="shared" si="46"/>
        <v>1320.3300000000008</v>
      </c>
      <c r="L260">
        <f t="shared" si="47"/>
        <v>272.44999999999891</v>
      </c>
      <c r="M260">
        <f t="shared" si="48"/>
        <v>288.93999999999892</v>
      </c>
      <c r="N260">
        <f t="shared" si="49"/>
        <v>128.49999999999977</v>
      </c>
      <c r="O260">
        <f t="shared" si="50"/>
        <v>9340.5300000000007</v>
      </c>
      <c r="P260">
        <f t="shared" si="51"/>
        <v>3.0934004815572447E-2</v>
      </c>
      <c r="Q260" t="str">
        <f>IF(B260="","", IFERROR(VLOOKUP(B260, '基準資産配分（設定）'!$A$2:$C$2001, 3, FALSE), ""))</f>
        <v>TOPIX（配当込み）</v>
      </c>
      <c r="R260">
        <f>IF(B260="","", IFERROR(VLOOKUP(B260, '基準資産配分（設定）'!$A$2:$C$2001, 2, FALSE)/100, 0))</f>
        <v>0</v>
      </c>
      <c r="S260">
        <f>IF(B260="","", IFERROR(SUMIFS(ベンチマークリターン!$C$2:$C$2001, ベンチマークリターン!$A$2:$A$2001, A260, ベンチマークリターン!$B$2:$B$2001, Q260) / 100, 0))</f>
        <v>8.7233000000000005E-2</v>
      </c>
      <c r="T260">
        <f>IF(A260="","", SUMIFS($H$2:$H$2000, $A$2:$A$2000, A260))</f>
        <v>143923.46</v>
      </c>
      <c r="U260">
        <f t="shared" si="52"/>
        <v>6.4452869601661897E-2</v>
      </c>
      <c r="V260">
        <f t="shared" si="53"/>
        <v>1.9937853786352721E-3</v>
      </c>
      <c r="W260">
        <f t="shared" si="54"/>
        <v>0</v>
      </c>
    </row>
    <row r="261" spans="1:23" x14ac:dyDescent="0.2">
      <c r="A261" s="4" t="str">
        <f>IF(ポートフォリオ実績!A262="","", ポートフォリオ実績!A262)</f>
        <v/>
      </c>
      <c r="B261" t="str">
        <f>IF(ポートフォリオ実績!B262="","", ポートフォリオ実績!B262)</f>
        <v/>
      </c>
      <c r="C261" s="10" t="str">
        <f>IF(ポートフォリオ実績!C262="","", ポートフォリオ実績!C262)</f>
        <v/>
      </c>
      <c r="D261" s="10" t="str">
        <f>IF(ポートフォリオ実績!D262="","", ポートフォリオ実績!D262)</f>
        <v/>
      </c>
      <c r="E261" s="10" t="str">
        <f>IF(ポートフォリオ実績!E262="","", ポートフォリオ実績!E262)</f>
        <v/>
      </c>
      <c r="F261" s="10" t="str">
        <f>IF(ポートフォリオ実績!F262="","", ポートフォリオ実績!F262)</f>
        <v/>
      </c>
      <c r="G261" t="str">
        <f t="shared" si="44"/>
        <v/>
      </c>
      <c r="H261">
        <f>IF(B261&lt;&gt;"", SUMIFS(ポートフォリオ実績!$D$2:$D$2001, ポートフォリオ実績!$B$2:$B$2001, B261, ポートフォリオ実績!$A$2:$A$2001, G261), 0)</f>
        <v>0</v>
      </c>
      <c r="I261">
        <f>IF(B261&lt;&gt;"", SUMIFS(ポートフォリオ実績!$C$2:$C$2001, ポートフォリオ実績!$B$2:$B$2001, B261, ポートフォリオ実績!$A$2:$A$2001, G261), 0)</f>
        <v>0</v>
      </c>
      <c r="J261">
        <f t="shared" si="45"/>
        <v>0</v>
      </c>
      <c r="K261">
        <f t="shared" si="46"/>
        <v>0</v>
      </c>
      <c r="L261">
        <f t="shared" si="47"/>
        <v>0</v>
      </c>
      <c r="M261">
        <f t="shared" si="48"/>
        <v>0</v>
      </c>
      <c r="N261">
        <f t="shared" si="49"/>
        <v>0</v>
      </c>
      <c r="O261">
        <f t="shared" si="50"/>
        <v>0</v>
      </c>
      <c r="P261" t="str">
        <f t="shared" si="51"/>
        <v/>
      </c>
      <c r="Q261" t="str">
        <f>IF(B261="","", IFERROR(VLOOKUP(B261, '基準資産配分（設定）'!$A$2:$C$2001, 3, FALSE), ""))</f>
        <v/>
      </c>
      <c r="R261" t="str">
        <f>IF(B261="","", IFERROR(VLOOKUP(B261, '基準資産配分（設定）'!$A$2:$C$2001, 2, FALSE)/100, 0))</f>
        <v/>
      </c>
      <c r="S261" t="str">
        <f>IF(B261="","", IFERROR(SUMIFS(ベンチマークリターン!$C$2:$C$2001, ベンチマークリターン!$A$2:$A$2001, A261, ベンチマークリターン!$B$2:$B$2001, Q261) / 100, 0))</f>
        <v/>
      </c>
      <c r="T261" t="str">
        <f>IF(A261="","", SUMIFS($H$2:$H$2000, $A$2:$A$2000, A261))</f>
        <v/>
      </c>
      <c r="U261" t="str">
        <f t="shared" si="52"/>
        <v/>
      </c>
      <c r="V261" t="str">
        <f t="shared" si="53"/>
        <v/>
      </c>
      <c r="W261" t="str">
        <f t="shared" si="54"/>
        <v/>
      </c>
    </row>
    <row r="262" spans="1:23" x14ac:dyDescent="0.2">
      <c r="A262" s="4" t="str">
        <f>IF(ポートフォリオ実績!A263="","", ポートフォリオ実績!A263)</f>
        <v/>
      </c>
      <c r="B262" t="str">
        <f>IF(ポートフォリオ実績!B263="","", ポートフォリオ実績!B263)</f>
        <v/>
      </c>
      <c r="C262" s="10" t="str">
        <f>IF(ポートフォリオ実績!C263="","", ポートフォリオ実績!C263)</f>
        <v/>
      </c>
      <c r="D262" s="10" t="str">
        <f>IF(ポートフォリオ実績!D263="","", ポートフォリオ実績!D263)</f>
        <v/>
      </c>
      <c r="E262" s="10" t="str">
        <f>IF(ポートフォリオ実績!E263="","", ポートフォリオ実績!E263)</f>
        <v/>
      </c>
      <c r="F262" s="10" t="str">
        <f>IF(ポートフォリオ実績!F263="","", ポートフォリオ実績!F263)</f>
        <v/>
      </c>
      <c r="G262" t="str">
        <f t="shared" si="44"/>
        <v/>
      </c>
      <c r="H262">
        <f>IF(B262&lt;&gt;"", SUMIFS(ポートフォリオ実績!$D$2:$D$2001, ポートフォリオ実績!$B$2:$B$2001, B262, ポートフォリオ実績!$A$2:$A$2001, G262), 0)</f>
        <v>0</v>
      </c>
      <c r="I262">
        <f>IF(B262&lt;&gt;"", SUMIFS(ポートフォリオ実績!$C$2:$C$2001, ポートフォリオ実績!$B$2:$B$2001, B262, ポートフォリオ実績!$A$2:$A$2001, G262), 0)</f>
        <v>0</v>
      </c>
      <c r="J262">
        <f t="shared" si="45"/>
        <v>0</v>
      </c>
      <c r="K262">
        <f t="shared" si="46"/>
        <v>0</v>
      </c>
      <c r="L262">
        <f t="shared" si="47"/>
        <v>0</v>
      </c>
      <c r="M262">
        <f t="shared" si="48"/>
        <v>0</v>
      </c>
      <c r="N262">
        <f t="shared" si="49"/>
        <v>0</v>
      </c>
      <c r="O262">
        <f t="shared" si="50"/>
        <v>0</v>
      </c>
      <c r="P262" t="str">
        <f t="shared" si="51"/>
        <v/>
      </c>
      <c r="Q262" t="str">
        <f>IF(B262="","", IFERROR(VLOOKUP(B262, '基準資産配分（設定）'!$A$2:$C$2001, 3, FALSE), ""))</f>
        <v/>
      </c>
      <c r="R262" t="str">
        <f>IF(B262="","", IFERROR(VLOOKUP(B262, '基準資産配分（設定）'!$A$2:$C$2001, 2, FALSE)/100, 0))</f>
        <v/>
      </c>
      <c r="S262" t="str">
        <f>IF(B262="","", IFERROR(SUMIFS(ベンチマークリターン!$C$2:$C$2001, ベンチマークリターン!$A$2:$A$2001, A262, ベンチマークリターン!$B$2:$B$2001, Q262) / 100, 0))</f>
        <v/>
      </c>
      <c r="T262" t="str">
        <f>IF(A262="","", SUMIFS($H$2:$H$2000, $A$2:$A$2000, A262))</f>
        <v/>
      </c>
      <c r="U262" t="str">
        <f t="shared" si="52"/>
        <v/>
      </c>
      <c r="V262" t="str">
        <f t="shared" si="53"/>
        <v/>
      </c>
      <c r="W262" t="str">
        <f t="shared" si="54"/>
        <v/>
      </c>
    </row>
    <row r="263" spans="1:23" x14ac:dyDescent="0.2">
      <c r="A263" s="4" t="str">
        <f>IF(ポートフォリオ実績!A264="","", ポートフォリオ実績!A264)</f>
        <v/>
      </c>
      <c r="B263" t="str">
        <f>IF(ポートフォリオ実績!B264="","", ポートフォリオ実績!B264)</f>
        <v/>
      </c>
      <c r="C263" s="10" t="str">
        <f>IF(ポートフォリオ実績!C264="","", ポートフォリオ実績!C264)</f>
        <v/>
      </c>
      <c r="D263" s="10" t="str">
        <f>IF(ポートフォリオ実績!D264="","", ポートフォリオ実績!D264)</f>
        <v/>
      </c>
      <c r="E263" s="10" t="str">
        <f>IF(ポートフォリオ実績!E264="","", ポートフォリオ実績!E264)</f>
        <v/>
      </c>
      <c r="F263" s="10" t="str">
        <f>IF(ポートフォリオ実績!F264="","", ポートフォリオ実績!F264)</f>
        <v/>
      </c>
      <c r="G263" t="str">
        <f t="shared" si="44"/>
        <v/>
      </c>
      <c r="H263">
        <f>IF(B263&lt;&gt;"", SUMIFS(ポートフォリオ実績!$D$2:$D$2001, ポートフォリオ実績!$B$2:$B$2001, B263, ポートフォリオ実績!$A$2:$A$2001, G263), 0)</f>
        <v>0</v>
      </c>
      <c r="I263">
        <f>IF(B263&lt;&gt;"", SUMIFS(ポートフォリオ実績!$C$2:$C$2001, ポートフォリオ実績!$B$2:$B$2001, B263, ポートフォリオ実績!$A$2:$A$2001, G263), 0)</f>
        <v>0</v>
      </c>
      <c r="J263">
        <f t="shared" si="45"/>
        <v>0</v>
      </c>
      <c r="K263">
        <f t="shared" si="46"/>
        <v>0</v>
      </c>
      <c r="L263">
        <f t="shared" si="47"/>
        <v>0</v>
      </c>
      <c r="M263">
        <f t="shared" si="48"/>
        <v>0</v>
      </c>
      <c r="N263">
        <f t="shared" si="49"/>
        <v>0</v>
      </c>
      <c r="O263">
        <f t="shared" si="50"/>
        <v>0</v>
      </c>
      <c r="P263" t="str">
        <f t="shared" si="51"/>
        <v/>
      </c>
      <c r="Q263" t="str">
        <f>IF(B263="","", IFERROR(VLOOKUP(B263, '基準資産配分（設定）'!$A$2:$C$2001, 3, FALSE), ""))</f>
        <v/>
      </c>
      <c r="R263" t="str">
        <f>IF(B263="","", IFERROR(VLOOKUP(B263, '基準資産配分（設定）'!$A$2:$C$2001, 2, FALSE)/100, 0))</f>
        <v/>
      </c>
      <c r="S263" t="str">
        <f>IF(B263="","", IFERROR(SUMIFS(ベンチマークリターン!$C$2:$C$2001, ベンチマークリターン!$A$2:$A$2001, A263, ベンチマークリターン!$B$2:$B$2001, Q263) / 100, 0))</f>
        <v/>
      </c>
      <c r="T263" t="str">
        <f>IF(A263="","", SUMIFS($H$2:$H$2000, $A$2:$A$2000, A263))</f>
        <v/>
      </c>
      <c r="U263" t="str">
        <f t="shared" si="52"/>
        <v/>
      </c>
      <c r="V263" t="str">
        <f t="shared" si="53"/>
        <v/>
      </c>
      <c r="W263" t="str">
        <f t="shared" si="54"/>
        <v/>
      </c>
    </row>
    <row r="264" spans="1:23" x14ac:dyDescent="0.2">
      <c r="A264" s="4" t="str">
        <f>IF(ポートフォリオ実績!A265="","", ポートフォリオ実績!A265)</f>
        <v/>
      </c>
      <c r="B264" t="str">
        <f>IF(ポートフォリオ実績!B265="","", ポートフォリオ実績!B265)</f>
        <v/>
      </c>
      <c r="C264" s="10" t="str">
        <f>IF(ポートフォリオ実績!C265="","", ポートフォリオ実績!C265)</f>
        <v/>
      </c>
      <c r="D264" s="10" t="str">
        <f>IF(ポートフォリオ実績!D265="","", ポートフォリオ実績!D265)</f>
        <v/>
      </c>
      <c r="E264" s="10" t="str">
        <f>IF(ポートフォリオ実績!E265="","", ポートフォリオ実績!E265)</f>
        <v/>
      </c>
      <c r="F264" s="10" t="str">
        <f>IF(ポートフォリオ実績!F265="","", ポートフォリオ実績!F265)</f>
        <v/>
      </c>
      <c r="G264" t="str">
        <f t="shared" si="44"/>
        <v/>
      </c>
      <c r="H264">
        <f>IF(B264&lt;&gt;"", SUMIFS(ポートフォリオ実績!$D$2:$D$2001, ポートフォリオ実績!$B$2:$B$2001, B264, ポートフォリオ実績!$A$2:$A$2001, G264), 0)</f>
        <v>0</v>
      </c>
      <c r="I264">
        <f>IF(B264&lt;&gt;"", SUMIFS(ポートフォリオ実績!$C$2:$C$2001, ポートフォリオ実績!$B$2:$B$2001, B264, ポートフォリオ実績!$A$2:$A$2001, G264), 0)</f>
        <v>0</v>
      </c>
      <c r="J264">
        <f t="shared" si="45"/>
        <v>0</v>
      </c>
      <c r="K264">
        <f t="shared" si="46"/>
        <v>0</v>
      </c>
      <c r="L264">
        <f t="shared" si="47"/>
        <v>0</v>
      </c>
      <c r="M264">
        <f t="shared" si="48"/>
        <v>0</v>
      </c>
      <c r="N264">
        <f t="shared" si="49"/>
        <v>0</v>
      </c>
      <c r="O264">
        <f t="shared" si="50"/>
        <v>0</v>
      </c>
      <c r="P264" t="str">
        <f t="shared" si="51"/>
        <v/>
      </c>
      <c r="Q264" t="str">
        <f>IF(B264="","", IFERROR(VLOOKUP(B264, '基準資産配分（設定）'!$A$2:$C$2001, 3, FALSE), ""))</f>
        <v/>
      </c>
      <c r="R264" t="str">
        <f>IF(B264="","", IFERROR(VLOOKUP(B264, '基準資産配分（設定）'!$A$2:$C$2001, 2, FALSE)/100, 0))</f>
        <v/>
      </c>
      <c r="S264" t="str">
        <f>IF(B264="","", IFERROR(SUMIFS(ベンチマークリターン!$C$2:$C$2001, ベンチマークリターン!$A$2:$A$2001, A264, ベンチマークリターン!$B$2:$B$2001, Q264) / 100, 0))</f>
        <v/>
      </c>
      <c r="T264" t="str">
        <f>IF(A264="","", SUMIFS($H$2:$H$2000, $A$2:$A$2000, A264))</f>
        <v/>
      </c>
      <c r="U264" t="str">
        <f t="shared" si="52"/>
        <v/>
      </c>
      <c r="V264" t="str">
        <f t="shared" si="53"/>
        <v/>
      </c>
      <c r="W264" t="str">
        <f t="shared" si="54"/>
        <v/>
      </c>
    </row>
    <row r="265" spans="1:23" x14ac:dyDescent="0.2">
      <c r="A265" s="4" t="str">
        <f>IF(ポートフォリオ実績!A266="","", ポートフォリオ実績!A266)</f>
        <v/>
      </c>
      <c r="B265" t="str">
        <f>IF(ポートフォリオ実績!B266="","", ポートフォリオ実績!B266)</f>
        <v/>
      </c>
      <c r="C265" s="10" t="str">
        <f>IF(ポートフォリオ実績!C266="","", ポートフォリオ実績!C266)</f>
        <v/>
      </c>
      <c r="D265" s="10" t="str">
        <f>IF(ポートフォリオ実績!D266="","", ポートフォリオ実績!D266)</f>
        <v/>
      </c>
      <c r="E265" s="10" t="str">
        <f>IF(ポートフォリオ実績!E266="","", ポートフォリオ実績!E266)</f>
        <v/>
      </c>
      <c r="F265" s="10" t="str">
        <f>IF(ポートフォリオ実績!F266="","", ポートフォリオ実績!F266)</f>
        <v/>
      </c>
      <c r="G265" t="str">
        <f t="shared" si="44"/>
        <v/>
      </c>
      <c r="H265">
        <f>IF(B265&lt;&gt;"", SUMIFS(ポートフォリオ実績!$D$2:$D$2001, ポートフォリオ実績!$B$2:$B$2001, B265, ポートフォリオ実績!$A$2:$A$2001, G265), 0)</f>
        <v>0</v>
      </c>
      <c r="I265">
        <f>IF(B265&lt;&gt;"", SUMIFS(ポートフォリオ実績!$C$2:$C$2001, ポートフォリオ実績!$B$2:$B$2001, B265, ポートフォリオ実績!$A$2:$A$2001, G265), 0)</f>
        <v>0</v>
      </c>
      <c r="J265">
        <f t="shared" si="45"/>
        <v>0</v>
      </c>
      <c r="K265">
        <f t="shared" si="46"/>
        <v>0</v>
      </c>
      <c r="L265">
        <f t="shared" si="47"/>
        <v>0</v>
      </c>
      <c r="M265">
        <f t="shared" si="48"/>
        <v>0</v>
      </c>
      <c r="N265">
        <f t="shared" si="49"/>
        <v>0</v>
      </c>
      <c r="O265">
        <f t="shared" si="50"/>
        <v>0</v>
      </c>
      <c r="P265" t="str">
        <f t="shared" si="51"/>
        <v/>
      </c>
      <c r="Q265" t="str">
        <f>IF(B265="","", IFERROR(VLOOKUP(B265, '基準資産配分（設定）'!$A$2:$C$2001, 3, FALSE), ""))</f>
        <v/>
      </c>
      <c r="R265" t="str">
        <f>IF(B265="","", IFERROR(VLOOKUP(B265, '基準資産配分（設定）'!$A$2:$C$2001, 2, FALSE)/100, 0))</f>
        <v/>
      </c>
      <c r="S265" t="str">
        <f>IF(B265="","", IFERROR(SUMIFS(ベンチマークリターン!$C$2:$C$2001, ベンチマークリターン!$A$2:$A$2001, A265, ベンチマークリターン!$B$2:$B$2001, Q265) / 100, 0))</f>
        <v/>
      </c>
      <c r="T265" t="str">
        <f>IF(A265="","", SUMIFS($H$2:$H$2000, $A$2:$A$2000, A265))</f>
        <v/>
      </c>
      <c r="U265" t="str">
        <f t="shared" si="52"/>
        <v/>
      </c>
      <c r="V265" t="str">
        <f t="shared" si="53"/>
        <v/>
      </c>
      <c r="W265" t="str">
        <f t="shared" si="54"/>
        <v/>
      </c>
    </row>
    <row r="266" spans="1:23" x14ac:dyDescent="0.2">
      <c r="A266" s="4" t="str">
        <f>IF(ポートフォリオ実績!A267="","", ポートフォリオ実績!A267)</f>
        <v/>
      </c>
      <c r="B266" t="str">
        <f>IF(ポートフォリオ実績!B267="","", ポートフォリオ実績!B267)</f>
        <v/>
      </c>
      <c r="C266" s="10" t="str">
        <f>IF(ポートフォリオ実績!C267="","", ポートフォリオ実績!C267)</f>
        <v/>
      </c>
      <c r="D266" s="10" t="str">
        <f>IF(ポートフォリオ実績!D267="","", ポートフォリオ実績!D267)</f>
        <v/>
      </c>
      <c r="E266" s="10" t="str">
        <f>IF(ポートフォリオ実績!E267="","", ポートフォリオ実績!E267)</f>
        <v/>
      </c>
      <c r="F266" s="10" t="str">
        <f>IF(ポートフォリオ実績!F267="","", ポートフォリオ実績!F267)</f>
        <v/>
      </c>
      <c r="G266" t="str">
        <f t="shared" si="44"/>
        <v/>
      </c>
      <c r="H266">
        <f>IF(B266&lt;&gt;"", SUMIFS(ポートフォリオ実績!$D$2:$D$2001, ポートフォリオ実績!$B$2:$B$2001, B266, ポートフォリオ実績!$A$2:$A$2001, G266), 0)</f>
        <v>0</v>
      </c>
      <c r="I266">
        <f>IF(B266&lt;&gt;"", SUMIFS(ポートフォリオ実績!$C$2:$C$2001, ポートフォリオ実績!$B$2:$B$2001, B266, ポートフォリオ実績!$A$2:$A$2001, G266), 0)</f>
        <v>0</v>
      </c>
      <c r="J266">
        <f t="shared" si="45"/>
        <v>0</v>
      </c>
      <c r="K266">
        <f t="shared" si="46"/>
        <v>0</v>
      </c>
      <c r="L266">
        <f t="shared" si="47"/>
        <v>0</v>
      </c>
      <c r="M266">
        <f t="shared" si="48"/>
        <v>0</v>
      </c>
      <c r="N266">
        <f t="shared" si="49"/>
        <v>0</v>
      </c>
      <c r="O266">
        <f t="shared" si="50"/>
        <v>0</v>
      </c>
      <c r="P266" t="str">
        <f t="shared" si="51"/>
        <v/>
      </c>
      <c r="Q266" t="str">
        <f>IF(B266="","", IFERROR(VLOOKUP(B266, '基準資産配分（設定）'!$A$2:$C$2001, 3, FALSE), ""))</f>
        <v/>
      </c>
      <c r="R266" t="str">
        <f>IF(B266="","", IFERROR(VLOOKUP(B266, '基準資産配分（設定）'!$A$2:$C$2001, 2, FALSE)/100, 0))</f>
        <v/>
      </c>
      <c r="S266" t="str">
        <f>IF(B266="","", IFERROR(SUMIFS(ベンチマークリターン!$C$2:$C$2001, ベンチマークリターン!$A$2:$A$2001, A266, ベンチマークリターン!$B$2:$B$2001, Q266) / 100, 0))</f>
        <v/>
      </c>
      <c r="T266" t="str">
        <f>IF(A266="","", SUMIFS($H$2:$H$2000, $A$2:$A$2000, A266))</f>
        <v/>
      </c>
      <c r="U266" t="str">
        <f t="shared" si="52"/>
        <v/>
      </c>
      <c r="V266" t="str">
        <f t="shared" si="53"/>
        <v/>
      </c>
      <c r="W266" t="str">
        <f t="shared" si="54"/>
        <v/>
      </c>
    </row>
    <row r="267" spans="1:23" x14ac:dyDescent="0.2">
      <c r="A267" s="4" t="str">
        <f>IF(ポートフォリオ実績!A268="","", ポートフォリオ実績!A268)</f>
        <v/>
      </c>
      <c r="B267" t="str">
        <f>IF(ポートフォリオ実績!B268="","", ポートフォリオ実績!B268)</f>
        <v/>
      </c>
      <c r="C267" s="10" t="str">
        <f>IF(ポートフォリオ実績!C268="","", ポートフォリオ実績!C268)</f>
        <v/>
      </c>
      <c r="D267" s="10" t="str">
        <f>IF(ポートフォリオ実績!D268="","", ポートフォリオ実績!D268)</f>
        <v/>
      </c>
      <c r="E267" s="10" t="str">
        <f>IF(ポートフォリオ実績!E268="","", ポートフォリオ実績!E268)</f>
        <v/>
      </c>
      <c r="F267" s="10" t="str">
        <f>IF(ポートフォリオ実績!F268="","", ポートフォリオ実績!F268)</f>
        <v/>
      </c>
      <c r="G267" t="str">
        <f t="shared" si="44"/>
        <v/>
      </c>
      <c r="H267">
        <f>IF(B267&lt;&gt;"", SUMIFS(ポートフォリオ実績!$D$2:$D$2001, ポートフォリオ実績!$B$2:$B$2001, B267, ポートフォリオ実績!$A$2:$A$2001, G267), 0)</f>
        <v>0</v>
      </c>
      <c r="I267">
        <f>IF(B267&lt;&gt;"", SUMIFS(ポートフォリオ実績!$C$2:$C$2001, ポートフォリオ実績!$B$2:$B$2001, B267, ポートフォリオ実績!$A$2:$A$2001, G267), 0)</f>
        <v>0</v>
      </c>
      <c r="J267">
        <f t="shared" si="45"/>
        <v>0</v>
      </c>
      <c r="K267">
        <f t="shared" si="46"/>
        <v>0</v>
      </c>
      <c r="L267">
        <f t="shared" si="47"/>
        <v>0</v>
      </c>
      <c r="M267">
        <f t="shared" si="48"/>
        <v>0</v>
      </c>
      <c r="N267">
        <f t="shared" si="49"/>
        <v>0</v>
      </c>
      <c r="O267">
        <f t="shared" si="50"/>
        <v>0</v>
      </c>
      <c r="P267" t="str">
        <f t="shared" si="51"/>
        <v/>
      </c>
      <c r="Q267" t="str">
        <f>IF(B267="","", IFERROR(VLOOKUP(B267, '基準資産配分（設定）'!$A$2:$C$2001, 3, FALSE), ""))</f>
        <v/>
      </c>
      <c r="R267" t="str">
        <f>IF(B267="","", IFERROR(VLOOKUP(B267, '基準資産配分（設定）'!$A$2:$C$2001, 2, FALSE)/100, 0))</f>
        <v/>
      </c>
      <c r="S267" t="str">
        <f>IF(B267="","", IFERROR(SUMIFS(ベンチマークリターン!$C$2:$C$2001, ベンチマークリターン!$A$2:$A$2001, A267, ベンチマークリターン!$B$2:$B$2001, Q267) / 100, 0))</f>
        <v/>
      </c>
      <c r="T267" t="str">
        <f>IF(A267="","", SUMIFS($H$2:$H$2000, $A$2:$A$2000, A267))</f>
        <v/>
      </c>
      <c r="U267" t="str">
        <f t="shared" si="52"/>
        <v/>
      </c>
      <c r="V267" t="str">
        <f t="shared" si="53"/>
        <v/>
      </c>
      <c r="W267" t="str">
        <f t="shared" si="54"/>
        <v/>
      </c>
    </row>
    <row r="268" spans="1:23" x14ac:dyDescent="0.2">
      <c r="A268" s="4" t="str">
        <f>IF(ポートフォリオ実績!A269="","", ポートフォリオ実績!A269)</f>
        <v/>
      </c>
      <c r="B268" t="str">
        <f>IF(ポートフォリオ実績!B269="","", ポートフォリオ実績!B269)</f>
        <v/>
      </c>
      <c r="C268" s="10" t="str">
        <f>IF(ポートフォリオ実績!C269="","", ポートフォリオ実績!C269)</f>
        <v/>
      </c>
      <c r="D268" s="10" t="str">
        <f>IF(ポートフォリオ実績!D269="","", ポートフォリオ実績!D269)</f>
        <v/>
      </c>
      <c r="E268" s="10" t="str">
        <f>IF(ポートフォリオ実績!E269="","", ポートフォリオ実績!E269)</f>
        <v/>
      </c>
      <c r="F268" s="10" t="str">
        <f>IF(ポートフォリオ実績!F269="","", ポートフォリオ実績!F269)</f>
        <v/>
      </c>
      <c r="G268" t="str">
        <f t="shared" si="44"/>
        <v/>
      </c>
      <c r="H268">
        <f>IF(B268&lt;&gt;"", SUMIFS(ポートフォリオ実績!$D$2:$D$2001, ポートフォリオ実績!$B$2:$B$2001, B268, ポートフォリオ実績!$A$2:$A$2001, G268), 0)</f>
        <v>0</v>
      </c>
      <c r="I268">
        <f>IF(B268&lt;&gt;"", SUMIFS(ポートフォリオ実績!$C$2:$C$2001, ポートフォリオ実績!$B$2:$B$2001, B268, ポートフォリオ実績!$A$2:$A$2001, G268), 0)</f>
        <v>0</v>
      </c>
      <c r="J268">
        <f t="shared" si="45"/>
        <v>0</v>
      </c>
      <c r="K268">
        <f t="shared" si="46"/>
        <v>0</v>
      </c>
      <c r="L268">
        <f t="shared" si="47"/>
        <v>0</v>
      </c>
      <c r="M268">
        <f t="shared" si="48"/>
        <v>0</v>
      </c>
      <c r="N268">
        <f t="shared" si="49"/>
        <v>0</v>
      </c>
      <c r="O268">
        <f t="shared" si="50"/>
        <v>0</v>
      </c>
      <c r="P268" t="str">
        <f t="shared" si="51"/>
        <v/>
      </c>
      <c r="Q268" t="str">
        <f>IF(B268="","", IFERROR(VLOOKUP(B268, '基準資産配分（設定）'!$A$2:$C$2001, 3, FALSE), ""))</f>
        <v/>
      </c>
      <c r="R268" t="str">
        <f>IF(B268="","", IFERROR(VLOOKUP(B268, '基準資産配分（設定）'!$A$2:$C$2001, 2, FALSE)/100, 0))</f>
        <v/>
      </c>
      <c r="S268" t="str">
        <f>IF(B268="","", IFERROR(SUMIFS(ベンチマークリターン!$C$2:$C$2001, ベンチマークリターン!$A$2:$A$2001, A268, ベンチマークリターン!$B$2:$B$2001, Q268) / 100, 0))</f>
        <v/>
      </c>
      <c r="T268" t="str">
        <f>IF(A268="","", SUMIFS($H$2:$H$2000, $A$2:$A$2000, A268))</f>
        <v/>
      </c>
      <c r="U268" t="str">
        <f t="shared" si="52"/>
        <v/>
      </c>
      <c r="V268" t="str">
        <f t="shared" si="53"/>
        <v/>
      </c>
      <c r="W268" t="str">
        <f t="shared" si="54"/>
        <v/>
      </c>
    </row>
    <row r="269" spans="1:23" x14ac:dyDescent="0.2">
      <c r="A269" s="4" t="str">
        <f>IF(ポートフォリオ実績!A270="","", ポートフォリオ実績!A270)</f>
        <v/>
      </c>
      <c r="B269" t="str">
        <f>IF(ポートフォリオ実績!B270="","", ポートフォリオ実績!B270)</f>
        <v/>
      </c>
      <c r="C269" s="10" t="str">
        <f>IF(ポートフォリオ実績!C270="","", ポートフォリオ実績!C270)</f>
        <v/>
      </c>
      <c r="D269" s="10" t="str">
        <f>IF(ポートフォリオ実績!D270="","", ポートフォリオ実績!D270)</f>
        <v/>
      </c>
      <c r="E269" s="10" t="str">
        <f>IF(ポートフォリオ実績!E270="","", ポートフォリオ実績!E270)</f>
        <v/>
      </c>
      <c r="F269" s="10" t="str">
        <f>IF(ポートフォリオ実績!F270="","", ポートフォリオ実績!F270)</f>
        <v/>
      </c>
      <c r="G269" t="str">
        <f t="shared" si="44"/>
        <v/>
      </c>
      <c r="H269">
        <f>IF(B269&lt;&gt;"", SUMIFS(ポートフォリオ実績!$D$2:$D$2001, ポートフォリオ実績!$B$2:$B$2001, B269, ポートフォリオ実績!$A$2:$A$2001, G269), 0)</f>
        <v>0</v>
      </c>
      <c r="I269">
        <f>IF(B269&lt;&gt;"", SUMIFS(ポートフォリオ実績!$C$2:$C$2001, ポートフォリオ実績!$B$2:$B$2001, B269, ポートフォリオ実績!$A$2:$A$2001, G269), 0)</f>
        <v>0</v>
      </c>
      <c r="J269">
        <f t="shared" si="45"/>
        <v>0</v>
      </c>
      <c r="K269">
        <f t="shared" si="46"/>
        <v>0</v>
      </c>
      <c r="L269">
        <f t="shared" si="47"/>
        <v>0</v>
      </c>
      <c r="M269">
        <f t="shared" si="48"/>
        <v>0</v>
      </c>
      <c r="N269">
        <f t="shared" si="49"/>
        <v>0</v>
      </c>
      <c r="O269">
        <f t="shared" si="50"/>
        <v>0</v>
      </c>
      <c r="P269" t="str">
        <f t="shared" si="51"/>
        <v/>
      </c>
      <c r="Q269" t="str">
        <f>IF(B269="","", IFERROR(VLOOKUP(B269, '基準資産配分（設定）'!$A$2:$C$2001, 3, FALSE), ""))</f>
        <v/>
      </c>
      <c r="R269" t="str">
        <f>IF(B269="","", IFERROR(VLOOKUP(B269, '基準資産配分（設定）'!$A$2:$C$2001, 2, FALSE)/100, 0))</f>
        <v/>
      </c>
      <c r="S269" t="str">
        <f>IF(B269="","", IFERROR(SUMIFS(ベンチマークリターン!$C$2:$C$2001, ベンチマークリターン!$A$2:$A$2001, A269, ベンチマークリターン!$B$2:$B$2001, Q269) / 100, 0))</f>
        <v/>
      </c>
      <c r="T269" t="str">
        <f>IF(A269="","", SUMIFS($H$2:$H$2000, $A$2:$A$2000, A269))</f>
        <v/>
      </c>
      <c r="U269" t="str">
        <f t="shared" si="52"/>
        <v/>
      </c>
      <c r="V269" t="str">
        <f t="shared" si="53"/>
        <v/>
      </c>
      <c r="W269" t="str">
        <f t="shared" si="54"/>
        <v/>
      </c>
    </row>
    <row r="270" spans="1:23" x14ac:dyDescent="0.2">
      <c r="A270" s="4" t="str">
        <f>IF(ポートフォリオ実績!A271="","", ポートフォリオ実績!A271)</f>
        <v/>
      </c>
      <c r="B270" t="str">
        <f>IF(ポートフォリオ実績!B271="","", ポートフォリオ実績!B271)</f>
        <v/>
      </c>
      <c r="C270" s="10" t="str">
        <f>IF(ポートフォリオ実績!C271="","", ポートフォリオ実績!C271)</f>
        <v/>
      </c>
      <c r="D270" s="10" t="str">
        <f>IF(ポートフォリオ実績!D271="","", ポートフォリオ実績!D271)</f>
        <v/>
      </c>
      <c r="E270" s="10" t="str">
        <f>IF(ポートフォリオ実績!E271="","", ポートフォリオ実績!E271)</f>
        <v/>
      </c>
      <c r="F270" s="10" t="str">
        <f>IF(ポートフォリオ実績!F271="","", ポートフォリオ実績!F271)</f>
        <v/>
      </c>
      <c r="G270" t="str">
        <f t="shared" si="44"/>
        <v/>
      </c>
      <c r="H270">
        <f>IF(B270&lt;&gt;"", SUMIFS(ポートフォリオ実績!$D$2:$D$2001, ポートフォリオ実績!$B$2:$B$2001, B270, ポートフォリオ実績!$A$2:$A$2001, G270), 0)</f>
        <v>0</v>
      </c>
      <c r="I270">
        <f>IF(B270&lt;&gt;"", SUMIFS(ポートフォリオ実績!$C$2:$C$2001, ポートフォリオ実績!$B$2:$B$2001, B270, ポートフォリオ実績!$A$2:$A$2001, G270), 0)</f>
        <v>0</v>
      </c>
      <c r="J270">
        <f t="shared" si="45"/>
        <v>0</v>
      </c>
      <c r="K270">
        <f t="shared" si="46"/>
        <v>0</v>
      </c>
      <c r="L270">
        <f t="shared" si="47"/>
        <v>0</v>
      </c>
      <c r="M270">
        <f t="shared" si="48"/>
        <v>0</v>
      </c>
      <c r="N270">
        <f t="shared" si="49"/>
        <v>0</v>
      </c>
      <c r="O270">
        <f t="shared" si="50"/>
        <v>0</v>
      </c>
      <c r="P270" t="str">
        <f t="shared" si="51"/>
        <v/>
      </c>
      <c r="Q270" t="str">
        <f>IF(B270="","", IFERROR(VLOOKUP(B270, '基準資産配分（設定）'!$A$2:$C$2001, 3, FALSE), ""))</f>
        <v/>
      </c>
      <c r="R270" t="str">
        <f>IF(B270="","", IFERROR(VLOOKUP(B270, '基準資産配分（設定）'!$A$2:$C$2001, 2, FALSE)/100, 0))</f>
        <v/>
      </c>
      <c r="S270" t="str">
        <f>IF(B270="","", IFERROR(SUMIFS(ベンチマークリターン!$C$2:$C$2001, ベンチマークリターン!$A$2:$A$2001, A270, ベンチマークリターン!$B$2:$B$2001, Q270) / 100, 0))</f>
        <v/>
      </c>
      <c r="T270" t="str">
        <f>IF(A270="","", SUMIFS($H$2:$H$2000, $A$2:$A$2000, A270))</f>
        <v/>
      </c>
      <c r="U270" t="str">
        <f t="shared" si="52"/>
        <v/>
      </c>
      <c r="V270" t="str">
        <f t="shared" si="53"/>
        <v/>
      </c>
      <c r="W270" t="str">
        <f t="shared" si="54"/>
        <v/>
      </c>
    </row>
    <row r="271" spans="1:23" x14ac:dyDescent="0.2">
      <c r="A271" s="4" t="str">
        <f>IF(ポートフォリオ実績!A272="","", ポートフォリオ実績!A272)</f>
        <v/>
      </c>
      <c r="B271" t="str">
        <f>IF(ポートフォリオ実績!B272="","", ポートフォリオ実績!B272)</f>
        <v/>
      </c>
      <c r="C271" s="10" t="str">
        <f>IF(ポートフォリオ実績!C272="","", ポートフォリオ実績!C272)</f>
        <v/>
      </c>
      <c r="D271" s="10" t="str">
        <f>IF(ポートフォリオ実績!D272="","", ポートフォリオ実績!D272)</f>
        <v/>
      </c>
      <c r="E271" s="10" t="str">
        <f>IF(ポートフォリオ実績!E272="","", ポートフォリオ実績!E272)</f>
        <v/>
      </c>
      <c r="F271" s="10" t="str">
        <f>IF(ポートフォリオ実績!F272="","", ポートフォリオ実績!F272)</f>
        <v/>
      </c>
      <c r="G271" t="str">
        <f t="shared" si="44"/>
        <v/>
      </c>
      <c r="H271">
        <f>IF(B271&lt;&gt;"", SUMIFS(ポートフォリオ実績!$D$2:$D$2001, ポートフォリオ実績!$B$2:$B$2001, B271, ポートフォリオ実績!$A$2:$A$2001, G271), 0)</f>
        <v>0</v>
      </c>
      <c r="I271">
        <f>IF(B271&lt;&gt;"", SUMIFS(ポートフォリオ実績!$C$2:$C$2001, ポートフォリオ実績!$B$2:$B$2001, B271, ポートフォリオ実績!$A$2:$A$2001, G271), 0)</f>
        <v>0</v>
      </c>
      <c r="J271">
        <f t="shared" si="45"/>
        <v>0</v>
      </c>
      <c r="K271">
        <f t="shared" si="46"/>
        <v>0</v>
      </c>
      <c r="L271">
        <f t="shared" si="47"/>
        <v>0</v>
      </c>
      <c r="M271">
        <f t="shared" si="48"/>
        <v>0</v>
      </c>
      <c r="N271">
        <f t="shared" si="49"/>
        <v>0</v>
      </c>
      <c r="O271">
        <f t="shared" si="50"/>
        <v>0</v>
      </c>
      <c r="P271" t="str">
        <f t="shared" si="51"/>
        <v/>
      </c>
      <c r="Q271" t="str">
        <f>IF(B271="","", IFERROR(VLOOKUP(B271, '基準資産配分（設定）'!$A$2:$C$2001, 3, FALSE), ""))</f>
        <v/>
      </c>
      <c r="R271" t="str">
        <f>IF(B271="","", IFERROR(VLOOKUP(B271, '基準資産配分（設定）'!$A$2:$C$2001, 2, FALSE)/100, 0))</f>
        <v/>
      </c>
      <c r="S271" t="str">
        <f>IF(B271="","", IFERROR(SUMIFS(ベンチマークリターン!$C$2:$C$2001, ベンチマークリターン!$A$2:$A$2001, A271, ベンチマークリターン!$B$2:$B$2001, Q271) / 100, 0))</f>
        <v/>
      </c>
      <c r="T271" t="str">
        <f>IF(A271="","", SUMIFS($H$2:$H$2000, $A$2:$A$2000, A271))</f>
        <v/>
      </c>
      <c r="U271" t="str">
        <f t="shared" si="52"/>
        <v/>
      </c>
      <c r="V271" t="str">
        <f t="shared" si="53"/>
        <v/>
      </c>
      <c r="W271" t="str">
        <f t="shared" si="54"/>
        <v/>
      </c>
    </row>
    <row r="272" spans="1:23" x14ac:dyDescent="0.2">
      <c r="A272" s="4" t="str">
        <f>IF(ポートフォリオ実績!A273="","", ポートフォリオ実績!A273)</f>
        <v/>
      </c>
      <c r="B272" t="str">
        <f>IF(ポートフォリオ実績!B273="","", ポートフォリオ実績!B273)</f>
        <v/>
      </c>
      <c r="C272" s="10" t="str">
        <f>IF(ポートフォリオ実績!C273="","", ポートフォリオ実績!C273)</f>
        <v/>
      </c>
      <c r="D272" s="10" t="str">
        <f>IF(ポートフォリオ実績!D273="","", ポートフォリオ実績!D273)</f>
        <v/>
      </c>
      <c r="E272" s="10" t="str">
        <f>IF(ポートフォリオ実績!E273="","", ポートフォリオ実績!E273)</f>
        <v/>
      </c>
      <c r="F272" s="10" t="str">
        <f>IF(ポートフォリオ実績!F273="","", ポートフォリオ実績!F273)</f>
        <v/>
      </c>
      <c r="G272" t="str">
        <f t="shared" si="44"/>
        <v/>
      </c>
      <c r="H272">
        <f>IF(B272&lt;&gt;"", SUMIFS(ポートフォリオ実績!$D$2:$D$2001, ポートフォリオ実績!$B$2:$B$2001, B272, ポートフォリオ実績!$A$2:$A$2001, G272), 0)</f>
        <v>0</v>
      </c>
      <c r="I272">
        <f>IF(B272&lt;&gt;"", SUMIFS(ポートフォリオ実績!$C$2:$C$2001, ポートフォリオ実績!$B$2:$B$2001, B272, ポートフォリオ実績!$A$2:$A$2001, G272), 0)</f>
        <v>0</v>
      </c>
      <c r="J272">
        <f t="shared" si="45"/>
        <v>0</v>
      </c>
      <c r="K272">
        <f t="shared" si="46"/>
        <v>0</v>
      </c>
      <c r="L272">
        <f t="shared" si="47"/>
        <v>0</v>
      </c>
      <c r="M272">
        <f t="shared" si="48"/>
        <v>0</v>
      </c>
      <c r="N272">
        <f t="shared" si="49"/>
        <v>0</v>
      </c>
      <c r="O272">
        <f t="shared" si="50"/>
        <v>0</v>
      </c>
      <c r="P272" t="str">
        <f t="shared" si="51"/>
        <v/>
      </c>
      <c r="Q272" t="str">
        <f>IF(B272="","", IFERROR(VLOOKUP(B272, '基準資産配分（設定）'!$A$2:$C$2001, 3, FALSE), ""))</f>
        <v/>
      </c>
      <c r="R272" t="str">
        <f>IF(B272="","", IFERROR(VLOOKUP(B272, '基準資産配分（設定）'!$A$2:$C$2001, 2, FALSE)/100, 0))</f>
        <v/>
      </c>
      <c r="S272" t="str">
        <f>IF(B272="","", IFERROR(SUMIFS(ベンチマークリターン!$C$2:$C$2001, ベンチマークリターン!$A$2:$A$2001, A272, ベンチマークリターン!$B$2:$B$2001, Q272) / 100, 0))</f>
        <v/>
      </c>
      <c r="T272" t="str">
        <f>IF(A272="","", SUMIFS($H$2:$H$2000, $A$2:$A$2000, A272))</f>
        <v/>
      </c>
      <c r="U272" t="str">
        <f t="shared" si="52"/>
        <v/>
      </c>
      <c r="V272" t="str">
        <f t="shared" si="53"/>
        <v/>
      </c>
      <c r="W272" t="str">
        <f t="shared" si="54"/>
        <v/>
      </c>
    </row>
    <row r="273" spans="1:23" x14ac:dyDescent="0.2">
      <c r="A273" s="4" t="str">
        <f>IF(ポートフォリオ実績!A274="","", ポートフォリオ実績!A274)</f>
        <v/>
      </c>
      <c r="B273" t="str">
        <f>IF(ポートフォリオ実績!B274="","", ポートフォリオ実績!B274)</f>
        <v/>
      </c>
      <c r="C273" s="10" t="str">
        <f>IF(ポートフォリオ実績!C274="","", ポートフォリオ実績!C274)</f>
        <v/>
      </c>
      <c r="D273" s="10" t="str">
        <f>IF(ポートフォリオ実績!D274="","", ポートフォリオ実績!D274)</f>
        <v/>
      </c>
      <c r="E273" s="10" t="str">
        <f>IF(ポートフォリオ実績!E274="","", ポートフォリオ実績!E274)</f>
        <v/>
      </c>
      <c r="F273" s="10" t="str">
        <f>IF(ポートフォリオ実績!F274="","", ポートフォリオ実績!F274)</f>
        <v/>
      </c>
      <c r="G273" t="str">
        <f t="shared" si="44"/>
        <v/>
      </c>
      <c r="H273">
        <f>IF(B273&lt;&gt;"", SUMIFS(ポートフォリオ実績!$D$2:$D$2001, ポートフォリオ実績!$B$2:$B$2001, B273, ポートフォリオ実績!$A$2:$A$2001, G273), 0)</f>
        <v>0</v>
      </c>
      <c r="I273">
        <f>IF(B273&lt;&gt;"", SUMIFS(ポートフォリオ実績!$C$2:$C$2001, ポートフォリオ実績!$B$2:$B$2001, B273, ポートフォリオ実績!$A$2:$A$2001, G273), 0)</f>
        <v>0</v>
      </c>
      <c r="J273">
        <f t="shared" si="45"/>
        <v>0</v>
      </c>
      <c r="K273">
        <f t="shared" si="46"/>
        <v>0</v>
      </c>
      <c r="L273">
        <f t="shared" si="47"/>
        <v>0</v>
      </c>
      <c r="M273">
        <f t="shared" si="48"/>
        <v>0</v>
      </c>
      <c r="N273">
        <f t="shared" si="49"/>
        <v>0</v>
      </c>
      <c r="O273">
        <f t="shared" si="50"/>
        <v>0</v>
      </c>
      <c r="P273" t="str">
        <f t="shared" si="51"/>
        <v/>
      </c>
      <c r="Q273" t="str">
        <f>IF(B273="","", IFERROR(VLOOKUP(B273, '基準資産配分（設定）'!$A$2:$C$2001, 3, FALSE), ""))</f>
        <v/>
      </c>
      <c r="R273" t="str">
        <f>IF(B273="","", IFERROR(VLOOKUP(B273, '基準資産配分（設定）'!$A$2:$C$2001, 2, FALSE)/100, 0))</f>
        <v/>
      </c>
      <c r="S273" t="str">
        <f>IF(B273="","", IFERROR(SUMIFS(ベンチマークリターン!$C$2:$C$2001, ベンチマークリターン!$A$2:$A$2001, A273, ベンチマークリターン!$B$2:$B$2001, Q273) / 100, 0))</f>
        <v/>
      </c>
      <c r="T273" t="str">
        <f>IF(A273="","", SUMIFS($H$2:$H$2000, $A$2:$A$2000, A273))</f>
        <v/>
      </c>
      <c r="U273" t="str">
        <f t="shared" si="52"/>
        <v/>
      </c>
      <c r="V273" t="str">
        <f t="shared" si="53"/>
        <v/>
      </c>
      <c r="W273" t="str">
        <f t="shared" si="54"/>
        <v/>
      </c>
    </row>
    <row r="274" spans="1:23" x14ac:dyDescent="0.2">
      <c r="A274" s="4" t="str">
        <f>IF(ポートフォリオ実績!A275="","", ポートフォリオ実績!A275)</f>
        <v/>
      </c>
      <c r="B274" t="str">
        <f>IF(ポートフォリオ実績!B275="","", ポートフォリオ実績!B275)</f>
        <v/>
      </c>
      <c r="C274" s="10" t="str">
        <f>IF(ポートフォリオ実績!C275="","", ポートフォリオ実績!C275)</f>
        <v/>
      </c>
      <c r="D274" s="10" t="str">
        <f>IF(ポートフォリオ実績!D275="","", ポートフォリオ実績!D275)</f>
        <v/>
      </c>
      <c r="E274" s="10" t="str">
        <f>IF(ポートフォリオ実績!E275="","", ポートフォリオ実績!E275)</f>
        <v/>
      </c>
      <c r="F274" s="10" t="str">
        <f>IF(ポートフォリオ実績!F275="","", ポートフォリオ実績!F275)</f>
        <v/>
      </c>
      <c r="G274" t="str">
        <f t="shared" si="44"/>
        <v/>
      </c>
      <c r="H274">
        <f>IF(B274&lt;&gt;"", SUMIFS(ポートフォリオ実績!$D$2:$D$2001, ポートフォリオ実績!$B$2:$B$2001, B274, ポートフォリオ実績!$A$2:$A$2001, G274), 0)</f>
        <v>0</v>
      </c>
      <c r="I274">
        <f>IF(B274&lt;&gt;"", SUMIFS(ポートフォリオ実績!$C$2:$C$2001, ポートフォリオ実績!$B$2:$B$2001, B274, ポートフォリオ実績!$A$2:$A$2001, G274), 0)</f>
        <v>0</v>
      </c>
      <c r="J274">
        <f t="shared" si="45"/>
        <v>0</v>
      </c>
      <c r="K274">
        <f t="shared" si="46"/>
        <v>0</v>
      </c>
      <c r="L274">
        <f t="shared" si="47"/>
        <v>0</v>
      </c>
      <c r="M274">
        <f t="shared" si="48"/>
        <v>0</v>
      </c>
      <c r="N274">
        <f t="shared" si="49"/>
        <v>0</v>
      </c>
      <c r="O274">
        <f t="shared" si="50"/>
        <v>0</v>
      </c>
      <c r="P274" t="str">
        <f t="shared" si="51"/>
        <v/>
      </c>
      <c r="Q274" t="str">
        <f>IF(B274="","", IFERROR(VLOOKUP(B274, '基準資産配分（設定）'!$A$2:$C$2001, 3, FALSE), ""))</f>
        <v/>
      </c>
      <c r="R274" t="str">
        <f>IF(B274="","", IFERROR(VLOOKUP(B274, '基準資産配分（設定）'!$A$2:$C$2001, 2, FALSE)/100, 0))</f>
        <v/>
      </c>
      <c r="S274" t="str">
        <f>IF(B274="","", IFERROR(SUMIFS(ベンチマークリターン!$C$2:$C$2001, ベンチマークリターン!$A$2:$A$2001, A274, ベンチマークリターン!$B$2:$B$2001, Q274) / 100, 0))</f>
        <v/>
      </c>
      <c r="T274" t="str">
        <f>IF(A274="","", SUMIFS($H$2:$H$2000, $A$2:$A$2000, A274))</f>
        <v/>
      </c>
      <c r="U274" t="str">
        <f t="shared" si="52"/>
        <v/>
      </c>
      <c r="V274" t="str">
        <f t="shared" si="53"/>
        <v/>
      </c>
      <c r="W274" t="str">
        <f t="shared" si="54"/>
        <v/>
      </c>
    </row>
    <row r="275" spans="1:23" x14ac:dyDescent="0.2">
      <c r="A275" s="4" t="str">
        <f>IF(ポートフォリオ実績!A276="","", ポートフォリオ実績!A276)</f>
        <v/>
      </c>
      <c r="B275" t="str">
        <f>IF(ポートフォリオ実績!B276="","", ポートフォリオ実績!B276)</f>
        <v/>
      </c>
      <c r="C275" s="10" t="str">
        <f>IF(ポートフォリオ実績!C276="","", ポートフォリオ実績!C276)</f>
        <v/>
      </c>
      <c r="D275" s="10" t="str">
        <f>IF(ポートフォリオ実績!D276="","", ポートフォリオ実績!D276)</f>
        <v/>
      </c>
      <c r="E275" s="10" t="str">
        <f>IF(ポートフォリオ実績!E276="","", ポートフォリオ実績!E276)</f>
        <v/>
      </c>
      <c r="F275" s="10" t="str">
        <f>IF(ポートフォリオ実績!F276="","", ポートフォリオ実績!F276)</f>
        <v/>
      </c>
      <c r="G275" t="str">
        <f t="shared" si="44"/>
        <v/>
      </c>
      <c r="H275">
        <f>IF(B275&lt;&gt;"", SUMIFS(ポートフォリオ実績!$D$2:$D$2001, ポートフォリオ実績!$B$2:$B$2001, B275, ポートフォリオ実績!$A$2:$A$2001, G275), 0)</f>
        <v>0</v>
      </c>
      <c r="I275">
        <f>IF(B275&lt;&gt;"", SUMIFS(ポートフォリオ実績!$C$2:$C$2001, ポートフォリオ実績!$B$2:$B$2001, B275, ポートフォリオ実績!$A$2:$A$2001, G275), 0)</f>
        <v>0</v>
      </c>
      <c r="J275">
        <f t="shared" si="45"/>
        <v>0</v>
      </c>
      <c r="K275">
        <f t="shared" si="46"/>
        <v>0</v>
      </c>
      <c r="L275">
        <f t="shared" si="47"/>
        <v>0</v>
      </c>
      <c r="M275">
        <f t="shared" si="48"/>
        <v>0</v>
      </c>
      <c r="N275">
        <f t="shared" si="49"/>
        <v>0</v>
      </c>
      <c r="O275">
        <f t="shared" si="50"/>
        <v>0</v>
      </c>
      <c r="P275" t="str">
        <f t="shared" si="51"/>
        <v/>
      </c>
      <c r="Q275" t="str">
        <f>IF(B275="","", IFERROR(VLOOKUP(B275, '基準資産配分（設定）'!$A$2:$C$2001, 3, FALSE), ""))</f>
        <v/>
      </c>
      <c r="R275" t="str">
        <f>IF(B275="","", IFERROR(VLOOKUP(B275, '基準資産配分（設定）'!$A$2:$C$2001, 2, FALSE)/100, 0))</f>
        <v/>
      </c>
      <c r="S275" t="str">
        <f>IF(B275="","", IFERROR(SUMIFS(ベンチマークリターン!$C$2:$C$2001, ベンチマークリターン!$A$2:$A$2001, A275, ベンチマークリターン!$B$2:$B$2001, Q275) / 100, 0))</f>
        <v/>
      </c>
      <c r="T275" t="str">
        <f>IF(A275="","", SUMIFS($H$2:$H$2000, $A$2:$A$2000, A275))</f>
        <v/>
      </c>
      <c r="U275" t="str">
        <f t="shared" si="52"/>
        <v/>
      </c>
      <c r="V275" t="str">
        <f t="shared" si="53"/>
        <v/>
      </c>
      <c r="W275" t="str">
        <f t="shared" si="54"/>
        <v/>
      </c>
    </row>
    <row r="276" spans="1:23" x14ac:dyDescent="0.2">
      <c r="A276" s="4" t="str">
        <f>IF(ポートフォリオ実績!A277="","", ポートフォリオ実績!A277)</f>
        <v/>
      </c>
      <c r="B276" t="str">
        <f>IF(ポートフォリオ実績!B277="","", ポートフォリオ実績!B277)</f>
        <v/>
      </c>
      <c r="C276" s="10" t="str">
        <f>IF(ポートフォリオ実績!C277="","", ポートフォリオ実績!C277)</f>
        <v/>
      </c>
      <c r="D276" s="10" t="str">
        <f>IF(ポートフォリオ実績!D277="","", ポートフォリオ実績!D277)</f>
        <v/>
      </c>
      <c r="E276" s="10" t="str">
        <f>IF(ポートフォリオ実績!E277="","", ポートフォリオ実績!E277)</f>
        <v/>
      </c>
      <c r="F276" s="10" t="str">
        <f>IF(ポートフォリオ実績!F277="","", ポートフォリオ実績!F277)</f>
        <v/>
      </c>
      <c r="G276" t="str">
        <f t="shared" si="44"/>
        <v/>
      </c>
      <c r="H276">
        <f>IF(B276&lt;&gt;"", SUMIFS(ポートフォリオ実績!$D$2:$D$2001, ポートフォリオ実績!$B$2:$B$2001, B276, ポートフォリオ実績!$A$2:$A$2001, G276), 0)</f>
        <v>0</v>
      </c>
      <c r="I276">
        <f>IF(B276&lt;&gt;"", SUMIFS(ポートフォリオ実績!$C$2:$C$2001, ポートフォリオ実績!$B$2:$B$2001, B276, ポートフォリオ実績!$A$2:$A$2001, G276), 0)</f>
        <v>0</v>
      </c>
      <c r="J276">
        <f t="shared" si="45"/>
        <v>0</v>
      </c>
      <c r="K276">
        <f t="shared" si="46"/>
        <v>0</v>
      </c>
      <c r="L276">
        <f t="shared" si="47"/>
        <v>0</v>
      </c>
      <c r="M276">
        <f t="shared" si="48"/>
        <v>0</v>
      </c>
      <c r="N276">
        <f t="shared" si="49"/>
        <v>0</v>
      </c>
      <c r="O276">
        <f t="shared" si="50"/>
        <v>0</v>
      </c>
      <c r="P276" t="str">
        <f t="shared" si="51"/>
        <v/>
      </c>
      <c r="Q276" t="str">
        <f>IF(B276="","", IFERROR(VLOOKUP(B276, '基準資産配分（設定）'!$A$2:$C$2001, 3, FALSE), ""))</f>
        <v/>
      </c>
      <c r="R276" t="str">
        <f>IF(B276="","", IFERROR(VLOOKUP(B276, '基準資産配分（設定）'!$A$2:$C$2001, 2, FALSE)/100, 0))</f>
        <v/>
      </c>
      <c r="S276" t="str">
        <f>IF(B276="","", IFERROR(SUMIFS(ベンチマークリターン!$C$2:$C$2001, ベンチマークリターン!$A$2:$A$2001, A276, ベンチマークリターン!$B$2:$B$2001, Q276) / 100, 0))</f>
        <v/>
      </c>
      <c r="T276" t="str">
        <f>IF(A276="","", SUMIFS($H$2:$H$2000, $A$2:$A$2000, A276))</f>
        <v/>
      </c>
      <c r="U276" t="str">
        <f t="shared" si="52"/>
        <v/>
      </c>
      <c r="V276" t="str">
        <f t="shared" si="53"/>
        <v/>
      </c>
      <c r="W276" t="str">
        <f t="shared" si="54"/>
        <v/>
      </c>
    </row>
    <row r="277" spans="1:23" x14ac:dyDescent="0.2">
      <c r="A277" s="4" t="str">
        <f>IF(ポートフォリオ実績!A278="","", ポートフォリオ実績!A278)</f>
        <v/>
      </c>
      <c r="B277" t="str">
        <f>IF(ポートフォリオ実績!B278="","", ポートフォリオ実績!B278)</f>
        <v/>
      </c>
      <c r="C277" s="10" t="str">
        <f>IF(ポートフォリオ実績!C278="","", ポートフォリオ実績!C278)</f>
        <v/>
      </c>
      <c r="D277" s="10" t="str">
        <f>IF(ポートフォリオ実績!D278="","", ポートフォリオ実績!D278)</f>
        <v/>
      </c>
      <c r="E277" s="10" t="str">
        <f>IF(ポートフォリオ実績!E278="","", ポートフォリオ実績!E278)</f>
        <v/>
      </c>
      <c r="F277" s="10" t="str">
        <f>IF(ポートフォリオ実績!F278="","", ポートフォリオ実績!F278)</f>
        <v/>
      </c>
      <c r="G277" t="str">
        <f t="shared" si="44"/>
        <v/>
      </c>
      <c r="H277">
        <f>IF(B277&lt;&gt;"", SUMIFS(ポートフォリオ実績!$D$2:$D$2001, ポートフォリオ実績!$B$2:$B$2001, B277, ポートフォリオ実績!$A$2:$A$2001, G277), 0)</f>
        <v>0</v>
      </c>
      <c r="I277">
        <f>IF(B277&lt;&gt;"", SUMIFS(ポートフォリオ実績!$C$2:$C$2001, ポートフォリオ実績!$B$2:$B$2001, B277, ポートフォリオ実績!$A$2:$A$2001, G277), 0)</f>
        <v>0</v>
      </c>
      <c r="J277">
        <f t="shared" si="45"/>
        <v>0</v>
      </c>
      <c r="K277">
        <f t="shared" si="46"/>
        <v>0</v>
      </c>
      <c r="L277">
        <f t="shared" si="47"/>
        <v>0</v>
      </c>
      <c r="M277">
        <f t="shared" si="48"/>
        <v>0</v>
      </c>
      <c r="N277">
        <f t="shared" si="49"/>
        <v>0</v>
      </c>
      <c r="O277">
        <f t="shared" si="50"/>
        <v>0</v>
      </c>
      <c r="P277" t="str">
        <f t="shared" si="51"/>
        <v/>
      </c>
      <c r="Q277" t="str">
        <f>IF(B277="","", IFERROR(VLOOKUP(B277, '基準資産配分（設定）'!$A$2:$C$2001, 3, FALSE), ""))</f>
        <v/>
      </c>
      <c r="R277" t="str">
        <f>IF(B277="","", IFERROR(VLOOKUP(B277, '基準資産配分（設定）'!$A$2:$C$2001, 2, FALSE)/100, 0))</f>
        <v/>
      </c>
      <c r="S277" t="str">
        <f>IF(B277="","", IFERROR(SUMIFS(ベンチマークリターン!$C$2:$C$2001, ベンチマークリターン!$A$2:$A$2001, A277, ベンチマークリターン!$B$2:$B$2001, Q277) / 100, 0))</f>
        <v/>
      </c>
      <c r="T277" t="str">
        <f>IF(A277="","", SUMIFS($H$2:$H$2000, $A$2:$A$2000, A277))</f>
        <v/>
      </c>
      <c r="U277" t="str">
        <f t="shared" si="52"/>
        <v/>
      </c>
      <c r="V277" t="str">
        <f t="shared" si="53"/>
        <v/>
      </c>
      <c r="W277" t="str">
        <f t="shared" si="54"/>
        <v/>
      </c>
    </row>
    <row r="278" spans="1:23" x14ac:dyDescent="0.2">
      <c r="A278" s="4" t="str">
        <f>IF(ポートフォリオ実績!A279="","", ポートフォリオ実績!A279)</f>
        <v/>
      </c>
      <c r="B278" t="str">
        <f>IF(ポートフォリオ実績!B279="","", ポートフォリオ実績!B279)</f>
        <v/>
      </c>
      <c r="C278" s="10" t="str">
        <f>IF(ポートフォリオ実績!C279="","", ポートフォリオ実績!C279)</f>
        <v/>
      </c>
      <c r="D278" s="10" t="str">
        <f>IF(ポートフォリオ実績!D279="","", ポートフォリオ実績!D279)</f>
        <v/>
      </c>
      <c r="E278" s="10" t="str">
        <f>IF(ポートフォリオ実績!E279="","", ポートフォリオ実績!E279)</f>
        <v/>
      </c>
      <c r="F278" s="10" t="str">
        <f>IF(ポートフォリオ実績!F279="","", ポートフォリオ実績!F279)</f>
        <v/>
      </c>
      <c r="G278" t="str">
        <f t="shared" si="44"/>
        <v/>
      </c>
      <c r="H278">
        <f>IF(B278&lt;&gt;"", SUMIFS(ポートフォリオ実績!$D$2:$D$2001, ポートフォリオ実績!$B$2:$B$2001, B278, ポートフォリオ実績!$A$2:$A$2001, G278), 0)</f>
        <v>0</v>
      </c>
      <c r="I278">
        <f>IF(B278&lt;&gt;"", SUMIFS(ポートフォリオ実績!$C$2:$C$2001, ポートフォリオ実績!$B$2:$B$2001, B278, ポートフォリオ実績!$A$2:$A$2001, G278), 0)</f>
        <v>0</v>
      </c>
      <c r="J278">
        <f t="shared" si="45"/>
        <v>0</v>
      </c>
      <c r="K278">
        <f t="shared" si="46"/>
        <v>0</v>
      </c>
      <c r="L278">
        <f t="shared" si="47"/>
        <v>0</v>
      </c>
      <c r="M278">
        <f t="shared" si="48"/>
        <v>0</v>
      </c>
      <c r="N278">
        <f t="shared" si="49"/>
        <v>0</v>
      </c>
      <c r="O278">
        <f t="shared" si="50"/>
        <v>0</v>
      </c>
      <c r="P278" t="str">
        <f t="shared" si="51"/>
        <v/>
      </c>
      <c r="Q278" t="str">
        <f>IF(B278="","", IFERROR(VLOOKUP(B278, '基準資産配分（設定）'!$A$2:$C$2001, 3, FALSE), ""))</f>
        <v/>
      </c>
      <c r="R278" t="str">
        <f>IF(B278="","", IFERROR(VLOOKUP(B278, '基準資産配分（設定）'!$A$2:$C$2001, 2, FALSE)/100, 0))</f>
        <v/>
      </c>
      <c r="S278" t="str">
        <f>IF(B278="","", IFERROR(SUMIFS(ベンチマークリターン!$C$2:$C$2001, ベンチマークリターン!$A$2:$A$2001, A278, ベンチマークリターン!$B$2:$B$2001, Q278) / 100, 0))</f>
        <v/>
      </c>
      <c r="T278" t="str">
        <f>IF(A278="","", SUMIFS($H$2:$H$2000, $A$2:$A$2000, A278))</f>
        <v/>
      </c>
      <c r="U278" t="str">
        <f t="shared" si="52"/>
        <v/>
      </c>
      <c r="V278" t="str">
        <f t="shared" si="53"/>
        <v/>
      </c>
      <c r="W278" t="str">
        <f t="shared" si="54"/>
        <v/>
      </c>
    </row>
    <row r="279" spans="1:23" x14ac:dyDescent="0.2">
      <c r="A279" s="4" t="str">
        <f>IF(ポートフォリオ実績!A280="","", ポートフォリオ実績!A280)</f>
        <v/>
      </c>
      <c r="B279" t="str">
        <f>IF(ポートフォリオ実績!B280="","", ポートフォリオ実績!B280)</f>
        <v/>
      </c>
      <c r="C279" s="10" t="str">
        <f>IF(ポートフォリオ実績!C280="","", ポートフォリオ実績!C280)</f>
        <v/>
      </c>
      <c r="D279" s="10" t="str">
        <f>IF(ポートフォリオ実績!D280="","", ポートフォリオ実績!D280)</f>
        <v/>
      </c>
      <c r="E279" s="10" t="str">
        <f>IF(ポートフォリオ実績!E280="","", ポートフォリオ実績!E280)</f>
        <v/>
      </c>
      <c r="F279" s="10" t="str">
        <f>IF(ポートフォリオ実績!F280="","", ポートフォリオ実績!F280)</f>
        <v/>
      </c>
      <c r="G279" t="str">
        <f t="shared" si="44"/>
        <v/>
      </c>
      <c r="H279">
        <f>IF(B279&lt;&gt;"", SUMIFS(ポートフォリオ実績!$D$2:$D$2001, ポートフォリオ実績!$B$2:$B$2001, B279, ポートフォリオ実績!$A$2:$A$2001, G279), 0)</f>
        <v>0</v>
      </c>
      <c r="I279">
        <f>IF(B279&lt;&gt;"", SUMIFS(ポートフォリオ実績!$C$2:$C$2001, ポートフォリオ実績!$B$2:$B$2001, B279, ポートフォリオ実績!$A$2:$A$2001, G279), 0)</f>
        <v>0</v>
      </c>
      <c r="J279">
        <f t="shared" si="45"/>
        <v>0</v>
      </c>
      <c r="K279">
        <f t="shared" si="46"/>
        <v>0</v>
      </c>
      <c r="L279">
        <f t="shared" si="47"/>
        <v>0</v>
      </c>
      <c r="M279">
        <f t="shared" si="48"/>
        <v>0</v>
      </c>
      <c r="N279">
        <f t="shared" si="49"/>
        <v>0</v>
      </c>
      <c r="O279">
        <f t="shared" si="50"/>
        <v>0</v>
      </c>
      <c r="P279" t="str">
        <f t="shared" si="51"/>
        <v/>
      </c>
      <c r="Q279" t="str">
        <f>IF(B279="","", IFERROR(VLOOKUP(B279, '基準資産配分（設定）'!$A$2:$C$2001, 3, FALSE), ""))</f>
        <v/>
      </c>
      <c r="R279" t="str">
        <f>IF(B279="","", IFERROR(VLOOKUP(B279, '基準資産配分（設定）'!$A$2:$C$2001, 2, FALSE)/100, 0))</f>
        <v/>
      </c>
      <c r="S279" t="str">
        <f>IF(B279="","", IFERROR(SUMIFS(ベンチマークリターン!$C$2:$C$2001, ベンチマークリターン!$A$2:$A$2001, A279, ベンチマークリターン!$B$2:$B$2001, Q279) / 100, 0))</f>
        <v/>
      </c>
      <c r="T279" t="str">
        <f>IF(A279="","", SUMIFS($H$2:$H$2000, $A$2:$A$2000, A279))</f>
        <v/>
      </c>
      <c r="U279" t="str">
        <f t="shared" si="52"/>
        <v/>
      </c>
      <c r="V279" t="str">
        <f t="shared" si="53"/>
        <v/>
      </c>
      <c r="W279" t="str">
        <f t="shared" si="54"/>
        <v/>
      </c>
    </row>
    <row r="280" spans="1:23" x14ac:dyDescent="0.2">
      <c r="A280" s="4" t="str">
        <f>IF(ポートフォリオ実績!A281="","", ポートフォリオ実績!A281)</f>
        <v/>
      </c>
      <c r="B280" t="str">
        <f>IF(ポートフォリオ実績!B281="","", ポートフォリオ実績!B281)</f>
        <v/>
      </c>
      <c r="C280" s="10" t="str">
        <f>IF(ポートフォリオ実績!C281="","", ポートフォリオ実績!C281)</f>
        <v/>
      </c>
      <c r="D280" s="10" t="str">
        <f>IF(ポートフォリオ実績!D281="","", ポートフォリオ実績!D281)</f>
        <v/>
      </c>
      <c r="E280" s="10" t="str">
        <f>IF(ポートフォリオ実績!E281="","", ポートフォリオ実績!E281)</f>
        <v/>
      </c>
      <c r="F280" s="10" t="str">
        <f>IF(ポートフォリオ実績!F281="","", ポートフォリオ実績!F281)</f>
        <v/>
      </c>
      <c r="G280" t="str">
        <f t="shared" si="44"/>
        <v/>
      </c>
      <c r="H280">
        <f>IF(B280&lt;&gt;"", SUMIFS(ポートフォリオ実績!$D$2:$D$2001, ポートフォリオ実績!$B$2:$B$2001, B280, ポートフォリオ実績!$A$2:$A$2001, G280), 0)</f>
        <v>0</v>
      </c>
      <c r="I280">
        <f>IF(B280&lt;&gt;"", SUMIFS(ポートフォリオ実績!$C$2:$C$2001, ポートフォリオ実績!$B$2:$B$2001, B280, ポートフォリオ実績!$A$2:$A$2001, G280), 0)</f>
        <v>0</v>
      </c>
      <c r="J280">
        <f t="shared" si="45"/>
        <v>0</v>
      </c>
      <c r="K280">
        <f t="shared" si="46"/>
        <v>0</v>
      </c>
      <c r="L280">
        <f t="shared" si="47"/>
        <v>0</v>
      </c>
      <c r="M280">
        <f t="shared" si="48"/>
        <v>0</v>
      </c>
      <c r="N280">
        <f t="shared" si="49"/>
        <v>0</v>
      </c>
      <c r="O280">
        <f t="shared" si="50"/>
        <v>0</v>
      </c>
      <c r="P280" t="str">
        <f t="shared" si="51"/>
        <v/>
      </c>
      <c r="Q280" t="str">
        <f>IF(B280="","", IFERROR(VLOOKUP(B280, '基準資産配分（設定）'!$A$2:$C$2001, 3, FALSE), ""))</f>
        <v/>
      </c>
      <c r="R280" t="str">
        <f>IF(B280="","", IFERROR(VLOOKUP(B280, '基準資産配分（設定）'!$A$2:$C$2001, 2, FALSE)/100, 0))</f>
        <v/>
      </c>
      <c r="S280" t="str">
        <f>IF(B280="","", IFERROR(SUMIFS(ベンチマークリターン!$C$2:$C$2001, ベンチマークリターン!$A$2:$A$2001, A280, ベンチマークリターン!$B$2:$B$2001, Q280) / 100, 0))</f>
        <v/>
      </c>
      <c r="T280" t="str">
        <f>IF(A280="","", SUMIFS($H$2:$H$2000, $A$2:$A$2000, A280))</f>
        <v/>
      </c>
      <c r="U280" t="str">
        <f t="shared" si="52"/>
        <v/>
      </c>
      <c r="V280" t="str">
        <f t="shared" si="53"/>
        <v/>
      </c>
      <c r="W280" t="str">
        <f t="shared" si="54"/>
        <v/>
      </c>
    </row>
    <row r="281" spans="1:23" x14ac:dyDescent="0.2">
      <c r="A281" s="4" t="str">
        <f>IF(ポートフォリオ実績!A282="","", ポートフォリオ実績!A282)</f>
        <v/>
      </c>
      <c r="B281" t="str">
        <f>IF(ポートフォリオ実績!B282="","", ポートフォリオ実績!B282)</f>
        <v/>
      </c>
      <c r="C281" s="10" t="str">
        <f>IF(ポートフォリオ実績!C282="","", ポートフォリオ実績!C282)</f>
        <v/>
      </c>
      <c r="D281" s="10" t="str">
        <f>IF(ポートフォリオ実績!D282="","", ポートフォリオ実績!D282)</f>
        <v/>
      </c>
      <c r="E281" s="10" t="str">
        <f>IF(ポートフォリオ実績!E282="","", ポートフォリオ実績!E282)</f>
        <v/>
      </c>
      <c r="F281" s="10" t="str">
        <f>IF(ポートフォリオ実績!F282="","", ポートフォリオ実績!F282)</f>
        <v/>
      </c>
      <c r="G281" t="str">
        <f t="shared" si="44"/>
        <v/>
      </c>
      <c r="H281">
        <f>IF(B281&lt;&gt;"", SUMIFS(ポートフォリオ実績!$D$2:$D$2001, ポートフォリオ実績!$B$2:$B$2001, B281, ポートフォリオ実績!$A$2:$A$2001, G281), 0)</f>
        <v>0</v>
      </c>
      <c r="I281">
        <f>IF(B281&lt;&gt;"", SUMIFS(ポートフォリオ実績!$C$2:$C$2001, ポートフォリオ実績!$B$2:$B$2001, B281, ポートフォリオ実績!$A$2:$A$2001, G281), 0)</f>
        <v>0</v>
      </c>
      <c r="J281">
        <f t="shared" si="45"/>
        <v>0</v>
      </c>
      <c r="K281">
        <f t="shared" si="46"/>
        <v>0</v>
      </c>
      <c r="L281">
        <f t="shared" si="47"/>
        <v>0</v>
      </c>
      <c r="M281">
        <f t="shared" si="48"/>
        <v>0</v>
      </c>
      <c r="N281">
        <f t="shared" si="49"/>
        <v>0</v>
      </c>
      <c r="O281">
        <f t="shared" si="50"/>
        <v>0</v>
      </c>
      <c r="P281" t="str">
        <f t="shared" si="51"/>
        <v/>
      </c>
      <c r="Q281" t="str">
        <f>IF(B281="","", IFERROR(VLOOKUP(B281, '基準資産配分（設定）'!$A$2:$C$2001, 3, FALSE), ""))</f>
        <v/>
      </c>
      <c r="R281" t="str">
        <f>IF(B281="","", IFERROR(VLOOKUP(B281, '基準資産配分（設定）'!$A$2:$C$2001, 2, FALSE)/100, 0))</f>
        <v/>
      </c>
      <c r="S281" t="str">
        <f>IF(B281="","", IFERROR(SUMIFS(ベンチマークリターン!$C$2:$C$2001, ベンチマークリターン!$A$2:$A$2001, A281, ベンチマークリターン!$B$2:$B$2001, Q281) / 100, 0))</f>
        <v/>
      </c>
      <c r="T281" t="str">
        <f>IF(A281="","", SUMIFS($H$2:$H$2000, $A$2:$A$2000, A281))</f>
        <v/>
      </c>
      <c r="U281" t="str">
        <f t="shared" si="52"/>
        <v/>
      </c>
      <c r="V281" t="str">
        <f t="shared" si="53"/>
        <v/>
      </c>
      <c r="W281" t="str">
        <f t="shared" si="54"/>
        <v/>
      </c>
    </row>
    <row r="282" spans="1:23" x14ac:dyDescent="0.2">
      <c r="A282" s="4" t="str">
        <f>IF(ポートフォリオ実績!A283="","", ポートフォリオ実績!A283)</f>
        <v/>
      </c>
      <c r="B282" t="str">
        <f>IF(ポートフォリオ実績!B283="","", ポートフォリオ実績!B283)</f>
        <v/>
      </c>
      <c r="C282" s="10" t="str">
        <f>IF(ポートフォリオ実績!C283="","", ポートフォリオ実績!C283)</f>
        <v/>
      </c>
      <c r="D282" s="10" t="str">
        <f>IF(ポートフォリオ実績!D283="","", ポートフォリオ実績!D283)</f>
        <v/>
      </c>
      <c r="E282" s="10" t="str">
        <f>IF(ポートフォリオ実績!E283="","", ポートフォリオ実績!E283)</f>
        <v/>
      </c>
      <c r="F282" s="10" t="str">
        <f>IF(ポートフォリオ実績!F283="","", ポートフォリオ実績!F283)</f>
        <v/>
      </c>
      <c r="G282" t="str">
        <f t="shared" si="44"/>
        <v/>
      </c>
      <c r="H282">
        <f>IF(B282&lt;&gt;"", SUMIFS(ポートフォリオ実績!$D$2:$D$2001, ポートフォリオ実績!$B$2:$B$2001, B282, ポートフォリオ実績!$A$2:$A$2001, G282), 0)</f>
        <v>0</v>
      </c>
      <c r="I282">
        <f>IF(B282&lt;&gt;"", SUMIFS(ポートフォリオ実績!$C$2:$C$2001, ポートフォリオ実績!$B$2:$B$2001, B282, ポートフォリオ実績!$A$2:$A$2001, G282), 0)</f>
        <v>0</v>
      </c>
      <c r="J282">
        <f t="shared" si="45"/>
        <v>0</v>
      </c>
      <c r="K282">
        <f t="shared" si="46"/>
        <v>0</v>
      </c>
      <c r="L282">
        <f t="shared" si="47"/>
        <v>0</v>
      </c>
      <c r="M282">
        <f t="shared" si="48"/>
        <v>0</v>
      </c>
      <c r="N282">
        <f t="shared" si="49"/>
        <v>0</v>
      </c>
      <c r="O282">
        <f t="shared" si="50"/>
        <v>0</v>
      </c>
      <c r="P282" t="str">
        <f t="shared" si="51"/>
        <v/>
      </c>
      <c r="Q282" t="str">
        <f>IF(B282="","", IFERROR(VLOOKUP(B282, '基準資産配分（設定）'!$A$2:$C$2001, 3, FALSE), ""))</f>
        <v/>
      </c>
      <c r="R282" t="str">
        <f>IF(B282="","", IFERROR(VLOOKUP(B282, '基準資産配分（設定）'!$A$2:$C$2001, 2, FALSE)/100, 0))</f>
        <v/>
      </c>
      <c r="S282" t="str">
        <f>IF(B282="","", IFERROR(SUMIFS(ベンチマークリターン!$C$2:$C$2001, ベンチマークリターン!$A$2:$A$2001, A282, ベンチマークリターン!$B$2:$B$2001, Q282) / 100, 0))</f>
        <v/>
      </c>
      <c r="T282" t="str">
        <f>IF(A282="","", SUMIFS($H$2:$H$2000, $A$2:$A$2000, A282))</f>
        <v/>
      </c>
      <c r="U282" t="str">
        <f t="shared" si="52"/>
        <v/>
      </c>
      <c r="V282" t="str">
        <f t="shared" si="53"/>
        <v/>
      </c>
      <c r="W282" t="str">
        <f t="shared" si="54"/>
        <v/>
      </c>
    </row>
    <row r="283" spans="1:23" x14ac:dyDescent="0.2">
      <c r="A283" s="4" t="str">
        <f>IF(ポートフォリオ実績!A284="","", ポートフォリオ実績!A284)</f>
        <v/>
      </c>
      <c r="B283" t="str">
        <f>IF(ポートフォリオ実績!B284="","", ポートフォリオ実績!B284)</f>
        <v/>
      </c>
      <c r="C283" s="10" t="str">
        <f>IF(ポートフォリオ実績!C284="","", ポートフォリオ実績!C284)</f>
        <v/>
      </c>
      <c r="D283" s="10" t="str">
        <f>IF(ポートフォリオ実績!D284="","", ポートフォリオ実績!D284)</f>
        <v/>
      </c>
      <c r="E283" s="10" t="str">
        <f>IF(ポートフォリオ実績!E284="","", ポートフォリオ実績!E284)</f>
        <v/>
      </c>
      <c r="F283" s="10" t="str">
        <f>IF(ポートフォリオ実績!F284="","", ポートフォリオ実績!F284)</f>
        <v/>
      </c>
      <c r="G283" t="str">
        <f t="shared" si="44"/>
        <v/>
      </c>
      <c r="H283">
        <f>IF(B283&lt;&gt;"", SUMIFS(ポートフォリオ実績!$D$2:$D$2001, ポートフォリオ実績!$B$2:$B$2001, B283, ポートフォリオ実績!$A$2:$A$2001, G283), 0)</f>
        <v>0</v>
      </c>
      <c r="I283">
        <f>IF(B283&lt;&gt;"", SUMIFS(ポートフォリオ実績!$C$2:$C$2001, ポートフォリオ実績!$B$2:$B$2001, B283, ポートフォリオ実績!$A$2:$A$2001, G283), 0)</f>
        <v>0</v>
      </c>
      <c r="J283">
        <f t="shared" si="45"/>
        <v>0</v>
      </c>
      <c r="K283">
        <f t="shared" si="46"/>
        <v>0</v>
      </c>
      <c r="L283">
        <f t="shared" si="47"/>
        <v>0</v>
      </c>
      <c r="M283">
        <f t="shared" si="48"/>
        <v>0</v>
      </c>
      <c r="N283">
        <f t="shared" si="49"/>
        <v>0</v>
      </c>
      <c r="O283">
        <f t="shared" si="50"/>
        <v>0</v>
      </c>
      <c r="P283" t="str">
        <f t="shared" si="51"/>
        <v/>
      </c>
      <c r="Q283" t="str">
        <f>IF(B283="","", IFERROR(VLOOKUP(B283, '基準資産配分（設定）'!$A$2:$C$2001, 3, FALSE), ""))</f>
        <v/>
      </c>
      <c r="R283" t="str">
        <f>IF(B283="","", IFERROR(VLOOKUP(B283, '基準資産配分（設定）'!$A$2:$C$2001, 2, FALSE)/100, 0))</f>
        <v/>
      </c>
      <c r="S283" t="str">
        <f>IF(B283="","", IFERROR(SUMIFS(ベンチマークリターン!$C$2:$C$2001, ベンチマークリターン!$A$2:$A$2001, A283, ベンチマークリターン!$B$2:$B$2001, Q283) / 100, 0))</f>
        <v/>
      </c>
      <c r="T283" t="str">
        <f>IF(A283="","", SUMIFS($H$2:$H$2000, $A$2:$A$2000, A283))</f>
        <v/>
      </c>
      <c r="U283" t="str">
        <f t="shared" si="52"/>
        <v/>
      </c>
      <c r="V283" t="str">
        <f t="shared" si="53"/>
        <v/>
      </c>
      <c r="W283" t="str">
        <f t="shared" si="54"/>
        <v/>
      </c>
    </row>
    <row r="284" spans="1:23" x14ac:dyDescent="0.2">
      <c r="A284" s="4" t="str">
        <f>IF(ポートフォリオ実績!A285="","", ポートフォリオ実績!A285)</f>
        <v/>
      </c>
      <c r="B284" t="str">
        <f>IF(ポートフォリオ実績!B285="","", ポートフォリオ実績!B285)</f>
        <v/>
      </c>
      <c r="C284" s="10" t="str">
        <f>IF(ポートフォリオ実績!C285="","", ポートフォリオ実績!C285)</f>
        <v/>
      </c>
      <c r="D284" s="10" t="str">
        <f>IF(ポートフォリオ実績!D285="","", ポートフォリオ実績!D285)</f>
        <v/>
      </c>
      <c r="E284" s="10" t="str">
        <f>IF(ポートフォリオ実績!E285="","", ポートフォリオ実績!E285)</f>
        <v/>
      </c>
      <c r="F284" s="10" t="str">
        <f>IF(ポートフォリオ実績!F285="","", ポートフォリオ実績!F285)</f>
        <v/>
      </c>
      <c r="G284" t="str">
        <f t="shared" si="44"/>
        <v/>
      </c>
      <c r="H284">
        <f>IF(B284&lt;&gt;"", SUMIFS(ポートフォリオ実績!$D$2:$D$2001, ポートフォリオ実績!$B$2:$B$2001, B284, ポートフォリオ実績!$A$2:$A$2001, G284), 0)</f>
        <v>0</v>
      </c>
      <c r="I284">
        <f>IF(B284&lt;&gt;"", SUMIFS(ポートフォリオ実績!$C$2:$C$2001, ポートフォリオ実績!$B$2:$B$2001, B284, ポートフォリオ実績!$A$2:$A$2001, G284), 0)</f>
        <v>0</v>
      </c>
      <c r="J284">
        <f t="shared" si="45"/>
        <v>0</v>
      </c>
      <c r="K284">
        <f t="shared" si="46"/>
        <v>0</v>
      </c>
      <c r="L284">
        <f t="shared" si="47"/>
        <v>0</v>
      </c>
      <c r="M284">
        <f t="shared" si="48"/>
        <v>0</v>
      </c>
      <c r="N284">
        <f t="shared" si="49"/>
        <v>0</v>
      </c>
      <c r="O284">
        <f t="shared" si="50"/>
        <v>0</v>
      </c>
      <c r="P284" t="str">
        <f t="shared" si="51"/>
        <v/>
      </c>
      <c r="Q284" t="str">
        <f>IF(B284="","", IFERROR(VLOOKUP(B284, '基準資産配分（設定）'!$A$2:$C$2001, 3, FALSE), ""))</f>
        <v/>
      </c>
      <c r="R284" t="str">
        <f>IF(B284="","", IFERROR(VLOOKUP(B284, '基準資産配分（設定）'!$A$2:$C$2001, 2, FALSE)/100, 0))</f>
        <v/>
      </c>
      <c r="S284" t="str">
        <f>IF(B284="","", IFERROR(SUMIFS(ベンチマークリターン!$C$2:$C$2001, ベンチマークリターン!$A$2:$A$2001, A284, ベンチマークリターン!$B$2:$B$2001, Q284) / 100, 0))</f>
        <v/>
      </c>
      <c r="T284" t="str">
        <f>IF(A284="","", SUMIFS($H$2:$H$2000, $A$2:$A$2000, A284))</f>
        <v/>
      </c>
      <c r="U284" t="str">
        <f t="shared" si="52"/>
        <v/>
      </c>
      <c r="V284" t="str">
        <f t="shared" si="53"/>
        <v/>
      </c>
      <c r="W284" t="str">
        <f t="shared" si="54"/>
        <v/>
      </c>
    </row>
    <row r="285" spans="1:23" x14ac:dyDescent="0.2">
      <c r="A285" s="4" t="str">
        <f>IF(ポートフォリオ実績!A286="","", ポートフォリオ実績!A286)</f>
        <v/>
      </c>
      <c r="B285" t="str">
        <f>IF(ポートフォリオ実績!B286="","", ポートフォリオ実績!B286)</f>
        <v/>
      </c>
      <c r="C285" s="10" t="str">
        <f>IF(ポートフォリオ実績!C286="","", ポートフォリオ実績!C286)</f>
        <v/>
      </c>
      <c r="D285" s="10" t="str">
        <f>IF(ポートフォリオ実績!D286="","", ポートフォリオ実績!D286)</f>
        <v/>
      </c>
      <c r="E285" s="10" t="str">
        <f>IF(ポートフォリオ実績!E286="","", ポートフォリオ実績!E286)</f>
        <v/>
      </c>
      <c r="F285" s="10" t="str">
        <f>IF(ポートフォリオ実績!F286="","", ポートフォリオ実績!F286)</f>
        <v/>
      </c>
      <c r="G285" t="str">
        <f t="shared" si="44"/>
        <v/>
      </c>
      <c r="H285">
        <f>IF(B285&lt;&gt;"", SUMIFS(ポートフォリオ実績!$D$2:$D$2001, ポートフォリオ実績!$B$2:$B$2001, B285, ポートフォリオ実績!$A$2:$A$2001, G285), 0)</f>
        <v>0</v>
      </c>
      <c r="I285">
        <f>IF(B285&lt;&gt;"", SUMIFS(ポートフォリオ実績!$C$2:$C$2001, ポートフォリオ実績!$B$2:$B$2001, B285, ポートフォリオ実績!$A$2:$A$2001, G285), 0)</f>
        <v>0</v>
      </c>
      <c r="J285">
        <f t="shared" si="45"/>
        <v>0</v>
      </c>
      <c r="K285">
        <f t="shared" si="46"/>
        <v>0</v>
      </c>
      <c r="L285">
        <f t="shared" si="47"/>
        <v>0</v>
      </c>
      <c r="M285">
        <f t="shared" si="48"/>
        <v>0</v>
      </c>
      <c r="N285">
        <f t="shared" si="49"/>
        <v>0</v>
      </c>
      <c r="O285">
        <f t="shared" si="50"/>
        <v>0</v>
      </c>
      <c r="P285" t="str">
        <f t="shared" si="51"/>
        <v/>
      </c>
      <c r="Q285" t="str">
        <f>IF(B285="","", IFERROR(VLOOKUP(B285, '基準資産配分（設定）'!$A$2:$C$2001, 3, FALSE), ""))</f>
        <v/>
      </c>
      <c r="R285" t="str">
        <f>IF(B285="","", IFERROR(VLOOKUP(B285, '基準資産配分（設定）'!$A$2:$C$2001, 2, FALSE)/100, 0))</f>
        <v/>
      </c>
      <c r="S285" t="str">
        <f>IF(B285="","", IFERROR(SUMIFS(ベンチマークリターン!$C$2:$C$2001, ベンチマークリターン!$A$2:$A$2001, A285, ベンチマークリターン!$B$2:$B$2001, Q285) / 100, 0))</f>
        <v/>
      </c>
      <c r="T285" t="str">
        <f>IF(A285="","", SUMIFS($H$2:$H$2000, $A$2:$A$2000, A285))</f>
        <v/>
      </c>
      <c r="U285" t="str">
        <f t="shared" si="52"/>
        <v/>
      </c>
      <c r="V285" t="str">
        <f t="shared" si="53"/>
        <v/>
      </c>
      <c r="W285" t="str">
        <f t="shared" si="54"/>
        <v/>
      </c>
    </row>
    <row r="286" spans="1:23" x14ac:dyDescent="0.2">
      <c r="A286" s="4" t="str">
        <f>IF(ポートフォリオ実績!A287="","", ポートフォリオ実績!A287)</f>
        <v/>
      </c>
      <c r="B286" t="str">
        <f>IF(ポートフォリオ実績!B287="","", ポートフォリオ実績!B287)</f>
        <v/>
      </c>
      <c r="C286" s="10" t="str">
        <f>IF(ポートフォリオ実績!C287="","", ポートフォリオ実績!C287)</f>
        <v/>
      </c>
      <c r="D286" s="10" t="str">
        <f>IF(ポートフォリオ実績!D287="","", ポートフォリオ実績!D287)</f>
        <v/>
      </c>
      <c r="E286" s="10" t="str">
        <f>IF(ポートフォリオ実績!E287="","", ポートフォリオ実績!E287)</f>
        <v/>
      </c>
      <c r="F286" s="10" t="str">
        <f>IF(ポートフォリオ実績!F287="","", ポートフォリオ実績!F287)</f>
        <v/>
      </c>
      <c r="G286" t="str">
        <f t="shared" si="44"/>
        <v/>
      </c>
      <c r="H286">
        <f>IF(B286&lt;&gt;"", SUMIFS(ポートフォリオ実績!$D$2:$D$2001, ポートフォリオ実績!$B$2:$B$2001, B286, ポートフォリオ実績!$A$2:$A$2001, G286), 0)</f>
        <v>0</v>
      </c>
      <c r="I286">
        <f>IF(B286&lt;&gt;"", SUMIFS(ポートフォリオ実績!$C$2:$C$2001, ポートフォリオ実績!$B$2:$B$2001, B286, ポートフォリオ実績!$A$2:$A$2001, G286), 0)</f>
        <v>0</v>
      </c>
      <c r="J286">
        <f t="shared" si="45"/>
        <v>0</v>
      </c>
      <c r="K286">
        <f t="shared" si="46"/>
        <v>0</v>
      </c>
      <c r="L286">
        <f t="shared" si="47"/>
        <v>0</v>
      </c>
      <c r="M286">
        <f t="shared" si="48"/>
        <v>0</v>
      </c>
      <c r="N286">
        <f t="shared" si="49"/>
        <v>0</v>
      </c>
      <c r="O286">
        <f t="shared" si="50"/>
        <v>0</v>
      </c>
      <c r="P286" t="str">
        <f t="shared" si="51"/>
        <v/>
      </c>
      <c r="Q286" t="str">
        <f>IF(B286="","", IFERROR(VLOOKUP(B286, '基準資産配分（設定）'!$A$2:$C$2001, 3, FALSE), ""))</f>
        <v/>
      </c>
      <c r="R286" t="str">
        <f>IF(B286="","", IFERROR(VLOOKUP(B286, '基準資産配分（設定）'!$A$2:$C$2001, 2, FALSE)/100, 0))</f>
        <v/>
      </c>
      <c r="S286" t="str">
        <f>IF(B286="","", IFERROR(SUMIFS(ベンチマークリターン!$C$2:$C$2001, ベンチマークリターン!$A$2:$A$2001, A286, ベンチマークリターン!$B$2:$B$2001, Q286) / 100, 0))</f>
        <v/>
      </c>
      <c r="T286" t="str">
        <f>IF(A286="","", SUMIFS($H$2:$H$2000, $A$2:$A$2000, A286))</f>
        <v/>
      </c>
      <c r="U286" t="str">
        <f t="shared" si="52"/>
        <v/>
      </c>
      <c r="V286" t="str">
        <f t="shared" si="53"/>
        <v/>
      </c>
      <c r="W286" t="str">
        <f t="shared" si="54"/>
        <v/>
      </c>
    </row>
    <row r="287" spans="1:23" x14ac:dyDescent="0.2">
      <c r="A287" s="4" t="str">
        <f>IF(ポートフォリオ実績!A288="","", ポートフォリオ実績!A288)</f>
        <v/>
      </c>
      <c r="B287" t="str">
        <f>IF(ポートフォリオ実績!B288="","", ポートフォリオ実績!B288)</f>
        <v/>
      </c>
      <c r="C287" s="10" t="str">
        <f>IF(ポートフォリオ実績!C288="","", ポートフォリオ実績!C288)</f>
        <v/>
      </c>
      <c r="D287" s="10" t="str">
        <f>IF(ポートフォリオ実績!D288="","", ポートフォリオ実績!D288)</f>
        <v/>
      </c>
      <c r="E287" s="10" t="str">
        <f>IF(ポートフォリオ実績!E288="","", ポートフォリオ実績!E288)</f>
        <v/>
      </c>
      <c r="F287" s="10" t="str">
        <f>IF(ポートフォリオ実績!F288="","", ポートフォリオ実績!F288)</f>
        <v/>
      </c>
      <c r="G287" t="str">
        <f t="shared" si="44"/>
        <v/>
      </c>
      <c r="H287">
        <f>IF(B287&lt;&gt;"", SUMIFS(ポートフォリオ実績!$D$2:$D$2001, ポートフォリオ実績!$B$2:$B$2001, B287, ポートフォリオ実績!$A$2:$A$2001, G287), 0)</f>
        <v>0</v>
      </c>
      <c r="I287">
        <f>IF(B287&lt;&gt;"", SUMIFS(ポートフォリオ実績!$C$2:$C$2001, ポートフォリオ実績!$B$2:$B$2001, B287, ポートフォリオ実績!$A$2:$A$2001, G287), 0)</f>
        <v>0</v>
      </c>
      <c r="J287">
        <f t="shared" si="45"/>
        <v>0</v>
      </c>
      <c r="K287">
        <f t="shared" si="46"/>
        <v>0</v>
      </c>
      <c r="L287">
        <f t="shared" si="47"/>
        <v>0</v>
      </c>
      <c r="M287">
        <f t="shared" si="48"/>
        <v>0</v>
      </c>
      <c r="N287">
        <f t="shared" si="49"/>
        <v>0</v>
      </c>
      <c r="O287">
        <f t="shared" si="50"/>
        <v>0</v>
      </c>
      <c r="P287" t="str">
        <f t="shared" si="51"/>
        <v/>
      </c>
      <c r="Q287" t="str">
        <f>IF(B287="","", IFERROR(VLOOKUP(B287, '基準資産配分（設定）'!$A$2:$C$2001, 3, FALSE), ""))</f>
        <v/>
      </c>
      <c r="R287" t="str">
        <f>IF(B287="","", IFERROR(VLOOKUP(B287, '基準資産配分（設定）'!$A$2:$C$2001, 2, FALSE)/100, 0))</f>
        <v/>
      </c>
      <c r="S287" t="str">
        <f>IF(B287="","", IFERROR(SUMIFS(ベンチマークリターン!$C$2:$C$2001, ベンチマークリターン!$A$2:$A$2001, A287, ベンチマークリターン!$B$2:$B$2001, Q287) / 100, 0))</f>
        <v/>
      </c>
      <c r="T287" t="str">
        <f>IF(A287="","", SUMIFS($H$2:$H$2000, $A$2:$A$2000, A287))</f>
        <v/>
      </c>
      <c r="U287" t="str">
        <f t="shared" si="52"/>
        <v/>
      </c>
      <c r="V287" t="str">
        <f t="shared" si="53"/>
        <v/>
      </c>
      <c r="W287" t="str">
        <f t="shared" si="54"/>
        <v/>
      </c>
    </row>
    <row r="288" spans="1:23" x14ac:dyDescent="0.2">
      <c r="A288" s="4" t="str">
        <f>IF(ポートフォリオ実績!A289="","", ポートフォリオ実績!A289)</f>
        <v/>
      </c>
      <c r="B288" t="str">
        <f>IF(ポートフォリオ実績!B289="","", ポートフォリオ実績!B289)</f>
        <v/>
      </c>
      <c r="C288" s="10" t="str">
        <f>IF(ポートフォリオ実績!C289="","", ポートフォリオ実績!C289)</f>
        <v/>
      </c>
      <c r="D288" s="10" t="str">
        <f>IF(ポートフォリオ実績!D289="","", ポートフォリオ実績!D289)</f>
        <v/>
      </c>
      <c r="E288" s="10" t="str">
        <f>IF(ポートフォリオ実績!E289="","", ポートフォリオ実績!E289)</f>
        <v/>
      </c>
      <c r="F288" s="10" t="str">
        <f>IF(ポートフォリオ実績!F289="","", ポートフォリオ実績!F289)</f>
        <v/>
      </c>
      <c r="G288" t="str">
        <f t="shared" si="44"/>
        <v/>
      </c>
      <c r="H288">
        <f>IF(B288&lt;&gt;"", SUMIFS(ポートフォリオ実績!$D$2:$D$2001, ポートフォリオ実績!$B$2:$B$2001, B288, ポートフォリオ実績!$A$2:$A$2001, G288), 0)</f>
        <v>0</v>
      </c>
      <c r="I288">
        <f>IF(B288&lt;&gt;"", SUMIFS(ポートフォリオ実績!$C$2:$C$2001, ポートフォリオ実績!$B$2:$B$2001, B288, ポートフォリオ実績!$A$2:$A$2001, G288), 0)</f>
        <v>0</v>
      </c>
      <c r="J288">
        <f t="shared" si="45"/>
        <v>0</v>
      </c>
      <c r="K288">
        <f t="shared" si="46"/>
        <v>0</v>
      </c>
      <c r="L288">
        <f t="shared" si="47"/>
        <v>0</v>
      </c>
      <c r="M288">
        <f t="shared" si="48"/>
        <v>0</v>
      </c>
      <c r="N288">
        <f t="shared" si="49"/>
        <v>0</v>
      </c>
      <c r="O288">
        <f t="shared" si="50"/>
        <v>0</v>
      </c>
      <c r="P288" t="str">
        <f t="shared" si="51"/>
        <v/>
      </c>
      <c r="Q288" t="str">
        <f>IF(B288="","", IFERROR(VLOOKUP(B288, '基準資産配分（設定）'!$A$2:$C$2001, 3, FALSE), ""))</f>
        <v/>
      </c>
      <c r="R288" t="str">
        <f>IF(B288="","", IFERROR(VLOOKUP(B288, '基準資産配分（設定）'!$A$2:$C$2001, 2, FALSE)/100, 0))</f>
        <v/>
      </c>
      <c r="S288" t="str">
        <f>IF(B288="","", IFERROR(SUMIFS(ベンチマークリターン!$C$2:$C$2001, ベンチマークリターン!$A$2:$A$2001, A288, ベンチマークリターン!$B$2:$B$2001, Q288) / 100, 0))</f>
        <v/>
      </c>
      <c r="T288" t="str">
        <f>IF(A288="","", SUMIFS($H$2:$H$2000, $A$2:$A$2000, A288))</f>
        <v/>
      </c>
      <c r="U288" t="str">
        <f t="shared" si="52"/>
        <v/>
      </c>
      <c r="V288" t="str">
        <f t="shared" si="53"/>
        <v/>
      </c>
      <c r="W288" t="str">
        <f t="shared" si="54"/>
        <v/>
      </c>
    </row>
    <row r="289" spans="1:23" x14ac:dyDescent="0.2">
      <c r="A289" s="4" t="str">
        <f>IF(ポートフォリオ実績!A290="","", ポートフォリオ実績!A290)</f>
        <v/>
      </c>
      <c r="B289" t="str">
        <f>IF(ポートフォリオ実績!B290="","", ポートフォリオ実績!B290)</f>
        <v/>
      </c>
      <c r="C289" s="10" t="str">
        <f>IF(ポートフォリオ実績!C290="","", ポートフォリオ実績!C290)</f>
        <v/>
      </c>
      <c r="D289" s="10" t="str">
        <f>IF(ポートフォリオ実績!D290="","", ポートフォリオ実績!D290)</f>
        <v/>
      </c>
      <c r="E289" s="10" t="str">
        <f>IF(ポートフォリオ実績!E290="","", ポートフォリオ実績!E290)</f>
        <v/>
      </c>
      <c r="F289" s="10" t="str">
        <f>IF(ポートフォリオ実績!F290="","", ポートフォリオ実績!F290)</f>
        <v/>
      </c>
      <c r="G289" t="str">
        <f t="shared" si="44"/>
        <v/>
      </c>
      <c r="H289">
        <f>IF(B289&lt;&gt;"", SUMIFS(ポートフォリオ実績!$D$2:$D$2001, ポートフォリオ実績!$B$2:$B$2001, B289, ポートフォリオ実績!$A$2:$A$2001, G289), 0)</f>
        <v>0</v>
      </c>
      <c r="I289">
        <f>IF(B289&lt;&gt;"", SUMIFS(ポートフォリオ実績!$C$2:$C$2001, ポートフォリオ実績!$B$2:$B$2001, B289, ポートフォリオ実績!$A$2:$A$2001, G289), 0)</f>
        <v>0</v>
      </c>
      <c r="J289">
        <f t="shared" si="45"/>
        <v>0</v>
      </c>
      <c r="K289">
        <f t="shared" si="46"/>
        <v>0</v>
      </c>
      <c r="L289">
        <f t="shared" si="47"/>
        <v>0</v>
      </c>
      <c r="M289">
        <f t="shared" si="48"/>
        <v>0</v>
      </c>
      <c r="N289">
        <f t="shared" si="49"/>
        <v>0</v>
      </c>
      <c r="O289">
        <f t="shared" si="50"/>
        <v>0</v>
      </c>
      <c r="P289" t="str">
        <f t="shared" si="51"/>
        <v/>
      </c>
      <c r="Q289" t="str">
        <f>IF(B289="","", IFERROR(VLOOKUP(B289, '基準資産配分（設定）'!$A$2:$C$2001, 3, FALSE), ""))</f>
        <v/>
      </c>
      <c r="R289" t="str">
        <f>IF(B289="","", IFERROR(VLOOKUP(B289, '基準資産配分（設定）'!$A$2:$C$2001, 2, FALSE)/100, 0))</f>
        <v/>
      </c>
      <c r="S289" t="str">
        <f>IF(B289="","", IFERROR(SUMIFS(ベンチマークリターン!$C$2:$C$2001, ベンチマークリターン!$A$2:$A$2001, A289, ベンチマークリターン!$B$2:$B$2001, Q289) / 100, 0))</f>
        <v/>
      </c>
      <c r="T289" t="str">
        <f>IF(A289="","", SUMIFS($H$2:$H$2000, $A$2:$A$2000, A289))</f>
        <v/>
      </c>
      <c r="U289" t="str">
        <f t="shared" si="52"/>
        <v/>
      </c>
      <c r="V289" t="str">
        <f t="shared" si="53"/>
        <v/>
      </c>
      <c r="W289" t="str">
        <f t="shared" si="54"/>
        <v/>
      </c>
    </row>
    <row r="290" spans="1:23" x14ac:dyDescent="0.2">
      <c r="A290" s="4" t="str">
        <f>IF(ポートフォリオ実績!A291="","", ポートフォリオ実績!A291)</f>
        <v/>
      </c>
      <c r="B290" t="str">
        <f>IF(ポートフォリオ実績!B291="","", ポートフォリオ実績!B291)</f>
        <v/>
      </c>
      <c r="C290" s="10" t="str">
        <f>IF(ポートフォリオ実績!C291="","", ポートフォリオ実績!C291)</f>
        <v/>
      </c>
      <c r="D290" s="10" t="str">
        <f>IF(ポートフォリオ実績!D291="","", ポートフォリオ実績!D291)</f>
        <v/>
      </c>
      <c r="E290" s="10" t="str">
        <f>IF(ポートフォリオ実績!E291="","", ポートフォリオ実績!E291)</f>
        <v/>
      </c>
      <c r="F290" s="10" t="str">
        <f>IF(ポートフォリオ実績!F291="","", ポートフォリオ実績!F291)</f>
        <v/>
      </c>
      <c r="G290" t="str">
        <f t="shared" si="44"/>
        <v/>
      </c>
      <c r="H290">
        <f>IF(B290&lt;&gt;"", SUMIFS(ポートフォリオ実績!$D$2:$D$2001, ポートフォリオ実績!$B$2:$B$2001, B290, ポートフォリオ実績!$A$2:$A$2001, G290), 0)</f>
        <v>0</v>
      </c>
      <c r="I290">
        <f>IF(B290&lt;&gt;"", SUMIFS(ポートフォリオ実績!$C$2:$C$2001, ポートフォリオ実績!$B$2:$B$2001, B290, ポートフォリオ実績!$A$2:$A$2001, G290), 0)</f>
        <v>0</v>
      </c>
      <c r="J290">
        <f t="shared" si="45"/>
        <v>0</v>
      </c>
      <c r="K290">
        <f t="shared" si="46"/>
        <v>0</v>
      </c>
      <c r="L290">
        <f t="shared" si="47"/>
        <v>0</v>
      </c>
      <c r="M290">
        <f t="shared" si="48"/>
        <v>0</v>
      </c>
      <c r="N290">
        <f t="shared" si="49"/>
        <v>0</v>
      </c>
      <c r="O290">
        <f t="shared" si="50"/>
        <v>0</v>
      </c>
      <c r="P290" t="str">
        <f t="shared" si="51"/>
        <v/>
      </c>
      <c r="Q290" t="str">
        <f>IF(B290="","", IFERROR(VLOOKUP(B290, '基準資産配分（設定）'!$A$2:$C$2001, 3, FALSE), ""))</f>
        <v/>
      </c>
      <c r="R290" t="str">
        <f>IF(B290="","", IFERROR(VLOOKUP(B290, '基準資産配分（設定）'!$A$2:$C$2001, 2, FALSE)/100, 0))</f>
        <v/>
      </c>
      <c r="S290" t="str">
        <f>IF(B290="","", IFERROR(SUMIFS(ベンチマークリターン!$C$2:$C$2001, ベンチマークリターン!$A$2:$A$2001, A290, ベンチマークリターン!$B$2:$B$2001, Q290) / 100, 0))</f>
        <v/>
      </c>
      <c r="T290" t="str">
        <f>IF(A290="","", SUMIFS($H$2:$H$2000, $A$2:$A$2000, A290))</f>
        <v/>
      </c>
      <c r="U290" t="str">
        <f t="shared" si="52"/>
        <v/>
      </c>
      <c r="V290" t="str">
        <f t="shared" si="53"/>
        <v/>
      </c>
      <c r="W290" t="str">
        <f t="shared" si="54"/>
        <v/>
      </c>
    </row>
    <row r="291" spans="1:23" x14ac:dyDescent="0.2">
      <c r="A291" s="4" t="str">
        <f>IF(ポートフォリオ実績!A292="","", ポートフォリオ実績!A292)</f>
        <v/>
      </c>
      <c r="B291" t="str">
        <f>IF(ポートフォリオ実績!B292="","", ポートフォリオ実績!B292)</f>
        <v/>
      </c>
      <c r="C291" s="10" t="str">
        <f>IF(ポートフォリオ実績!C292="","", ポートフォリオ実績!C292)</f>
        <v/>
      </c>
      <c r="D291" s="10" t="str">
        <f>IF(ポートフォリオ実績!D292="","", ポートフォリオ実績!D292)</f>
        <v/>
      </c>
      <c r="E291" s="10" t="str">
        <f>IF(ポートフォリオ実績!E292="","", ポートフォリオ実績!E292)</f>
        <v/>
      </c>
      <c r="F291" s="10" t="str">
        <f>IF(ポートフォリオ実績!F292="","", ポートフォリオ実績!F292)</f>
        <v/>
      </c>
      <c r="G291" t="str">
        <f t="shared" si="44"/>
        <v/>
      </c>
      <c r="H291">
        <f>IF(B291&lt;&gt;"", SUMIFS(ポートフォリオ実績!$D$2:$D$2001, ポートフォリオ実績!$B$2:$B$2001, B291, ポートフォリオ実績!$A$2:$A$2001, G291), 0)</f>
        <v>0</v>
      </c>
      <c r="I291">
        <f>IF(B291&lt;&gt;"", SUMIFS(ポートフォリオ実績!$C$2:$C$2001, ポートフォリオ実績!$B$2:$B$2001, B291, ポートフォリオ実績!$A$2:$A$2001, G291), 0)</f>
        <v>0</v>
      </c>
      <c r="J291">
        <f t="shared" si="45"/>
        <v>0</v>
      </c>
      <c r="K291">
        <f t="shared" si="46"/>
        <v>0</v>
      </c>
      <c r="L291">
        <f t="shared" si="47"/>
        <v>0</v>
      </c>
      <c r="M291">
        <f t="shared" si="48"/>
        <v>0</v>
      </c>
      <c r="N291">
        <f t="shared" si="49"/>
        <v>0</v>
      </c>
      <c r="O291">
        <f t="shared" si="50"/>
        <v>0</v>
      </c>
      <c r="P291" t="str">
        <f t="shared" si="51"/>
        <v/>
      </c>
      <c r="Q291" t="str">
        <f>IF(B291="","", IFERROR(VLOOKUP(B291, '基準資産配分（設定）'!$A$2:$C$2001, 3, FALSE), ""))</f>
        <v/>
      </c>
      <c r="R291" t="str">
        <f>IF(B291="","", IFERROR(VLOOKUP(B291, '基準資産配分（設定）'!$A$2:$C$2001, 2, FALSE)/100, 0))</f>
        <v/>
      </c>
      <c r="S291" t="str">
        <f>IF(B291="","", IFERROR(SUMIFS(ベンチマークリターン!$C$2:$C$2001, ベンチマークリターン!$A$2:$A$2001, A291, ベンチマークリターン!$B$2:$B$2001, Q291) / 100, 0))</f>
        <v/>
      </c>
      <c r="T291" t="str">
        <f>IF(A291="","", SUMIFS($H$2:$H$2000, $A$2:$A$2000, A291))</f>
        <v/>
      </c>
      <c r="U291" t="str">
        <f t="shared" si="52"/>
        <v/>
      </c>
      <c r="V291" t="str">
        <f t="shared" si="53"/>
        <v/>
      </c>
      <c r="W291" t="str">
        <f t="shared" si="54"/>
        <v/>
      </c>
    </row>
    <row r="292" spans="1:23" x14ac:dyDescent="0.2">
      <c r="A292" s="4" t="str">
        <f>IF(ポートフォリオ実績!A293="","", ポートフォリオ実績!A293)</f>
        <v/>
      </c>
      <c r="B292" t="str">
        <f>IF(ポートフォリオ実績!B293="","", ポートフォリオ実績!B293)</f>
        <v/>
      </c>
      <c r="C292" s="10" t="str">
        <f>IF(ポートフォリオ実績!C293="","", ポートフォリオ実績!C293)</f>
        <v/>
      </c>
      <c r="D292" s="10" t="str">
        <f>IF(ポートフォリオ実績!D293="","", ポートフォリオ実績!D293)</f>
        <v/>
      </c>
      <c r="E292" s="10" t="str">
        <f>IF(ポートフォリオ実績!E293="","", ポートフォリオ実績!E293)</f>
        <v/>
      </c>
      <c r="F292" s="10" t="str">
        <f>IF(ポートフォリオ実績!F293="","", ポートフォリオ実績!F293)</f>
        <v/>
      </c>
      <c r="G292" t="str">
        <f t="shared" si="44"/>
        <v/>
      </c>
      <c r="H292">
        <f>IF(B292&lt;&gt;"", SUMIFS(ポートフォリオ実績!$D$2:$D$2001, ポートフォリオ実績!$B$2:$B$2001, B292, ポートフォリオ実績!$A$2:$A$2001, G292), 0)</f>
        <v>0</v>
      </c>
      <c r="I292">
        <f>IF(B292&lt;&gt;"", SUMIFS(ポートフォリオ実績!$C$2:$C$2001, ポートフォリオ実績!$B$2:$B$2001, B292, ポートフォリオ実績!$A$2:$A$2001, G292), 0)</f>
        <v>0</v>
      </c>
      <c r="J292">
        <f t="shared" si="45"/>
        <v>0</v>
      </c>
      <c r="K292">
        <f t="shared" si="46"/>
        <v>0</v>
      </c>
      <c r="L292">
        <f t="shared" si="47"/>
        <v>0</v>
      </c>
      <c r="M292">
        <f t="shared" si="48"/>
        <v>0</v>
      </c>
      <c r="N292">
        <f t="shared" si="49"/>
        <v>0</v>
      </c>
      <c r="O292">
        <f t="shared" si="50"/>
        <v>0</v>
      </c>
      <c r="P292" t="str">
        <f t="shared" si="51"/>
        <v/>
      </c>
      <c r="Q292" t="str">
        <f>IF(B292="","", IFERROR(VLOOKUP(B292, '基準資産配分（設定）'!$A$2:$C$2001, 3, FALSE), ""))</f>
        <v/>
      </c>
      <c r="R292" t="str">
        <f>IF(B292="","", IFERROR(VLOOKUP(B292, '基準資産配分（設定）'!$A$2:$C$2001, 2, FALSE)/100, 0))</f>
        <v/>
      </c>
      <c r="S292" t="str">
        <f>IF(B292="","", IFERROR(SUMIFS(ベンチマークリターン!$C$2:$C$2001, ベンチマークリターン!$A$2:$A$2001, A292, ベンチマークリターン!$B$2:$B$2001, Q292) / 100, 0))</f>
        <v/>
      </c>
      <c r="T292" t="str">
        <f>IF(A292="","", SUMIFS($H$2:$H$2000, $A$2:$A$2000, A292))</f>
        <v/>
      </c>
      <c r="U292" t="str">
        <f t="shared" si="52"/>
        <v/>
      </c>
      <c r="V292" t="str">
        <f t="shared" si="53"/>
        <v/>
      </c>
      <c r="W292" t="str">
        <f t="shared" si="54"/>
        <v/>
      </c>
    </row>
    <row r="293" spans="1:23" x14ac:dyDescent="0.2">
      <c r="A293" s="4" t="str">
        <f>IF(ポートフォリオ実績!A294="","", ポートフォリオ実績!A294)</f>
        <v/>
      </c>
      <c r="B293" t="str">
        <f>IF(ポートフォリオ実績!B294="","", ポートフォリオ実績!B294)</f>
        <v/>
      </c>
      <c r="C293" s="10" t="str">
        <f>IF(ポートフォリオ実績!C294="","", ポートフォリオ実績!C294)</f>
        <v/>
      </c>
      <c r="D293" s="10" t="str">
        <f>IF(ポートフォリオ実績!D294="","", ポートフォリオ実績!D294)</f>
        <v/>
      </c>
      <c r="E293" s="10" t="str">
        <f>IF(ポートフォリオ実績!E294="","", ポートフォリオ実績!E294)</f>
        <v/>
      </c>
      <c r="F293" s="10" t="str">
        <f>IF(ポートフォリオ実績!F294="","", ポートフォリオ実績!F294)</f>
        <v/>
      </c>
      <c r="G293" t="str">
        <f t="shared" si="44"/>
        <v/>
      </c>
      <c r="H293">
        <f>IF(B293&lt;&gt;"", SUMIFS(ポートフォリオ実績!$D$2:$D$2001, ポートフォリオ実績!$B$2:$B$2001, B293, ポートフォリオ実績!$A$2:$A$2001, G293), 0)</f>
        <v>0</v>
      </c>
      <c r="I293">
        <f>IF(B293&lt;&gt;"", SUMIFS(ポートフォリオ実績!$C$2:$C$2001, ポートフォリオ実績!$B$2:$B$2001, B293, ポートフォリオ実績!$A$2:$A$2001, G293), 0)</f>
        <v>0</v>
      </c>
      <c r="J293">
        <f t="shared" si="45"/>
        <v>0</v>
      </c>
      <c r="K293">
        <f t="shared" si="46"/>
        <v>0</v>
      </c>
      <c r="L293">
        <f t="shared" si="47"/>
        <v>0</v>
      </c>
      <c r="M293">
        <f t="shared" si="48"/>
        <v>0</v>
      </c>
      <c r="N293">
        <f t="shared" si="49"/>
        <v>0</v>
      </c>
      <c r="O293">
        <f t="shared" si="50"/>
        <v>0</v>
      </c>
      <c r="P293" t="str">
        <f t="shared" si="51"/>
        <v/>
      </c>
      <c r="Q293" t="str">
        <f>IF(B293="","", IFERROR(VLOOKUP(B293, '基準資産配分（設定）'!$A$2:$C$2001, 3, FALSE), ""))</f>
        <v/>
      </c>
      <c r="R293" t="str">
        <f>IF(B293="","", IFERROR(VLOOKUP(B293, '基準資産配分（設定）'!$A$2:$C$2001, 2, FALSE)/100, 0))</f>
        <v/>
      </c>
      <c r="S293" t="str">
        <f>IF(B293="","", IFERROR(SUMIFS(ベンチマークリターン!$C$2:$C$2001, ベンチマークリターン!$A$2:$A$2001, A293, ベンチマークリターン!$B$2:$B$2001, Q293) / 100, 0))</f>
        <v/>
      </c>
      <c r="T293" t="str">
        <f>IF(A293="","", SUMIFS($H$2:$H$2000, $A$2:$A$2000, A293))</f>
        <v/>
      </c>
      <c r="U293" t="str">
        <f t="shared" si="52"/>
        <v/>
      </c>
      <c r="V293" t="str">
        <f t="shared" si="53"/>
        <v/>
      </c>
      <c r="W293" t="str">
        <f t="shared" si="54"/>
        <v/>
      </c>
    </row>
    <row r="294" spans="1:23" x14ac:dyDescent="0.2">
      <c r="A294" s="4" t="str">
        <f>IF(ポートフォリオ実績!A295="","", ポートフォリオ実績!A295)</f>
        <v/>
      </c>
      <c r="B294" t="str">
        <f>IF(ポートフォリオ実績!B295="","", ポートフォリオ実績!B295)</f>
        <v/>
      </c>
      <c r="C294" s="10" t="str">
        <f>IF(ポートフォリオ実績!C295="","", ポートフォリオ実績!C295)</f>
        <v/>
      </c>
      <c r="D294" s="10" t="str">
        <f>IF(ポートフォリオ実績!D295="","", ポートフォリオ実績!D295)</f>
        <v/>
      </c>
      <c r="E294" s="10" t="str">
        <f>IF(ポートフォリオ実績!E295="","", ポートフォリオ実績!E295)</f>
        <v/>
      </c>
      <c r="F294" s="10" t="str">
        <f>IF(ポートフォリオ実績!F295="","", ポートフォリオ実績!F295)</f>
        <v/>
      </c>
      <c r="G294" t="str">
        <f t="shared" si="44"/>
        <v/>
      </c>
      <c r="H294">
        <f>IF(B294&lt;&gt;"", SUMIFS(ポートフォリオ実績!$D$2:$D$2001, ポートフォリオ実績!$B$2:$B$2001, B294, ポートフォリオ実績!$A$2:$A$2001, G294), 0)</f>
        <v>0</v>
      </c>
      <c r="I294">
        <f>IF(B294&lt;&gt;"", SUMIFS(ポートフォリオ実績!$C$2:$C$2001, ポートフォリオ実績!$B$2:$B$2001, B294, ポートフォリオ実績!$A$2:$A$2001, G294), 0)</f>
        <v>0</v>
      </c>
      <c r="J294">
        <f t="shared" si="45"/>
        <v>0</v>
      </c>
      <c r="K294">
        <f t="shared" si="46"/>
        <v>0</v>
      </c>
      <c r="L294">
        <f t="shared" si="47"/>
        <v>0</v>
      </c>
      <c r="M294">
        <f t="shared" si="48"/>
        <v>0</v>
      </c>
      <c r="N294">
        <f t="shared" si="49"/>
        <v>0</v>
      </c>
      <c r="O294">
        <f t="shared" si="50"/>
        <v>0</v>
      </c>
      <c r="P294" t="str">
        <f t="shared" si="51"/>
        <v/>
      </c>
      <c r="Q294" t="str">
        <f>IF(B294="","", IFERROR(VLOOKUP(B294, '基準資産配分（設定）'!$A$2:$C$2001, 3, FALSE), ""))</f>
        <v/>
      </c>
      <c r="R294" t="str">
        <f>IF(B294="","", IFERROR(VLOOKUP(B294, '基準資産配分（設定）'!$A$2:$C$2001, 2, FALSE)/100, 0))</f>
        <v/>
      </c>
      <c r="S294" t="str">
        <f>IF(B294="","", IFERROR(SUMIFS(ベンチマークリターン!$C$2:$C$2001, ベンチマークリターン!$A$2:$A$2001, A294, ベンチマークリターン!$B$2:$B$2001, Q294) / 100, 0))</f>
        <v/>
      </c>
      <c r="T294" t="str">
        <f>IF(A294="","", SUMIFS($H$2:$H$2000, $A$2:$A$2000, A294))</f>
        <v/>
      </c>
      <c r="U294" t="str">
        <f t="shared" si="52"/>
        <v/>
      </c>
      <c r="V294" t="str">
        <f t="shared" si="53"/>
        <v/>
      </c>
      <c r="W294" t="str">
        <f t="shared" si="54"/>
        <v/>
      </c>
    </row>
    <row r="295" spans="1:23" x14ac:dyDescent="0.2">
      <c r="A295" s="4" t="str">
        <f>IF(ポートフォリオ実績!A296="","", ポートフォリオ実績!A296)</f>
        <v/>
      </c>
      <c r="B295" t="str">
        <f>IF(ポートフォリオ実績!B296="","", ポートフォリオ実績!B296)</f>
        <v/>
      </c>
      <c r="C295" s="10" t="str">
        <f>IF(ポートフォリオ実績!C296="","", ポートフォリオ実績!C296)</f>
        <v/>
      </c>
      <c r="D295" s="10" t="str">
        <f>IF(ポートフォリオ実績!D296="","", ポートフォリオ実績!D296)</f>
        <v/>
      </c>
      <c r="E295" s="10" t="str">
        <f>IF(ポートフォリオ実績!E296="","", ポートフォリオ実績!E296)</f>
        <v/>
      </c>
      <c r="F295" s="10" t="str">
        <f>IF(ポートフォリオ実績!F296="","", ポートフォリオ実績!F296)</f>
        <v/>
      </c>
      <c r="G295" t="str">
        <f t="shared" si="44"/>
        <v/>
      </c>
      <c r="H295">
        <f>IF(B295&lt;&gt;"", SUMIFS(ポートフォリオ実績!$D$2:$D$2001, ポートフォリオ実績!$B$2:$B$2001, B295, ポートフォリオ実績!$A$2:$A$2001, G295), 0)</f>
        <v>0</v>
      </c>
      <c r="I295">
        <f>IF(B295&lt;&gt;"", SUMIFS(ポートフォリオ実績!$C$2:$C$2001, ポートフォリオ実績!$B$2:$B$2001, B295, ポートフォリオ実績!$A$2:$A$2001, G295), 0)</f>
        <v>0</v>
      </c>
      <c r="J295">
        <f t="shared" si="45"/>
        <v>0</v>
      </c>
      <c r="K295">
        <f t="shared" si="46"/>
        <v>0</v>
      </c>
      <c r="L295">
        <f t="shared" si="47"/>
        <v>0</v>
      </c>
      <c r="M295">
        <f t="shared" si="48"/>
        <v>0</v>
      </c>
      <c r="N295">
        <f t="shared" si="49"/>
        <v>0</v>
      </c>
      <c r="O295">
        <f t="shared" si="50"/>
        <v>0</v>
      </c>
      <c r="P295" t="str">
        <f t="shared" si="51"/>
        <v/>
      </c>
      <c r="Q295" t="str">
        <f>IF(B295="","", IFERROR(VLOOKUP(B295, '基準資産配分（設定）'!$A$2:$C$2001, 3, FALSE), ""))</f>
        <v/>
      </c>
      <c r="R295" t="str">
        <f>IF(B295="","", IFERROR(VLOOKUP(B295, '基準資産配分（設定）'!$A$2:$C$2001, 2, FALSE)/100, 0))</f>
        <v/>
      </c>
      <c r="S295" t="str">
        <f>IF(B295="","", IFERROR(SUMIFS(ベンチマークリターン!$C$2:$C$2001, ベンチマークリターン!$A$2:$A$2001, A295, ベンチマークリターン!$B$2:$B$2001, Q295) / 100, 0))</f>
        <v/>
      </c>
      <c r="T295" t="str">
        <f>IF(A295="","", SUMIFS($H$2:$H$2000, $A$2:$A$2000, A295))</f>
        <v/>
      </c>
      <c r="U295" t="str">
        <f t="shared" si="52"/>
        <v/>
      </c>
      <c r="V295" t="str">
        <f t="shared" si="53"/>
        <v/>
      </c>
      <c r="W295" t="str">
        <f t="shared" si="54"/>
        <v/>
      </c>
    </row>
    <row r="296" spans="1:23" x14ac:dyDescent="0.2">
      <c r="A296" s="4" t="str">
        <f>IF(ポートフォリオ実績!A297="","", ポートフォリオ実績!A297)</f>
        <v/>
      </c>
      <c r="B296" t="str">
        <f>IF(ポートフォリオ実績!B297="","", ポートフォリオ実績!B297)</f>
        <v/>
      </c>
      <c r="C296" s="10" t="str">
        <f>IF(ポートフォリオ実績!C297="","", ポートフォリオ実績!C297)</f>
        <v/>
      </c>
      <c r="D296" s="10" t="str">
        <f>IF(ポートフォリオ実績!D297="","", ポートフォリオ実績!D297)</f>
        <v/>
      </c>
      <c r="E296" s="10" t="str">
        <f>IF(ポートフォリオ実績!E297="","", ポートフォリオ実績!E297)</f>
        <v/>
      </c>
      <c r="F296" s="10" t="str">
        <f>IF(ポートフォリオ実績!F297="","", ポートフォリオ実績!F297)</f>
        <v/>
      </c>
      <c r="G296" t="str">
        <f t="shared" si="44"/>
        <v/>
      </c>
      <c r="H296">
        <f>IF(B296&lt;&gt;"", SUMIFS(ポートフォリオ実績!$D$2:$D$2001, ポートフォリオ実績!$B$2:$B$2001, B296, ポートフォリオ実績!$A$2:$A$2001, G296), 0)</f>
        <v>0</v>
      </c>
      <c r="I296">
        <f>IF(B296&lt;&gt;"", SUMIFS(ポートフォリオ実績!$C$2:$C$2001, ポートフォリオ実績!$B$2:$B$2001, B296, ポートフォリオ実績!$A$2:$A$2001, G296), 0)</f>
        <v>0</v>
      </c>
      <c r="J296">
        <f t="shared" si="45"/>
        <v>0</v>
      </c>
      <c r="K296">
        <f t="shared" si="46"/>
        <v>0</v>
      </c>
      <c r="L296">
        <f t="shared" si="47"/>
        <v>0</v>
      </c>
      <c r="M296">
        <f t="shared" si="48"/>
        <v>0</v>
      </c>
      <c r="N296">
        <f t="shared" si="49"/>
        <v>0</v>
      </c>
      <c r="O296">
        <f t="shared" si="50"/>
        <v>0</v>
      </c>
      <c r="P296" t="str">
        <f t="shared" si="51"/>
        <v/>
      </c>
      <c r="Q296" t="str">
        <f>IF(B296="","", IFERROR(VLOOKUP(B296, '基準資産配分（設定）'!$A$2:$C$2001, 3, FALSE), ""))</f>
        <v/>
      </c>
      <c r="R296" t="str">
        <f>IF(B296="","", IFERROR(VLOOKUP(B296, '基準資産配分（設定）'!$A$2:$C$2001, 2, FALSE)/100, 0))</f>
        <v/>
      </c>
      <c r="S296" t="str">
        <f>IF(B296="","", IFERROR(SUMIFS(ベンチマークリターン!$C$2:$C$2001, ベンチマークリターン!$A$2:$A$2001, A296, ベンチマークリターン!$B$2:$B$2001, Q296) / 100, 0))</f>
        <v/>
      </c>
      <c r="T296" t="str">
        <f>IF(A296="","", SUMIFS($H$2:$H$2000, $A$2:$A$2000, A296))</f>
        <v/>
      </c>
      <c r="U296" t="str">
        <f t="shared" si="52"/>
        <v/>
      </c>
      <c r="V296" t="str">
        <f t="shared" si="53"/>
        <v/>
      </c>
      <c r="W296" t="str">
        <f t="shared" si="54"/>
        <v/>
      </c>
    </row>
    <row r="297" spans="1:23" x14ac:dyDescent="0.2">
      <c r="A297" s="4" t="str">
        <f>IF(ポートフォリオ実績!A298="","", ポートフォリオ実績!A298)</f>
        <v/>
      </c>
      <c r="B297" t="str">
        <f>IF(ポートフォリオ実績!B298="","", ポートフォリオ実績!B298)</f>
        <v/>
      </c>
      <c r="C297" s="10" t="str">
        <f>IF(ポートフォリオ実績!C298="","", ポートフォリオ実績!C298)</f>
        <v/>
      </c>
      <c r="D297" s="10" t="str">
        <f>IF(ポートフォリオ実績!D298="","", ポートフォリオ実績!D298)</f>
        <v/>
      </c>
      <c r="E297" s="10" t="str">
        <f>IF(ポートフォリオ実績!E298="","", ポートフォリオ実績!E298)</f>
        <v/>
      </c>
      <c r="F297" s="10" t="str">
        <f>IF(ポートフォリオ実績!F298="","", ポートフォリオ実績!F298)</f>
        <v/>
      </c>
      <c r="G297" t="str">
        <f t="shared" si="44"/>
        <v/>
      </c>
      <c r="H297">
        <f>IF(B297&lt;&gt;"", SUMIFS(ポートフォリオ実績!$D$2:$D$2001, ポートフォリオ実績!$B$2:$B$2001, B297, ポートフォリオ実績!$A$2:$A$2001, G297), 0)</f>
        <v>0</v>
      </c>
      <c r="I297">
        <f>IF(B297&lt;&gt;"", SUMIFS(ポートフォリオ実績!$C$2:$C$2001, ポートフォリオ実績!$B$2:$B$2001, B297, ポートフォリオ実績!$A$2:$A$2001, G297), 0)</f>
        <v>0</v>
      </c>
      <c r="J297">
        <f t="shared" si="45"/>
        <v>0</v>
      </c>
      <c r="K297">
        <f t="shared" si="46"/>
        <v>0</v>
      </c>
      <c r="L297">
        <f t="shared" si="47"/>
        <v>0</v>
      </c>
      <c r="M297">
        <f t="shared" si="48"/>
        <v>0</v>
      </c>
      <c r="N297">
        <f t="shared" si="49"/>
        <v>0</v>
      </c>
      <c r="O297">
        <f t="shared" si="50"/>
        <v>0</v>
      </c>
      <c r="P297" t="str">
        <f t="shared" si="51"/>
        <v/>
      </c>
      <c r="Q297" t="str">
        <f>IF(B297="","", IFERROR(VLOOKUP(B297, '基準資産配分（設定）'!$A$2:$C$2001, 3, FALSE), ""))</f>
        <v/>
      </c>
      <c r="R297" t="str">
        <f>IF(B297="","", IFERROR(VLOOKUP(B297, '基準資産配分（設定）'!$A$2:$C$2001, 2, FALSE)/100, 0))</f>
        <v/>
      </c>
      <c r="S297" t="str">
        <f>IF(B297="","", IFERROR(SUMIFS(ベンチマークリターン!$C$2:$C$2001, ベンチマークリターン!$A$2:$A$2001, A297, ベンチマークリターン!$B$2:$B$2001, Q297) / 100, 0))</f>
        <v/>
      </c>
      <c r="T297" t="str">
        <f>IF(A297="","", SUMIFS($H$2:$H$2000, $A$2:$A$2000, A297))</f>
        <v/>
      </c>
      <c r="U297" t="str">
        <f t="shared" si="52"/>
        <v/>
      </c>
      <c r="V297" t="str">
        <f t="shared" si="53"/>
        <v/>
      </c>
      <c r="W297" t="str">
        <f t="shared" si="54"/>
        <v/>
      </c>
    </row>
    <row r="298" spans="1:23" x14ac:dyDescent="0.2">
      <c r="A298" s="4" t="str">
        <f>IF(ポートフォリオ実績!A299="","", ポートフォリオ実績!A299)</f>
        <v/>
      </c>
      <c r="B298" t="str">
        <f>IF(ポートフォリオ実績!B299="","", ポートフォリオ実績!B299)</f>
        <v/>
      </c>
      <c r="C298" s="10" t="str">
        <f>IF(ポートフォリオ実績!C299="","", ポートフォリオ実績!C299)</f>
        <v/>
      </c>
      <c r="D298" s="10" t="str">
        <f>IF(ポートフォリオ実績!D299="","", ポートフォリオ実績!D299)</f>
        <v/>
      </c>
      <c r="E298" s="10" t="str">
        <f>IF(ポートフォリオ実績!E299="","", ポートフォリオ実績!E299)</f>
        <v/>
      </c>
      <c r="F298" s="10" t="str">
        <f>IF(ポートフォリオ実績!F299="","", ポートフォリオ実績!F299)</f>
        <v/>
      </c>
      <c r="G298" t="str">
        <f t="shared" si="44"/>
        <v/>
      </c>
      <c r="H298">
        <f>IF(B298&lt;&gt;"", SUMIFS(ポートフォリオ実績!$D$2:$D$2001, ポートフォリオ実績!$B$2:$B$2001, B298, ポートフォリオ実績!$A$2:$A$2001, G298), 0)</f>
        <v>0</v>
      </c>
      <c r="I298">
        <f>IF(B298&lt;&gt;"", SUMIFS(ポートフォリオ実績!$C$2:$C$2001, ポートフォリオ実績!$B$2:$B$2001, B298, ポートフォリオ実績!$A$2:$A$2001, G298), 0)</f>
        <v>0</v>
      </c>
      <c r="J298">
        <f t="shared" si="45"/>
        <v>0</v>
      </c>
      <c r="K298">
        <f t="shared" si="46"/>
        <v>0</v>
      </c>
      <c r="L298">
        <f t="shared" si="47"/>
        <v>0</v>
      </c>
      <c r="M298">
        <f t="shared" si="48"/>
        <v>0</v>
      </c>
      <c r="N298">
        <f t="shared" si="49"/>
        <v>0</v>
      </c>
      <c r="O298">
        <f t="shared" si="50"/>
        <v>0</v>
      </c>
      <c r="P298" t="str">
        <f t="shared" si="51"/>
        <v/>
      </c>
      <c r="Q298" t="str">
        <f>IF(B298="","", IFERROR(VLOOKUP(B298, '基準資産配分（設定）'!$A$2:$C$2001, 3, FALSE), ""))</f>
        <v/>
      </c>
      <c r="R298" t="str">
        <f>IF(B298="","", IFERROR(VLOOKUP(B298, '基準資産配分（設定）'!$A$2:$C$2001, 2, FALSE)/100, 0))</f>
        <v/>
      </c>
      <c r="S298" t="str">
        <f>IF(B298="","", IFERROR(SUMIFS(ベンチマークリターン!$C$2:$C$2001, ベンチマークリターン!$A$2:$A$2001, A298, ベンチマークリターン!$B$2:$B$2001, Q298) / 100, 0))</f>
        <v/>
      </c>
      <c r="T298" t="str">
        <f>IF(A298="","", SUMIFS($H$2:$H$2000, $A$2:$A$2000, A298))</f>
        <v/>
      </c>
      <c r="U298" t="str">
        <f t="shared" si="52"/>
        <v/>
      </c>
      <c r="V298" t="str">
        <f t="shared" si="53"/>
        <v/>
      </c>
      <c r="W298" t="str">
        <f t="shared" si="54"/>
        <v/>
      </c>
    </row>
    <row r="299" spans="1:23" x14ac:dyDescent="0.2">
      <c r="A299" s="4" t="str">
        <f>IF(ポートフォリオ実績!A300="","", ポートフォリオ実績!A300)</f>
        <v/>
      </c>
      <c r="B299" t="str">
        <f>IF(ポートフォリオ実績!B300="","", ポートフォリオ実績!B300)</f>
        <v/>
      </c>
      <c r="C299" s="10" t="str">
        <f>IF(ポートフォリオ実績!C300="","", ポートフォリオ実績!C300)</f>
        <v/>
      </c>
      <c r="D299" s="10" t="str">
        <f>IF(ポートフォリオ実績!D300="","", ポートフォリオ実績!D300)</f>
        <v/>
      </c>
      <c r="E299" s="10" t="str">
        <f>IF(ポートフォリオ実績!E300="","", ポートフォリオ実績!E300)</f>
        <v/>
      </c>
      <c r="F299" s="10" t="str">
        <f>IF(ポートフォリオ実績!F300="","", ポートフォリオ実績!F300)</f>
        <v/>
      </c>
      <c r="G299" t="str">
        <f t="shared" si="44"/>
        <v/>
      </c>
      <c r="H299">
        <f>IF(B299&lt;&gt;"", SUMIFS(ポートフォリオ実績!$D$2:$D$2001, ポートフォリオ実績!$B$2:$B$2001, B299, ポートフォリオ実績!$A$2:$A$2001, G299), 0)</f>
        <v>0</v>
      </c>
      <c r="I299">
        <f>IF(B299&lt;&gt;"", SUMIFS(ポートフォリオ実績!$C$2:$C$2001, ポートフォリオ実績!$B$2:$B$2001, B299, ポートフォリオ実績!$A$2:$A$2001, G299), 0)</f>
        <v>0</v>
      </c>
      <c r="J299">
        <f t="shared" si="45"/>
        <v>0</v>
      </c>
      <c r="K299">
        <f t="shared" si="46"/>
        <v>0</v>
      </c>
      <c r="L299">
        <f t="shared" si="47"/>
        <v>0</v>
      </c>
      <c r="M299">
        <f t="shared" si="48"/>
        <v>0</v>
      </c>
      <c r="N299">
        <f t="shared" si="49"/>
        <v>0</v>
      </c>
      <c r="O299">
        <f t="shared" si="50"/>
        <v>0</v>
      </c>
      <c r="P299" t="str">
        <f t="shared" si="51"/>
        <v/>
      </c>
      <c r="Q299" t="str">
        <f>IF(B299="","", IFERROR(VLOOKUP(B299, '基準資産配分（設定）'!$A$2:$C$2001, 3, FALSE), ""))</f>
        <v/>
      </c>
      <c r="R299" t="str">
        <f>IF(B299="","", IFERROR(VLOOKUP(B299, '基準資産配分（設定）'!$A$2:$C$2001, 2, FALSE)/100, 0))</f>
        <v/>
      </c>
      <c r="S299" t="str">
        <f>IF(B299="","", IFERROR(SUMIFS(ベンチマークリターン!$C$2:$C$2001, ベンチマークリターン!$A$2:$A$2001, A299, ベンチマークリターン!$B$2:$B$2001, Q299) / 100, 0))</f>
        <v/>
      </c>
      <c r="T299" t="str">
        <f>IF(A299="","", SUMIFS($H$2:$H$2000, $A$2:$A$2000, A299))</f>
        <v/>
      </c>
      <c r="U299" t="str">
        <f t="shared" si="52"/>
        <v/>
      </c>
      <c r="V299" t="str">
        <f t="shared" si="53"/>
        <v/>
      </c>
      <c r="W299" t="str">
        <f t="shared" si="54"/>
        <v/>
      </c>
    </row>
    <row r="300" spans="1:23" x14ac:dyDescent="0.2">
      <c r="A300" s="4" t="str">
        <f>IF(ポートフォリオ実績!A301="","", ポートフォリオ実績!A301)</f>
        <v/>
      </c>
      <c r="B300" t="str">
        <f>IF(ポートフォリオ実績!B301="","", ポートフォリオ実績!B301)</f>
        <v/>
      </c>
      <c r="C300" s="10" t="str">
        <f>IF(ポートフォリオ実績!C301="","", ポートフォリオ実績!C301)</f>
        <v/>
      </c>
      <c r="D300" s="10" t="str">
        <f>IF(ポートフォリオ実績!D301="","", ポートフォリオ実績!D301)</f>
        <v/>
      </c>
      <c r="E300" s="10" t="str">
        <f>IF(ポートフォリオ実績!E301="","", ポートフォリオ実績!E301)</f>
        <v/>
      </c>
      <c r="F300" s="10" t="str">
        <f>IF(ポートフォリオ実績!F301="","", ポートフォリオ実績!F301)</f>
        <v/>
      </c>
      <c r="G300" t="str">
        <f t="shared" si="44"/>
        <v/>
      </c>
      <c r="H300">
        <f>IF(B300&lt;&gt;"", SUMIFS(ポートフォリオ実績!$D$2:$D$2001, ポートフォリオ実績!$B$2:$B$2001, B300, ポートフォリオ実績!$A$2:$A$2001, G300), 0)</f>
        <v>0</v>
      </c>
      <c r="I300">
        <f>IF(B300&lt;&gt;"", SUMIFS(ポートフォリオ実績!$C$2:$C$2001, ポートフォリオ実績!$B$2:$B$2001, B300, ポートフォリオ実績!$A$2:$A$2001, G300), 0)</f>
        <v>0</v>
      </c>
      <c r="J300">
        <f t="shared" si="45"/>
        <v>0</v>
      </c>
      <c r="K300">
        <f t="shared" si="46"/>
        <v>0</v>
      </c>
      <c r="L300">
        <f t="shared" si="47"/>
        <v>0</v>
      </c>
      <c r="M300">
        <f t="shared" si="48"/>
        <v>0</v>
      </c>
      <c r="N300">
        <f t="shared" si="49"/>
        <v>0</v>
      </c>
      <c r="O300">
        <f t="shared" si="50"/>
        <v>0</v>
      </c>
      <c r="P300" t="str">
        <f t="shared" si="51"/>
        <v/>
      </c>
      <c r="Q300" t="str">
        <f>IF(B300="","", IFERROR(VLOOKUP(B300, '基準資産配分（設定）'!$A$2:$C$2001, 3, FALSE), ""))</f>
        <v/>
      </c>
      <c r="R300" t="str">
        <f>IF(B300="","", IFERROR(VLOOKUP(B300, '基準資産配分（設定）'!$A$2:$C$2001, 2, FALSE)/100, 0))</f>
        <v/>
      </c>
      <c r="S300" t="str">
        <f>IF(B300="","", IFERROR(SUMIFS(ベンチマークリターン!$C$2:$C$2001, ベンチマークリターン!$A$2:$A$2001, A300, ベンチマークリターン!$B$2:$B$2001, Q300) / 100, 0))</f>
        <v/>
      </c>
      <c r="T300" t="str">
        <f>IF(A300="","", SUMIFS($H$2:$H$2000, $A$2:$A$2000, A300))</f>
        <v/>
      </c>
      <c r="U300" t="str">
        <f t="shared" si="52"/>
        <v/>
      </c>
      <c r="V300" t="str">
        <f t="shared" si="53"/>
        <v/>
      </c>
      <c r="W300" t="str">
        <f t="shared" si="54"/>
        <v/>
      </c>
    </row>
    <row r="301" spans="1:23" x14ac:dyDescent="0.2">
      <c r="A301" s="4" t="str">
        <f>IF(ポートフォリオ実績!A302="","", ポートフォリオ実績!A302)</f>
        <v/>
      </c>
      <c r="B301" t="str">
        <f>IF(ポートフォリオ実績!B302="","", ポートフォリオ実績!B302)</f>
        <v/>
      </c>
      <c r="C301" s="10" t="str">
        <f>IF(ポートフォリオ実績!C302="","", ポートフォリオ実績!C302)</f>
        <v/>
      </c>
      <c r="D301" s="10" t="str">
        <f>IF(ポートフォリオ実績!D302="","", ポートフォリオ実績!D302)</f>
        <v/>
      </c>
      <c r="E301" s="10" t="str">
        <f>IF(ポートフォリオ実績!E302="","", ポートフォリオ実績!E302)</f>
        <v/>
      </c>
      <c r="F301" s="10" t="str">
        <f>IF(ポートフォリオ実績!F302="","", ポートフォリオ実績!F302)</f>
        <v/>
      </c>
      <c r="G301" t="str">
        <f t="shared" si="44"/>
        <v/>
      </c>
      <c r="H301">
        <f>IF(B301&lt;&gt;"", SUMIFS(ポートフォリオ実績!$D$2:$D$2001, ポートフォリオ実績!$B$2:$B$2001, B301, ポートフォリオ実績!$A$2:$A$2001, G301), 0)</f>
        <v>0</v>
      </c>
      <c r="I301">
        <f>IF(B301&lt;&gt;"", SUMIFS(ポートフォリオ実績!$C$2:$C$2001, ポートフォリオ実績!$B$2:$B$2001, B301, ポートフォリオ実績!$A$2:$A$2001, G301), 0)</f>
        <v>0</v>
      </c>
      <c r="J301">
        <f t="shared" si="45"/>
        <v>0</v>
      </c>
      <c r="K301">
        <f t="shared" si="46"/>
        <v>0</v>
      </c>
      <c r="L301">
        <f t="shared" si="47"/>
        <v>0</v>
      </c>
      <c r="M301">
        <f t="shared" si="48"/>
        <v>0</v>
      </c>
      <c r="N301">
        <f t="shared" si="49"/>
        <v>0</v>
      </c>
      <c r="O301">
        <f t="shared" si="50"/>
        <v>0</v>
      </c>
      <c r="P301" t="str">
        <f t="shared" si="51"/>
        <v/>
      </c>
      <c r="Q301" t="str">
        <f>IF(B301="","", IFERROR(VLOOKUP(B301, '基準資産配分（設定）'!$A$2:$C$2001, 3, FALSE), ""))</f>
        <v/>
      </c>
      <c r="R301" t="str">
        <f>IF(B301="","", IFERROR(VLOOKUP(B301, '基準資産配分（設定）'!$A$2:$C$2001, 2, FALSE)/100, 0))</f>
        <v/>
      </c>
      <c r="S301" t="str">
        <f>IF(B301="","", IFERROR(SUMIFS(ベンチマークリターン!$C$2:$C$2001, ベンチマークリターン!$A$2:$A$2001, A301, ベンチマークリターン!$B$2:$B$2001, Q301) / 100, 0))</f>
        <v/>
      </c>
      <c r="T301" t="str">
        <f>IF(A301="","", SUMIFS($H$2:$H$2000, $A$2:$A$2000, A301))</f>
        <v/>
      </c>
      <c r="U301" t="str">
        <f t="shared" si="52"/>
        <v/>
      </c>
      <c r="V301" t="str">
        <f t="shared" si="53"/>
        <v/>
      </c>
      <c r="W301" t="str">
        <f t="shared" si="54"/>
        <v/>
      </c>
    </row>
    <row r="302" spans="1:23" x14ac:dyDescent="0.2">
      <c r="A302" s="4" t="str">
        <f>IF(ポートフォリオ実績!A303="","", ポートフォリオ実績!A303)</f>
        <v/>
      </c>
      <c r="B302" t="str">
        <f>IF(ポートフォリオ実績!B303="","", ポートフォリオ実績!B303)</f>
        <v/>
      </c>
      <c r="C302" s="10" t="str">
        <f>IF(ポートフォリオ実績!C303="","", ポートフォリオ実績!C303)</f>
        <v/>
      </c>
      <c r="D302" s="10" t="str">
        <f>IF(ポートフォリオ実績!D303="","", ポートフォリオ実績!D303)</f>
        <v/>
      </c>
      <c r="E302" s="10" t="str">
        <f>IF(ポートフォリオ実績!E303="","", ポートフォリオ実績!E303)</f>
        <v/>
      </c>
      <c r="F302" s="10" t="str">
        <f>IF(ポートフォリオ実績!F303="","", ポートフォリオ実績!F303)</f>
        <v/>
      </c>
      <c r="G302" t="str">
        <f t="shared" si="44"/>
        <v/>
      </c>
      <c r="H302">
        <f>IF(B302&lt;&gt;"", SUMIFS(ポートフォリオ実績!$D$2:$D$2001, ポートフォリオ実績!$B$2:$B$2001, B302, ポートフォリオ実績!$A$2:$A$2001, G302), 0)</f>
        <v>0</v>
      </c>
      <c r="I302">
        <f>IF(B302&lt;&gt;"", SUMIFS(ポートフォリオ実績!$C$2:$C$2001, ポートフォリオ実績!$B$2:$B$2001, B302, ポートフォリオ実績!$A$2:$A$2001, G302), 0)</f>
        <v>0</v>
      </c>
      <c r="J302">
        <f t="shared" si="45"/>
        <v>0</v>
      </c>
      <c r="K302">
        <f t="shared" si="46"/>
        <v>0</v>
      </c>
      <c r="L302">
        <f t="shared" si="47"/>
        <v>0</v>
      </c>
      <c r="M302">
        <f t="shared" si="48"/>
        <v>0</v>
      </c>
      <c r="N302">
        <f t="shared" si="49"/>
        <v>0</v>
      </c>
      <c r="O302">
        <f t="shared" si="50"/>
        <v>0</v>
      </c>
      <c r="P302" t="str">
        <f t="shared" si="51"/>
        <v/>
      </c>
      <c r="Q302" t="str">
        <f>IF(B302="","", IFERROR(VLOOKUP(B302, '基準資産配分（設定）'!$A$2:$C$2001, 3, FALSE), ""))</f>
        <v/>
      </c>
      <c r="R302" t="str">
        <f>IF(B302="","", IFERROR(VLOOKUP(B302, '基準資産配分（設定）'!$A$2:$C$2001, 2, FALSE)/100, 0))</f>
        <v/>
      </c>
      <c r="S302" t="str">
        <f>IF(B302="","", IFERROR(SUMIFS(ベンチマークリターン!$C$2:$C$2001, ベンチマークリターン!$A$2:$A$2001, A302, ベンチマークリターン!$B$2:$B$2001, Q302) / 100, 0))</f>
        <v/>
      </c>
      <c r="T302" t="str">
        <f>IF(A302="","", SUMIFS($H$2:$H$2000, $A$2:$A$2000, A302))</f>
        <v/>
      </c>
      <c r="U302" t="str">
        <f t="shared" si="52"/>
        <v/>
      </c>
      <c r="V302" t="str">
        <f t="shared" si="53"/>
        <v/>
      </c>
      <c r="W302" t="str">
        <f t="shared" si="54"/>
        <v/>
      </c>
    </row>
    <row r="303" spans="1:23" x14ac:dyDescent="0.2">
      <c r="A303" s="4" t="str">
        <f>IF(ポートフォリオ実績!A304="","", ポートフォリオ実績!A304)</f>
        <v/>
      </c>
      <c r="B303" t="str">
        <f>IF(ポートフォリオ実績!B304="","", ポートフォリオ実績!B304)</f>
        <v/>
      </c>
      <c r="C303" s="10" t="str">
        <f>IF(ポートフォリオ実績!C304="","", ポートフォリオ実績!C304)</f>
        <v/>
      </c>
      <c r="D303" s="10" t="str">
        <f>IF(ポートフォリオ実績!D304="","", ポートフォリオ実績!D304)</f>
        <v/>
      </c>
      <c r="E303" s="10" t="str">
        <f>IF(ポートフォリオ実績!E304="","", ポートフォリオ実績!E304)</f>
        <v/>
      </c>
      <c r="F303" s="10" t="str">
        <f>IF(ポートフォリオ実績!F304="","", ポートフォリオ実績!F304)</f>
        <v/>
      </c>
      <c r="G303" t="str">
        <f t="shared" si="44"/>
        <v/>
      </c>
      <c r="H303">
        <f>IF(B303&lt;&gt;"", SUMIFS(ポートフォリオ実績!$D$2:$D$2001, ポートフォリオ実績!$B$2:$B$2001, B303, ポートフォリオ実績!$A$2:$A$2001, G303), 0)</f>
        <v>0</v>
      </c>
      <c r="I303">
        <f>IF(B303&lt;&gt;"", SUMIFS(ポートフォリオ実績!$C$2:$C$2001, ポートフォリオ実績!$B$2:$B$2001, B303, ポートフォリオ実績!$A$2:$A$2001, G303), 0)</f>
        <v>0</v>
      </c>
      <c r="J303">
        <f t="shared" si="45"/>
        <v>0</v>
      </c>
      <c r="K303">
        <f t="shared" si="46"/>
        <v>0</v>
      </c>
      <c r="L303">
        <f t="shared" si="47"/>
        <v>0</v>
      </c>
      <c r="M303">
        <f t="shared" si="48"/>
        <v>0</v>
      </c>
      <c r="N303">
        <f t="shared" si="49"/>
        <v>0</v>
      </c>
      <c r="O303">
        <f t="shared" si="50"/>
        <v>0</v>
      </c>
      <c r="P303" t="str">
        <f t="shared" si="51"/>
        <v/>
      </c>
      <c r="Q303" t="str">
        <f>IF(B303="","", IFERROR(VLOOKUP(B303, '基準資産配分（設定）'!$A$2:$C$2001, 3, FALSE), ""))</f>
        <v/>
      </c>
      <c r="R303" t="str">
        <f>IF(B303="","", IFERROR(VLOOKUP(B303, '基準資産配分（設定）'!$A$2:$C$2001, 2, FALSE)/100, 0))</f>
        <v/>
      </c>
      <c r="S303" t="str">
        <f>IF(B303="","", IFERROR(SUMIFS(ベンチマークリターン!$C$2:$C$2001, ベンチマークリターン!$A$2:$A$2001, A303, ベンチマークリターン!$B$2:$B$2001, Q303) / 100, 0))</f>
        <v/>
      </c>
      <c r="T303" t="str">
        <f>IF(A303="","", SUMIFS($H$2:$H$2000, $A$2:$A$2000, A303))</f>
        <v/>
      </c>
      <c r="U303" t="str">
        <f t="shared" si="52"/>
        <v/>
      </c>
      <c r="V303" t="str">
        <f t="shared" si="53"/>
        <v/>
      </c>
      <c r="W303" t="str">
        <f t="shared" si="54"/>
        <v/>
      </c>
    </row>
    <row r="304" spans="1:23" x14ac:dyDescent="0.2">
      <c r="A304" s="4" t="str">
        <f>IF(ポートフォリオ実績!A305="","", ポートフォリオ実績!A305)</f>
        <v/>
      </c>
      <c r="B304" t="str">
        <f>IF(ポートフォリオ実績!B305="","", ポートフォリオ実績!B305)</f>
        <v/>
      </c>
      <c r="C304" s="10" t="str">
        <f>IF(ポートフォリオ実績!C305="","", ポートフォリオ実績!C305)</f>
        <v/>
      </c>
      <c r="D304" s="10" t="str">
        <f>IF(ポートフォリオ実績!D305="","", ポートフォリオ実績!D305)</f>
        <v/>
      </c>
      <c r="E304" s="10" t="str">
        <f>IF(ポートフォリオ実績!E305="","", ポートフォリオ実績!E305)</f>
        <v/>
      </c>
      <c r="F304" s="10" t="str">
        <f>IF(ポートフォリオ実績!F305="","", ポートフォリオ実績!F305)</f>
        <v/>
      </c>
      <c r="G304" t="str">
        <f t="shared" si="44"/>
        <v/>
      </c>
      <c r="H304">
        <f>IF(B304&lt;&gt;"", SUMIFS(ポートフォリオ実績!$D$2:$D$2001, ポートフォリオ実績!$B$2:$B$2001, B304, ポートフォリオ実績!$A$2:$A$2001, G304), 0)</f>
        <v>0</v>
      </c>
      <c r="I304">
        <f>IF(B304&lt;&gt;"", SUMIFS(ポートフォリオ実績!$C$2:$C$2001, ポートフォリオ実績!$B$2:$B$2001, B304, ポートフォリオ実績!$A$2:$A$2001, G304), 0)</f>
        <v>0</v>
      </c>
      <c r="J304">
        <f t="shared" si="45"/>
        <v>0</v>
      </c>
      <c r="K304">
        <f t="shared" si="46"/>
        <v>0</v>
      </c>
      <c r="L304">
        <f t="shared" si="47"/>
        <v>0</v>
      </c>
      <c r="M304">
        <f t="shared" si="48"/>
        <v>0</v>
      </c>
      <c r="N304">
        <f t="shared" si="49"/>
        <v>0</v>
      </c>
      <c r="O304">
        <f t="shared" si="50"/>
        <v>0</v>
      </c>
      <c r="P304" t="str">
        <f t="shared" si="51"/>
        <v/>
      </c>
      <c r="Q304" t="str">
        <f>IF(B304="","", IFERROR(VLOOKUP(B304, '基準資産配分（設定）'!$A$2:$C$2001, 3, FALSE), ""))</f>
        <v/>
      </c>
      <c r="R304" t="str">
        <f>IF(B304="","", IFERROR(VLOOKUP(B304, '基準資産配分（設定）'!$A$2:$C$2001, 2, FALSE)/100, 0))</f>
        <v/>
      </c>
      <c r="S304" t="str">
        <f>IF(B304="","", IFERROR(SUMIFS(ベンチマークリターン!$C$2:$C$2001, ベンチマークリターン!$A$2:$A$2001, A304, ベンチマークリターン!$B$2:$B$2001, Q304) / 100, 0))</f>
        <v/>
      </c>
      <c r="T304" t="str">
        <f>IF(A304="","", SUMIFS($H$2:$H$2000, $A$2:$A$2000, A304))</f>
        <v/>
      </c>
      <c r="U304" t="str">
        <f t="shared" si="52"/>
        <v/>
      </c>
      <c r="V304" t="str">
        <f t="shared" si="53"/>
        <v/>
      </c>
      <c r="W304" t="str">
        <f t="shared" si="54"/>
        <v/>
      </c>
    </row>
    <row r="305" spans="1:23" x14ac:dyDescent="0.2">
      <c r="A305" s="4" t="str">
        <f>IF(ポートフォリオ実績!A306="","", ポートフォリオ実績!A306)</f>
        <v/>
      </c>
      <c r="B305" t="str">
        <f>IF(ポートフォリオ実績!B306="","", ポートフォリオ実績!B306)</f>
        <v/>
      </c>
      <c r="C305" s="10" t="str">
        <f>IF(ポートフォリオ実績!C306="","", ポートフォリオ実績!C306)</f>
        <v/>
      </c>
      <c r="D305" s="10" t="str">
        <f>IF(ポートフォリオ実績!D306="","", ポートフォリオ実績!D306)</f>
        <v/>
      </c>
      <c r="E305" s="10" t="str">
        <f>IF(ポートフォリオ実績!E306="","", ポートフォリオ実績!E306)</f>
        <v/>
      </c>
      <c r="F305" s="10" t="str">
        <f>IF(ポートフォリオ実績!F306="","", ポートフォリオ実績!F306)</f>
        <v/>
      </c>
      <c r="G305" t="str">
        <f t="shared" si="44"/>
        <v/>
      </c>
      <c r="H305">
        <f>IF(B305&lt;&gt;"", SUMIFS(ポートフォリオ実績!$D$2:$D$2001, ポートフォリオ実績!$B$2:$B$2001, B305, ポートフォリオ実績!$A$2:$A$2001, G305), 0)</f>
        <v>0</v>
      </c>
      <c r="I305">
        <f>IF(B305&lt;&gt;"", SUMIFS(ポートフォリオ実績!$C$2:$C$2001, ポートフォリオ実績!$B$2:$B$2001, B305, ポートフォリオ実績!$A$2:$A$2001, G305), 0)</f>
        <v>0</v>
      </c>
      <c r="J305">
        <f t="shared" si="45"/>
        <v>0</v>
      </c>
      <c r="K305">
        <f t="shared" si="46"/>
        <v>0</v>
      </c>
      <c r="L305">
        <f t="shared" si="47"/>
        <v>0</v>
      </c>
      <c r="M305">
        <f t="shared" si="48"/>
        <v>0</v>
      </c>
      <c r="N305">
        <f t="shared" si="49"/>
        <v>0</v>
      </c>
      <c r="O305">
        <f t="shared" si="50"/>
        <v>0</v>
      </c>
      <c r="P305" t="str">
        <f t="shared" si="51"/>
        <v/>
      </c>
      <c r="Q305" t="str">
        <f>IF(B305="","", IFERROR(VLOOKUP(B305, '基準資産配分（設定）'!$A$2:$C$2001, 3, FALSE), ""))</f>
        <v/>
      </c>
      <c r="R305" t="str">
        <f>IF(B305="","", IFERROR(VLOOKUP(B305, '基準資産配分（設定）'!$A$2:$C$2001, 2, FALSE)/100, 0))</f>
        <v/>
      </c>
      <c r="S305" t="str">
        <f>IF(B305="","", IFERROR(SUMIFS(ベンチマークリターン!$C$2:$C$2001, ベンチマークリターン!$A$2:$A$2001, A305, ベンチマークリターン!$B$2:$B$2001, Q305) / 100, 0))</f>
        <v/>
      </c>
      <c r="T305" t="str">
        <f>IF(A305="","", SUMIFS($H$2:$H$2000, $A$2:$A$2000, A305))</f>
        <v/>
      </c>
      <c r="U305" t="str">
        <f t="shared" si="52"/>
        <v/>
      </c>
      <c r="V305" t="str">
        <f t="shared" si="53"/>
        <v/>
      </c>
      <c r="W305" t="str">
        <f t="shared" si="54"/>
        <v/>
      </c>
    </row>
    <row r="306" spans="1:23" x14ac:dyDescent="0.2">
      <c r="A306" s="4" t="str">
        <f>IF(ポートフォリオ実績!A307="","", ポートフォリオ実績!A307)</f>
        <v/>
      </c>
      <c r="B306" t="str">
        <f>IF(ポートフォリオ実績!B307="","", ポートフォリオ実績!B307)</f>
        <v/>
      </c>
      <c r="C306" s="10" t="str">
        <f>IF(ポートフォリオ実績!C307="","", ポートフォリオ実績!C307)</f>
        <v/>
      </c>
      <c r="D306" s="10" t="str">
        <f>IF(ポートフォリオ実績!D307="","", ポートフォリオ実績!D307)</f>
        <v/>
      </c>
      <c r="E306" s="10" t="str">
        <f>IF(ポートフォリオ実績!E307="","", ポートフォリオ実績!E307)</f>
        <v/>
      </c>
      <c r="F306" s="10" t="str">
        <f>IF(ポートフォリオ実績!F307="","", ポートフォリオ実績!F307)</f>
        <v/>
      </c>
      <c r="G306" t="str">
        <f t="shared" si="44"/>
        <v/>
      </c>
      <c r="H306">
        <f>IF(B306&lt;&gt;"", SUMIFS(ポートフォリオ実績!$D$2:$D$2001, ポートフォリオ実績!$B$2:$B$2001, B306, ポートフォリオ実績!$A$2:$A$2001, G306), 0)</f>
        <v>0</v>
      </c>
      <c r="I306">
        <f>IF(B306&lt;&gt;"", SUMIFS(ポートフォリオ実績!$C$2:$C$2001, ポートフォリオ実績!$B$2:$B$2001, B306, ポートフォリオ実績!$A$2:$A$2001, G306), 0)</f>
        <v>0</v>
      </c>
      <c r="J306">
        <f t="shared" si="45"/>
        <v>0</v>
      </c>
      <c r="K306">
        <f t="shared" si="46"/>
        <v>0</v>
      </c>
      <c r="L306">
        <f t="shared" si="47"/>
        <v>0</v>
      </c>
      <c r="M306">
        <f t="shared" si="48"/>
        <v>0</v>
      </c>
      <c r="N306">
        <f t="shared" si="49"/>
        <v>0</v>
      </c>
      <c r="O306">
        <f t="shared" si="50"/>
        <v>0</v>
      </c>
      <c r="P306" t="str">
        <f t="shared" si="51"/>
        <v/>
      </c>
      <c r="Q306" t="str">
        <f>IF(B306="","", IFERROR(VLOOKUP(B306, '基準資産配分（設定）'!$A$2:$C$2001, 3, FALSE), ""))</f>
        <v/>
      </c>
      <c r="R306" t="str">
        <f>IF(B306="","", IFERROR(VLOOKUP(B306, '基準資産配分（設定）'!$A$2:$C$2001, 2, FALSE)/100, 0))</f>
        <v/>
      </c>
      <c r="S306" t="str">
        <f>IF(B306="","", IFERROR(SUMIFS(ベンチマークリターン!$C$2:$C$2001, ベンチマークリターン!$A$2:$A$2001, A306, ベンチマークリターン!$B$2:$B$2001, Q306) / 100, 0))</f>
        <v/>
      </c>
      <c r="T306" t="str">
        <f>IF(A306="","", SUMIFS($H$2:$H$2000, $A$2:$A$2000, A306))</f>
        <v/>
      </c>
      <c r="U306" t="str">
        <f t="shared" si="52"/>
        <v/>
      </c>
      <c r="V306" t="str">
        <f t="shared" si="53"/>
        <v/>
      </c>
      <c r="W306" t="str">
        <f t="shared" si="54"/>
        <v/>
      </c>
    </row>
    <row r="307" spans="1:23" x14ac:dyDescent="0.2">
      <c r="A307" s="4" t="str">
        <f>IF(ポートフォリオ実績!A308="","", ポートフォリオ実績!A308)</f>
        <v/>
      </c>
      <c r="B307" t="str">
        <f>IF(ポートフォリオ実績!B308="","", ポートフォリオ実績!B308)</f>
        <v/>
      </c>
      <c r="C307" s="10" t="str">
        <f>IF(ポートフォリオ実績!C308="","", ポートフォリオ実績!C308)</f>
        <v/>
      </c>
      <c r="D307" s="10" t="str">
        <f>IF(ポートフォリオ実績!D308="","", ポートフォリオ実績!D308)</f>
        <v/>
      </c>
      <c r="E307" s="10" t="str">
        <f>IF(ポートフォリオ実績!E308="","", ポートフォリオ実績!E308)</f>
        <v/>
      </c>
      <c r="F307" s="10" t="str">
        <f>IF(ポートフォリオ実績!F308="","", ポートフォリオ実績!F308)</f>
        <v/>
      </c>
      <c r="G307" t="str">
        <f t="shared" si="44"/>
        <v/>
      </c>
      <c r="H307">
        <f>IF(B307&lt;&gt;"", SUMIFS(ポートフォリオ実績!$D$2:$D$2001, ポートフォリオ実績!$B$2:$B$2001, B307, ポートフォリオ実績!$A$2:$A$2001, G307), 0)</f>
        <v>0</v>
      </c>
      <c r="I307">
        <f>IF(B307&lt;&gt;"", SUMIFS(ポートフォリオ実績!$C$2:$C$2001, ポートフォリオ実績!$B$2:$B$2001, B307, ポートフォリオ実績!$A$2:$A$2001, G307), 0)</f>
        <v>0</v>
      </c>
      <c r="J307">
        <f t="shared" si="45"/>
        <v>0</v>
      </c>
      <c r="K307">
        <f t="shared" si="46"/>
        <v>0</v>
      </c>
      <c r="L307">
        <f t="shared" si="47"/>
        <v>0</v>
      </c>
      <c r="M307">
        <f t="shared" si="48"/>
        <v>0</v>
      </c>
      <c r="N307">
        <f t="shared" si="49"/>
        <v>0</v>
      </c>
      <c r="O307">
        <f t="shared" si="50"/>
        <v>0</v>
      </c>
      <c r="P307" t="str">
        <f t="shared" si="51"/>
        <v/>
      </c>
      <c r="Q307" t="str">
        <f>IF(B307="","", IFERROR(VLOOKUP(B307, '基準資産配分（設定）'!$A$2:$C$2001, 3, FALSE), ""))</f>
        <v/>
      </c>
      <c r="R307" t="str">
        <f>IF(B307="","", IFERROR(VLOOKUP(B307, '基準資産配分（設定）'!$A$2:$C$2001, 2, FALSE)/100, 0))</f>
        <v/>
      </c>
      <c r="S307" t="str">
        <f>IF(B307="","", IFERROR(SUMIFS(ベンチマークリターン!$C$2:$C$2001, ベンチマークリターン!$A$2:$A$2001, A307, ベンチマークリターン!$B$2:$B$2001, Q307) / 100, 0))</f>
        <v/>
      </c>
      <c r="T307" t="str">
        <f>IF(A307="","", SUMIFS($H$2:$H$2000, $A$2:$A$2000, A307))</f>
        <v/>
      </c>
      <c r="U307" t="str">
        <f t="shared" si="52"/>
        <v/>
      </c>
      <c r="V307" t="str">
        <f t="shared" si="53"/>
        <v/>
      </c>
      <c r="W307" t="str">
        <f t="shared" si="54"/>
        <v/>
      </c>
    </row>
    <row r="308" spans="1:23" x14ac:dyDescent="0.2">
      <c r="A308" s="4" t="str">
        <f>IF(ポートフォリオ実績!A309="","", ポートフォリオ実績!A309)</f>
        <v/>
      </c>
      <c r="B308" t="str">
        <f>IF(ポートフォリオ実績!B309="","", ポートフォリオ実績!B309)</f>
        <v/>
      </c>
      <c r="C308" s="10" t="str">
        <f>IF(ポートフォリオ実績!C309="","", ポートフォリオ実績!C309)</f>
        <v/>
      </c>
      <c r="D308" s="10" t="str">
        <f>IF(ポートフォリオ実績!D309="","", ポートフォリオ実績!D309)</f>
        <v/>
      </c>
      <c r="E308" s="10" t="str">
        <f>IF(ポートフォリオ実績!E309="","", ポートフォリオ実績!E309)</f>
        <v/>
      </c>
      <c r="F308" s="10" t="str">
        <f>IF(ポートフォリオ実績!F309="","", ポートフォリオ実績!F309)</f>
        <v/>
      </c>
      <c r="G308" t="str">
        <f t="shared" si="44"/>
        <v/>
      </c>
      <c r="H308">
        <f>IF(B308&lt;&gt;"", SUMIFS(ポートフォリオ実績!$D$2:$D$2001, ポートフォリオ実績!$B$2:$B$2001, B308, ポートフォリオ実績!$A$2:$A$2001, G308), 0)</f>
        <v>0</v>
      </c>
      <c r="I308">
        <f>IF(B308&lt;&gt;"", SUMIFS(ポートフォリオ実績!$C$2:$C$2001, ポートフォリオ実績!$B$2:$B$2001, B308, ポートフォリオ実績!$A$2:$A$2001, G308), 0)</f>
        <v>0</v>
      </c>
      <c r="J308">
        <f t="shared" si="45"/>
        <v>0</v>
      </c>
      <c r="K308">
        <f t="shared" si="46"/>
        <v>0</v>
      </c>
      <c r="L308">
        <f t="shared" si="47"/>
        <v>0</v>
      </c>
      <c r="M308">
        <f t="shared" si="48"/>
        <v>0</v>
      </c>
      <c r="N308">
        <f t="shared" si="49"/>
        <v>0</v>
      </c>
      <c r="O308">
        <f t="shared" si="50"/>
        <v>0</v>
      </c>
      <c r="P308" t="str">
        <f t="shared" si="51"/>
        <v/>
      </c>
      <c r="Q308" t="str">
        <f>IF(B308="","", IFERROR(VLOOKUP(B308, '基準資産配分（設定）'!$A$2:$C$2001, 3, FALSE), ""))</f>
        <v/>
      </c>
      <c r="R308" t="str">
        <f>IF(B308="","", IFERROR(VLOOKUP(B308, '基準資産配分（設定）'!$A$2:$C$2001, 2, FALSE)/100, 0))</f>
        <v/>
      </c>
      <c r="S308" t="str">
        <f>IF(B308="","", IFERROR(SUMIFS(ベンチマークリターン!$C$2:$C$2001, ベンチマークリターン!$A$2:$A$2001, A308, ベンチマークリターン!$B$2:$B$2001, Q308) / 100, 0))</f>
        <v/>
      </c>
      <c r="T308" t="str">
        <f>IF(A308="","", SUMIFS($H$2:$H$2000, $A$2:$A$2000, A308))</f>
        <v/>
      </c>
      <c r="U308" t="str">
        <f t="shared" si="52"/>
        <v/>
      </c>
      <c r="V308" t="str">
        <f t="shared" si="53"/>
        <v/>
      </c>
      <c r="W308" t="str">
        <f t="shared" si="54"/>
        <v/>
      </c>
    </row>
    <row r="309" spans="1:23" x14ac:dyDescent="0.2">
      <c r="A309" s="4" t="str">
        <f>IF(ポートフォリオ実績!A310="","", ポートフォリオ実績!A310)</f>
        <v/>
      </c>
      <c r="B309" t="str">
        <f>IF(ポートフォリオ実績!B310="","", ポートフォリオ実績!B310)</f>
        <v/>
      </c>
      <c r="C309" s="10" t="str">
        <f>IF(ポートフォリオ実績!C310="","", ポートフォリオ実績!C310)</f>
        <v/>
      </c>
      <c r="D309" s="10" t="str">
        <f>IF(ポートフォリオ実績!D310="","", ポートフォリオ実績!D310)</f>
        <v/>
      </c>
      <c r="E309" s="10" t="str">
        <f>IF(ポートフォリオ実績!E310="","", ポートフォリオ実績!E310)</f>
        <v/>
      </c>
      <c r="F309" s="10" t="str">
        <f>IF(ポートフォリオ実績!F310="","", ポートフォリオ実績!F310)</f>
        <v/>
      </c>
      <c r="G309" t="str">
        <f t="shared" si="44"/>
        <v/>
      </c>
      <c r="H309">
        <f>IF(B309&lt;&gt;"", SUMIFS(ポートフォリオ実績!$D$2:$D$2001, ポートフォリオ実績!$B$2:$B$2001, B309, ポートフォリオ実績!$A$2:$A$2001, G309), 0)</f>
        <v>0</v>
      </c>
      <c r="I309">
        <f>IF(B309&lt;&gt;"", SUMIFS(ポートフォリオ実績!$C$2:$C$2001, ポートフォリオ実績!$B$2:$B$2001, B309, ポートフォリオ実績!$A$2:$A$2001, G309), 0)</f>
        <v>0</v>
      </c>
      <c r="J309">
        <f t="shared" si="45"/>
        <v>0</v>
      </c>
      <c r="K309">
        <f t="shared" si="46"/>
        <v>0</v>
      </c>
      <c r="L309">
        <f t="shared" si="47"/>
        <v>0</v>
      </c>
      <c r="M309">
        <f t="shared" si="48"/>
        <v>0</v>
      </c>
      <c r="N309">
        <f t="shared" si="49"/>
        <v>0</v>
      </c>
      <c r="O309">
        <f t="shared" si="50"/>
        <v>0</v>
      </c>
      <c r="P309" t="str">
        <f t="shared" si="51"/>
        <v/>
      </c>
      <c r="Q309" t="str">
        <f>IF(B309="","", IFERROR(VLOOKUP(B309, '基準資産配分（設定）'!$A$2:$C$2001, 3, FALSE), ""))</f>
        <v/>
      </c>
      <c r="R309" t="str">
        <f>IF(B309="","", IFERROR(VLOOKUP(B309, '基準資産配分（設定）'!$A$2:$C$2001, 2, FALSE)/100, 0))</f>
        <v/>
      </c>
      <c r="S309" t="str">
        <f>IF(B309="","", IFERROR(SUMIFS(ベンチマークリターン!$C$2:$C$2001, ベンチマークリターン!$A$2:$A$2001, A309, ベンチマークリターン!$B$2:$B$2001, Q309) / 100, 0))</f>
        <v/>
      </c>
      <c r="T309" t="str">
        <f>IF(A309="","", SUMIFS($H$2:$H$2000, $A$2:$A$2000, A309))</f>
        <v/>
      </c>
      <c r="U309" t="str">
        <f t="shared" si="52"/>
        <v/>
      </c>
      <c r="V309" t="str">
        <f t="shared" si="53"/>
        <v/>
      </c>
      <c r="W309" t="str">
        <f t="shared" si="54"/>
        <v/>
      </c>
    </row>
    <row r="310" spans="1:23" x14ac:dyDescent="0.2">
      <c r="A310" s="4" t="str">
        <f>IF(ポートフォリオ実績!A311="","", ポートフォリオ実績!A311)</f>
        <v/>
      </c>
      <c r="B310" t="str">
        <f>IF(ポートフォリオ実績!B311="","", ポートフォリオ実績!B311)</f>
        <v/>
      </c>
      <c r="C310" s="10" t="str">
        <f>IF(ポートフォリオ実績!C311="","", ポートフォリオ実績!C311)</f>
        <v/>
      </c>
      <c r="D310" s="10" t="str">
        <f>IF(ポートフォリオ実績!D311="","", ポートフォリオ実績!D311)</f>
        <v/>
      </c>
      <c r="E310" s="10" t="str">
        <f>IF(ポートフォリオ実績!E311="","", ポートフォリオ実績!E311)</f>
        <v/>
      </c>
      <c r="F310" s="10" t="str">
        <f>IF(ポートフォリオ実績!F311="","", ポートフォリオ実績!F311)</f>
        <v/>
      </c>
      <c r="G310" t="str">
        <f t="shared" si="44"/>
        <v/>
      </c>
      <c r="H310">
        <f>IF(B310&lt;&gt;"", SUMIFS(ポートフォリオ実績!$D$2:$D$2001, ポートフォリオ実績!$B$2:$B$2001, B310, ポートフォリオ実績!$A$2:$A$2001, G310), 0)</f>
        <v>0</v>
      </c>
      <c r="I310">
        <f>IF(B310&lt;&gt;"", SUMIFS(ポートフォリオ実績!$C$2:$C$2001, ポートフォリオ実績!$B$2:$B$2001, B310, ポートフォリオ実績!$A$2:$A$2001, G310), 0)</f>
        <v>0</v>
      </c>
      <c r="J310">
        <f t="shared" si="45"/>
        <v>0</v>
      </c>
      <c r="K310">
        <f t="shared" si="46"/>
        <v>0</v>
      </c>
      <c r="L310">
        <f t="shared" si="47"/>
        <v>0</v>
      </c>
      <c r="M310">
        <f t="shared" si="48"/>
        <v>0</v>
      </c>
      <c r="N310">
        <f t="shared" si="49"/>
        <v>0</v>
      </c>
      <c r="O310">
        <f t="shared" si="50"/>
        <v>0</v>
      </c>
      <c r="P310" t="str">
        <f t="shared" si="51"/>
        <v/>
      </c>
      <c r="Q310" t="str">
        <f>IF(B310="","", IFERROR(VLOOKUP(B310, '基準資産配分（設定）'!$A$2:$C$2001, 3, FALSE), ""))</f>
        <v/>
      </c>
      <c r="R310" t="str">
        <f>IF(B310="","", IFERROR(VLOOKUP(B310, '基準資産配分（設定）'!$A$2:$C$2001, 2, FALSE)/100, 0))</f>
        <v/>
      </c>
      <c r="S310" t="str">
        <f>IF(B310="","", IFERROR(SUMIFS(ベンチマークリターン!$C$2:$C$2001, ベンチマークリターン!$A$2:$A$2001, A310, ベンチマークリターン!$B$2:$B$2001, Q310) / 100, 0))</f>
        <v/>
      </c>
      <c r="T310" t="str">
        <f>IF(A310="","", SUMIFS($H$2:$H$2000, $A$2:$A$2000, A310))</f>
        <v/>
      </c>
      <c r="U310" t="str">
        <f t="shared" si="52"/>
        <v/>
      </c>
      <c r="V310" t="str">
        <f t="shared" si="53"/>
        <v/>
      </c>
      <c r="W310" t="str">
        <f t="shared" si="54"/>
        <v/>
      </c>
    </row>
    <row r="311" spans="1:23" x14ac:dyDescent="0.2">
      <c r="A311" s="4" t="str">
        <f>IF(ポートフォリオ実績!A312="","", ポートフォリオ実績!A312)</f>
        <v/>
      </c>
      <c r="B311" t="str">
        <f>IF(ポートフォリオ実績!B312="","", ポートフォリオ実績!B312)</f>
        <v/>
      </c>
      <c r="C311" s="10" t="str">
        <f>IF(ポートフォリオ実績!C312="","", ポートフォリオ実績!C312)</f>
        <v/>
      </c>
      <c r="D311" s="10" t="str">
        <f>IF(ポートフォリオ実績!D312="","", ポートフォリオ実績!D312)</f>
        <v/>
      </c>
      <c r="E311" s="10" t="str">
        <f>IF(ポートフォリオ実績!E312="","", ポートフォリオ実績!E312)</f>
        <v/>
      </c>
      <c r="F311" s="10" t="str">
        <f>IF(ポートフォリオ実績!F312="","", ポートフォリオ実績!F312)</f>
        <v/>
      </c>
      <c r="G311" t="str">
        <f t="shared" si="44"/>
        <v/>
      </c>
      <c r="H311">
        <f>IF(B311&lt;&gt;"", SUMIFS(ポートフォリオ実績!$D$2:$D$2001, ポートフォリオ実績!$B$2:$B$2001, B311, ポートフォリオ実績!$A$2:$A$2001, G311), 0)</f>
        <v>0</v>
      </c>
      <c r="I311">
        <f>IF(B311&lt;&gt;"", SUMIFS(ポートフォリオ実績!$C$2:$C$2001, ポートフォリオ実績!$B$2:$B$2001, B311, ポートフォリオ実績!$A$2:$A$2001, G311), 0)</f>
        <v>0</v>
      </c>
      <c r="J311">
        <f t="shared" si="45"/>
        <v>0</v>
      </c>
      <c r="K311">
        <f t="shared" si="46"/>
        <v>0</v>
      </c>
      <c r="L311">
        <f t="shared" si="47"/>
        <v>0</v>
      </c>
      <c r="M311">
        <f t="shared" si="48"/>
        <v>0</v>
      </c>
      <c r="N311">
        <f t="shared" si="49"/>
        <v>0</v>
      </c>
      <c r="O311">
        <f t="shared" si="50"/>
        <v>0</v>
      </c>
      <c r="P311" t="str">
        <f t="shared" si="51"/>
        <v/>
      </c>
      <c r="Q311" t="str">
        <f>IF(B311="","", IFERROR(VLOOKUP(B311, '基準資産配分（設定）'!$A$2:$C$2001, 3, FALSE), ""))</f>
        <v/>
      </c>
      <c r="R311" t="str">
        <f>IF(B311="","", IFERROR(VLOOKUP(B311, '基準資産配分（設定）'!$A$2:$C$2001, 2, FALSE)/100, 0))</f>
        <v/>
      </c>
      <c r="S311" t="str">
        <f>IF(B311="","", IFERROR(SUMIFS(ベンチマークリターン!$C$2:$C$2001, ベンチマークリターン!$A$2:$A$2001, A311, ベンチマークリターン!$B$2:$B$2001, Q311) / 100, 0))</f>
        <v/>
      </c>
      <c r="T311" t="str">
        <f>IF(A311="","", SUMIFS($H$2:$H$2000, $A$2:$A$2000, A311))</f>
        <v/>
      </c>
      <c r="U311" t="str">
        <f t="shared" si="52"/>
        <v/>
      </c>
      <c r="V311" t="str">
        <f t="shared" si="53"/>
        <v/>
      </c>
      <c r="W311" t="str">
        <f t="shared" si="54"/>
        <v/>
      </c>
    </row>
    <row r="312" spans="1:23" x14ac:dyDescent="0.2">
      <c r="A312" s="4" t="str">
        <f>IF(ポートフォリオ実績!A313="","", ポートフォリオ実績!A313)</f>
        <v/>
      </c>
      <c r="B312" t="str">
        <f>IF(ポートフォリオ実績!B313="","", ポートフォリオ実績!B313)</f>
        <v/>
      </c>
      <c r="C312" s="10" t="str">
        <f>IF(ポートフォリオ実績!C313="","", ポートフォリオ実績!C313)</f>
        <v/>
      </c>
      <c r="D312" s="10" t="str">
        <f>IF(ポートフォリオ実績!D313="","", ポートフォリオ実績!D313)</f>
        <v/>
      </c>
      <c r="E312" s="10" t="str">
        <f>IF(ポートフォリオ実績!E313="","", ポートフォリオ実績!E313)</f>
        <v/>
      </c>
      <c r="F312" s="10" t="str">
        <f>IF(ポートフォリオ実績!F313="","", ポートフォリオ実績!F313)</f>
        <v/>
      </c>
      <c r="G312" t="str">
        <f t="shared" si="44"/>
        <v/>
      </c>
      <c r="H312">
        <f>IF(B312&lt;&gt;"", SUMIFS(ポートフォリオ実績!$D$2:$D$2001, ポートフォリオ実績!$B$2:$B$2001, B312, ポートフォリオ実績!$A$2:$A$2001, G312), 0)</f>
        <v>0</v>
      </c>
      <c r="I312">
        <f>IF(B312&lt;&gt;"", SUMIFS(ポートフォリオ実績!$C$2:$C$2001, ポートフォリオ実績!$B$2:$B$2001, B312, ポートフォリオ実績!$A$2:$A$2001, G312), 0)</f>
        <v>0</v>
      </c>
      <c r="J312">
        <f t="shared" si="45"/>
        <v>0</v>
      </c>
      <c r="K312">
        <f t="shared" si="46"/>
        <v>0</v>
      </c>
      <c r="L312">
        <f t="shared" si="47"/>
        <v>0</v>
      </c>
      <c r="M312">
        <f t="shared" si="48"/>
        <v>0</v>
      </c>
      <c r="N312">
        <f t="shared" si="49"/>
        <v>0</v>
      </c>
      <c r="O312">
        <f t="shared" si="50"/>
        <v>0</v>
      </c>
      <c r="P312" t="str">
        <f t="shared" si="51"/>
        <v/>
      </c>
      <c r="Q312" t="str">
        <f>IF(B312="","", IFERROR(VLOOKUP(B312, '基準資産配分（設定）'!$A$2:$C$2001, 3, FALSE), ""))</f>
        <v/>
      </c>
      <c r="R312" t="str">
        <f>IF(B312="","", IFERROR(VLOOKUP(B312, '基準資産配分（設定）'!$A$2:$C$2001, 2, FALSE)/100, 0))</f>
        <v/>
      </c>
      <c r="S312" t="str">
        <f>IF(B312="","", IFERROR(SUMIFS(ベンチマークリターン!$C$2:$C$2001, ベンチマークリターン!$A$2:$A$2001, A312, ベンチマークリターン!$B$2:$B$2001, Q312) / 100, 0))</f>
        <v/>
      </c>
      <c r="T312" t="str">
        <f>IF(A312="","", SUMIFS($H$2:$H$2000, $A$2:$A$2000, A312))</f>
        <v/>
      </c>
      <c r="U312" t="str">
        <f t="shared" si="52"/>
        <v/>
      </c>
      <c r="V312" t="str">
        <f t="shared" si="53"/>
        <v/>
      </c>
      <c r="W312" t="str">
        <f t="shared" si="54"/>
        <v/>
      </c>
    </row>
    <row r="313" spans="1:23" x14ac:dyDescent="0.2">
      <c r="A313" s="4" t="str">
        <f>IF(ポートフォリオ実績!A314="","", ポートフォリオ実績!A314)</f>
        <v/>
      </c>
      <c r="B313" t="str">
        <f>IF(ポートフォリオ実績!B314="","", ポートフォリオ実績!B314)</f>
        <v/>
      </c>
      <c r="C313" s="10" t="str">
        <f>IF(ポートフォリオ実績!C314="","", ポートフォリオ実績!C314)</f>
        <v/>
      </c>
      <c r="D313" s="10" t="str">
        <f>IF(ポートフォリオ実績!D314="","", ポートフォリオ実績!D314)</f>
        <v/>
      </c>
      <c r="E313" s="10" t="str">
        <f>IF(ポートフォリオ実績!E314="","", ポートフォリオ実績!E314)</f>
        <v/>
      </c>
      <c r="F313" s="10" t="str">
        <f>IF(ポートフォリオ実績!F314="","", ポートフォリオ実績!F314)</f>
        <v/>
      </c>
      <c r="G313" t="str">
        <f t="shared" si="44"/>
        <v/>
      </c>
      <c r="H313">
        <f>IF(B313&lt;&gt;"", SUMIFS(ポートフォリオ実績!$D$2:$D$2001, ポートフォリオ実績!$B$2:$B$2001, B313, ポートフォリオ実績!$A$2:$A$2001, G313), 0)</f>
        <v>0</v>
      </c>
      <c r="I313">
        <f>IF(B313&lt;&gt;"", SUMIFS(ポートフォリオ実績!$C$2:$C$2001, ポートフォリオ実績!$B$2:$B$2001, B313, ポートフォリオ実績!$A$2:$A$2001, G313), 0)</f>
        <v>0</v>
      </c>
      <c r="J313">
        <f t="shared" si="45"/>
        <v>0</v>
      </c>
      <c r="K313">
        <f t="shared" si="46"/>
        <v>0</v>
      </c>
      <c r="L313">
        <f t="shared" si="47"/>
        <v>0</v>
      </c>
      <c r="M313">
        <f t="shared" si="48"/>
        <v>0</v>
      </c>
      <c r="N313">
        <f t="shared" si="49"/>
        <v>0</v>
      </c>
      <c r="O313">
        <f t="shared" si="50"/>
        <v>0</v>
      </c>
      <c r="P313" t="str">
        <f t="shared" si="51"/>
        <v/>
      </c>
      <c r="Q313" t="str">
        <f>IF(B313="","", IFERROR(VLOOKUP(B313, '基準資産配分（設定）'!$A$2:$C$2001, 3, FALSE), ""))</f>
        <v/>
      </c>
      <c r="R313" t="str">
        <f>IF(B313="","", IFERROR(VLOOKUP(B313, '基準資産配分（設定）'!$A$2:$C$2001, 2, FALSE)/100, 0))</f>
        <v/>
      </c>
      <c r="S313" t="str">
        <f>IF(B313="","", IFERROR(SUMIFS(ベンチマークリターン!$C$2:$C$2001, ベンチマークリターン!$A$2:$A$2001, A313, ベンチマークリターン!$B$2:$B$2001, Q313) / 100, 0))</f>
        <v/>
      </c>
      <c r="T313" t="str">
        <f>IF(A313="","", SUMIFS($H$2:$H$2000, $A$2:$A$2000, A313))</f>
        <v/>
      </c>
      <c r="U313" t="str">
        <f t="shared" si="52"/>
        <v/>
      </c>
      <c r="V313" t="str">
        <f t="shared" si="53"/>
        <v/>
      </c>
      <c r="W313" t="str">
        <f t="shared" si="54"/>
        <v/>
      </c>
    </row>
    <row r="314" spans="1:23" x14ac:dyDescent="0.2">
      <c r="A314" s="4" t="str">
        <f>IF(ポートフォリオ実績!A315="","", ポートフォリオ実績!A315)</f>
        <v/>
      </c>
      <c r="B314" t="str">
        <f>IF(ポートフォリオ実績!B315="","", ポートフォリオ実績!B315)</f>
        <v/>
      </c>
      <c r="C314" s="10" t="str">
        <f>IF(ポートフォリオ実績!C315="","", ポートフォリオ実績!C315)</f>
        <v/>
      </c>
      <c r="D314" s="10" t="str">
        <f>IF(ポートフォリオ実績!D315="","", ポートフォリオ実績!D315)</f>
        <v/>
      </c>
      <c r="E314" s="10" t="str">
        <f>IF(ポートフォリオ実績!E315="","", ポートフォリオ実績!E315)</f>
        <v/>
      </c>
      <c r="F314" s="10" t="str">
        <f>IF(ポートフォリオ実績!F315="","", ポートフォリオ実績!F315)</f>
        <v/>
      </c>
      <c r="G314" t="str">
        <f t="shared" si="44"/>
        <v/>
      </c>
      <c r="H314">
        <f>IF(B314&lt;&gt;"", SUMIFS(ポートフォリオ実績!$D$2:$D$2001, ポートフォリオ実績!$B$2:$B$2001, B314, ポートフォリオ実績!$A$2:$A$2001, G314), 0)</f>
        <v>0</v>
      </c>
      <c r="I314">
        <f>IF(B314&lt;&gt;"", SUMIFS(ポートフォリオ実績!$C$2:$C$2001, ポートフォリオ実績!$B$2:$B$2001, B314, ポートフォリオ実績!$A$2:$A$2001, G314), 0)</f>
        <v>0</v>
      </c>
      <c r="J314">
        <f t="shared" si="45"/>
        <v>0</v>
      </c>
      <c r="K314">
        <f t="shared" si="46"/>
        <v>0</v>
      </c>
      <c r="L314">
        <f t="shared" si="47"/>
        <v>0</v>
      </c>
      <c r="M314">
        <f t="shared" si="48"/>
        <v>0</v>
      </c>
      <c r="N314">
        <f t="shared" si="49"/>
        <v>0</v>
      </c>
      <c r="O314">
        <f t="shared" si="50"/>
        <v>0</v>
      </c>
      <c r="P314" t="str">
        <f t="shared" si="51"/>
        <v/>
      </c>
      <c r="Q314" t="str">
        <f>IF(B314="","", IFERROR(VLOOKUP(B314, '基準資産配分（設定）'!$A$2:$C$2001, 3, FALSE), ""))</f>
        <v/>
      </c>
      <c r="R314" t="str">
        <f>IF(B314="","", IFERROR(VLOOKUP(B314, '基準資産配分（設定）'!$A$2:$C$2001, 2, FALSE)/100, 0))</f>
        <v/>
      </c>
      <c r="S314" t="str">
        <f>IF(B314="","", IFERROR(SUMIFS(ベンチマークリターン!$C$2:$C$2001, ベンチマークリターン!$A$2:$A$2001, A314, ベンチマークリターン!$B$2:$B$2001, Q314) / 100, 0))</f>
        <v/>
      </c>
      <c r="T314" t="str">
        <f>IF(A314="","", SUMIFS($H$2:$H$2000, $A$2:$A$2000, A314))</f>
        <v/>
      </c>
      <c r="U314" t="str">
        <f t="shared" si="52"/>
        <v/>
      </c>
      <c r="V314" t="str">
        <f t="shared" si="53"/>
        <v/>
      </c>
      <c r="W314" t="str">
        <f t="shared" si="54"/>
        <v/>
      </c>
    </row>
    <row r="315" spans="1:23" x14ac:dyDescent="0.2">
      <c r="A315" s="4" t="str">
        <f>IF(ポートフォリオ実績!A316="","", ポートフォリオ実績!A316)</f>
        <v/>
      </c>
      <c r="B315" t="str">
        <f>IF(ポートフォリオ実績!B316="","", ポートフォリオ実績!B316)</f>
        <v/>
      </c>
      <c r="C315" s="10" t="str">
        <f>IF(ポートフォリオ実績!C316="","", ポートフォリオ実績!C316)</f>
        <v/>
      </c>
      <c r="D315" s="10" t="str">
        <f>IF(ポートフォリオ実績!D316="","", ポートフォリオ実績!D316)</f>
        <v/>
      </c>
      <c r="E315" s="10" t="str">
        <f>IF(ポートフォリオ実績!E316="","", ポートフォリオ実績!E316)</f>
        <v/>
      </c>
      <c r="F315" s="10" t="str">
        <f>IF(ポートフォリオ実績!F316="","", ポートフォリオ実績!F316)</f>
        <v/>
      </c>
      <c r="G315" t="str">
        <f t="shared" si="44"/>
        <v/>
      </c>
      <c r="H315">
        <f>IF(B315&lt;&gt;"", SUMIFS(ポートフォリオ実績!$D$2:$D$2001, ポートフォリオ実績!$B$2:$B$2001, B315, ポートフォリオ実績!$A$2:$A$2001, G315), 0)</f>
        <v>0</v>
      </c>
      <c r="I315">
        <f>IF(B315&lt;&gt;"", SUMIFS(ポートフォリオ実績!$C$2:$C$2001, ポートフォリオ実績!$B$2:$B$2001, B315, ポートフォリオ実績!$A$2:$A$2001, G315), 0)</f>
        <v>0</v>
      </c>
      <c r="J315">
        <f t="shared" si="45"/>
        <v>0</v>
      </c>
      <c r="K315">
        <f t="shared" si="46"/>
        <v>0</v>
      </c>
      <c r="L315">
        <f t="shared" si="47"/>
        <v>0</v>
      </c>
      <c r="M315">
        <f t="shared" si="48"/>
        <v>0</v>
      </c>
      <c r="N315">
        <f t="shared" si="49"/>
        <v>0</v>
      </c>
      <c r="O315">
        <f t="shared" si="50"/>
        <v>0</v>
      </c>
      <c r="P315" t="str">
        <f t="shared" si="51"/>
        <v/>
      </c>
      <c r="Q315" t="str">
        <f>IF(B315="","", IFERROR(VLOOKUP(B315, '基準資産配分（設定）'!$A$2:$C$2001, 3, FALSE), ""))</f>
        <v/>
      </c>
      <c r="R315" t="str">
        <f>IF(B315="","", IFERROR(VLOOKUP(B315, '基準資産配分（設定）'!$A$2:$C$2001, 2, FALSE)/100, 0))</f>
        <v/>
      </c>
      <c r="S315" t="str">
        <f>IF(B315="","", IFERROR(SUMIFS(ベンチマークリターン!$C$2:$C$2001, ベンチマークリターン!$A$2:$A$2001, A315, ベンチマークリターン!$B$2:$B$2001, Q315) / 100, 0))</f>
        <v/>
      </c>
      <c r="T315" t="str">
        <f>IF(A315="","", SUMIFS($H$2:$H$2000, $A$2:$A$2000, A315))</f>
        <v/>
      </c>
      <c r="U315" t="str">
        <f t="shared" si="52"/>
        <v/>
      </c>
      <c r="V315" t="str">
        <f t="shared" si="53"/>
        <v/>
      </c>
      <c r="W315" t="str">
        <f t="shared" si="54"/>
        <v/>
      </c>
    </row>
    <row r="316" spans="1:23" x14ac:dyDescent="0.2">
      <c r="A316" s="4" t="str">
        <f>IF(ポートフォリオ実績!A317="","", ポートフォリオ実績!A317)</f>
        <v/>
      </c>
      <c r="B316" t="str">
        <f>IF(ポートフォリオ実績!B317="","", ポートフォリオ実績!B317)</f>
        <v/>
      </c>
      <c r="C316" s="10" t="str">
        <f>IF(ポートフォリオ実績!C317="","", ポートフォリオ実績!C317)</f>
        <v/>
      </c>
      <c r="D316" s="10" t="str">
        <f>IF(ポートフォリオ実績!D317="","", ポートフォリオ実績!D317)</f>
        <v/>
      </c>
      <c r="E316" s="10" t="str">
        <f>IF(ポートフォリオ実績!E317="","", ポートフォリオ実績!E317)</f>
        <v/>
      </c>
      <c r="F316" s="10" t="str">
        <f>IF(ポートフォリオ実績!F317="","", ポートフォリオ実績!F317)</f>
        <v/>
      </c>
      <c r="G316" t="str">
        <f t="shared" si="44"/>
        <v/>
      </c>
      <c r="H316">
        <f>IF(B316&lt;&gt;"", SUMIFS(ポートフォリオ実績!$D$2:$D$2001, ポートフォリオ実績!$B$2:$B$2001, B316, ポートフォリオ実績!$A$2:$A$2001, G316), 0)</f>
        <v>0</v>
      </c>
      <c r="I316">
        <f>IF(B316&lt;&gt;"", SUMIFS(ポートフォリオ実績!$C$2:$C$2001, ポートフォリオ実績!$B$2:$B$2001, B316, ポートフォリオ実績!$A$2:$A$2001, G316), 0)</f>
        <v>0</v>
      </c>
      <c r="J316">
        <f t="shared" si="45"/>
        <v>0</v>
      </c>
      <c r="K316">
        <f t="shared" si="46"/>
        <v>0</v>
      </c>
      <c r="L316">
        <f t="shared" si="47"/>
        <v>0</v>
      </c>
      <c r="M316">
        <f t="shared" si="48"/>
        <v>0</v>
      </c>
      <c r="N316">
        <f t="shared" si="49"/>
        <v>0</v>
      </c>
      <c r="O316">
        <f t="shared" si="50"/>
        <v>0</v>
      </c>
      <c r="P316" t="str">
        <f t="shared" si="51"/>
        <v/>
      </c>
      <c r="Q316" t="str">
        <f>IF(B316="","", IFERROR(VLOOKUP(B316, '基準資産配分（設定）'!$A$2:$C$2001, 3, FALSE), ""))</f>
        <v/>
      </c>
      <c r="R316" t="str">
        <f>IF(B316="","", IFERROR(VLOOKUP(B316, '基準資産配分（設定）'!$A$2:$C$2001, 2, FALSE)/100, 0))</f>
        <v/>
      </c>
      <c r="S316" t="str">
        <f>IF(B316="","", IFERROR(SUMIFS(ベンチマークリターン!$C$2:$C$2001, ベンチマークリターン!$A$2:$A$2001, A316, ベンチマークリターン!$B$2:$B$2001, Q316) / 100, 0))</f>
        <v/>
      </c>
      <c r="T316" t="str">
        <f>IF(A316="","", SUMIFS($H$2:$H$2000, $A$2:$A$2000, A316))</f>
        <v/>
      </c>
      <c r="U316" t="str">
        <f t="shared" si="52"/>
        <v/>
      </c>
      <c r="V316" t="str">
        <f t="shared" si="53"/>
        <v/>
      </c>
      <c r="W316" t="str">
        <f t="shared" si="54"/>
        <v/>
      </c>
    </row>
    <row r="317" spans="1:23" x14ac:dyDescent="0.2">
      <c r="A317" s="4" t="str">
        <f>IF(ポートフォリオ実績!A318="","", ポートフォリオ実績!A318)</f>
        <v/>
      </c>
      <c r="B317" t="str">
        <f>IF(ポートフォリオ実績!B318="","", ポートフォリオ実績!B318)</f>
        <v/>
      </c>
      <c r="C317" s="10" t="str">
        <f>IF(ポートフォリオ実績!C318="","", ポートフォリオ実績!C318)</f>
        <v/>
      </c>
      <c r="D317" s="10" t="str">
        <f>IF(ポートフォリオ実績!D318="","", ポートフォリオ実績!D318)</f>
        <v/>
      </c>
      <c r="E317" s="10" t="str">
        <f>IF(ポートフォリオ実績!E318="","", ポートフォリオ実績!E318)</f>
        <v/>
      </c>
      <c r="F317" s="10" t="str">
        <f>IF(ポートフォリオ実績!F318="","", ポートフォリオ実績!F318)</f>
        <v/>
      </c>
      <c r="G317" t="str">
        <f t="shared" si="44"/>
        <v/>
      </c>
      <c r="H317">
        <f>IF(B317&lt;&gt;"", SUMIFS(ポートフォリオ実績!$D$2:$D$2001, ポートフォリオ実績!$B$2:$B$2001, B317, ポートフォリオ実績!$A$2:$A$2001, G317), 0)</f>
        <v>0</v>
      </c>
      <c r="I317">
        <f>IF(B317&lt;&gt;"", SUMIFS(ポートフォリオ実績!$C$2:$C$2001, ポートフォリオ実績!$B$2:$B$2001, B317, ポートフォリオ実績!$A$2:$A$2001, G317), 0)</f>
        <v>0</v>
      </c>
      <c r="J317">
        <f t="shared" si="45"/>
        <v>0</v>
      </c>
      <c r="K317">
        <f t="shared" si="46"/>
        <v>0</v>
      </c>
      <c r="L317">
        <f t="shared" si="47"/>
        <v>0</v>
      </c>
      <c r="M317">
        <f t="shared" si="48"/>
        <v>0</v>
      </c>
      <c r="N317">
        <f t="shared" si="49"/>
        <v>0</v>
      </c>
      <c r="O317">
        <f t="shared" si="50"/>
        <v>0</v>
      </c>
      <c r="P317" t="str">
        <f t="shared" si="51"/>
        <v/>
      </c>
      <c r="Q317" t="str">
        <f>IF(B317="","", IFERROR(VLOOKUP(B317, '基準資産配分（設定）'!$A$2:$C$2001, 3, FALSE), ""))</f>
        <v/>
      </c>
      <c r="R317" t="str">
        <f>IF(B317="","", IFERROR(VLOOKUP(B317, '基準資産配分（設定）'!$A$2:$C$2001, 2, FALSE)/100, 0))</f>
        <v/>
      </c>
      <c r="S317" t="str">
        <f>IF(B317="","", IFERROR(SUMIFS(ベンチマークリターン!$C$2:$C$2001, ベンチマークリターン!$A$2:$A$2001, A317, ベンチマークリターン!$B$2:$B$2001, Q317) / 100, 0))</f>
        <v/>
      </c>
      <c r="T317" t="str">
        <f>IF(A317="","", SUMIFS($H$2:$H$2000, $A$2:$A$2000, A317))</f>
        <v/>
      </c>
      <c r="U317" t="str">
        <f t="shared" si="52"/>
        <v/>
      </c>
      <c r="V317" t="str">
        <f t="shared" si="53"/>
        <v/>
      </c>
      <c r="W317" t="str">
        <f t="shared" si="54"/>
        <v/>
      </c>
    </row>
    <row r="318" spans="1:23" x14ac:dyDescent="0.2">
      <c r="A318" s="4" t="str">
        <f>IF(ポートフォリオ実績!A319="","", ポートフォリオ実績!A319)</f>
        <v/>
      </c>
      <c r="B318" t="str">
        <f>IF(ポートフォリオ実績!B319="","", ポートフォリオ実績!B319)</f>
        <v/>
      </c>
      <c r="C318" s="10" t="str">
        <f>IF(ポートフォリオ実績!C319="","", ポートフォリオ実績!C319)</f>
        <v/>
      </c>
      <c r="D318" s="10" t="str">
        <f>IF(ポートフォリオ実績!D319="","", ポートフォリオ実績!D319)</f>
        <v/>
      </c>
      <c r="E318" s="10" t="str">
        <f>IF(ポートフォリオ実績!E319="","", ポートフォリオ実績!E319)</f>
        <v/>
      </c>
      <c r="F318" s="10" t="str">
        <f>IF(ポートフォリオ実績!F319="","", ポートフォリオ実績!F319)</f>
        <v/>
      </c>
      <c r="G318" t="str">
        <f t="shared" si="44"/>
        <v/>
      </c>
      <c r="H318">
        <f>IF(B318&lt;&gt;"", SUMIFS(ポートフォリオ実績!$D$2:$D$2001, ポートフォリオ実績!$B$2:$B$2001, B318, ポートフォリオ実績!$A$2:$A$2001, G318), 0)</f>
        <v>0</v>
      </c>
      <c r="I318">
        <f>IF(B318&lt;&gt;"", SUMIFS(ポートフォリオ実績!$C$2:$C$2001, ポートフォリオ実績!$B$2:$B$2001, B318, ポートフォリオ実績!$A$2:$A$2001, G318), 0)</f>
        <v>0</v>
      </c>
      <c r="J318">
        <f t="shared" si="45"/>
        <v>0</v>
      </c>
      <c r="K318">
        <f t="shared" si="46"/>
        <v>0</v>
      </c>
      <c r="L318">
        <f t="shared" si="47"/>
        <v>0</v>
      </c>
      <c r="M318">
        <f t="shared" si="48"/>
        <v>0</v>
      </c>
      <c r="N318">
        <f t="shared" si="49"/>
        <v>0</v>
      </c>
      <c r="O318">
        <f t="shared" si="50"/>
        <v>0</v>
      </c>
      <c r="P318" t="str">
        <f t="shared" si="51"/>
        <v/>
      </c>
      <c r="Q318" t="str">
        <f>IF(B318="","", IFERROR(VLOOKUP(B318, '基準資産配分（設定）'!$A$2:$C$2001, 3, FALSE), ""))</f>
        <v/>
      </c>
      <c r="R318" t="str">
        <f>IF(B318="","", IFERROR(VLOOKUP(B318, '基準資産配分（設定）'!$A$2:$C$2001, 2, FALSE)/100, 0))</f>
        <v/>
      </c>
      <c r="S318" t="str">
        <f>IF(B318="","", IFERROR(SUMIFS(ベンチマークリターン!$C$2:$C$2001, ベンチマークリターン!$A$2:$A$2001, A318, ベンチマークリターン!$B$2:$B$2001, Q318) / 100, 0))</f>
        <v/>
      </c>
      <c r="T318" t="str">
        <f>IF(A318="","", SUMIFS($H$2:$H$2000, $A$2:$A$2000, A318))</f>
        <v/>
      </c>
      <c r="U318" t="str">
        <f t="shared" si="52"/>
        <v/>
      </c>
      <c r="V318" t="str">
        <f t="shared" si="53"/>
        <v/>
      </c>
      <c r="W318" t="str">
        <f t="shared" si="54"/>
        <v/>
      </c>
    </row>
    <row r="319" spans="1:23" x14ac:dyDescent="0.2">
      <c r="A319" s="4" t="str">
        <f>IF(ポートフォリオ実績!A320="","", ポートフォリオ実績!A320)</f>
        <v/>
      </c>
      <c r="B319" t="str">
        <f>IF(ポートフォリオ実績!B320="","", ポートフォリオ実績!B320)</f>
        <v/>
      </c>
      <c r="C319" s="10" t="str">
        <f>IF(ポートフォリオ実績!C320="","", ポートフォリオ実績!C320)</f>
        <v/>
      </c>
      <c r="D319" s="10" t="str">
        <f>IF(ポートフォリオ実績!D320="","", ポートフォリオ実績!D320)</f>
        <v/>
      </c>
      <c r="E319" s="10" t="str">
        <f>IF(ポートフォリオ実績!E320="","", ポートフォリオ実績!E320)</f>
        <v/>
      </c>
      <c r="F319" s="10" t="str">
        <f>IF(ポートフォリオ実績!F320="","", ポートフォリオ実績!F320)</f>
        <v/>
      </c>
      <c r="G319" t="str">
        <f t="shared" si="44"/>
        <v/>
      </c>
      <c r="H319">
        <f>IF(B319&lt;&gt;"", SUMIFS(ポートフォリオ実績!$D$2:$D$2001, ポートフォリオ実績!$B$2:$B$2001, B319, ポートフォリオ実績!$A$2:$A$2001, G319), 0)</f>
        <v>0</v>
      </c>
      <c r="I319">
        <f>IF(B319&lt;&gt;"", SUMIFS(ポートフォリオ実績!$C$2:$C$2001, ポートフォリオ実績!$B$2:$B$2001, B319, ポートフォリオ実績!$A$2:$A$2001, G319), 0)</f>
        <v>0</v>
      </c>
      <c r="J319">
        <f t="shared" si="45"/>
        <v>0</v>
      </c>
      <c r="K319">
        <f t="shared" si="46"/>
        <v>0</v>
      </c>
      <c r="L319">
        <f t="shared" si="47"/>
        <v>0</v>
      </c>
      <c r="M319">
        <f t="shared" si="48"/>
        <v>0</v>
      </c>
      <c r="N319">
        <f t="shared" si="49"/>
        <v>0</v>
      </c>
      <c r="O319">
        <f t="shared" si="50"/>
        <v>0</v>
      </c>
      <c r="P319" t="str">
        <f t="shared" si="51"/>
        <v/>
      </c>
      <c r="Q319" t="str">
        <f>IF(B319="","", IFERROR(VLOOKUP(B319, '基準資産配分（設定）'!$A$2:$C$2001, 3, FALSE), ""))</f>
        <v/>
      </c>
      <c r="R319" t="str">
        <f>IF(B319="","", IFERROR(VLOOKUP(B319, '基準資産配分（設定）'!$A$2:$C$2001, 2, FALSE)/100, 0))</f>
        <v/>
      </c>
      <c r="S319" t="str">
        <f>IF(B319="","", IFERROR(SUMIFS(ベンチマークリターン!$C$2:$C$2001, ベンチマークリターン!$A$2:$A$2001, A319, ベンチマークリターン!$B$2:$B$2001, Q319) / 100, 0))</f>
        <v/>
      </c>
      <c r="T319" t="str">
        <f>IF(A319="","", SUMIFS($H$2:$H$2000, $A$2:$A$2000, A319))</f>
        <v/>
      </c>
      <c r="U319" t="str">
        <f t="shared" si="52"/>
        <v/>
      </c>
      <c r="V319" t="str">
        <f t="shared" si="53"/>
        <v/>
      </c>
      <c r="W319" t="str">
        <f t="shared" si="54"/>
        <v/>
      </c>
    </row>
    <row r="320" spans="1:23" x14ac:dyDescent="0.2">
      <c r="A320" s="4" t="str">
        <f>IF(ポートフォリオ実績!A321="","", ポートフォリオ実績!A321)</f>
        <v/>
      </c>
      <c r="B320" t="str">
        <f>IF(ポートフォリオ実績!B321="","", ポートフォリオ実績!B321)</f>
        <v/>
      </c>
      <c r="C320" s="10" t="str">
        <f>IF(ポートフォリオ実績!C321="","", ポートフォリオ実績!C321)</f>
        <v/>
      </c>
      <c r="D320" s="10" t="str">
        <f>IF(ポートフォリオ実績!D321="","", ポートフォリオ実績!D321)</f>
        <v/>
      </c>
      <c r="E320" s="10" t="str">
        <f>IF(ポートフォリオ実績!E321="","", ポートフォリオ実績!E321)</f>
        <v/>
      </c>
      <c r="F320" s="10" t="str">
        <f>IF(ポートフォリオ実績!F321="","", ポートフォリオ実績!F321)</f>
        <v/>
      </c>
      <c r="G320" t="str">
        <f t="shared" si="44"/>
        <v/>
      </c>
      <c r="H320">
        <f>IF(B320&lt;&gt;"", SUMIFS(ポートフォリオ実績!$D$2:$D$2001, ポートフォリオ実績!$B$2:$B$2001, B320, ポートフォリオ実績!$A$2:$A$2001, G320), 0)</f>
        <v>0</v>
      </c>
      <c r="I320">
        <f>IF(B320&lt;&gt;"", SUMIFS(ポートフォリオ実績!$C$2:$C$2001, ポートフォリオ実績!$B$2:$B$2001, B320, ポートフォリオ実績!$A$2:$A$2001, G320), 0)</f>
        <v>0</v>
      </c>
      <c r="J320">
        <f t="shared" si="45"/>
        <v>0</v>
      </c>
      <c r="K320">
        <f t="shared" si="46"/>
        <v>0</v>
      </c>
      <c r="L320">
        <f t="shared" si="47"/>
        <v>0</v>
      </c>
      <c r="M320">
        <f t="shared" si="48"/>
        <v>0</v>
      </c>
      <c r="N320">
        <f t="shared" si="49"/>
        <v>0</v>
      </c>
      <c r="O320">
        <f t="shared" si="50"/>
        <v>0</v>
      </c>
      <c r="P320" t="str">
        <f t="shared" si="51"/>
        <v/>
      </c>
      <c r="Q320" t="str">
        <f>IF(B320="","", IFERROR(VLOOKUP(B320, '基準資産配分（設定）'!$A$2:$C$2001, 3, FALSE), ""))</f>
        <v/>
      </c>
      <c r="R320" t="str">
        <f>IF(B320="","", IFERROR(VLOOKUP(B320, '基準資産配分（設定）'!$A$2:$C$2001, 2, FALSE)/100, 0))</f>
        <v/>
      </c>
      <c r="S320" t="str">
        <f>IF(B320="","", IFERROR(SUMIFS(ベンチマークリターン!$C$2:$C$2001, ベンチマークリターン!$A$2:$A$2001, A320, ベンチマークリターン!$B$2:$B$2001, Q320) / 100, 0))</f>
        <v/>
      </c>
      <c r="T320" t="str">
        <f>IF(A320="","", SUMIFS($H$2:$H$2000, $A$2:$A$2000, A320))</f>
        <v/>
      </c>
      <c r="U320" t="str">
        <f t="shared" si="52"/>
        <v/>
      </c>
      <c r="V320" t="str">
        <f t="shared" si="53"/>
        <v/>
      </c>
      <c r="W320" t="str">
        <f t="shared" si="54"/>
        <v/>
      </c>
    </row>
    <row r="321" spans="1:23" x14ac:dyDescent="0.2">
      <c r="A321" s="4" t="str">
        <f>IF(ポートフォリオ実績!A322="","", ポートフォリオ実績!A322)</f>
        <v/>
      </c>
      <c r="B321" t="str">
        <f>IF(ポートフォリオ実績!B322="","", ポートフォリオ実績!B322)</f>
        <v/>
      </c>
      <c r="C321" s="10" t="str">
        <f>IF(ポートフォリオ実績!C322="","", ポートフォリオ実績!C322)</f>
        <v/>
      </c>
      <c r="D321" s="10" t="str">
        <f>IF(ポートフォリオ実績!D322="","", ポートフォリオ実績!D322)</f>
        <v/>
      </c>
      <c r="E321" s="10" t="str">
        <f>IF(ポートフォリオ実績!E322="","", ポートフォリオ実績!E322)</f>
        <v/>
      </c>
      <c r="F321" s="10" t="str">
        <f>IF(ポートフォリオ実績!F322="","", ポートフォリオ実績!F322)</f>
        <v/>
      </c>
      <c r="G321" t="str">
        <f t="shared" ref="G321:G384" si="55">IF(A321&lt;&gt;"", EOMONTH(A321, -1), "")</f>
        <v/>
      </c>
      <c r="H321">
        <f>IF(B321&lt;&gt;"", SUMIFS(ポートフォリオ実績!$D$2:$D$2001, ポートフォリオ実績!$B$2:$B$2001, B321, ポートフォリオ実績!$A$2:$A$2001, G321), 0)</f>
        <v>0</v>
      </c>
      <c r="I321">
        <f>IF(B321&lt;&gt;"", SUMIFS(ポートフォリオ実績!$C$2:$C$2001, ポートフォリオ実績!$B$2:$B$2001, B321, ポートフォリオ実績!$A$2:$A$2001, G321), 0)</f>
        <v>0</v>
      </c>
      <c r="J321">
        <f t="shared" ref="J321:J384" si="56">IF(A321&lt;&gt;"", D321-C321, 0)</f>
        <v>0</v>
      </c>
      <c r="K321">
        <f t="shared" ref="K321:K384" si="57">IF(A321&lt;&gt;"", H321-I321, 0)</f>
        <v>0</v>
      </c>
      <c r="L321">
        <f t="shared" ref="L321:L384" si="58">IF(H321=0, 0, J321-K321)</f>
        <v>0</v>
      </c>
      <c r="M321">
        <f t="shared" ref="M321:M384" si="59">IF(A321&lt;&gt;"", E321+F321+L321, 0)</f>
        <v>0</v>
      </c>
      <c r="N321">
        <f t="shared" ref="N321:N384" si="60">IF(H321=0, 0, (D321-H321)-M321)</f>
        <v>0</v>
      </c>
      <c r="O321">
        <f t="shared" ref="O321:O384" si="61">IF(A321&lt;&gt;"", H321+N321*0.5, 0)</f>
        <v>0</v>
      </c>
      <c r="P321" t="str">
        <f t="shared" ref="P321:P384" si="62">IF(A321="","", IF(O321&gt;0.000001, M321/O321, IF(ABS(M321)&lt;0.000001, 0, 0)))</f>
        <v/>
      </c>
      <c r="Q321" t="str">
        <f>IF(B321="","", IFERROR(VLOOKUP(B321, '基準資産配分（設定）'!$A$2:$C$2001, 3, FALSE), ""))</f>
        <v/>
      </c>
      <c r="R321" t="str">
        <f>IF(B321="","", IFERROR(VLOOKUP(B321, '基準資産配分（設定）'!$A$2:$C$2001, 2, FALSE)/100, 0))</f>
        <v/>
      </c>
      <c r="S321" t="str">
        <f>IF(B321="","", IFERROR(SUMIFS(ベンチマークリターン!$C$2:$C$2001, ベンチマークリターン!$A$2:$A$2001, A321, ベンチマークリターン!$B$2:$B$2001, Q321) / 100, 0))</f>
        <v/>
      </c>
      <c r="T321" t="str">
        <f>IF(A321="","", SUMIFS($H$2:$H$2000, $A$2:$A$2000, A321))</f>
        <v/>
      </c>
      <c r="U321" t="str">
        <f t="shared" ref="U321:U384" si="63">IF(A321="","", IFERROR(H321/T321, 0))</f>
        <v/>
      </c>
      <c r="V321" t="str">
        <f t="shared" ref="V321:V384" si="64">IF(A321="","", U321*P321)</f>
        <v/>
      </c>
      <c r="W321" t="str">
        <f t="shared" ref="W321:W384" si="65">IF(A321="","", R321*S321)</f>
        <v/>
      </c>
    </row>
    <row r="322" spans="1:23" x14ac:dyDescent="0.2">
      <c r="A322" s="4" t="str">
        <f>IF(ポートフォリオ実績!A323="","", ポートフォリオ実績!A323)</f>
        <v/>
      </c>
      <c r="B322" t="str">
        <f>IF(ポートフォリオ実績!B323="","", ポートフォリオ実績!B323)</f>
        <v/>
      </c>
      <c r="C322" s="10" t="str">
        <f>IF(ポートフォリオ実績!C323="","", ポートフォリオ実績!C323)</f>
        <v/>
      </c>
      <c r="D322" s="10" t="str">
        <f>IF(ポートフォリオ実績!D323="","", ポートフォリオ実績!D323)</f>
        <v/>
      </c>
      <c r="E322" s="10" t="str">
        <f>IF(ポートフォリオ実績!E323="","", ポートフォリオ実績!E323)</f>
        <v/>
      </c>
      <c r="F322" s="10" t="str">
        <f>IF(ポートフォリオ実績!F323="","", ポートフォリオ実績!F323)</f>
        <v/>
      </c>
      <c r="G322" t="str">
        <f t="shared" si="55"/>
        <v/>
      </c>
      <c r="H322">
        <f>IF(B322&lt;&gt;"", SUMIFS(ポートフォリオ実績!$D$2:$D$2001, ポートフォリオ実績!$B$2:$B$2001, B322, ポートフォリオ実績!$A$2:$A$2001, G322), 0)</f>
        <v>0</v>
      </c>
      <c r="I322">
        <f>IF(B322&lt;&gt;"", SUMIFS(ポートフォリオ実績!$C$2:$C$2001, ポートフォリオ実績!$B$2:$B$2001, B322, ポートフォリオ実績!$A$2:$A$2001, G322), 0)</f>
        <v>0</v>
      </c>
      <c r="J322">
        <f t="shared" si="56"/>
        <v>0</v>
      </c>
      <c r="K322">
        <f t="shared" si="57"/>
        <v>0</v>
      </c>
      <c r="L322">
        <f t="shared" si="58"/>
        <v>0</v>
      </c>
      <c r="M322">
        <f t="shared" si="59"/>
        <v>0</v>
      </c>
      <c r="N322">
        <f t="shared" si="60"/>
        <v>0</v>
      </c>
      <c r="O322">
        <f t="shared" si="61"/>
        <v>0</v>
      </c>
      <c r="P322" t="str">
        <f t="shared" si="62"/>
        <v/>
      </c>
      <c r="Q322" t="str">
        <f>IF(B322="","", IFERROR(VLOOKUP(B322, '基準資産配分（設定）'!$A$2:$C$2001, 3, FALSE), ""))</f>
        <v/>
      </c>
      <c r="R322" t="str">
        <f>IF(B322="","", IFERROR(VLOOKUP(B322, '基準資産配分（設定）'!$A$2:$C$2001, 2, FALSE)/100, 0))</f>
        <v/>
      </c>
      <c r="S322" t="str">
        <f>IF(B322="","", IFERROR(SUMIFS(ベンチマークリターン!$C$2:$C$2001, ベンチマークリターン!$A$2:$A$2001, A322, ベンチマークリターン!$B$2:$B$2001, Q322) / 100, 0))</f>
        <v/>
      </c>
      <c r="T322" t="str">
        <f>IF(A322="","", SUMIFS($H$2:$H$2000, $A$2:$A$2000, A322))</f>
        <v/>
      </c>
      <c r="U322" t="str">
        <f t="shared" si="63"/>
        <v/>
      </c>
      <c r="V322" t="str">
        <f t="shared" si="64"/>
        <v/>
      </c>
      <c r="W322" t="str">
        <f t="shared" si="65"/>
        <v/>
      </c>
    </row>
    <row r="323" spans="1:23" x14ac:dyDescent="0.2">
      <c r="A323" s="4" t="str">
        <f>IF(ポートフォリオ実績!A324="","", ポートフォリオ実績!A324)</f>
        <v/>
      </c>
      <c r="B323" t="str">
        <f>IF(ポートフォリオ実績!B324="","", ポートフォリオ実績!B324)</f>
        <v/>
      </c>
      <c r="C323" s="10" t="str">
        <f>IF(ポートフォリオ実績!C324="","", ポートフォリオ実績!C324)</f>
        <v/>
      </c>
      <c r="D323" s="10" t="str">
        <f>IF(ポートフォリオ実績!D324="","", ポートフォリオ実績!D324)</f>
        <v/>
      </c>
      <c r="E323" s="10" t="str">
        <f>IF(ポートフォリオ実績!E324="","", ポートフォリオ実績!E324)</f>
        <v/>
      </c>
      <c r="F323" s="10" t="str">
        <f>IF(ポートフォリオ実績!F324="","", ポートフォリオ実績!F324)</f>
        <v/>
      </c>
      <c r="G323" t="str">
        <f t="shared" si="55"/>
        <v/>
      </c>
      <c r="H323">
        <f>IF(B323&lt;&gt;"", SUMIFS(ポートフォリオ実績!$D$2:$D$2001, ポートフォリオ実績!$B$2:$B$2001, B323, ポートフォリオ実績!$A$2:$A$2001, G323), 0)</f>
        <v>0</v>
      </c>
      <c r="I323">
        <f>IF(B323&lt;&gt;"", SUMIFS(ポートフォリオ実績!$C$2:$C$2001, ポートフォリオ実績!$B$2:$B$2001, B323, ポートフォリオ実績!$A$2:$A$2001, G323), 0)</f>
        <v>0</v>
      </c>
      <c r="J323">
        <f t="shared" si="56"/>
        <v>0</v>
      </c>
      <c r="K323">
        <f t="shared" si="57"/>
        <v>0</v>
      </c>
      <c r="L323">
        <f t="shared" si="58"/>
        <v>0</v>
      </c>
      <c r="M323">
        <f t="shared" si="59"/>
        <v>0</v>
      </c>
      <c r="N323">
        <f t="shared" si="60"/>
        <v>0</v>
      </c>
      <c r="O323">
        <f t="shared" si="61"/>
        <v>0</v>
      </c>
      <c r="P323" t="str">
        <f t="shared" si="62"/>
        <v/>
      </c>
      <c r="Q323" t="str">
        <f>IF(B323="","", IFERROR(VLOOKUP(B323, '基準資産配分（設定）'!$A$2:$C$2001, 3, FALSE), ""))</f>
        <v/>
      </c>
      <c r="R323" t="str">
        <f>IF(B323="","", IFERROR(VLOOKUP(B323, '基準資産配分（設定）'!$A$2:$C$2001, 2, FALSE)/100, 0))</f>
        <v/>
      </c>
      <c r="S323" t="str">
        <f>IF(B323="","", IFERROR(SUMIFS(ベンチマークリターン!$C$2:$C$2001, ベンチマークリターン!$A$2:$A$2001, A323, ベンチマークリターン!$B$2:$B$2001, Q323) / 100, 0))</f>
        <v/>
      </c>
      <c r="T323" t="str">
        <f>IF(A323="","", SUMIFS($H$2:$H$2000, $A$2:$A$2000, A323))</f>
        <v/>
      </c>
      <c r="U323" t="str">
        <f t="shared" si="63"/>
        <v/>
      </c>
      <c r="V323" t="str">
        <f t="shared" si="64"/>
        <v/>
      </c>
      <c r="W323" t="str">
        <f t="shared" si="65"/>
        <v/>
      </c>
    </row>
    <row r="324" spans="1:23" x14ac:dyDescent="0.2">
      <c r="A324" s="4" t="str">
        <f>IF(ポートフォリオ実績!A325="","", ポートフォリオ実績!A325)</f>
        <v/>
      </c>
      <c r="B324" t="str">
        <f>IF(ポートフォリオ実績!B325="","", ポートフォリオ実績!B325)</f>
        <v/>
      </c>
      <c r="C324" s="10" t="str">
        <f>IF(ポートフォリオ実績!C325="","", ポートフォリオ実績!C325)</f>
        <v/>
      </c>
      <c r="D324" s="10" t="str">
        <f>IF(ポートフォリオ実績!D325="","", ポートフォリオ実績!D325)</f>
        <v/>
      </c>
      <c r="E324" s="10" t="str">
        <f>IF(ポートフォリオ実績!E325="","", ポートフォリオ実績!E325)</f>
        <v/>
      </c>
      <c r="F324" s="10" t="str">
        <f>IF(ポートフォリオ実績!F325="","", ポートフォリオ実績!F325)</f>
        <v/>
      </c>
      <c r="G324" t="str">
        <f t="shared" si="55"/>
        <v/>
      </c>
      <c r="H324">
        <f>IF(B324&lt;&gt;"", SUMIFS(ポートフォリオ実績!$D$2:$D$2001, ポートフォリオ実績!$B$2:$B$2001, B324, ポートフォリオ実績!$A$2:$A$2001, G324), 0)</f>
        <v>0</v>
      </c>
      <c r="I324">
        <f>IF(B324&lt;&gt;"", SUMIFS(ポートフォリオ実績!$C$2:$C$2001, ポートフォリオ実績!$B$2:$B$2001, B324, ポートフォリオ実績!$A$2:$A$2001, G324), 0)</f>
        <v>0</v>
      </c>
      <c r="J324">
        <f t="shared" si="56"/>
        <v>0</v>
      </c>
      <c r="K324">
        <f t="shared" si="57"/>
        <v>0</v>
      </c>
      <c r="L324">
        <f t="shared" si="58"/>
        <v>0</v>
      </c>
      <c r="M324">
        <f t="shared" si="59"/>
        <v>0</v>
      </c>
      <c r="N324">
        <f t="shared" si="60"/>
        <v>0</v>
      </c>
      <c r="O324">
        <f t="shared" si="61"/>
        <v>0</v>
      </c>
      <c r="P324" t="str">
        <f t="shared" si="62"/>
        <v/>
      </c>
      <c r="Q324" t="str">
        <f>IF(B324="","", IFERROR(VLOOKUP(B324, '基準資産配分（設定）'!$A$2:$C$2001, 3, FALSE), ""))</f>
        <v/>
      </c>
      <c r="R324" t="str">
        <f>IF(B324="","", IFERROR(VLOOKUP(B324, '基準資産配分（設定）'!$A$2:$C$2001, 2, FALSE)/100, 0))</f>
        <v/>
      </c>
      <c r="S324" t="str">
        <f>IF(B324="","", IFERROR(SUMIFS(ベンチマークリターン!$C$2:$C$2001, ベンチマークリターン!$A$2:$A$2001, A324, ベンチマークリターン!$B$2:$B$2001, Q324) / 100, 0))</f>
        <v/>
      </c>
      <c r="T324" t="str">
        <f>IF(A324="","", SUMIFS($H$2:$H$2000, $A$2:$A$2000, A324))</f>
        <v/>
      </c>
      <c r="U324" t="str">
        <f t="shared" si="63"/>
        <v/>
      </c>
      <c r="V324" t="str">
        <f t="shared" si="64"/>
        <v/>
      </c>
      <c r="W324" t="str">
        <f t="shared" si="65"/>
        <v/>
      </c>
    </row>
    <row r="325" spans="1:23" x14ac:dyDescent="0.2">
      <c r="A325" s="4" t="str">
        <f>IF(ポートフォリオ実績!A326="","", ポートフォリオ実績!A326)</f>
        <v/>
      </c>
      <c r="B325" t="str">
        <f>IF(ポートフォリオ実績!B326="","", ポートフォリオ実績!B326)</f>
        <v/>
      </c>
      <c r="C325" s="10" t="str">
        <f>IF(ポートフォリオ実績!C326="","", ポートフォリオ実績!C326)</f>
        <v/>
      </c>
      <c r="D325" s="10" t="str">
        <f>IF(ポートフォリオ実績!D326="","", ポートフォリオ実績!D326)</f>
        <v/>
      </c>
      <c r="E325" s="10" t="str">
        <f>IF(ポートフォリオ実績!E326="","", ポートフォリオ実績!E326)</f>
        <v/>
      </c>
      <c r="F325" s="10" t="str">
        <f>IF(ポートフォリオ実績!F326="","", ポートフォリオ実績!F326)</f>
        <v/>
      </c>
      <c r="G325" t="str">
        <f t="shared" si="55"/>
        <v/>
      </c>
      <c r="H325">
        <f>IF(B325&lt;&gt;"", SUMIFS(ポートフォリオ実績!$D$2:$D$2001, ポートフォリオ実績!$B$2:$B$2001, B325, ポートフォリオ実績!$A$2:$A$2001, G325), 0)</f>
        <v>0</v>
      </c>
      <c r="I325">
        <f>IF(B325&lt;&gt;"", SUMIFS(ポートフォリオ実績!$C$2:$C$2001, ポートフォリオ実績!$B$2:$B$2001, B325, ポートフォリオ実績!$A$2:$A$2001, G325), 0)</f>
        <v>0</v>
      </c>
      <c r="J325">
        <f t="shared" si="56"/>
        <v>0</v>
      </c>
      <c r="K325">
        <f t="shared" si="57"/>
        <v>0</v>
      </c>
      <c r="L325">
        <f t="shared" si="58"/>
        <v>0</v>
      </c>
      <c r="M325">
        <f t="shared" si="59"/>
        <v>0</v>
      </c>
      <c r="N325">
        <f t="shared" si="60"/>
        <v>0</v>
      </c>
      <c r="O325">
        <f t="shared" si="61"/>
        <v>0</v>
      </c>
      <c r="P325" t="str">
        <f t="shared" si="62"/>
        <v/>
      </c>
      <c r="Q325" t="str">
        <f>IF(B325="","", IFERROR(VLOOKUP(B325, '基準資産配分（設定）'!$A$2:$C$2001, 3, FALSE), ""))</f>
        <v/>
      </c>
      <c r="R325" t="str">
        <f>IF(B325="","", IFERROR(VLOOKUP(B325, '基準資産配分（設定）'!$A$2:$C$2001, 2, FALSE)/100, 0))</f>
        <v/>
      </c>
      <c r="S325" t="str">
        <f>IF(B325="","", IFERROR(SUMIFS(ベンチマークリターン!$C$2:$C$2001, ベンチマークリターン!$A$2:$A$2001, A325, ベンチマークリターン!$B$2:$B$2001, Q325) / 100, 0))</f>
        <v/>
      </c>
      <c r="T325" t="str">
        <f>IF(A325="","", SUMIFS($H$2:$H$2000, $A$2:$A$2000, A325))</f>
        <v/>
      </c>
      <c r="U325" t="str">
        <f t="shared" si="63"/>
        <v/>
      </c>
      <c r="V325" t="str">
        <f t="shared" si="64"/>
        <v/>
      </c>
      <c r="W325" t="str">
        <f t="shared" si="65"/>
        <v/>
      </c>
    </row>
    <row r="326" spans="1:23" x14ac:dyDescent="0.2">
      <c r="A326" s="4" t="str">
        <f>IF(ポートフォリオ実績!A327="","", ポートフォリオ実績!A327)</f>
        <v/>
      </c>
      <c r="B326" t="str">
        <f>IF(ポートフォリオ実績!B327="","", ポートフォリオ実績!B327)</f>
        <v/>
      </c>
      <c r="C326" s="10" t="str">
        <f>IF(ポートフォリオ実績!C327="","", ポートフォリオ実績!C327)</f>
        <v/>
      </c>
      <c r="D326" s="10" t="str">
        <f>IF(ポートフォリオ実績!D327="","", ポートフォリオ実績!D327)</f>
        <v/>
      </c>
      <c r="E326" s="10" t="str">
        <f>IF(ポートフォリオ実績!E327="","", ポートフォリオ実績!E327)</f>
        <v/>
      </c>
      <c r="F326" s="10" t="str">
        <f>IF(ポートフォリオ実績!F327="","", ポートフォリオ実績!F327)</f>
        <v/>
      </c>
      <c r="G326" t="str">
        <f t="shared" si="55"/>
        <v/>
      </c>
      <c r="H326">
        <f>IF(B326&lt;&gt;"", SUMIFS(ポートフォリオ実績!$D$2:$D$2001, ポートフォリオ実績!$B$2:$B$2001, B326, ポートフォリオ実績!$A$2:$A$2001, G326), 0)</f>
        <v>0</v>
      </c>
      <c r="I326">
        <f>IF(B326&lt;&gt;"", SUMIFS(ポートフォリオ実績!$C$2:$C$2001, ポートフォリオ実績!$B$2:$B$2001, B326, ポートフォリオ実績!$A$2:$A$2001, G326), 0)</f>
        <v>0</v>
      </c>
      <c r="J326">
        <f t="shared" si="56"/>
        <v>0</v>
      </c>
      <c r="K326">
        <f t="shared" si="57"/>
        <v>0</v>
      </c>
      <c r="L326">
        <f t="shared" si="58"/>
        <v>0</v>
      </c>
      <c r="M326">
        <f t="shared" si="59"/>
        <v>0</v>
      </c>
      <c r="N326">
        <f t="shared" si="60"/>
        <v>0</v>
      </c>
      <c r="O326">
        <f t="shared" si="61"/>
        <v>0</v>
      </c>
      <c r="P326" t="str">
        <f t="shared" si="62"/>
        <v/>
      </c>
      <c r="Q326" t="str">
        <f>IF(B326="","", IFERROR(VLOOKUP(B326, '基準資産配分（設定）'!$A$2:$C$2001, 3, FALSE), ""))</f>
        <v/>
      </c>
      <c r="R326" t="str">
        <f>IF(B326="","", IFERROR(VLOOKUP(B326, '基準資産配分（設定）'!$A$2:$C$2001, 2, FALSE)/100, 0))</f>
        <v/>
      </c>
      <c r="S326" t="str">
        <f>IF(B326="","", IFERROR(SUMIFS(ベンチマークリターン!$C$2:$C$2001, ベンチマークリターン!$A$2:$A$2001, A326, ベンチマークリターン!$B$2:$B$2001, Q326) / 100, 0))</f>
        <v/>
      </c>
      <c r="T326" t="str">
        <f>IF(A326="","", SUMIFS($H$2:$H$2000, $A$2:$A$2000, A326))</f>
        <v/>
      </c>
      <c r="U326" t="str">
        <f t="shared" si="63"/>
        <v/>
      </c>
      <c r="V326" t="str">
        <f t="shared" si="64"/>
        <v/>
      </c>
      <c r="W326" t="str">
        <f t="shared" si="65"/>
        <v/>
      </c>
    </row>
    <row r="327" spans="1:23" x14ac:dyDescent="0.2">
      <c r="A327" s="4" t="str">
        <f>IF(ポートフォリオ実績!A328="","", ポートフォリオ実績!A328)</f>
        <v/>
      </c>
      <c r="B327" t="str">
        <f>IF(ポートフォリオ実績!B328="","", ポートフォリオ実績!B328)</f>
        <v/>
      </c>
      <c r="C327" s="10" t="str">
        <f>IF(ポートフォリオ実績!C328="","", ポートフォリオ実績!C328)</f>
        <v/>
      </c>
      <c r="D327" s="10" t="str">
        <f>IF(ポートフォリオ実績!D328="","", ポートフォリオ実績!D328)</f>
        <v/>
      </c>
      <c r="E327" s="10" t="str">
        <f>IF(ポートフォリオ実績!E328="","", ポートフォリオ実績!E328)</f>
        <v/>
      </c>
      <c r="F327" s="10" t="str">
        <f>IF(ポートフォリオ実績!F328="","", ポートフォリオ実績!F328)</f>
        <v/>
      </c>
      <c r="G327" t="str">
        <f t="shared" si="55"/>
        <v/>
      </c>
      <c r="H327">
        <f>IF(B327&lt;&gt;"", SUMIFS(ポートフォリオ実績!$D$2:$D$2001, ポートフォリオ実績!$B$2:$B$2001, B327, ポートフォリオ実績!$A$2:$A$2001, G327), 0)</f>
        <v>0</v>
      </c>
      <c r="I327">
        <f>IF(B327&lt;&gt;"", SUMIFS(ポートフォリオ実績!$C$2:$C$2001, ポートフォリオ実績!$B$2:$B$2001, B327, ポートフォリオ実績!$A$2:$A$2001, G327), 0)</f>
        <v>0</v>
      </c>
      <c r="J327">
        <f t="shared" si="56"/>
        <v>0</v>
      </c>
      <c r="K327">
        <f t="shared" si="57"/>
        <v>0</v>
      </c>
      <c r="L327">
        <f t="shared" si="58"/>
        <v>0</v>
      </c>
      <c r="M327">
        <f t="shared" si="59"/>
        <v>0</v>
      </c>
      <c r="N327">
        <f t="shared" si="60"/>
        <v>0</v>
      </c>
      <c r="O327">
        <f t="shared" si="61"/>
        <v>0</v>
      </c>
      <c r="P327" t="str">
        <f t="shared" si="62"/>
        <v/>
      </c>
      <c r="Q327" t="str">
        <f>IF(B327="","", IFERROR(VLOOKUP(B327, '基準資産配分（設定）'!$A$2:$C$2001, 3, FALSE), ""))</f>
        <v/>
      </c>
      <c r="R327" t="str">
        <f>IF(B327="","", IFERROR(VLOOKUP(B327, '基準資産配分（設定）'!$A$2:$C$2001, 2, FALSE)/100, 0))</f>
        <v/>
      </c>
      <c r="S327" t="str">
        <f>IF(B327="","", IFERROR(SUMIFS(ベンチマークリターン!$C$2:$C$2001, ベンチマークリターン!$A$2:$A$2001, A327, ベンチマークリターン!$B$2:$B$2001, Q327) / 100, 0))</f>
        <v/>
      </c>
      <c r="T327" t="str">
        <f>IF(A327="","", SUMIFS($H$2:$H$2000, $A$2:$A$2000, A327))</f>
        <v/>
      </c>
      <c r="U327" t="str">
        <f t="shared" si="63"/>
        <v/>
      </c>
      <c r="V327" t="str">
        <f t="shared" si="64"/>
        <v/>
      </c>
      <c r="W327" t="str">
        <f t="shared" si="65"/>
        <v/>
      </c>
    </row>
    <row r="328" spans="1:23" x14ac:dyDescent="0.2">
      <c r="A328" s="4" t="str">
        <f>IF(ポートフォリオ実績!A329="","", ポートフォリオ実績!A329)</f>
        <v/>
      </c>
      <c r="B328" t="str">
        <f>IF(ポートフォリオ実績!B329="","", ポートフォリオ実績!B329)</f>
        <v/>
      </c>
      <c r="C328" s="10" t="str">
        <f>IF(ポートフォリオ実績!C329="","", ポートフォリオ実績!C329)</f>
        <v/>
      </c>
      <c r="D328" s="10" t="str">
        <f>IF(ポートフォリオ実績!D329="","", ポートフォリオ実績!D329)</f>
        <v/>
      </c>
      <c r="E328" s="10" t="str">
        <f>IF(ポートフォリオ実績!E329="","", ポートフォリオ実績!E329)</f>
        <v/>
      </c>
      <c r="F328" s="10" t="str">
        <f>IF(ポートフォリオ実績!F329="","", ポートフォリオ実績!F329)</f>
        <v/>
      </c>
      <c r="G328" t="str">
        <f t="shared" si="55"/>
        <v/>
      </c>
      <c r="H328">
        <f>IF(B328&lt;&gt;"", SUMIFS(ポートフォリオ実績!$D$2:$D$2001, ポートフォリオ実績!$B$2:$B$2001, B328, ポートフォリオ実績!$A$2:$A$2001, G328), 0)</f>
        <v>0</v>
      </c>
      <c r="I328">
        <f>IF(B328&lt;&gt;"", SUMIFS(ポートフォリオ実績!$C$2:$C$2001, ポートフォリオ実績!$B$2:$B$2001, B328, ポートフォリオ実績!$A$2:$A$2001, G328), 0)</f>
        <v>0</v>
      </c>
      <c r="J328">
        <f t="shared" si="56"/>
        <v>0</v>
      </c>
      <c r="K328">
        <f t="shared" si="57"/>
        <v>0</v>
      </c>
      <c r="L328">
        <f t="shared" si="58"/>
        <v>0</v>
      </c>
      <c r="M328">
        <f t="shared" si="59"/>
        <v>0</v>
      </c>
      <c r="N328">
        <f t="shared" si="60"/>
        <v>0</v>
      </c>
      <c r="O328">
        <f t="shared" si="61"/>
        <v>0</v>
      </c>
      <c r="P328" t="str">
        <f t="shared" si="62"/>
        <v/>
      </c>
      <c r="Q328" t="str">
        <f>IF(B328="","", IFERROR(VLOOKUP(B328, '基準資産配分（設定）'!$A$2:$C$2001, 3, FALSE), ""))</f>
        <v/>
      </c>
      <c r="R328" t="str">
        <f>IF(B328="","", IFERROR(VLOOKUP(B328, '基準資産配分（設定）'!$A$2:$C$2001, 2, FALSE)/100, 0))</f>
        <v/>
      </c>
      <c r="S328" t="str">
        <f>IF(B328="","", IFERROR(SUMIFS(ベンチマークリターン!$C$2:$C$2001, ベンチマークリターン!$A$2:$A$2001, A328, ベンチマークリターン!$B$2:$B$2001, Q328) / 100, 0))</f>
        <v/>
      </c>
      <c r="T328" t="str">
        <f>IF(A328="","", SUMIFS($H$2:$H$2000, $A$2:$A$2000, A328))</f>
        <v/>
      </c>
      <c r="U328" t="str">
        <f t="shared" si="63"/>
        <v/>
      </c>
      <c r="V328" t="str">
        <f t="shared" si="64"/>
        <v/>
      </c>
      <c r="W328" t="str">
        <f t="shared" si="65"/>
        <v/>
      </c>
    </row>
    <row r="329" spans="1:23" x14ac:dyDescent="0.2">
      <c r="A329" s="4" t="str">
        <f>IF(ポートフォリオ実績!A330="","", ポートフォリオ実績!A330)</f>
        <v/>
      </c>
      <c r="B329" t="str">
        <f>IF(ポートフォリオ実績!B330="","", ポートフォリオ実績!B330)</f>
        <v/>
      </c>
      <c r="C329" s="10" t="str">
        <f>IF(ポートフォリオ実績!C330="","", ポートフォリオ実績!C330)</f>
        <v/>
      </c>
      <c r="D329" s="10" t="str">
        <f>IF(ポートフォリオ実績!D330="","", ポートフォリオ実績!D330)</f>
        <v/>
      </c>
      <c r="E329" s="10" t="str">
        <f>IF(ポートフォリオ実績!E330="","", ポートフォリオ実績!E330)</f>
        <v/>
      </c>
      <c r="F329" s="10" t="str">
        <f>IF(ポートフォリオ実績!F330="","", ポートフォリオ実績!F330)</f>
        <v/>
      </c>
      <c r="G329" t="str">
        <f t="shared" si="55"/>
        <v/>
      </c>
      <c r="H329">
        <f>IF(B329&lt;&gt;"", SUMIFS(ポートフォリオ実績!$D$2:$D$2001, ポートフォリオ実績!$B$2:$B$2001, B329, ポートフォリオ実績!$A$2:$A$2001, G329), 0)</f>
        <v>0</v>
      </c>
      <c r="I329">
        <f>IF(B329&lt;&gt;"", SUMIFS(ポートフォリオ実績!$C$2:$C$2001, ポートフォリオ実績!$B$2:$B$2001, B329, ポートフォリオ実績!$A$2:$A$2001, G329), 0)</f>
        <v>0</v>
      </c>
      <c r="J329">
        <f t="shared" si="56"/>
        <v>0</v>
      </c>
      <c r="K329">
        <f t="shared" si="57"/>
        <v>0</v>
      </c>
      <c r="L329">
        <f t="shared" si="58"/>
        <v>0</v>
      </c>
      <c r="M329">
        <f t="shared" si="59"/>
        <v>0</v>
      </c>
      <c r="N329">
        <f t="shared" si="60"/>
        <v>0</v>
      </c>
      <c r="O329">
        <f t="shared" si="61"/>
        <v>0</v>
      </c>
      <c r="P329" t="str">
        <f t="shared" si="62"/>
        <v/>
      </c>
      <c r="Q329" t="str">
        <f>IF(B329="","", IFERROR(VLOOKUP(B329, '基準資産配分（設定）'!$A$2:$C$2001, 3, FALSE), ""))</f>
        <v/>
      </c>
      <c r="R329" t="str">
        <f>IF(B329="","", IFERROR(VLOOKUP(B329, '基準資産配分（設定）'!$A$2:$C$2001, 2, FALSE)/100, 0))</f>
        <v/>
      </c>
      <c r="S329" t="str">
        <f>IF(B329="","", IFERROR(SUMIFS(ベンチマークリターン!$C$2:$C$2001, ベンチマークリターン!$A$2:$A$2001, A329, ベンチマークリターン!$B$2:$B$2001, Q329) / 100, 0))</f>
        <v/>
      </c>
      <c r="T329" t="str">
        <f>IF(A329="","", SUMIFS($H$2:$H$2000, $A$2:$A$2000, A329))</f>
        <v/>
      </c>
      <c r="U329" t="str">
        <f t="shared" si="63"/>
        <v/>
      </c>
      <c r="V329" t="str">
        <f t="shared" si="64"/>
        <v/>
      </c>
      <c r="W329" t="str">
        <f t="shared" si="65"/>
        <v/>
      </c>
    </row>
    <row r="330" spans="1:23" x14ac:dyDescent="0.2">
      <c r="A330" s="4" t="str">
        <f>IF(ポートフォリオ実績!A331="","", ポートフォリオ実績!A331)</f>
        <v/>
      </c>
      <c r="B330" t="str">
        <f>IF(ポートフォリオ実績!B331="","", ポートフォリオ実績!B331)</f>
        <v/>
      </c>
      <c r="C330" s="10" t="str">
        <f>IF(ポートフォリオ実績!C331="","", ポートフォリオ実績!C331)</f>
        <v/>
      </c>
      <c r="D330" s="10" t="str">
        <f>IF(ポートフォリオ実績!D331="","", ポートフォリオ実績!D331)</f>
        <v/>
      </c>
      <c r="E330" s="10" t="str">
        <f>IF(ポートフォリオ実績!E331="","", ポートフォリオ実績!E331)</f>
        <v/>
      </c>
      <c r="F330" s="10" t="str">
        <f>IF(ポートフォリオ実績!F331="","", ポートフォリオ実績!F331)</f>
        <v/>
      </c>
      <c r="G330" t="str">
        <f t="shared" si="55"/>
        <v/>
      </c>
      <c r="H330">
        <f>IF(B330&lt;&gt;"", SUMIFS(ポートフォリオ実績!$D$2:$D$2001, ポートフォリオ実績!$B$2:$B$2001, B330, ポートフォリオ実績!$A$2:$A$2001, G330), 0)</f>
        <v>0</v>
      </c>
      <c r="I330">
        <f>IF(B330&lt;&gt;"", SUMIFS(ポートフォリオ実績!$C$2:$C$2001, ポートフォリオ実績!$B$2:$B$2001, B330, ポートフォリオ実績!$A$2:$A$2001, G330), 0)</f>
        <v>0</v>
      </c>
      <c r="J330">
        <f t="shared" si="56"/>
        <v>0</v>
      </c>
      <c r="K330">
        <f t="shared" si="57"/>
        <v>0</v>
      </c>
      <c r="L330">
        <f t="shared" si="58"/>
        <v>0</v>
      </c>
      <c r="M330">
        <f t="shared" si="59"/>
        <v>0</v>
      </c>
      <c r="N330">
        <f t="shared" si="60"/>
        <v>0</v>
      </c>
      <c r="O330">
        <f t="shared" si="61"/>
        <v>0</v>
      </c>
      <c r="P330" t="str">
        <f t="shared" si="62"/>
        <v/>
      </c>
      <c r="Q330" t="str">
        <f>IF(B330="","", IFERROR(VLOOKUP(B330, '基準資産配分（設定）'!$A$2:$C$2001, 3, FALSE), ""))</f>
        <v/>
      </c>
      <c r="R330" t="str">
        <f>IF(B330="","", IFERROR(VLOOKUP(B330, '基準資産配分（設定）'!$A$2:$C$2001, 2, FALSE)/100, 0))</f>
        <v/>
      </c>
      <c r="S330" t="str">
        <f>IF(B330="","", IFERROR(SUMIFS(ベンチマークリターン!$C$2:$C$2001, ベンチマークリターン!$A$2:$A$2001, A330, ベンチマークリターン!$B$2:$B$2001, Q330) / 100, 0))</f>
        <v/>
      </c>
      <c r="T330" t="str">
        <f>IF(A330="","", SUMIFS($H$2:$H$2000, $A$2:$A$2000, A330))</f>
        <v/>
      </c>
      <c r="U330" t="str">
        <f t="shared" si="63"/>
        <v/>
      </c>
      <c r="V330" t="str">
        <f t="shared" si="64"/>
        <v/>
      </c>
      <c r="W330" t="str">
        <f t="shared" si="65"/>
        <v/>
      </c>
    </row>
    <row r="331" spans="1:23" x14ac:dyDescent="0.2">
      <c r="A331" s="4" t="str">
        <f>IF(ポートフォリオ実績!A332="","", ポートフォリオ実績!A332)</f>
        <v/>
      </c>
      <c r="B331" t="str">
        <f>IF(ポートフォリオ実績!B332="","", ポートフォリオ実績!B332)</f>
        <v/>
      </c>
      <c r="C331" s="10" t="str">
        <f>IF(ポートフォリオ実績!C332="","", ポートフォリオ実績!C332)</f>
        <v/>
      </c>
      <c r="D331" s="10" t="str">
        <f>IF(ポートフォリオ実績!D332="","", ポートフォリオ実績!D332)</f>
        <v/>
      </c>
      <c r="E331" s="10" t="str">
        <f>IF(ポートフォリオ実績!E332="","", ポートフォリオ実績!E332)</f>
        <v/>
      </c>
      <c r="F331" s="10" t="str">
        <f>IF(ポートフォリオ実績!F332="","", ポートフォリオ実績!F332)</f>
        <v/>
      </c>
      <c r="G331" t="str">
        <f t="shared" si="55"/>
        <v/>
      </c>
      <c r="H331">
        <f>IF(B331&lt;&gt;"", SUMIFS(ポートフォリオ実績!$D$2:$D$2001, ポートフォリオ実績!$B$2:$B$2001, B331, ポートフォリオ実績!$A$2:$A$2001, G331), 0)</f>
        <v>0</v>
      </c>
      <c r="I331">
        <f>IF(B331&lt;&gt;"", SUMIFS(ポートフォリオ実績!$C$2:$C$2001, ポートフォリオ実績!$B$2:$B$2001, B331, ポートフォリオ実績!$A$2:$A$2001, G331), 0)</f>
        <v>0</v>
      </c>
      <c r="J331">
        <f t="shared" si="56"/>
        <v>0</v>
      </c>
      <c r="K331">
        <f t="shared" si="57"/>
        <v>0</v>
      </c>
      <c r="L331">
        <f t="shared" si="58"/>
        <v>0</v>
      </c>
      <c r="M331">
        <f t="shared" si="59"/>
        <v>0</v>
      </c>
      <c r="N331">
        <f t="shared" si="60"/>
        <v>0</v>
      </c>
      <c r="O331">
        <f t="shared" si="61"/>
        <v>0</v>
      </c>
      <c r="P331" t="str">
        <f t="shared" si="62"/>
        <v/>
      </c>
      <c r="Q331" t="str">
        <f>IF(B331="","", IFERROR(VLOOKUP(B331, '基準資産配分（設定）'!$A$2:$C$2001, 3, FALSE), ""))</f>
        <v/>
      </c>
      <c r="R331" t="str">
        <f>IF(B331="","", IFERROR(VLOOKUP(B331, '基準資産配分（設定）'!$A$2:$C$2001, 2, FALSE)/100, 0))</f>
        <v/>
      </c>
      <c r="S331" t="str">
        <f>IF(B331="","", IFERROR(SUMIFS(ベンチマークリターン!$C$2:$C$2001, ベンチマークリターン!$A$2:$A$2001, A331, ベンチマークリターン!$B$2:$B$2001, Q331) / 100, 0))</f>
        <v/>
      </c>
      <c r="T331" t="str">
        <f>IF(A331="","", SUMIFS($H$2:$H$2000, $A$2:$A$2000, A331))</f>
        <v/>
      </c>
      <c r="U331" t="str">
        <f t="shared" si="63"/>
        <v/>
      </c>
      <c r="V331" t="str">
        <f t="shared" si="64"/>
        <v/>
      </c>
      <c r="W331" t="str">
        <f t="shared" si="65"/>
        <v/>
      </c>
    </row>
    <row r="332" spans="1:23" x14ac:dyDescent="0.2">
      <c r="A332" s="4" t="str">
        <f>IF(ポートフォリオ実績!A333="","", ポートフォリオ実績!A333)</f>
        <v/>
      </c>
      <c r="B332" t="str">
        <f>IF(ポートフォリオ実績!B333="","", ポートフォリオ実績!B333)</f>
        <v/>
      </c>
      <c r="C332" s="10" t="str">
        <f>IF(ポートフォリオ実績!C333="","", ポートフォリオ実績!C333)</f>
        <v/>
      </c>
      <c r="D332" s="10" t="str">
        <f>IF(ポートフォリオ実績!D333="","", ポートフォリオ実績!D333)</f>
        <v/>
      </c>
      <c r="E332" s="10" t="str">
        <f>IF(ポートフォリオ実績!E333="","", ポートフォリオ実績!E333)</f>
        <v/>
      </c>
      <c r="F332" s="10" t="str">
        <f>IF(ポートフォリオ実績!F333="","", ポートフォリオ実績!F333)</f>
        <v/>
      </c>
      <c r="G332" t="str">
        <f t="shared" si="55"/>
        <v/>
      </c>
      <c r="H332">
        <f>IF(B332&lt;&gt;"", SUMIFS(ポートフォリオ実績!$D$2:$D$2001, ポートフォリオ実績!$B$2:$B$2001, B332, ポートフォリオ実績!$A$2:$A$2001, G332), 0)</f>
        <v>0</v>
      </c>
      <c r="I332">
        <f>IF(B332&lt;&gt;"", SUMIFS(ポートフォリオ実績!$C$2:$C$2001, ポートフォリオ実績!$B$2:$B$2001, B332, ポートフォリオ実績!$A$2:$A$2001, G332), 0)</f>
        <v>0</v>
      </c>
      <c r="J332">
        <f t="shared" si="56"/>
        <v>0</v>
      </c>
      <c r="K332">
        <f t="shared" si="57"/>
        <v>0</v>
      </c>
      <c r="L332">
        <f t="shared" si="58"/>
        <v>0</v>
      </c>
      <c r="M332">
        <f t="shared" si="59"/>
        <v>0</v>
      </c>
      <c r="N332">
        <f t="shared" si="60"/>
        <v>0</v>
      </c>
      <c r="O332">
        <f t="shared" si="61"/>
        <v>0</v>
      </c>
      <c r="P332" t="str">
        <f t="shared" si="62"/>
        <v/>
      </c>
      <c r="Q332" t="str">
        <f>IF(B332="","", IFERROR(VLOOKUP(B332, '基準資産配分（設定）'!$A$2:$C$2001, 3, FALSE), ""))</f>
        <v/>
      </c>
      <c r="R332" t="str">
        <f>IF(B332="","", IFERROR(VLOOKUP(B332, '基準資産配分（設定）'!$A$2:$C$2001, 2, FALSE)/100, 0))</f>
        <v/>
      </c>
      <c r="S332" t="str">
        <f>IF(B332="","", IFERROR(SUMIFS(ベンチマークリターン!$C$2:$C$2001, ベンチマークリターン!$A$2:$A$2001, A332, ベンチマークリターン!$B$2:$B$2001, Q332) / 100, 0))</f>
        <v/>
      </c>
      <c r="T332" t="str">
        <f>IF(A332="","", SUMIFS($H$2:$H$2000, $A$2:$A$2000, A332))</f>
        <v/>
      </c>
      <c r="U332" t="str">
        <f t="shared" si="63"/>
        <v/>
      </c>
      <c r="V332" t="str">
        <f t="shared" si="64"/>
        <v/>
      </c>
      <c r="W332" t="str">
        <f t="shared" si="65"/>
        <v/>
      </c>
    </row>
    <row r="333" spans="1:23" x14ac:dyDescent="0.2">
      <c r="A333" s="4" t="str">
        <f>IF(ポートフォリオ実績!A334="","", ポートフォリオ実績!A334)</f>
        <v/>
      </c>
      <c r="B333" t="str">
        <f>IF(ポートフォリオ実績!B334="","", ポートフォリオ実績!B334)</f>
        <v/>
      </c>
      <c r="C333" s="10" t="str">
        <f>IF(ポートフォリオ実績!C334="","", ポートフォリオ実績!C334)</f>
        <v/>
      </c>
      <c r="D333" s="10" t="str">
        <f>IF(ポートフォリオ実績!D334="","", ポートフォリオ実績!D334)</f>
        <v/>
      </c>
      <c r="E333" s="10" t="str">
        <f>IF(ポートフォリオ実績!E334="","", ポートフォリオ実績!E334)</f>
        <v/>
      </c>
      <c r="F333" s="10" t="str">
        <f>IF(ポートフォリオ実績!F334="","", ポートフォリオ実績!F334)</f>
        <v/>
      </c>
      <c r="G333" t="str">
        <f t="shared" si="55"/>
        <v/>
      </c>
      <c r="H333">
        <f>IF(B333&lt;&gt;"", SUMIFS(ポートフォリオ実績!$D$2:$D$2001, ポートフォリオ実績!$B$2:$B$2001, B333, ポートフォリオ実績!$A$2:$A$2001, G333), 0)</f>
        <v>0</v>
      </c>
      <c r="I333">
        <f>IF(B333&lt;&gt;"", SUMIFS(ポートフォリオ実績!$C$2:$C$2001, ポートフォリオ実績!$B$2:$B$2001, B333, ポートフォリオ実績!$A$2:$A$2001, G333), 0)</f>
        <v>0</v>
      </c>
      <c r="J333">
        <f t="shared" si="56"/>
        <v>0</v>
      </c>
      <c r="K333">
        <f t="shared" si="57"/>
        <v>0</v>
      </c>
      <c r="L333">
        <f t="shared" si="58"/>
        <v>0</v>
      </c>
      <c r="M333">
        <f t="shared" si="59"/>
        <v>0</v>
      </c>
      <c r="N333">
        <f t="shared" si="60"/>
        <v>0</v>
      </c>
      <c r="O333">
        <f t="shared" si="61"/>
        <v>0</v>
      </c>
      <c r="P333" t="str">
        <f t="shared" si="62"/>
        <v/>
      </c>
      <c r="Q333" t="str">
        <f>IF(B333="","", IFERROR(VLOOKUP(B333, '基準資産配分（設定）'!$A$2:$C$2001, 3, FALSE), ""))</f>
        <v/>
      </c>
      <c r="R333" t="str">
        <f>IF(B333="","", IFERROR(VLOOKUP(B333, '基準資産配分（設定）'!$A$2:$C$2001, 2, FALSE)/100, 0))</f>
        <v/>
      </c>
      <c r="S333" t="str">
        <f>IF(B333="","", IFERROR(SUMIFS(ベンチマークリターン!$C$2:$C$2001, ベンチマークリターン!$A$2:$A$2001, A333, ベンチマークリターン!$B$2:$B$2001, Q333) / 100, 0))</f>
        <v/>
      </c>
      <c r="T333" t="str">
        <f>IF(A333="","", SUMIFS($H$2:$H$2000, $A$2:$A$2000, A333))</f>
        <v/>
      </c>
      <c r="U333" t="str">
        <f t="shared" si="63"/>
        <v/>
      </c>
      <c r="V333" t="str">
        <f t="shared" si="64"/>
        <v/>
      </c>
      <c r="W333" t="str">
        <f t="shared" si="65"/>
        <v/>
      </c>
    </row>
    <row r="334" spans="1:23" x14ac:dyDescent="0.2">
      <c r="A334" s="4" t="str">
        <f>IF(ポートフォリオ実績!A335="","", ポートフォリオ実績!A335)</f>
        <v/>
      </c>
      <c r="B334" t="str">
        <f>IF(ポートフォリオ実績!B335="","", ポートフォリオ実績!B335)</f>
        <v/>
      </c>
      <c r="C334" s="10" t="str">
        <f>IF(ポートフォリオ実績!C335="","", ポートフォリオ実績!C335)</f>
        <v/>
      </c>
      <c r="D334" s="10" t="str">
        <f>IF(ポートフォリオ実績!D335="","", ポートフォリオ実績!D335)</f>
        <v/>
      </c>
      <c r="E334" s="10" t="str">
        <f>IF(ポートフォリオ実績!E335="","", ポートフォリオ実績!E335)</f>
        <v/>
      </c>
      <c r="F334" s="10" t="str">
        <f>IF(ポートフォリオ実績!F335="","", ポートフォリオ実績!F335)</f>
        <v/>
      </c>
      <c r="G334" t="str">
        <f t="shared" si="55"/>
        <v/>
      </c>
      <c r="H334">
        <f>IF(B334&lt;&gt;"", SUMIFS(ポートフォリオ実績!$D$2:$D$2001, ポートフォリオ実績!$B$2:$B$2001, B334, ポートフォリオ実績!$A$2:$A$2001, G334), 0)</f>
        <v>0</v>
      </c>
      <c r="I334">
        <f>IF(B334&lt;&gt;"", SUMIFS(ポートフォリオ実績!$C$2:$C$2001, ポートフォリオ実績!$B$2:$B$2001, B334, ポートフォリオ実績!$A$2:$A$2001, G334), 0)</f>
        <v>0</v>
      </c>
      <c r="J334">
        <f t="shared" si="56"/>
        <v>0</v>
      </c>
      <c r="K334">
        <f t="shared" si="57"/>
        <v>0</v>
      </c>
      <c r="L334">
        <f t="shared" si="58"/>
        <v>0</v>
      </c>
      <c r="M334">
        <f t="shared" si="59"/>
        <v>0</v>
      </c>
      <c r="N334">
        <f t="shared" si="60"/>
        <v>0</v>
      </c>
      <c r="O334">
        <f t="shared" si="61"/>
        <v>0</v>
      </c>
      <c r="P334" t="str">
        <f t="shared" si="62"/>
        <v/>
      </c>
      <c r="Q334" t="str">
        <f>IF(B334="","", IFERROR(VLOOKUP(B334, '基準資産配分（設定）'!$A$2:$C$2001, 3, FALSE), ""))</f>
        <v/>
      </c>
      <c r="R334" t="str">
        <f>IF(B334="","", IFERROR(VLOOKUP(B334, '基準資産配分（設定）'!$A$2:$C$2001, 2, FALSE)/100, 0))</f>
        <v/>
      </c>
      <c r="S334" t="str">
        <f>IF(B334="","", IFERROR(SUMIFS(ベンチマークリターン!$C$2:$C$2001, ベンチマークリターン!$A$2:$A$2001, A334, ベンチマークリターン!$B$2:$B$2001, Q334) / 100, 0))</f>
        <v/>
      </c>
      <c r="T334" t="str">
        <f>IF(A334="","", SUMIFS($H$2:$H$2000, $A$2:$A$2000, A334))</f>
        <v/>
      </c>
      <c r="U334" t="str">
        <f t="shared" si="63"/>
        <v/>
      </c>
      <c r="V334" t="str">
        <f t="shared" si="64"/>
        <v/>
      </c>
      <c r="W334" t="str">
        <f t="shared" si="65"/>
        <v/>
      </c>
    </row>
    <row r="335" spans="1:23" x14ac:dyDescent="0.2">
      <c r="A335" s="4" t="str">
        <f>IF(ポートフォリオ実績!A336="","", ポートフォリオ実績!A336)</f>
        <v/>
      </c>
      <c r="B335" t="str">
        <f>IF(ポートフォリオ実績!B336="","", ポートフォリオ実績!B336)</f>
        <v/>
      </c>
      <c r="C335" s="10" t="str">
        <f>IF(ポートフォリオ実績!C336="","", ポートフォリオ実績!C336)</f>
        <v/>
      </c>
      <c r="D335" s="10" t="str">
        <f>IF(ポートフォリオ実績!D336="","", ポートフォリオ実績!D336)</f>
        <v/>
      </c>
      <c r="E335" s="10" t="str">
        <f>IF(ポートフォリオ実績!E336="","", ポートフォリオ実績!E336)</f>
        <v/>
      </c>
      <c r="F335" s="10" t="str">
        <f>IF(ポートフォリオ実績!F336="","", ポートフォリオ実績!F336)</f>
        <v/>
      </c>
      <c r="G335" t="str">
        <f t="shared" si="55"/>
        <v/>
      </c>
      <c r="H335">
        <f>IF(B335&lt;&gt;"", SUMIFS(ポートフォリオ実績!$D$2:$D$2001, ポートフォリオ実績!$B$2:$B$2001, B335, ポートフォリオ実績!$A$2:$A$2001, G335), 0)</f>
        <v>0</v>
      </c>
      <c r="I335">
        <f>IF(B335&lt;&gt;"", SUMIFS(ポートフォリオ実績!$C$2:$C$2001, ポートフォリオ実績!$B$2:$B$2001, B335, ポートフォリオ実績!$A$2:$A$2001, G335), 0)</f>
        <v>0</v>
      </c>
      <c r="J335">
        <f t="shared" si="56"/>
        <v>0</v>
      </c>
      <c r="K335">
        <f t="shared" si="57"/>
        <v>0</v>
      </c>
      <c r="L335">
        <f t="shared" si="58"/>
        <v>0</v>
      </c>
      <c r="M335">
        <f t="shared" si="59"/>
        <v>0</v>
      </c>
      <c r="N335">
        <f t="shared" si="60"/>
        <v>0</v>
      </c>
      <c r="O335">
        <f t="shared" si="61"/>
        <v>0</v>
      </c>
      <c r="P335" t="str">
        <f t="shared" si="62"/>
        <v/>
      </c>
      <c r="Q335" t="str">
        <f>IF(B335="","", IFERROR(VLOOKUP(B335, '基準資産配分（設定）'!$A$2:$C$2001, 3, FALSE), ""))</f>
        <v/>
      </c>
      <c r="R335" t="str">
        <f>IF(B335="","", IFERROR(VLOOKUP(B335, '基準資産配分（設定）'!$A$2:$C$2001, 2, FALSE)/100, 0))</f>
        <v/>
      </c>
      <c r="S335" t="str">
        <f>IF(B335="","", IFERROR(SUMIFS(ベンチマークリターン!$C$2:$C$2001, ベンチマークリターン!$A$2:$A$2001, A335, ベンチマークリターン!$B$2:$B$2001, Q335) / 100, 0))</f>
        <v/>
      </c>
      <c r="T335" t="str">
        <f>IF(A335="","", SUMIFS($H$2:$H$2000, $A$2:$A$2000, A335))</f>
        <v/>
      </c>
      <c r="U335" t="str">
        <f t="shared" si="63"/>
        <v/>
      </c>
      <c r="V335" t="str">
        <f t="shared" si="64"/>
        <v/>
      </c>
      <c r="W335" t="str">
        <f t="shared" si="65"/>
        <v/>
      </c>
    </row>
    <row r="336" spans="1:23" x14ac:dyDescent="0.2">
      <c r="A336" s="4" t="str">
        <f>IF(ポートフォリオ実績!A337="","", ポートフォリオ実績!A337)</f>
        <v/>
      </c>
      <c r="B336" t="str">
        <f>IF(ポートフォリオ実績!B337="","", ポートフォリオ実績!B337)</f>
        <v/>
      </c>
      <c r="C336" s="10" t="str">
        <f>IF(ポートフォリオ実績!C337="","", ポートフォリオ実績!C337)</f>
        <v/>
      </c>
      <c r="D336" s="10" t="str">
        <f>IF(ポートフォリオ実績!D337="","", ポートフォリオ実績!D337)</f>
        <v/>
      </c>
      <c r="E336" s="10" t="str">
        <f>IF(ポートフォリオ実績!E337="","", ポートフォリオ実績!E337)</f>
        <v/>
      </c>
      <c r="F336" s="10" t="str">
        <f>IF(ポートフォリオ実績!F337="","", ポートフォリオ実績!F337)</f>
        <v/>
      </c>
      <c r="G336" t="str">
        <f t="shared" si="55"/>
        <v/>
      </c>
      <c r="H336">
        <f>IF(B336&lt;&gt;"", SUMIFS(ポートフォリオ実績!$D$2:$D$2001, ポートフォリオ実績!$B$2:$B$2001, B336, ポートフォリオ実績!$A$2:$A$2001, G336), 0)</f>
        <v>0</v>
      </c>
      <c r="I336">
        <f>IF(B336&lt;&gt;"", SUMIFS(ポートフォリオ実績!$C$2:$C$2001, ポートフォリオ実績!$B$2:$B$2001, B336, ポートフォリオ実績!$A$2:$A$2001, G336), 0)</f>
        <v>0</v>
      </c>
      <c r="J336">
        <f t="shared" si="56"/>
        <v>0</v>
      </c>
      <c r="K336">
        <f t="shared" si="57"/>
        <v>0</v>
      </c>
      <c r="L336">
        <f t="shared" si="58"/>
        <v>0</v>
      </c>
      <c r="M336">
        <f t="shared" si="59"/>
        <v>0</v>
      </c>
      <c r="N336">
        <f t="shared" si="60"/>
        <v>0</v>
      </c>
      <c r="O336">
        <f t="shared" si="61"/>
        <v>0</v>
      </c>
      <c r="P336" t="str">
        <f t="shared" si="62"/>
        <v/>
      </c>
      <c r="Q336" t="str">
        <f>IF(B336="","", IFERROR(VLOOKUP(B336, '基準資産配分（設定）'!$A$2:$C$2001, 3, FALSE), ""))</f>
        <v/>
      </c>
      <c r="R336" t="str">
        <f>IF(B336="","", IFERROR(VLOOKUP(B336, '基準資産配分（設定）'!$A$2:$C$2001, 2, FALSE)/100, 0))</f>
        <v/>
      </c>
      <c r="S336" t="str">
        <f>IF(B336="","", IFERROR(SUMIFS(ベンチマークリターン!$C$2:$C$2001, ベンチマークリターン!$A$2:$A$2001, A336, ベンチマークリターン!$B$2:$B$2001, Q336) / 100, 0))</f>
        <v/>
      </c>
      <c r="T336" t="str">
        <f>IF(A336="","", SUMIFS($H$2:$H$2000, $A$2:$A$2000, A336))</f>
        <v/>
      </c>
      <c r="U336" t="str">
        <f t="shared" si="63"/>
        <v/>
      </c>
      <c r="V336" t="str">
        <f t="shared" si="64"/>
        <v/>
      </c>
      <c r="W336" t="str">
        <f t="shared" si="65"/>
        <v/>
      </c>
    </row>
    <row r="337" spans="1:23" x14ac:dyDescent="0.2">
      <c r="A337" s="4" t="str">
        <f>IF(ポートフォリオ実績!A338="","", ポートフォリオ実績!A338)</f>
        <v/>
      </c>
      <c r="B337" t="str">
        <f>IF(ポートフォリオ実績!B338="","", ポートフォリオ実績!B338)</f>
        <v/>
      </c>
      <c r="C337" s="10" t="str">
        <f>IF(ポートフォリオ実績!C338="","", ポートフォリオ実績!C338)</f>
        <v/>
      </c>
      <c r="D337" s="10" t="str">
        <f>IF(ポートフォリオ実績!D338="","", ポートフォリオ実績!D338)</f>
        <v/>
      </c>
      <c r="E337" s="10" t="str">
        <f>IF(ポートフォリオ実績!E338="","", ポートフォリオ実績!E338)</f>
        <v/>
      </c>
      <c r="F337" s="10" t="str">
        <f>IF(ポートフォリオ実績!F338="","", ポートフォリオ実績!F338)</f>
        <v/>
      </c>
      <c r="G337" t="str">
        <f t="shared" si="55"/>
        <v/>
      </c>
      <c r="H337">
        <f>IF(B337&lt;&gt;"", SUMIFS(ポートフォリオ実績!$D$2:$D$2001, ポートフォリオ実績!$B$2:$B$2001, B337, ポートフォリオ実績!$A$2:$A$2001, G337), 0)</f>
        <v>0</v>
      </c>
      <c r="I337">
        <f>IF(B337&lt;&gt;"", SUMIFS(ポートフォリオ実績!$C$2:$C$2001, ポートフォリオ実績!$B$2:$B$2001, B337, ポートフォリオ実績!$A$2:$A$2001, G337), 0)</f>
        <v>0</v>
      </c>
      <c r="J337">
        <f t="shared" si="56"/>
        <v>0</v>
      </c>
      <c r="K337">
        <f t="shared" si="57"/>
        <v>0</v>
      </c>
      <c r="L337">
        <f t="shared" si="58"/>
        <v>0</v>
      </c>
      <c r="M337">
        <f t="shared" si="59"/>
        <v>0</v>
      </c>
      <c r="N337">
        <f t="shared" si="60"/>
        <v>0</v>
      </c>
      <c r="O337">
        <f t="shared" si="61"/>
        <v>0</v>
      </c>
      <c r="P337" t="str">
        <f t="shared" si="62"/>
        <v/>
      </c>
      <c r="Q337" t="str">
        <f>IF(B337="","", IFERROR(VLOOKUP(B337, '基準資産配分（設定）'!$A$2:$C$2001, 3, FALSE), ""))</f>
        <v/>
      </c>
      <c r="R337" t="str">
        <f>IF(B337="","", IFERROR(VLOOKUP(B337, '基準資産配分（設定）'!$A$2:$C$2001, 2, FALSE)/100, 0))</f>
        <v/>
      </c>
      <c r="S337" t="str">
        <f>IF(B337="","", IFERROR(SUMIFS(ベンチマークリターン!$C$2:$C$2001, ベンチマークリターン!$A$2:$A$2001, A337, ベンチマークリターン!$B$2:$B$2001, Q337) / 100, 0))</f>
        <v/>
      </c>
      <c r="T337" t="str">
        <f>IF(A337="","", SUMIFS($H$2:$H$2000, $A$2:$A$2000, A337))</f>
        <v/>
      </c>
      <c r="U337" t="str">
        <f t="shared" si="63"/>
        <v/>
      </c>
      <c r="V337" t="str">
        <f t="shared" si="64"/>
        <v/>
      </c>
      <c r="W337" t="str">
        <f t="shared" si="65"/>
        <v/>
      </c>
    </row>
    <row r="338" spans="1:23" x14ac:dyDescent="0.2">
      <c r="A338" s="4" t="str">
        <f>IF(ポートフォリオ実績!A339="","", ポートフォリオ実績!A339)</f>
        <v/>
      </c>
      <c r="B338" t="str">
        <f>IF(ポートフォリオ実績!B339="","", ポートフォリオ実績!B339)</f>
        <v/>
      </c>
      <c r="C338" s="10" t="str">
        <f>IF(ポートフォリオ実績!C339="","", ポートフォリオ実績!C339)</f>
        <v/>
      </c>
      <c r="D338" s="10" t="str">
        <f>IF(ポートフォリオ実績!D339="","", ポートフォリオ実績!D339)</f>
        <v/>
      </c>
      <c r="E338" s="10" t="str">
        <f>IF(ポートフォリオ実績!E339="","", ポートフォリオ実績!E339)</f>
        <v/>
      </c>
      <c r="F338" s="10" t="str">
        <f>IF(ポートフォリオ実績!F339="","", ポートフォリオ実績!F339)</f>
        <v/>
      </c>
      <c r="G338" t="str">
        <f t="shared" si="55"/>
        <v/>
      </c>
      <c r="H338">
        <f>IF(B338&lt;&gt;"", SUMIFS(ポートフォリオ実績!$D$2:$D$2001, ポートフォリオ実績!$B$2:$B$2001, B338, ポートフォリオ実績!$A$2:$A$2001, G338), 0)</f>
        <v>0</v>
      </c>
      <c r="I338">
        <f>IF(B338&lt;&gt;"", SUMIFS(ポートフォリオ実績!$C$2:$C$2001, ポートフォリオ実績!$B$2:$B$2001, B338, ポートフォリオ実績!$A$2:$A$2001, G338), 0)</f>
        <v>0</v>
      </c>
      <c r="J338">
        <f t="shared" si="56"/>
        <v>0</v>
      </c>
      <c r="K338">
        <f t="shared" si="57"/>
        <v>0</v>
      </c>
      <c r="L338">
        <f t="shared" si="58"/>
        <v>0</v>
      </c>
      <c r="M338">
        <f t="shared" si="59"/>
        <v>0</v>
      </c>
      <c r="N338">
        <f t="shared" si="60"/>
        <v>0</v>
      </c>
      <c r="O338">
        <f t="shared" si="61"/>
        <v>0</v>
      </c>
      <c r="P338" t="str">
        <f t="shared" si="62"/>
        <v/>
      </c>
      <c r="Q338" t="str">
        <f>IF(B338="","", IFERROR(VLOOKUP(B338, '基準資産配分（設定）'!$A$2:$C$2001, 3, FALSE), ""))</f>
        <v/>
      </c>
      <c r="R338" t="str">
        <f>IF(B338="","", IFERROR(VLOOKUP(B338, '基準資産配分（設定）'!$A$2:$C$2001, 2, FALSE)/100, 0))</f>
        <v/>
      </c>
      <c r="S338" t="str">
        <f>IF(B338="","", IFERROR(SUMIFS(ベンチマークリターン!$C$2:$C$2001, ベンチマークリターン!$A$2:$A$2001, A338, ベンチマークリターン!$B$2:$B$2001, Q338) / 100, 0))</f>
        <v/>
      </c>
      <c r="T338" t="str">
        <f>IF(A338="","", SUMIFS($H$2:$H$2000, $A$2:$A$2000, A338))</f>
        <v/>
      </c>
      <c r="U338" t="str">
        <f t="shared" si="63"/>
        <v/>
      </c>
      <c r="V338" t="str">
        <f t="shared" si="64"/>
        <v/>
      </c>
      <c r="W338" t="str">
        <f t="shared" si="65"/>
        <v/>
      </c>
    </row>
    <row r="339" spans="1:23" x14ac:dyDescent="0.2">
      <c r="A339" s="4" t="str">
        <f>IF(ポートフォリオ実績!A340="","", ポートフォリオ実績!A340)</f>
        <v/>
      </c>
      <c r="B339" t="str">
        <f>IF(ポートフォリオ実績!B340="","", ポートフォリオ実績!B340)</f>
        <v/>
      </c>
      <c r="C339" s="10" t="str">
        <f>IF(ポートフォリオ実績!C340="","", ポートフォリオ実績!C340)</f>
        <v/>
      </c>
      <c r="D339" s="10" t="str">
        <f>IF(ポートフォリオ実績!D340="","", ポートフォリオ実績!D340)</f>
        <v/>
      </c>
      <c r="E339" s="10" t="str">
        <f>IF(ポートフォリオ実績!E340="","", ポートフォリオ実績!E340)</f>
        <v/>
      </c>
      <c r="F339" s="10" t="str">
        <f>IF(ポートフォリオ実績!F340="","", ポートフォリオ実績!F340)</f>
        <v/>
      </c>
      <c r="G339" t="str">
        <f t="shared" si="55"/>
        <v/>
      </c>
      <c r="H339">
        <f>IF(B339&lt;&gt;"", SUMIFS(ポートフォリオ実績!$D$2:$D$2001, ポートフォリオ実績!$B$2:$B$2001, B339, ポートフォリオ実績!$A$2:$A$2001, G339), 0)</f>
        <v>0</v>
      </c>
      <c r="I339">
        <f>IF(B339&lt;&gt;"", SUMIFS(ポートフォリオ実績!$C$2:$C$2001, ポートフォリオ実績!$B$2:$B$2001, B339, ポートフォリオ実績!$A$2:$A$2001, G339), 0)</f>
        <v>0</v>
      </c>
      <c r="J339">
        <f t="shared" si="56"/>
        <v>0</v>
      </c>
      <c r="K339">
        <f t="shared" si="57"/>
        <v>0</v>
      </c>
      <c r="L339">
        <f t="shared" si="58"/>
        <v>0</v>
      </c>
      <c r="M339">
        <f t="shared" si="59"/>
        <v>0</v>
      </c>
      <c r="N339">
        <f t="shared" si="60"/>
        <v>0</v>
      </c>
      <c r="O339">
        <f t="shared" si="61"/>
        <v>0</v>
      </c>
      <c r="P339" t="str">
        <f t="shared" si="62"/>
        <v/>
      </c>
      <c r="Q339" t="str">
        <f>IF(B339="","", IFERROR(VLOOKUP(B339, '基準資産配分（設定）'!$A$2:$C$2001, 3, FALSE), ""))</f>
        <v/>
      </c>
      <c r="R339" t="str">
        <f>IF(B339="","", IFERROR(VLOOKUP(B339, '基準資産配分（設定）'!$A$2:$C$2001, 2, FALSE)/100, 0))</f>
        <v/>
      </c>
      <c r="S339" t="str">
        <f>IF(B339="","", IFERROR(SUMIFS(ベンチマークリターン!$C$2:$C$2001, ベンチマークリターン!$A$2:$A$2001, A339, ベンチマークリターン!$B$2:$B$2001, Q339) / 100, 0))</f>
        <v/>
      </c>
      <c r="T339" t="str">
        <f>IF(A339="","", SUMIFS($H$2:$H$2000, $A$2:$A$2000, A339))</f>
        <v/>
      </c>
      <c r="U339" t="str">
        <f t="shared" si="63"/>
        <v/>
      </c>
      <c r="V339" t="str">
        <f t="shared" si="64"/>
        <v/>
      </c>
      <c r="W339" t="str">
        <f t="shared" si="65"/>
        <v/>
      </c>
    </row>
    <row r="340" spans="1:23" x14ac:dyDescent="0.2">
      <c r="A340" s="4" t="str">
        <f>IF(ポートフォリオ実績!A341="","", ポートフォリオ実績!A341)</f>
        <v/>
      </c>
      <c r="B340" t="str">
        <f>IF(ポートフォリオ実績!B341="","", ポートフォリオ実績!B341)</f>
        <v/>
      </c>
      <c r="C340" s="10" t="str">
        <f>IF(ポートフォリオ実績!C341="","", ポートフォリオ実績!C341)</f>
        <v/>
      </c>
      <c r="D340" s="10" t="str">
        <f>IF(ポートフォリオ実績!D341="","", ポートフォリオ実績!D341)</f>
        <v/>
      </c>
      <c r="E340" s="10" t="str">
        <f>IF(ポートフォリオ実績!E341="","", ポートフォリオ実績!E341)</f>
        <v/>
      </c>
      <c r="F340" s="10" t="str">
        <f>IF(ポートフォリオ実績!F341="","", ポートフォリオ実績!F341)</f>
        <v/>
      </c>
      <c r="G340" t="str">
        <f t="shared" si="55"/>
        <v/>
      </c>
      <c r="H340">
        <f>IF(B340&lt;&gt;"", SUMIFS(ポートフォリオ実績!$D$2:$D$2001, ポートフォリオ実績!$B$2:$B$2001, B340, ポートフォリオ実績!$A$2:$A$2001, G340), 0)</f>
        <v>0</v>
      </c>
      <c r="I340">
        <f>IF(B340&lt;&gt;"", SUMIFS(ポートフォリオ実績!$C$2:$C$2001, ポートフォリオ実績!$B$2:$B$2001, B340, ポートフォリオ実績!$A$2:$A$2001, G340), 0)</f>
        <v>0</v>
      </c>
      <c r="J340">
        <f t="shared" si="56"/>
        <v>0</v>
      </c>
      <c r="K340">
        <f t="shared" si="57"/>
        <v>0</v>
      </c>
      <c r="L340">
        <f t="shared" si="58"/>
        <v>0</v>
      </c>
      <c r="M340">
        <f t="shared" si="59"/>
        <v>0</v>
      </c>
      <c r="N340">
        <f t="shared" si="60"/>
        <v>0</v>
      </c>
      <c r="O340">
        <f t="shared" si="61"/>
        <v>0</v>
      </c>
      <c r="P340" t="str">
        <f t="shared" si="62"/>
        <v/>
      </c>
      <c r="Q340" t="str">
        <f>IF(B340="","", IFERROR(VLOOKUP(B340, '基準資産配分（設定）'!$A$2:$C$2001, 3, FALSE), ""))</f>
        <v/>
      </c>
      <c r="R340" t="str">
        <f>IF(B340="","", IFERROR(VLOOKUP(B340, '基準資産配分（設定）'!$A$2:$C$2001, 2, FALSE)/100, 0))</f>
        <v/>
      </c>
      <c r="S340" t="str">
        <f>IF(B340="","", IFERROR(SUMIFS(ベンチマークリターン!$C$2:$C$2001, ベンチマークリターン!$A$2:$A$2001, A340, ベンチマークリターン!$B$2:$B$2001, Q340) / 100, 0))</f>
        <v/>
      </c>
      <c r="T340" t="str">
        <f>IF(A340="","", SUMIFS($H$2:$H$2000, $A$2:$A$2000, A340))</f>
        <v/>
      </c>
      <c r="U340" t="str">
        <f t="shared" si="63"/>
        <v/>
      </c>
      <c r="V340" t="str">
        <f t="shared" si="64"/>
        <v/>
      </c>
      <c r="W340" t="str">
        <f t="shared" si="65"/>
        <v/>
      </c>
    </row>
    <row r="341" spans="1:23" x14ac:dyDescent="0.2">
      <c r="A341" s="4" t="str">
        <f>IF(ポートフォリオ実績!A342="","", ポートフォリオ実績!A342)</f>
        <v/>
      </c>
      <c r="B341" t="str">
        <f>IF(ポートフォリオ実績!B342="","", ポートフォリオ実績!B342)</f>
        <v/>
      </c>
      <c r="C341" s="10" t="str">
        <f>IF(ポートフォリオ実績!C342="","", ポートフォリオ実績!C342)</f>
        <v/>
      </c>
      <c r="D341" s="10" t="str">
        <f>IF(ポートフォリオ実績!D342="","", ポートフォリオ実績!D342)</f>
        <v/>
      </c>
      <c r="E341" s="10" t="str">
        <f>IF(ポートフォリオ実績!E342="","", ポートフォリオ実績!E342)</f>
        <v/>
      </c>
      <c r="F341" s="10" t="str">
        <f>IF(ポートフォリオ実績!F342="","", ポートフォリオ実績!F342)</f>
        <v/>
      </c>
      <c r="G341" t="str">
        <f t="shared" si="55"/>
        <v/>
      </c>
      <c r="H341">
        <f>IF(B341&lt;&gt;"", SUMIFS(ポートフォリオ実績!$D$2:$D$2001, ポートフォリオ実績!$B$2:$B$2001, B341, ポートフォリオ実績!$A$2:$A$2001, G341), 0)</f>
        <v>0</v>
      </c>
      <c r="I341">
        <f>IF(B341&lt;&gt;"", SUMIFS(ポートフォリオ実績!$C$2:$C$2001, ポートフォリオ実績!$B$2:$B$2001, B341, ポートフォリオ実績!$A$2:$A$2001, G341), 0)</f>
        <v>0</v>
      </c>
      <c r="J341">
        <f t="shared" si="56"/>
        <v>0</v>
      </c>
      <c r="K341">
        <f t="shared" si="57"/>
        <v>0</v>
      </c>
      <c r="L341">
        <f t="shared" si="58"/>
        <v>0</v>
      </c>
      <c r="M341">
        <f t="shared" si="59"/>
        <v>0</v>
      </c>
      <c r="N341">
        <f t="shared" si="60"/>
        <v>0</v>
      </c>
      <c r="O341">
        <f t="shared" si="61"/>
        <v>0</v>
      </c>
      <c r="P341" t="str">
        <f t="shared" si="62"/>
        <v/>
      </c>
      <c r="Q341" t="str">
        <f>IF(B341="","", IFERROR(VLOOKUP(B341, '基準資産配分（設定）'!$A$2:$C$2001, 3, FALSE), ""))</f>
        <v/>
      </c>
      <c r="R341" t="str">
        <f>IF(B341="","", IFERROR(VLOOKUP(B341, '基準資産配分（設定）'!$A$2:$C$2001, 2, FALSE)/100, 0))</f>
        <v/>
      </c>
      <c r="S341" t="str">
        <f>IF(B341="","", IFERROR(SUMIFS(ベンチマークリターン!$C$2:$C$2001, ベンチマークリターン!$A$2:$A$2001, A341, ベンチマークリターン!$B$2:$B$2001, Q341) / 100, 0))</f>
        <v/>
      </c>
      <c r="T341" t="str">
        <f>IF(A341="","", SUMIFS($H$2:$H$2000, $A$2:$A$2000, A341))</f>
        <v/>
      </c>
      <c r="U341" t="str">
        <f t="shared" si="63"/>
        <v/>
      </c>
      <c r="V341" t="str">
        <f t="shared" si="64"/>
        <v/>
      </c>
      <c r="W341" t="str">
        <f t="shared" si="65"/>
        <v/>
      </c>
    </row>
    <row r="342" spans="1:23" x14ac:dyDescent="0.2">
      <c r="A342" s="4" t="str">
        <f>IF(ポートフォリオ実績!A343="","", ポートフォリオ実績!A343)</f>
        <v/>
      </c>
      <c r="B342" t="str">
        <f>IF(ポートフォリオ実績!B343="","", ポートフォリオ実績!B343)</f>
        <v/>
      </c>
      <c r="C342" s="10" t="str">
        <f>IF(ポートフォリオ実績!C343="","", ポートフォリオ実績!C343)</f>
        <v/>
      </c>
      <c r="D342" s="10" t="str">
        <f>IF(ポートフォリオ実績!D343="","", ポートフォリオ実績!D343)</f>
        <v/>
      </c>
      <c r="E342" s="10" t="str">
        <f>IF(ポートフォリオ実績!E343="","", ポートフォリオ実績!E343)</f>
        <v/>
      </c>
      <c r="F342" s="10" t="str">
        <f>IF(ポートフォリオ実績!F343="","", ポートフォリオ実績!F343)</f>
        <v/>
      </c>
      <c r="G342" t="str">
        <f t="shared" si="55"/>
        <v/>
      </c>
      <c r="H342">
        <f>IF(B342&lt;&gt;"", SUMIFS(ポートフォリオ実績!$D$2:$D$2001, ポートフォリオ実績!$B$2:$B$2001, B342, ポートフォリオ実績!$A$2:$A$2001, G342), 0)</f>
        <v>0</v>
      </c>
      <c r="I342">
        <f>IF(B342&lt;&gt;"", SUMIFS(ポートフォリオ実績!$C$2:$C$2001, ポートフォリオ実績!$B$2:$B$2001, B342, ポートフォリオ実績!$A$2:$A$2001, G342), 0)</f>
        <v>0</v>
      </c>
      <c r="J342">
        <f t="shared" si="56"/>
        <v>0</v>
      </c>
      <c r="K342">
        <f t="shared" si="57"/>
        <v>0</v>
      </c>
      <c r="L342">
        <f t="shared" si="58"/>
        <v>0</v>
      </c>
      <c r="M342">
        <f t="shared" si="59"/>
        <v>0</v>
      </c>
      <c r="N342">
        <f t="shared" si="60"/>
        <v>0</v>
      </c>
      <c r="O342">
        <f t="shared" si="61"/>
        <v>0</v>
      </c>
      <c r="P342" t="str">
        <f t="shared" si="62"/>
        <v/>
      </c>
      <c r="Q342" t="str">
        <f>IF(B342="","", IFERROR(VLOOKUP(B342, '基準資産配分（設定）'!$A$2:$C$2001, 3, FALSE), ""))</f>
        <v/>
      </c>
      <c r="R342" t="str">
        <f>IF(B342="","", IFERROR(VLOOKUP(B342, '基準資産配分（設定）'!$A$2:$C$2001, 2, FALSE)/100, 0))</f>
        <v/>
      </c>
      <c r="S342" t="str">
        <f>IF(B342="","", IFERROR(SUMIFS(ベンチマークリターン!$C$2:$C$2001, ベンチマークリターン!$A$2:$A$2001, A342, ベンチマークリターン!$B$2:$B$2001, Q342) / 100, 0))</f>
        <v/>
      </c>
      <c r="T342" t="str">
        <f>IF(A342="","", SUMIFS($H$2:$H$2000, $A$2:$A$2000, A342))</f>
        <v/>
      </c>
      <c r="U342" t="str">
        <f t="shared" si="63"/>
        <v/>
      </c>
      <c r="V342" t="str">
        <f t="shared" si="64"/>
        <v/>
      </c>
      <c r="W342" t="str">
        <f t="shared" si="65"/>
        <v/>
      </c>
    </row>
    <row r="343" spans="1:23" x14ac:dyDescent="0.2">
      <c r="A343" s="4" t="str">
        <f>IF(ポートフォリオ実績!A344="","", ポートフォリオ実績!A344)</f>
        <v/>
      </c>
      <c r="B343" t="str">
        <f>IF(ポートフォリオ実績!B344="","", ポートフォリオ実績!B344)</f>
        <v/>
      </c>
      <c r="C343" s="10" t="str">
        <f>IF(ポートフォリオ実績!C344="","", ポートフォリオ実績!C344)</f>
        <v/>
      </c>
      <c r="D343" s="10" t="str">
        <f>IF(ポートフォリオ実績!D344="","", ポートフォリオ実績!D344)</f>
        <v/>
      </c>
      <c r="E343" s="10" t="str">
        <f>IF(ポートフォリオ実績!E344="","", ポートフォリオ実績!E344)</f>
        <v/>
      </c>
      <c r="F343" s="10" t="str">
        <f>IF(ポートフォリオ実績!F344="","", ポートフォリオ実績!F344)</f>
        <v/>
      </c>
      <c r="G343" t="str">
        <f t="shared" si="55"/>
        <v/>
      </c>
      <c r="H343">
        <f>IF(B343&lt;&gt;"", SUMIFS(ポートフォリオ実績!$D$2:$D$2001, ポートフォリオ実績!$B$2:$B$2001, B343, ポートフォリオ実績!$A$2:$A$2001, G343), 0)</f>
        <v>0</v>
      </c>
      <c r="I343">
        <f>IF(B343&lt;&gt;"", SUMIFS(ポートフォリオ実績!$C$2:$C$2001, ポートフォリオ実績!$B$2:$B$2001, B343, ポートフォリオ実績!$A$2:$A$2001, G343), 0)</f>
        <v>0</v>
      </c>
      <c r="J343">
        <f t="shared" si="56"/>
        <v>0</v>
      </c>
      <c r="K343">
        <f t="shared" si="57"/>
        <v>0</v>
      </c>
      <c r="L343">
        <f t="shared" si="58"/>
        <v>0</v>
      </c>
      <c r="M343">
        <f t="shared" si="59"/>
        <v>0</v>
      </c>
      <c r="N343">
        <f t="shared" si="60"/>
        <v>0</v>
      </c>
      <c r="O343">
        <f t="shared" si="61"/>
        <v>0</v>
      </c>
      <c r="P343" t="str">
        <f t="shared" si="62"/>
        <v/>
      </c>
      <c r="Q343" t="str">
        <f>IF(B343="","", IFERROR(VLOOKUP(B343, '基準資産配分（設定）'!$A$2:$C$2001, 3, FALSE), ""))</f>
        <v/>
      </c>
      <c r="R343" t="str">
        <f>IF(B343="","", IFERROR(VLOOKUP(B343, '基準資産配分（設定）'!$A$2:$C$2001, 2, FALSE)/100, 0))</f>
        <v/>
      </c>
      <c r="S343" t="str">
        <f>IF(B343="","", IFERROR(SUMIFS(ベンチマークリターン!$C$2:$C$2001, ベンチマークリターン!$A$2:$A$2001, A343, ベンチマークリターン!$B$2:$B$2001, Q343) / 100, 0))</f>
        <v/>
      </c>
      <c r="T343" t="str">
        <f>IF(A343="","", SUMIFS($H$2:$H$2000, $A$2:$A$2000, A343))</f>
        <v/>
      </c>
      <c r="U343" t="str">
        <f t="shared" si="63"/>
        <v/>
      </c>
      <c r="V343" t="str">
        <f t="shared" si="64"/>
        <v/>
      </c>
      <c r="W343" t="str">
        <f t="shared" si="65"/>
        <v/>
      </c>
    </row>
    <row r="344" spans="1:23" x14ac:dyDescent="0.2">
      <c r="A344" s="4" t="str">
        <f>IF(ポートフォリオ実績!A345="","", ポートフォリオ実績!A345)</f>
        <v/>
      </c>
      <c r="B344" t="str">
        <f>IF(ポートフォリオ実績!B345="","", ポートフォリオ実績!B345)</f>
        <v/>
      </c>
      <c r="C344" s="10" t="str">
        <f>IF(ポートフォリオ実績!C345="","", ポートフォリオ実績!C345)</f>
        <v/>
      </c>
      <c r="D344" s="10" t="str">
        <f>IF(ポートフォリオ実績!D345="","", ポートフォリオ実績!D345)</f>
        <v/>
      </c>
      <c r="E344" s="10" t="str">
        <f>IF(ポートフォリオ実績!E345="","", ポートフォリオ実績!E345)</f>
        <v/>
      </c>
      <c r="F344" s="10" t="str">
        <f>IF(ポートフォリオ実績!F345="","", ポートフォリオ実績!F345)</f>
        <v/>
      </c>
      <c r="G344" t="str">
        <f t="shared" si="55"/>
        <v/>
      </c>
      <c r="H344">
        <f>IF(B344&lt;&gt;"", SUMIFS(ポートフォリオ実績!$D$2:$D$2001, ポートフォリオ実績!$B$2:$B$2001, B344, ポートフォリオ実績!$A$2:$A$2001, G344), 0)</f>
        <v>0</v>
      </c>
      <c r="I344">
        <f>IF(B344&lt;&gt;"", SUMIFS(ポートフォリオ実績!$C$2:$C$2001, ポートフォリオ実績!$B$2:$B$2001, B344, ポートフォリオ実績!$A$2:$A$2001, G344), 0)</f>
        <v>0</v>
      </c>
      <c r="J344">
        <f t="shared" si="56"/>
        <v>0</v>
      </c>
      <c r="K344">
        <f t="shared" si="57"/>
        <v>0</v>
      </c>
      <c r="L344">
        <f t="shared" si="58"/>
        <v>0</v>
      </c>
      <c r="M344">
        <f t="shared" si="59"/>
        <v>0</v>
      </c>
      <c r="N344">
        <f t="shared" si="60"/>
        <v>0</v>
      </c>
      <c r="O344">
        <f t="shared" si="61"/>
        <v>0</v>
      </c>
      <c r="P344" t="str">
        <f t="shared" si="62"/>
        <v/>
      </c>
      <c r="Q344" t="str">
        <f>IF(B344="","", IFERROR(VLOOKUP(B344, '基準資産配分（設定）'!$A$2:$C$2001, 3, FALSE), ""))</f>
        <v/>
      </c>
      <c r="R344" t="str">
        <f>IF(B344="","", IFERROR(VLOOKUP(B344, '基準資産配分（設定）'!$A$2:$C$2001, 2, FALSE)/100, 0))</f>
        <v/>
      </c>
      <c r="S344" t="str">
        <f>IF(B344="","", IFERROR(SUMIFS(ベンチマークリターン!$C$2:$C$2001, ベンチマークリターン!$A$2:$A$2001, A344, ベンチマークリターン!$B$2:$B$2001, Q344) / 100, 0))</f>
        <v/>
      </c>
      <c r="T344" t="str">
        <f>IF(A344="","", SUMIFS($H$2:$H$2000, $A$2:$A$2000, A344))</f>
        <v/>
      </c>
      <c r="U344" t="str">
        <f t="shared" si="63"/>
        <v/>
      </c>
      <c r="V344" t="str">
        <f t="shared" si="64"/>
        <v/>
      </c>
      <c r="W344" t="str">
        <f t="shared" si="65"/>
        <v/>
      </c>
    </row>
    <row r="345" spans="1:23" x14ac:dyDescent="0.2">
      <c r="A345" s="4" t="str">
        <f>IF(ポートフォリオ実績!A346="","", ポートフォリオ実績!A346)</f>
        <v/>
      </c>
      <c r="B345" t="str">
        <f>IF(ポートフォリオ実績!B346="","", ポートフォリオ実績!B346)</f>
        <v/>
      </c>
      <c r="C345" s="10" t="str">
        <f>IF(ポートフォリオ実績!C346="","", ポートフォリオ実績!C346)</f>
        <v/>
      </c>
      <c r="D345" s="10" t="str">
        <f>IF(ポートフォリオ実績!D346="","", ポートフォリオ実績!D346)</f>
        <v/>
      </c>
      <c r="E345" s="10" t="str">
        <f>IF(ポートフォリオ実績!E346="","", ポートフォリオ実績!E346)</f>
        <v/>
      </c>
      <c r="F345" s="10" t="str">
        <f>IF(ポートフォリオ実績!F346="","", ポートフォリオ実績!F346)</f>
        <v/>
      </c>
      <c r="G345" t="str">
        <f t="shared" si="55"/>
        <v/>
      </c>
      <c r="H345">
        <f>IF(B345&lt;&gt;"", SUMIFS(ポートフォリオ実績!$D$2:$D$2001, ポートフォリオ実績!$B$2:$B$2001, B345, ポートフォリオ実績!$A$2:$A$2001, G345), 0)</f>
        <v>0</v>
      </c>
      <c r="I345">
        <f>IF(B345&lt;&gt;"", SUMIFS(ポートフォリオ実績!$C$2:$C$2001, ポートフォリオ実績!$B$2:$B$2001, B345, ポートフォリオ実績!$A$2:$A$2001, G345), 0)</f>
        <v>0</v>
      </c>
      <c r="J345">
        <f t="shared" si="56"/>
        <v>0</v>
      </c>
      <c r="K345">
        <f t="shared" si="57"/>
        <v>0</v>
      </c>
      <c r="L345">
        <f t="shared" si="58"/>
        <v>0</v>
      </c>
      <c r="M345">
        <f t="shared" si="59"/>
        <v>0</v>
      </c>
      <c r="N345">
        <f t="shared" si="60"/>
        <v>0</v>
      </c>
      <c r="O345">
        <f t="shared" si="61"/>
        <v>0</v>
      </c>
      <c r="P345" t="str">
        <f t="shared" si="62"/>
        <v/>
      </c>
      <c r="Q345" t="str">
        <f>IF(B345="","", IFERROR(VLOOKUP(B345, '基準資産配分（設定）'!$A$2:$C$2001, 3, FALSE), ""))</f>
        <v/>
      </c>
      <c r="R345" t="str">
        <f>IF(B345="","", IFERROR(VLOOKUP(B345, '基準資産配分（設定）'!$A$2:$C$2001, 2, FALSE)/100, 0))</f>
        <v/>
      </c>
      <c r="S345" t="str">
        <f>IF(B345="","", IFERROR(SUMIFS(ベンチマークリターン!$C$2:$C$2001, ベンチマークリターン!$A$2:$A$2001, A345, ベンチマークリターン!$B$2:$B$2001, Q345) / 100, 0))</f>
        <v/>
      </c>
      <c r="T345" t="str">
        <f>IF(A345="","", SUMIFS($H$2:$H$2000, $A$2:$A$2000, A345))</f>
        <v/>
      </c>
      <c r="U345" t="str">
        <f t="shared" si="63"/>
        <v/>
      </c>
      <c r="V345" t="str">
        <f t="shared" si="64"/>
        <v/>
      </c>
      <c r="W345" t="str">
        <f t="shared" si="65"/>
        <v/>
      </c>
    </row>
    <row r="346" spans="1:23" x14ac:dyDescent="0.2">
      <c r="A346" s="4" t="str">
        <f>IF(ポートフォリオ実績!A347="","", ポートフォリオ実績!A347)</f>
        <v/>
      </c>
      <c r="B346" t="str">
        <f>IF(ポートフォリオ実績!B347="","", ポートフォリオ実績!B347)</f>
        <v/>
      </c>
      <c r="C346" s="10" t="str">
        <f>IF(ポートフォリオ実績!C347="","", ポートフォリオ実績!C347)</f>
        <v/>
      </c>
      <c r="D346" s="10" t="str">
        <f>IF(ポートフォリオ実績!D347="","", ポートフォリオ実績!D347)</f>
        <v/>
      </c>
      <c r="E346" s="10" t="str">
        <f>IF(ポートフォリオ実績!E347="","", ポートフォリオ実績!E347)</f>
        <v/>
      </c>
      <c r="F346" s="10" t="str">
        <f>IF(ポートフォリオ実績!F347="","", ポートフォリオ実績!F347)</f>
        <v/>
      </c>
      <c r="G346" t="str">
        <f t="shared" si="55"/>
        <v/>
      </c>
      <c r="H346">
        <f>IF(B346&lt;&gt;"", SUMIFS(ポートフォリオ実績!$D$2:$D$2001, ポートフォリオ実績!$B$2:$B$2001, B346, ポートフォリオ実績!$A$2:$A$2001, G346), 0)</f>
        <v>0</v>
      </c>
      <c r="I346">
        <f>IF(B346&lt;&gt;"", SUMIFS(ポートフォリオ実績!$C$2:$C$2001, ポートフォリオ実績!$B$2:$B$2001, B346, ポートフォリオ実績!$A$2:$A$2001, G346), 0)</f>
        <v>0</v>
      </c>
      <c r="J346">
        <f t="shared" si="56"/>
        <v>0</v>
      </c>
      <c r="K346">
        <f t="shared" si="57"/>
        <v>0</v>
      </c>
      <c r="L346">
        <f t="shared" si="58"/>
        <v>0</v>
      </c>
      <c r="M346">
        <f t="shared" si="59"/>
        <v>0</v>
      </c>
      <c r="N346">
        <f t="shared" si="60"/>
        <v>0</v>
      </c>
      <c r="O346">
        <f t="shared" si="61"/>
        <v>0</v>
      </c>
      <c r="P346" t="str">
        <f t="shared" si="62"/>
        <v/>
      </c>
      <c r="Q346" t="str">
        <f>IF(B346="","", IFERROR(VLOOKUP(B346, '基準資産配分（設定）'!$A$2:$C$2001, 3, FALSE), ""))</f>
        <v/>
      </c>
      <c r="R346" t="str">
        <f>IF(B346="","", IFERROR(VLOOKUP(B346, '基準資産配分（設定）'!$A$2:$C$2001, 2, FALSE)/100, 0))</f>
        <v/>
      </c>
      <c r="S346" t="str">
        <f>IF(B346="","", IFERROR(SUMIFS(ベンチマークリターン!$C$2:$C$2001, ベンチマークリターン!$A$2:$A$2001, A346, ベンチマークリターン!$B$2:$B$2001, Q346) / 100, 0))</f>
        <v/>
      </c>
      <c r="T346" t="str">
        <f>IF(A346="","", SUMIFS($H$2:$H$2000, $A$2:$A$2000, A346))</f>
        <v/>
      </c>
      <c r="U346" t="str">
        <f t="shared" si="63"/>
        <v/>
      </c>
      <c r="V346" t="str">
        <f t="shared" si="64"/>
        <v/>
      </c>
      <c r="W346" t="str">
        <f t="shared" si="65"/>
        <v/>
      </c>
    </row>
    <row r="347" spans="1:23" x14ac:dyDescent="0.2">
      <c r="A347" s="4" t="str">
        <f>IF(ポートフォリオ実績!A348="","", ポートフォリオ実績!A348)</f>
        <v/>
      </c>
      <c r="B347" t="str">
        <f>IF(ポートフォリオ実績!B348="","", ポートフォリオ実績!B348)</f>
        <v/>
      </c>
      <c r="C347" s="10" t="str">
        <f>IF(ポートフォリオ実績!C348="","", ポートフォリオ実績!C348)</f>
        <v/>
      </c>
      <c r="D347" s="10" t="str">
        <f>IF(ポートフォリオ実績!D348="","", ポートフォリオ実績!D348)</f>
        <v/>
      </c>
      <c r="E347" s="10" t="str">
        <f>IF(ポートフォリオ実績!E348="","", ポートフォリオ実績!E348)</f>
        <v/>
      </c>
      <c r="F347" s="10" t="str">
        <f>IF(ポートフォリオ実績!F348="","", ポートフォリオ実績!F348)</f>
        <v/>
      </c>
      <c r="G347" t="str">
        <f t="shared" si="55"/>
        <v/>
      </c>
      <c r="H347">
        <f>IF(B347&lt;&gt;"", SUMIFS(ポートフォリオ実績!$D$2:$D$2001, ポートフォリオ実績!$B$2:$B$2001, B347, ポートフォリオ実績!$A$2:$A$2001, G347), 0)</f>
        <v>0</v>
      </c>
      <c r="I347">
        <f>IF(B347&lt;&gt;"", SUMIFS(ポートフォリオ実績!$C$2:$C$2001, ポートフォリオ実績!$B$2:$B$2001, B347, ポートフォリオ実績!$A$2:$A$2001, G347), 0)</f>
        <v>0</v>
      </c>
      <c r="J347">
        <f t="shared" si="56"/>
        <v>0</v>
      </c>
      <c r="K347">
        <f t="shared" si="57"/>
        <v>0</v>
      </c>
      <c r="L347">
        <f t="shared" si="58"/>
        <v>0</v>
      </c>
      <c r="M347">
        <f t="shared" si="59"/>
        <v>0</v>
      </c>
      <c r="N347">
        <f t="shared" si="60"/>
        <v>0</v>
      </c>
      <c r="O347">
        <f t="shared" si="61"/>
        <v>0</v>
      </c>
      <c r="P347" t="str">
        <f t="shared" si="62"/>
        <v/>
      </c>
      <c r="Q347" t="str">
        <f>IF(B347="","", IFERROR(VLOOKUP(B347, '基準資産配分（設定）'!$A$2:$C$2001, 3, FALSE), ""))</f>
        <v/>
      </c>
      <c r="R347" t="str">
        <f>IF(B347="","", IFERROR(VLOOKUP(B347, '基準資産配分（設定）'!$A$2:$C$2001, 2, FALSE)/100, 0))</f>
        <v/>
      </c>
      <c r="S347" t="str">
        <f>IF(B347="","", IFERROR(SUMIFS(ベンチマークリターン!$C$2:$C$2001, ベンチマークリターン!$A$2:$A$2001, A347, ベンチマークリターン!$B$2:$B$2001, Q347) / 100, 0))</f>
        <v/>
      </c>
      <c r="T347" t="str">
        <f>IF(A347="","", SUMIFS($H$2:$H$2000, $A$2:$A$2000, A347))</f>
        <v/>
      </c>
      <c r="U347" t="str">
        <f t="shared" si="63"/>
        <v/>
      </c>
      <c r="V347" t="str">
        <f t="shared" si="64"/>
        <v/>
      </c>
      <c r="W347" t="str">
        <f t="shared" si="65"/>
        <v/>
      </c>
    </row>
    <row r="348" spans="1:23" x14ac:dyDescent="0.2">
      <c r="A348" s="4" t="str">
        <f>IF(ポートフォリオ実績!A349="","", ポートフォリオ実績!A349)</f>
        <v/>
      </c>
      <c r="B348" t="str">
        <f>IF(ポートフォリオ実績!B349="","", ポートフォリオ実績!B349)</f>
        <v/>
      </c>
      <c r="C348" s="10" t="str">
        <f>IF(ポートフォリオ実績!C349="","", ポートフォリオ実績!C349)</f>
        <v/>
      </c>
      <c r="D348" s="10" t="str">
        <f>IF(ポートフォリオ実績!D349="","", ポートフォリオ実績!D349)</f>
        <v/>
      </c>
      <c r="E348" s="10" t="str">
        <f>IF(ポートフォリオ実績!E349="","", ポートフォリオ実績!E349)</f>
        <v/>
      </c>
      <c r="F348" s="10" t="str">
        <f>IF(ポートフォリオ実績!F349="","", ポートフォリオ実績!F349)</f>
        <v/>
      </c>
      <c r="G348" t="str">
        <f t="shared" si="55"/>
        <v/>
      </c>
      <c r="H348">
        <f>IF(B348&lt;&gt;"", SUMIFS(ポートフォリオ実績!$D$2:$D$2001, ポートフォリオ実績!$B$2:$B$2001, B348, ポートフォリオ実績!$A$2:$A$2001, G348), 0)</f>
        <v>0</v>
      </c>
      <c r="I348">
        <f>IF(B348&lt;&gt;"", SUMIFS(ポートフォリオ実績!$C$2:$C$2001, ポートフォリオ実績!$B$2:$B$2001, B348, ポートフォリオ実績!$A$2:$A$2001, G348), 0)</f>
        <v>0</v>
      </c>
      <c r="J348">
        <f t="shared" si="56"/>
        <v>0</v>
      </c>
      <c r="K348">
        <f t="shared" si="57"/>
        <v>0</v>
      </c>
      <c r="L348">
        <f t="shared" si="58"/>
        <v>0</v>
      </c>
      <c r="M348">
        <f t="shared" si="59"/>
        <v>0</v>
      </c>
      <c r="N348">
        <f t="shared" si="60"/>
        <v>0</v>
      </c>
      <c r="O348">
        <f t="shared" si="61"/>
        <v>0</v>
      </c>
      <c r="P348" t="str">
        <f t="shared" si="62"/>
        <v/>
      </c>
      <c r="Q348" t="str">
        <f>IF(B348="","", IFERROR(VLOOKUP(B348, '基準資産配分（設定）'!$A$2:$C$2001, 3, FALSE), ""))</f>
        <v/>
      </c>
      <c r="R348" t="str">
        <f>IF(B348="","", IFERROR(VLOOKUP(B348, '基準資産配分（設定）'!$A$2:$C$2001, 2, FALSE)/100, 0))</f>
        <v/>
      </c>
      <c r="S348" t="str">
        <f>IF(B348="","", IFERROR(SUMIFS(ベンチマークリターン!$C$2:$C$2001, ベンチマークリターン!$A$2:$A$2001, A348, ベンチマークリターン!$B$2:$B$2001, Q348) / 100, 0))</f>
        <v/>
      </c>
      <c r="T348" t="str">
        <f>IF(A348="","", SUMIFS($H$2:$H$2000, $A$2:$A$2000, A348))</f>
        <v/>
      </c>
      <c r="U348" t="str">
        <f t="shared" si="63"/>
        <v/>
      </c>
      <c r="V348" t="str">
        <f t="shared" si="64"/>
        <v/>
      </c>
      <c r="W348" t="str">
        <f t="shared" si="65"/>
        <v/>
      </c>
    </row>
    <row r="349" spans="1:23" x14ac:dyDescent="0.2">
      <c r="A349" s="4" t="str">
        <f>IF(ポートフォリオ実績!A350="","", ポートフォリオ実績!A350)</f>
        <v/>
      </c>
      <c r="B349" t="str">
        <f>IF(ポートフォリオ実績!B350="","", ポートフォリオ実績!B350)</f>
        <v/>
      </c>
      <c r="C349" s="10" t="str">
        <f>IF(ポートフォリオ実績!C350="","", ポートフォリオ実績!C350)</f>
        <v/>
      </c>
      <c r="D349" s="10" t="str">
        <f>IF(ポートフォリオ実績!D350="","", ポートフォリオ実績!D350)</f>
        <v/>
      </c>
      <c r="E349" s="10" t="str">
        <f>IF(ポートフォリオ実績!E350="","", ポートフォリオ実績!E350)</f>
        <v/>
      </c>
      <c r="F349" s="10" t="str">
        <f>IF(ポートフォリオ実績!F350="","", ポートフォリオ実績!F350)</f>
        <v/>
      </c>
      <c r="G349" t="str">
        <f t="shared" si="55"/>
        <v/>
      </c>
      <c r="H349">
        <f>IF(B349&lt;&gt;"", SUMIFS(ポートフォリオ実績!$D$2:$D$2001, ポートフォリオ実績!$B$2:$B$2001, B349, ポートフォリオ実績!$A$2:$A$2001, G349), 0)</f>
        <v>0</v>
      </c>
      <c r="I349">
        <f>IF(B349&lt;&gt;"", SUMIFS(ポートフォリオ実績!$C$2:$C$2001, ポートフォリオ実績!$B$2:$B$2001, B349, ポートフォリオ実績!$A$2:$A$2001, G349), 0)</f>
        <v>0</v>
      </c>
      <c r="J349">
        <f t="shared" si="56"/>
        <v>0</v>
      </c>
      <c r="K349">
        <f t="shared" si="57"/>
        <v>0</v>
      </c>
      <c r="L349">
        <f t="shared" si="58"/>
        <v>0</v>
      </c>
      <c r="M349">
        <f t="shared" si="59"/>
        <v>0</v>
      </c>
      <c r="N349">
        <f t="shared" si="60"/>
        <v>0</v>
      </c>
      <c r="O349">
        <f t="shared" si="61"/>
        <v>0</v>
      </c>
      <c r="P349" t="str">
        <f t="shared" si="62"/>
        <v/>
      </c>
      <c r="Q349" t="str">
        <f>IF(B349="","", IFERROR(VLOOKUP(B349, '基準資産配分（設定）'!$A$2:$C$2001, 3, FALSE), ""))</f>
        <v/>
      </c>
      <c r="R349" t="str">
        <f>IF(B349="","", IFERROR(VLOOKUP(B349, '基準資産配分（設定）'!$A$2:$C$2001, 2, FALSE)/100, 0))</f>
        <v/>
      </c>
      <c r="S349" t="str">
        <f>IF(B349="","", IFERROR(SUMIFS(ベンチマークリターン!$C$2:$C$2001, ベンチマークリターン!$A$2:$A$2001, A349, ベンチマークリターン!$B$2:$B$2001, Q349) / 100, 0))</f>
        <v/>
      </c>
      <c r="T349" t="str">
        <f>IF(A349="","", SUMIFS($H$2:$H$2000, $A$2:$A$2000, A349))</f>
        <v/>
      </c>
      <c r="U349" t="str">
        <f t="shared" si="63"/>
        <v/>
      </c>
      <c r="V349" t="str">
        <f t="shared" si="64"/>
        <v/>
      </c>
      <c r="W349" t="str">
        <f t="shared" si="65"/>
        <v/>
      </c>
    </row>
    <row r="350" spans="1:23" x14ac:dyDescent="0.2">
      <c r="A350" s="4" t="str">
        <f>IF(ポートフォリオ実績!A351="","", ポートフォリオ実績!A351)</f>
        <v/>
      </c>
      <c r="B350" t="str">
        <f>IF(ポートフォリオ実績!B351="","", ポートフォリオ実績!B351)</f>
        <v/>
      </c>
      <c r="C350" s="10" t="str">
        <f>IF(ポートフォリオ実績!C351="","", ポートフォリオ実績!C351)</f>
        <v/>
      </c>
      <c r="D350" s="10" t="str">
        <f>IF(ポートフォリオ実績!D351="","", ポートフォリオ実績!D351)</f>
        <v/>
      </c>
      <c r="E350" s="10" t="str">
        <f>IF(ポートフォリオ実績!E351="","", ポートフォリオ実績!E351)</f>
        <v/>
      </c>
      <c r="F350" s="10" t="str">
        <f>IF(ポートフォリオ実績!F351="","", ポートフォリオ実績!F351)</f>
        <v/>
      </c>
      <c r="G350" t="str">
        <f t="shared" si="55"/>
        <v/>
      </c>
      <c r="H350">
        <f>IF(B350&lt;&gt;"", SUMIFS(ポートフォリオ実績!$D$2:$D$2001, ポートフォリオ実績!$B$2:$B$2001, B350, ポートフォリオ実績!$A$2:$A$2001, G350), 0)</f>
        <v>0</v>
      </c>
      <c r="I350">
        <f>IF(B350&lt;&gt;"", SUMIFS(ポートフォリオ実績!$C$2:$C$2001, ポートフォリオ実績!$B$2:$B$2001, B350, ポートフォリオ実績!$A$2:$A$2001, G350), 0)</f>
        <v>0</v>
      </c>
      <c r="J350">
        <f t="shared" si="56"/>
        <v>0</v>
      </c>
      <c r="K350">
        <f t="shared" si="57"/>
        <v>0</v>
      </c>
      <c r="L350">
        <f t="shared" si="58"/>
        <v>0</v>
      </c>
      <c r="M350">
        <f t="shared" si="59"/>
        <v>0</v>
      </c>
      <c r="N350">
        <f t="shared" si="60"/>
        <v>0</v>
      </c>
      <c r="O350">
        <f t="shared" si="61"/>
        <v>0</v>
      </c>
      <c r="P350" t="str">
        <f t="shared" si="62"/>
        <v/>
      </c>
      <c r="Q350" t="str">
        <f>IF(B350="","", IFERROR(VLOOKUP(B350, '基準資産配分（設定）'!$A$2:$C$2001, 3, FALSE), ""))</f>
        <v/>
      </c>
      <c r="R350" t="str">
        <f>IF(B350="","", IFERROR(VLOOKUP(B350, '基準資産配分（設定）'!$A$2:$C$2001, 2, FALSE)/100, 0))</f>
        <v/>
      </c>
      <c r="S350" t="str">
        <f>IF(B350="","", IFERROR(SUMIFS(ベンチマークリターン!$C$2:$C$2001, ベンチマークリターン!$A$2:$A$2001, A350, ベンチマークリターン!$B$2:$B$2001, Q350) / 100, 0))</f>
        <v/>
      </c>
      <c r="T350" t="str">
        <f>IF(A350="","", SUMIFS($H$2:$H$2000, $A$2:$A$2000, A350))</f>
        <v/>
      </c>
      <c r="U350" t="str">
        <f t="shared" si="63"/>
        <v/>
      </c>
      <c r="V350" t="str">
        <f t="shared" si="64"/>
        <v/>
      </c>
      <c r="W350" t="str">
        <f t="shared" si="65"/>
        <v/>
      </c>
    </row>
    <row r="351" spans="1:23" x14ac:dyDescent="0.2">
      <c r="A351" s="4" t="str">
        <f>IF(ポートフォリオ実績!A352="","", ポートフォリオ実績!A352)</f>
        <v/>
      </c>
      <c r="B351" t="str">
        <f>IF(ポートフォリオ実績!B352="","", ポートフォリオ実績!B352)</f>
        <v/>
      </c>
      <c r="C351" s="10" t="str">
        <f>IF(ポートフォリオ実績!C352="","", ポートフォリオ実績!C352)</f>
        <v/>
      </c>
      <c r="D351" s="10" t="str">
        <f>IF(ポートフォリオ実績!D352="","", ポートフォリオ実績!D352)</f>
        <v/>
      </c>
      <c r="E351" s="10" t="str">
        <f>IF(ポートフォリオ実績!E352="","", ポートフォリオ実績!E352)</f>
        <v/>
      </c>
      <c r="F351" s="10" t="str">
        <f>IF(ポートフォリオ実績!F352="","", ポートフォリオ実績!F352)</f>
        <v/>
      </c>
      <c r="G351" t="str">
        <f t="shared" si="55"/>
        <v/>
      </c>
      <c r="H351">
        <f>IF(B351&lt;&gt;"", SUMIFS(ポートフォリオ実績!$D$2:$D$2001, ポートフォリオ実績!$B$2:$B$2001, B351, ポートフォリオ実績!$A$2:$A$2001, G351), 0)</f>
        <v>0</v>
      </c>
      <c r="I351">
        <f>IF(B351&lt;&gt;"", SUMIFS(ポートフォリオ実績!$C$2:$C$2001, ポートフォリオ実績!$B$2:$B$2001, B351, ポートフォリオ実績!$A$2:$A$2001, G351), 0)</f>
        <v>0</v>
      </c>
      <c r="J351">
        <f t="shared" si="56"/>
        <v>0</v>
      </c>
      <c r="K351">
        <f t="shared" si="57"/>
        <v>0</v>
      </c>
      <c r="L351">
        <f t="shared" si="58"/>
        <v>0</v>
      </c>
      <c r="M351">
        <f t="shared" si="59"/>
        <v>0</v>
      </c>
      <c r="N351">
        <f t="shared" si="60"/>
        <v>0</v>
      </c>
      <c r="O351">
        <f t="shared" si="61"/>
        <v>0</v>
      </c>
      <c r="P351" t="str">
        <f t="shared" si="62"/>
        <v/>
      </c>
      <c r="Q351" t="str">
        <f>IF(B351="","", IFERROR(VLOOKUP(B351, '基準資産配分（設定）'!$A$2:$C$2001, 3, FALSE), ""))</f>
        <v/>
      </c>
      <c r="R351" t="str">
        <f>IF(B351="","", IFERROR(VLOOKUP(B351, '基準資産配分（設定）'!$A$2:$C$2001, 2, FALSE)/100, 0))</f>
        <v/>
      </c>
      <c r="S351" t="str">
        <f>IF(B351="","", IFERROR(SUMIFS(ベンチマークリターン!$C$2:$C$2001, ベンチマークリターン!$A$2:$A$2001, A351, ベンチマークリターン!$B$2:$B$2001, Q351) / 100, 0))</f>
        <v/>
      </c>
      <c r="T351" t="str">
        <f>IF(A351="","", SUMIFS($H$2:$H$2000, $A$2:$A$2000, A351))</f>
        <v/>
      </c>
      <c r="U351" t="str">
        <f t="shared" si="63"/>
        <v/>
      </c>
      <c r="V351" t="str">
        <f t="shared" si="64"/>
        <v/>
      </c>
      <c r="W351" t="str">
        <f t="shared" si="65"/>
        <v/>
      </c>
    </row>
    <row r="352" spans="1:23" x14ac:dyDescent="0.2">
      <c r="A352" s="4" t="str">
        <f>IF(ポートフォリオ実績!A353="","", ポートフォリオ実績!A353)</f>
        <v/>
      </c>
      <c r="B352" t="str">
        <f>IF(ポートフォリオ実績!B353="","", ポートフォリオ実績!B353)</f>
        <v/>
      </c>
      <c r="C352" s="10" t="str">
        <f>IF(ポートフォリオ実績!C353="","", ポートフォリオ実績!C353)</f>
        <v/>
      </c>
      <c r="D352" s="10" t="str">
        <f>IF(ポートフォリオ実績!D353="","", ポートフォリオ実績!D353)</f>
        <v/>
      </c>
      <c r="E352" s="10" t="str">
        <f>IF(ポートフォリオ実績!E353="","", ポートフォリオ実績!E353)</f>
        <v/>
      </c>
      <c r="F352" s="10" t="str">
        <f>IF(ポートフォリオ実績!F353="","", ポートフォリオ実績!F353)</f>
        <v/>
      </c>
      <c r="G352" t="str">
        <f t="shared" si="55"/>
        <v/>
      </c>
      <c r="H352">
        <f>IF(B352&lt;&gt;"", SUMIFS(ポートフォリオ実績!$D$2:$D$2001, ポートフォリオ実績!$B$2:$B$2001, B352, ポートフォリオ実績!$A$2:$A$2001, G352), 0)</f>
        <v>0</v>
      </c>
      <c r="I352">
        <f>IF(B352&lt;&gt;"", SUMIFS(ポートフォリオ実績!$C$2:$C$2001, ポートフォリオ実績!$B$2:$B$2001, B352, ポートフォリオ実績!$A$2:$A$2001, G352), 0)</f>
        <v>0</v>
      </c>
      <c r="J352">
        <f t="shared" si="56"/>
        <v>0</v>
      </c>
      <c r="K352">
        <f t="shared" si="57"/>
        <v>0</v>
      </c>
      <c r="L352">
        <f t="shared" si="58"/>
        <v>0</v>
      </c>
      <c r="M352">
        <f t="shared" si="59"/>
        <v>0</v>
      </c>
      <c r="N352">
        <f t="shared" si="60"/>
        <v>0</v>
      </c>
      <c r="O352">
        <f t="shared" si="61"/>
        <v>0</v>
      </c>
      <c r="P352" t="str">
        <f t="shared" si="62"/>
        <v/>
      </c>
      <c r="Q352" t="str">
        <f>IF(B352="","", IFERROR(VLOOKUP(B352, '基準資産配分（設定）'!$A$2:$C$2001, 3, FALSE), ""))</f>
        <v/>
      </c>
      <c r="R352" t="str">
        <f>IF(B352="","", IFERROR(VLOOKUP(B352, '基準資産配分（設定）'!$A$2:$C$2001, 2, FALSE)/100, 0))</f>
        <v/>
      </c>
      <c r="S352" t="str">
        <f>IF(B352="","", IFERROR(SUMIFS(ベンチマークリターン!$C$2:$C$2001, ベンチマークリターン!$A$2:$A$2001, A352, ベンチマークリターン!$B$2:$B$2001, Q352) / 100, 0))</f>
        <v/>
      </c>
      <c r="T352" t="str">
        <f>IF(A352="","", SUMIFS($H$2:$H$2000, $A$2:$A$2000, A352))</f>
        <v/>
      </c>
      <c r="U352" t="str">
        <f t="shared" si="63"/>
        <v/>
      </c>
      <c r="V352" t="str">
        <f t="shared" si="64"/>
        <v/>
      </c>
      <c r="W352" t="str">
        <f t="shared" si="65"/>
        <v/>
      </c>
    </row>
    <row r="353" spans="1:23" x14ac:dyDescent="0.2">
      <c r="A353" s="4" t="str">
        <f>IF(ポートフォリオ実績!A354="","", ポートフォリオ実績!A354)</f>
        <v/>
      </c>
      <c r="B353" t="str">
        <f>IF(ポートフォリオ実績!B354="","", ポートフォリオ実績!B354)</f>
        <v/>
      </c>
      <c r="C353" s="10" t="str">
        <f>IF(ポートフォリオ実績!C354="","", ポートフォリオ実績!C354)</f>
        <v/>
      </c>
      <c r="D353" s="10" t="str">
        <f>IF(ポートフォリオ実績!D354="","", ポートフォリオ実績!D354)</f>
        <v/>
      </c>
      <c r="E353" s="10" t="str">
        <f>IF(ポートフォリオ実績!E354="","", ポートフォリオ実績!E354)</f>
        <v/>
      </c>
      <c r="F353" s="10" t="str">
        <f>IF(ポートフォリオ実績!F354="","", ポートフォリオ実績!F354)</f>
        <v/>
      </c>
      <c r="G353" t="str">
        <f t="shared" si="55"/>
        <v/>
      </c>
      <c r="H353">
        <f>IF(B353&lt;&gt;"", SUMIFS(ポートフォリオ実績!$D$2:$D$2001, ポートフォリオ実績!$B$2:$B$2001, B353, ポートフォリオ実績!$A$2:$A$2001, G353), 0)</f>
        <v>0</v>
      </c>
      <c r="I353">
        <f>IF(B353&lt;&gt;"", SUMIFS(ポートフォリオ実績!$C$2:$C$2001, ポートフォリオ実績!$B$2:$B$2001, B353, ポートフォリオ実績!$A$2:$A$2001, G353), 0)</f>
        <v>0</v>
      </c>
      <c r="J353">
        <f t="shared" si="56"/>
        <v>0</v>
      </c>
      <c r="K353">
        <f t="shared" si="57"/>
        <v>0</v>
      </c>
      <c r="L353">
        <f t="shared" si="58"/>
        <v>0</v>
      </c>
      <c r="M353">
        <f t="shared" si="59"/>
        <v>0</v>
      </c>
      <c r="N353">
        <f t="shared" si="60"/>
        <v>0</v>
      </c>
      <c r="O353">
        <f t="shared" si="61"/>
        <v>0</v>
      </c>
      <c r="P353" t="str">
        <f t="shared" si="62"/>
        <v/>
      </c>
      <c r="Q353" t="str">
        <f>IF(B353="","", IFERROR(VLOOKUP(B353, '基準資産配分（設定）'!$A$2:$C$2001, 3, FALSE), ""))</f>
        <v/>
      </c>
      <c r="R353" t="str">
        <f>IF(B353="","", IFERROR(VLOOKUP(B353, '基準資産配分（設定）'!$A$2:$C$2001, 2, FALSE)/100, 0))</f>
        <v/>
      </c>
      <c r="S353" t="str">
        <f>IF(B353="","", IFERROR(SUMIFS(ベンチマークリターン!$C$2:$C$2001, ベンチマークリターン!$A$2:$A$2001, A353, ベンチマークリターン!$B$2:$B$2001, Q353) / 100, 0))</f>
        <v/>
      </c>
      <c r="T353" t="str">
        <f>IF(A353="","", SUMIFS($H$2:$H$2000, $A$2:$A$2000, A353))</f>
        <v/>
      </c>
      <c r="U353" t="str">
        <f t="shared" si="63"/>
        <v/>
      </c>
      <c r="V353" t="str">
        <f t="shared" si="64"/>
        <v/>
      </c>
      <c r="W353" t="str">
        <f t="shared" si="65"/>
        <v/>
      </c>
    </row>
    <row r="354" spans="1:23" x14ac:dyDescent="0.2">
      <c r="A354" s="4" t="str">
        <f>IF(ポートフォリオ実績!A355="","", ポートフォリオ実績!A355)</f>
        <v/>
      </c>
      <c r="B354" t="str">
        <f>IF(ポートフォリオ実績!B355="","", ポートフォリオ実績!B355)</f>
        <v/>
      </c>
      <c r="C354" s="10" t="str">
        <f>IF(ポートフォリオ実績!C355="","", ポートフォリオ実績!C355)</f>
        <v/>
      </c>
      <c r="D354" s="10" t="str">
        <f>IF(ポートフォリオ実績!D355="","", ポートフォリオ実績!D355)</f>
        <v/>
      </c>
      <c r="E354" s="10" t="str">
        <f>IF(ポートフォリオ実績!E355="","", ポートフォリオ実績!E355)</f>
        <v/>
      </c>
      <c r="F354" s="10" t="str">
        <f>IF(ポートフォリオ実績!F355="","", ポートフォリオ実績!F355)</f>
        <v/>
      </c>
      <c r="G354" t="str">
        <f t="shared" si="55"/>
        <v/>
      </c>
      <c r="H354">
        <f>IF(B354&lt;&gt;"", SUMIFS(ポートフォリオ実績!$D$2:$D$2001, ポートフォリオ実績!$B$2:$B$2001, B354, ポートフォリオ実績!$A$2:$A$2001, G354), 0)</f>
        <v>0</v>
      </c>
      <c r="I354">
        <f>IF(B354&lt;&gt;"", SUMIFS(ポートフォリオ実績!$C$2:$C$2001, ポートフォリオ実績!$B$2:$B$2001, B354, ポートフォリオ実績!$A$2:$A$2001, G354), 0)</f>
        <v>0</v>
      </c>
      <c r="J354">
        <f t="shared" si="56"/>
        <v>0</v>
      </c>
      <c r="K354">
        <f t="shared" si="57"/>
        <v>0</v>
      </c>
      <c r="L354">
        <f t="shared" si="58"/>
        <v>0</v>
      </c>
      <c r="M354">
        <f t="shared" si="59"/>
        <v>0</v>
      </c>
      <c r="N354">
        <f t="shared" si="60"/>
        <v>0</v>
      </c>
      <c r="O354">
        <f t="shared" si="61"/>
        <v>0</v>
      </c>
      <c r="P354" t="str">
        <f t="shared" si="62"/>
        <v/>
      </c>
      <c r="Q354" t="str">
        <f>IF(B354="","", IFERROR(VLOOKUP(B354, '基準資産配分（設定）'!$A$2:$C$2001, 3, FALSE), ""))</f>
        <v/>
      </c>
      <c r="R354" t="str">
        <f>IF(B354="","", IFERROR(VLOOKUP(B354, '基準資産配分（設定）'!$A$2:$C$2001, 2, FALSE)/100, 0))</f>
        <v/>
      </c>
      <c r="S354" t="str">
        <f>IF(B354="","", IFERROR(SUMIFS(ベンチマークリターン!$C$2:$C$2001, ベンチマークリターン!$A$2:$A$2001, A354, ベンチマークリターン!$B$2:$B$2001, Q354) / 100, 0))</f>
        <v/>
      </c>
      <c r="T354" t="str">
        <f>IF(A354="","", SUMIFS($H$2:$H$2000, $A$2:$A$2000, A354))</f>
        <v/>
      </c>
      <c r="U354" t="str">
        <f t="shared" si="63"/>
        <v/>
      </c>
      <c r="V354" t="str">
        <f t="shared" si="64"/>
        <v/>
      </c>
      <c r="W354" t="str">
        <f t="shared" si="65"/>
        <v/>
      </c>
    </row>
    <row r="355" spans="1:23" x14ac:dyDescent="0.2">
      <c r="A355" s="4" t="str">
        <f>IF(ポートフォリオ実績!A356="","", ポートフォリオ実績!A356)</f>
        <v/>
      </c>
      <c r="B355" t="str">
        <f>IF(ポートフォリオ実績!B356="","", ポートフォリオ実績!B356)</f>
        <v/>
      </c>
      <c r="C355" s="10" t="str">
        <f>IF(ポートフォリオ実績!C356="","", ポートフォリオ実績!C356)</f>
        <v/>
      </c>
      <c r="D355" s="10" t="str">
        <f>IF(ポートフォリオ実績!D356="","", ポートフォリオ実績!D356)</f>
        <v/>
      </c>
      <c r="E355" s="10" t="str">
        <f>IF(ポートフォリオ実績!E356="","", ポートフォリオ実績!E356)</f>
        <v/>
      </c>
      <c r="F355" s="10" t="str">
        <f>IF(ポートフォリオ実績!F356="","", ポートフォリオ実績!F356)</f>
        <v/>
      </c>
      <c r="G355" t="str">
        <f t="shared" si="55"/>
        <v/>
      </c>
      <c r="H355">
        <f>IF(B355&lt;&gt;"", SUMIFS(ポートフォリオ実績!$D$2:$D$2001, ポートフォリオ実績!$B$2:$B$2001, B355, ポートフォリオ実績!$A$2:$A$2001, G355), 0)</f>
        <v>0</v>
      </c>
      <c r="I355">
        <f>IF(B355&lt;&gt;"", SUMIFS(ポートフォリオ実績!$C$2:$C$2001, ポートフォリオ実績!$B$2:$B$2001, B355, ポートフォリオ実績!$A$2:$A$2001, G355), 0)</f>
        <v>0</v>
      </c>
      <c r="J355">
        <f t="shared" si="56"/>
        <v>0</v>
      </c>
      <c r="K355">
        <f t="shared" si="57"/>
        <v>0</v>
      </c>
      <c r="L355">
        <f t="shared" si="58"/>
        <v>0</v>
      </c>
      <c r="M355">
        <f t="shared" si="59"/>
        <v>0</v>
      </c>
      <c r="N355">
        <f t="shared" si="60"/>
        <v>0</v>
      </c>
      <c r="O355">
        <f t="shared" si="61"/>
        <v>0</v>
      </c>
      <c r="P355" t="str">
        <f t="shared" si="62"/>
        <v/>
      </c>
      <c r="Q355" t="str">
        <f>IF(B355="","", IFERROR(VLOOKUP(B355, '基準資産配分（設定）'!$A$2:$C$2001, 3, FALSE), ""))</f>
        <v/>
      </c>
      <c r="R355" t="str">
        <f>IF(B355="","", IFERROR(VLOOKUP(B355, '基準資産配分（設定）'!$A$2:$C$2001, 2, FALSE)/100, 0))</f>
        <v/>
      </c>
      <c r="S355" t="str">
        <f>IF(B355="","", IFERROR(SUMIFS(ベンチマークリターン!$C$2:$C$2001, ベンチマークリターン!$A$2:$A$2001, A355, ベンチマークリターン!$B$2:$B$2001, Q355) / 100, 0))</f>
        <v/>
      </c>
      <c r="T355" t="str">
        <f>IF(A355="","", SUMIFS($H$2:$H$2000, $A$2:$A$2000, A355))</f>
        <v/>
      </c>
      <c r="U355" t="str">
        <f t="shared" si="63"/>
        <v/>
      </c>
      <c r="V355" t="str">
        <f t="shared" si="64"/>
        <v/>
      </c>
      <c r="W355" t="str">
        <f t="shared" si="65"/>
        <v/>
      </c>
    </row>
    <row r="356" spans="1:23" x14ac:dyDescent="0.2">
      <c r="A356" s="4" t="str">
        <f>IF(ポートフォリオ実績!A357="","", ポートフォリオ実績!A357)</f>
        <v/>
      </c>
      <c r="B356" t="str">
        <f>IF(ポートフォリオ実績!B357="","", ポートフォリオ実績!B357)</f>
        <v/>
      </c>
      <c r="C356" s="10" t="str">
        <f>IF(ポートフォリオ実績!C357="","", ポートフォリオ実績!C357)</f>
        <v/>
      </c>
      <c r="D356" s="10" t="str">
        <f>IF(ポートフォリオ実績!D357="","", ポートフォリオ実績!D357)</f>
        <v/>
      </c>
      <c r="E356" s="10" t="str">
        <f>IF(ポートフォリオ実績!E357="","", ポートフォリオ実績!E357)</f>
        <v/>
      </c>
      <c r="F356" s="10" t="str">
        <f>IF(ポートフォリオ実績!F357="","", ポートフォリオ実績!F357)</f>
        <v/>
      </c>
      <c r="G356" t="str">
        <f t="shared" si="55"/>
        <v/>
      </c>
      <c r="H356">
        <f>IF(B356&lt;&gt;"", SUMIFS(ポートフォリオ実績!$D$2:$D$2001, ポートフォリオ実績!$B$2:$B$2001, B356, ポートフォリオ実績!$A$2:$A$2001, G356), 0)</f>
        <v>0</v>
      </c>
      <c r="I356">
        <f>IF(B356&lt;&gt;"", SUMIFS(ポートフォリオ実績!$C$2:$C$2001, ポートフォリオ実績!$B$2:$B$2001, B356, ポートフォリオ実績!$A$2:$A$2001, G356), 0)</f>
        <v>0</v>
      </c>
      <c r="J356">
        <f t="shared" si="56"/>
        <v>0</v>
      </c>
      <c r="K356">
        <f t="shared" si="57"/>
        <v>0</v>
      </c>
      <c r="L356">
        <f t="shared" si="58"/>
        <v>0</v>
      </c>
      <c r="M356">
        <f t="shared" si="59"/>
        <v>0</v>
      </c>
      <c r="N356">
        <f t="shared" si="60"/>
        <v>0</v>
      </c>
      <c r="O356">
        <f t="shared" si="61"/>
        <v>0</v>
      </c>
      <c r="P356" t="str">
        <f t="shared" si="62"/>
        <v/>
      </c>
      <c r="Q356" t="str">
        <f>IF(B356="","", IFERROR(VLOOKUP(B356, '基準資産配分（設定）'!$A$2:$C$2001, 3, FALSE), ""))</f>
        <v/>
      </c>
      <c r="R356" t="str">
        <f>IF(B356="","", IFERROR(VLOOKUP(B356, '基準資産配分（設定）'!$A$2:$C$2001, 2, FALSE)/100, 0))</f>
        <v/>
      </c>
      <c r="S356" t="str">
        <f>IF(B356="","", IFERROR(SUMIFS(ベンチマークリターン!$C$2:$C$2001, ベンチマークリターン!$A$2:$A$2001, A356, ベンチマークリターン!$B$2:$B$2001, Q356) / 100, 0))</f>
        <v/>
      </c>
      <c r="T356" t="str">
        <f>IF(A356="","", SUMIFS($H$2:$H$2000, $A$2:$A$2000, A356))</f>
        <v/>
      </c>
      <c r="U356" t="str">
        <f t="shared" si="63"/>
        <v/>
      </c>
      <c r="V356" t="str">
        <f t="shared" si="64"/>
        <v/>
      </c>
      <c r="W356" t="str">
        <f t="shared" si="65"/>
        <v/>
      </c>
    </row>
    <row r="357" spans="1:23" x14ac:dyDescent="0.2">
      <c r="A357" s="4" t="str">
        <f>IF(ポートフォリオ実績!A358="","", ポートフォリオ実績!A358)</f>
        <v/>
      </c>
      <c r="B357" t="str">
        <f>IF(ポートフォリオ実績!B358="","", ポートフォリオ実績!B358)</f>
        <v/>
      </c>
      <c r="C357" s="10" t="str">
        <f>IF(ポートフォリオ実績!C358="","", ポートフォリオ実績!C358)</f>
        <v/>
      </c>
      <c r="D357" s="10" t="str">
        <f>IF(ポートフォリオ実績!D358="","", ポートフォリオ実績!D358)</f>
        <v/>
      </c>
      <c r="E357" s="10" t="str">
        <f>IF(ポートフォリオ実績!E358="","", ポートフォリオ実績!E358)</f>
        <v/>
      </c>
      <c r="F357" s="10" t="str">
        <f>IF(ポートフォリオ実績!F358="","", ポートフォリオ実績!F358)</f>
        <v/>
      </c>
      <c r="G357" t="str">
        <f t="shared" si="55"/>
        <v/>
      </c>
      <c r="H357">
        <f>IF(B357&lt;&gt;"", SUMIFS(ポートフォリオ実績!$D$2:$D$2001, ポートフォリオ実績!$B$2:$B$2001, B357, ポートフォリオ実績!$A$2:$A$2001, G357), 0)</f>
        <v>0</v>
      </c>
      <c r="I357">
        <f>IF(B357&lt;&gt;"", SUMIFS(ポートフォリオ実績!$C$2:$C$2001, ポートフォリオ実績!$B$2:$B$2001, B357, ポートフォリオ実績!$A$2:$A$2001, G357), 0)</f>
        <v>0</v>
      </c>
      <c r="J357">
        <f t="shared" si="56"/>
        <v>0</v>
      </c>
      <c r="K357">
        <f t="shared" si="57"/>
        <v>0</v>
      </c>
      <c r="L357">
        <f t="shared" si="58"/>
        <v>0</v>
      </c>
      <c r="M357">
        <f t="shared" si="59"/>
        <v>0</v>
      </c>
      <c r="N357">
        <f t="shared" si="60"/>
        <v>0</v>
      </c>
      <c r="O357">
        <f t="shared" si="61"/>
        <v>0</v>
      </c>
      <c r="P357" t="str">
        <f t="shared" si="62"/>
        <v/>
      </c>
      <c r="Q357" t="str">
        <f>IF(B357="","", IFERROR(VLOOKUP(B357, '基準資産配分（設定）'!$A$2:$C$2001, 3, FALSE), ""))</f>
        <v/>
      </c>
      <c r="R357" t="str">
        <f>IF(B357="","", IFERROR(VLOOKUP(B357, '基準資産配分（設定）'!$A$2:$C$2001, 2, FALSE)/100, 0))</f>
        <v/>
      </c>
      <c r="S357" t="str">
        <f>IF(B357="","", IFERROR(SUMIFS(ベンチマークリターン!$C$2:$C$2001, ベンチマークリターン!$A$2:$A$2001, A357, ベンチマークリターン!$B$2:$B$2001, Q357) / 100, 0))</f>
        <v/>
      </c>
      <c r="T357" t="str">
        <f>IF(A357="","", SUMIFS($H$2:$H$2000, $A$2:$A$2000, A357))</f>
        <v/>
      </c>
      <c r="U357" t="str">
        <f t="shared" si="63"/>
        <v/>
      </c>
      <c r="V357" t="str">
        <f t="shared" si="64"/>
        <v/>
      </c>
      <c r="W357" t="str">
        <f t="shared" si="65"/>
        <v/>
      </c>
    </row>
    <row r="358" spans="1:23" x14ac:dyDescent="0.2">
      <c r="A358" s="4" t="str">
        <f>IF(ポートフォリオ実績!A359="","", ポートフォリオ実績!A359)</f>
        <v/>
      </c>
      <c r="B358" t="str">
        <f>IF(ポートフォリオ実績!B359="","", ポートフォリオ実績!B359)</f>
        <v/>
      </c>
      <c r="C358" s="10" t="str">
        <f>IF(ポートフォリオ実績!C359="","", ポートフォリオ実績!C359)</f>
        <v/>
      </c>
      <c r="D358" s="10" t="str">
        <f>IF(ポートフォリオ実績!D359="","", ポートフォリオ実績!D359)</f>
        <v/>
      </c>
      <c r="E358" s="10" t="str">
        <f>IF(ポートフォリオ実績!E359="","", ポートフォリオ実績!E359)</f>
        <v/>
      </c>
      <c r="F358" s="10" t="str">
        <f>IF(ポートフォリオ実績!F359="","", ポートフォリオ実績!F359)</f>
        <v/>
      </c>
      <c r="G358" t="str">
        <f t="shared" si="55"/>
        <v/>
      </c>
      <c r="H358">
        <f>IF(B358&lt;&gt;"", SUMIFS(ポートフォリオ実績!$D$2:$D$2001, ポートフォリオ実績!$B$2:$B$2001, B358, ポートフォリオ実績!$A$2:$A$2001, G358), 0)</f>
        <v>0</v>
      </c>
      <c r="I358">
        <f>IF(B358&lt;&gt;"", SUMIFS(ポートフォリオ実績!$C$2:$C$2001, ポートフォリオ実績!$B$2:$B$2001, B358, ポートフォリオ実績!$A$2:$A$2001, G358), 0)</f>
        <v>0</v>
      </c>
      <c r="J358">
        <f t="shared" si="56"/>
        <v>0</v>
      </c>
      <c r="K358">
        <f t="shared" si="57"/>
        <v>0</v>
      </c>
      <c r="L358">
        <f t="shared" si="58"/>
        <v>0</v>
      </c>
      <c r="M358">
        <f t="shared" si="59"/>
        <v>0</v>
      </c>
      <c r="N358">
        <f t="shared" si="60"/>
        <v>0</v>
      </c>
      <c r="O358">
        <f t="shared" si="61"/>
        <v>0</v>
      </c>
      <c r="P358" t="str">
        <f t="shared" si="62"/>
        <v/>
      </c>
      <c r="Q358" t="str">
        <f>IF(B358="","", IFERROR(VLOOKUP(B358, '基準資産配分（設定）'!$A$2:$C$2001, 3, FALSE), ""))</f>
        <v/>
      </c>
      <c r="R358" t="str">
        <f>IF(B358="","", IFERROR(VLOOKUP(B358, '基準資産配分（設定）'!$A$2:$C$2001, 2, FALSE)/100, 0))</f>
        <v/>
      </c>
      <c r="S358" t="str">
        <f>IF(B358="","", IFERROR(SUMIFS(ベンチマークリターン!$C$2:$C$2001, ベンチマークリターン!$A$2:$A$2001, A358, ベンチマークリターン!$B$2:$B$2001, Q358) / 100, 0))</f>
        <v/>
      </c>
      <c r="T358" t="str">
        <f>IF(A358="","", SUMIFS($H$2:$H$2000, $A$2:$A$2000, A358))</f>
        <v/>
      </c>
      <c r="U358" t="str">
        <f t="shared" si="63"/>
        <v/>
      </c>
      <c r="V358" t="str">
        <f t="shared" si="64"/>
        <v/>
      </c>
      <c r="W358" t="str">
        <f t="shared" si="65"/>
        <v/>
      </c>
    </row>
    <row r="359" spans="1:23" x14ac:dyDescent="0.2">
      <c r="A359" s="4" t="str">
        <f>IF(ポートフォリオ実績!A360="","", ポートフォリオ実績!A360)</f>
        <v/>
      </c>
      <c r="B359" t="str">
        <f>IF(ポートフォリオ実績!B360="","", ポートフォリオ実績!B360)</f>
        <v/>
      </c>
      <c r="C359" s="10" t="str">
        <f>IF(ポートフォリオ実績!C360="","", ポートフォリオ実績!C360)</f>
        <v/>
      </c>
      <c r="D359" s="10" t="str">
        <f>IF(ポートフォリオ実績!D360="","", ポートフォリオ実績!D360)</f>
        <v/>
      </c>
      <c r="E359" s="10" t="str">
        <f>IF(ポートフォリオ実績!E360="","", ポートフォリオ実績!E360)</f>
        <v/>
      </c>
      <c r="F359" s="10" t="str">
        <f>IF(ポートフォリオ実績!F360="","", ポートフォリオ実績!F360)</f>
        <v/>
      </c>
      <c r="G359" t="str">
        <f t="shared" si="55"/>
        <v/>
      </c>
      <c r="H359">
        <f>IF(B359&lt;&gt;"", SUMIFS(ポートフォリオ実績!$D$2:$D$2001, ポートフォリオ実績!$B$2:$B$2001, B359, ポートフォリオ実績!$A$2:$A$2001, G359), 0)</f>
        <v>0</v>
      </c>
      <c r="I359">
        <f>IF(B359&lt;&gt;"", SUMIFS(ポートフォリオ実績!$C$2:$C$2001, ポートフォリオ実績!$B$2:$B$2001, B359, ポートフォリオ実績!$A$2:$A$2001, G359), 0)</f>
        <v>0</v>
      </c>
      <c r="J359">
        <f t="shared" si="56"/>
        <v>0</v>
      </c>
      <c r="K359">
        <f t="shared" si="57"/>
        <v>0</v>
      </c>
      <c r="L359">
        <f t="shared" si="58"/>
        <v>0</v>
      </c>
      <c r="M359">
        <f t="shared" si="59"/>
        <v>0</v>
      </c>
      <c r="N359">
        <f t="shared" si="60"/>
        <v>0</v>
      </c>
      <c r="O359">
        <f t="shared" si="61"/>
        <v>0</v>
      </c>
      <c r="P359" t="str">
        <f t="shared" si="62"/>
        <v/>
      </c>
      <c r="Q359" t="str">
        <f>IF(B359="","", IFERROR(VLOOKUP(B359, '基準資産配分（設定）'!$A$2:$C$2001, 3, FALSE), ""))</f>
        <v/>
      </c>
      <c r="R359" t="str">
        <f>IF(B359="","", IFERROR(VLOOKUP(B359, '基準資産配分（設定）'!$A$2:$C$2001, 2, FALSE)/100, 0))</f>
        <v/>
      </c>
      <c r="S359" t="str">
        <f>IF(B359="","", IFERROR(SUMIFS(ベンチマークリターン!$C$2:$C$2001, ベンチマークリターン!$A$2:$A$2001, A359, ベンチマークリターン!$B$2:$B$2001, Q359) / 100, 0))</f>
        <v/>
      </c>
      <c r="T359" t="str">
        <f>IF(A359="","", SUMIFS($H$2:$H$2000, $A$2:$A$2000, A359))</f>
        <v/>
      </c>
      <c r="U359" t="str">
        <f t="shared" si="63"/>
        <v/>
      </c>
      <c r="V359" t="str">
        <f t="shared" si="64"/>
        <v/>
      </c>
      <c r="W359" t="str">
        <f t="shared" si="65"/>
        <v/>
      </c>
    </row>
    <row r="360" spans="1:23" x14ac:dyDescent="0.2">
      <c r="A360" s="4" t="str">
        <f>IF(ポートフォリオ実績!A361="","", ポートフォリオ実績!A361)</f>
        <v/>
      </c>
      <c r="B360" t="str">
        <f>IF(ポートフォリオ実績!B361="","", ポートフォリオ実績!B361)</f>
        <v/>
      </c>
      <c r="C360" s="10" t="str">
        <f>IF(ポートフォリオ実績!C361="","", ポートフォリオ実績!C361)</f>
        <v/>
      </c>
      <c r="D360" s="10" t="str">
        <f>IF(ポートフォリオ実績!D361="","", ポートフォリオ実績!D361)</f>
        <v/>
      </c>
      <c r="E360" s="10" t="str">
        <f>IF(ポートフォリオ実績!E361="","", ポートフォリオ実績!E361)</f>
        <v/>
      </c>
      <c r="F360" s="10" t="str">
        <f>IF(ポートフォリオ実績!F361="","", ポートフォリオ実績!F361)</f>
        <v/>
      </c>
      <c r="G360" t="str">
        <f t="shared" si="55"/>
        <v/>
      </c>
      <c r="H360">
        <f>IF(B360&lt;&gt;"", SUMIFS(ポートフォリオ実績!$D$2:$D$2001, ポートフォリオ実績!$B$2:$B$2001, B360, ポートフォリオ実績!$A$2:$A$2001, G360), 0)</f>
        <v>0</v>
      </c>
      <c r="I360">
        <f>IF(B360&lt;&gt;"", SUMIFS(ポートフォリオ実績!$C$2:$C$2001, ポートフォリオ実績!$B$2:$B$2001, B360, ポートフォリオ実績!$A$2:$A$2001, G360), 0)</f>
        <v>0</v>
      </c>
      <c r="J360">
        <f t="shared" si="56"/>
        <v>0</v>
      </c>
      <c r="K360">
        <f t="shared" si="57"/>
        <v>0</v>
      </c>
      <c r="L360">
        <f t="shared" si="58"/>
        <v>0</v>
      </c>
      <c r="M360">
        <f t="shared" si="59"/>
        <v>0</v>
      </c>
      <c r="N360">
        <f t="shared" si="60"/>
        <v>0</v>
      </c>
      <c r="O360">
        <f t="shared" si="61"/>
        <v>0</v>
      </c>
      <c r="P360" t="str">
        <f t="shared" si="62"/>
        <v/>
      </c>
      <c r="Q360" t="str">
        <f>IF(B360="","", IFERROR(VLOOKUP(B360, '基準資産配分（設定）'!$A$2:$C$2001, 3, FALSE), ""))</f>
        <v/>
      </c>
      <c r="R360" t="str">
        <f>IF(B360="","", IFERROR(VLOOKUP(B360, '基準資産配分（設定）'!$A$2:$C$2001, 2, FALSE)/100, 0))</f>
        <v/>
      </c>
      <c r="S360" t="str">
        <f>IF(B360="","", IFERROR(SUMIFS(ベンチマークリターン!$C$2:$C$2001, ベンチマークリターン!$A$2:$A$2001, A360, ベンチマークリターン!$B$2:$B$2001, Q360) / 100, 0))</f>
        <v/>
      </c>
      <c r="T360" t="str">
        <f>IF(A360="","", SUMIFS($H$2:$H$2000, $A$2:$A$2000, A360))</f>
        <v/>
      </c>
      <c r="U360" t="str">
        <f t="shared" si="63"/>
        <v/>
      </c>
      <c r="V360" t="str">
        <f t="shared" si="64"/>
        <v/>
      </c>
      <c r="W360" t="str">
        <f t="shared" si="65"/>
        <v/>
      </c>
    </row>
    <row r="361" spans="1:23" x14ac:dyDescent="0.2">
      <c r="A361" s="4" t="str">
        <f>IF(ポートフォリオ実績!A362="","", ポートフォリオ実績!A362)</f>
        <v/>
      </c>
      <c r="B361" t="str">
        <f>IF(ポートフォリオ実績!B362="","", ポートフォリオ実績!B362)</f>
        <v/>
      </c>
      <c r="C361" s="10" t="str">
        <f>IF(ポートフォリオ実績!C362="","", ポートフォリオ実績!C362)</f>
        <v/>
      </c>
      <c r="D361" s="10" t="str">
        <f>IF(ポートフォリオ実績!D362="","", ポートフォリオ実績!D362)</f>
        <v/>
      </c>
      <c r="E361" s="10" t="str">
        <f>IF(ポートフォリオ実績!E362="","", ポートフォリオ実績!E362)</f>
        <v/>
      </c>
      <c r="F361" s="10" t="str">
        <f>IF(ポートフォリオ実績!F362="","", ポートフォリオ実績!F362)</f>
        <v/>
      </c>
      <c r="G361" t="str">
        <f t="shared" si="55"/>
        <v/>
      </c>
      <c r="H361">
        <f>IF(B361&lt;&gt;"", SUMIFS(ポートフォリオ実績!$D$2:$D$2001, ポートフォリオ実績!$B$2:$B$2001, B361, ポートフォリオ実績!$A$2:$A$2001, G361), 0)</f>
        <v>0</v>
      </c>
      <c r="I361">
        <f>IF(B361&lt;&gt;"", SUMIFS(ポートフォリオ実績!$C$2:$C$2001, ポートフォリオ実績!$B$2:$B$2001, B361, ポートフォリオ実績!$A$2:$A$2001, G361), 0)</f>
        <v>0</v>
      </c>
      <c r="J361">
        <f t="shared" si="56"/>
        <v>0</v>
      </c>
      <c r="K361">
        <f t="shared" si="57"/>
        <v>0</v>
      </c>
      <c r="L361">
        <f t="shared" si="58"/>
        <v>0</v>
      </c>
      <c r="M361">
        <f t="shared" si="59"/>
        <v>0</v>
      </c>
      <c r="N361">
        <f t="shared" si="60"/>
        <v>0</v>
      </c>
      <c r="O361">
        <f t="shared" si="61"/>
        <v>0</v>
      </c>
      <c r="P361" t="str">
        <f t="shared" si="62"/>
        <v/>
      </c>
      <c r="Q361" t="str">
        <f>IF(B361="","", IFERROR(VLOOKUP(B361, '基準資産配分（設定）'!$A$2:$C$2001, 3, FALSE), ""))</f>
        <v/>
      </c>
      <c r="R361" t="str">
        <f>IF(B361="","", IFERROR(VLOOKUP(B361, '基準資産配分（設定）'!$A$2:$C$2001, 2, FALSE)/100, 0))</f>
        <v/>
      </c>
      <c r="S361" t="str">
        <f>IF(B361="","", IFERROR(SUMIFS(ベンチマークリターン!$C$2:$C$2001, ベンチマークリターン!$A$2:$A$2001, A361, ベンチマークリターン!$B$2:$B$2001, Q361) / 100, 0))</f>
        <v/>
      </c>
      <c r="T361" t="str">
        <f>IF(A361="","", SUMIFS($H$2:$H$2000, $A$2:$A$2000, A361))</f>
        <v/>
      </c>
      <c r="U361" t="str">
        <f t="shared" si="63"/>
        <v/>
      </c>
      <c r="V361" t="str">
        <f t="shared" si="64"/>
        <v/>
      </c>
      <c r="W361" t="str">
        <f t="shared" si="65"/>
        <v/>
      </c>
    </row>
    <row r="362" spans="1:23" x14ac:dyDescent="0.2">
      <c r="A362" s="4" t="str">
        <f>IF(ポートフォリオ実績!A363="","", ポートフォリオ実績!A363)</f>
        <v/>
      </c>
      <c r="B362" t="str">
        <f>IF(ポートフォリオ実績!B363="","", ポートフォリオ実績!B363)</f>
        <v/>
      </c>
      <c r="C362" s="10" t="str">
        <f>IF(ポートフォリオ実績!C363="","", ポートフォリオ実績!C363)</f>
        <v/>
      </c>
      <c r="D362" s="10" t="str">
        <f>IF(ポートフォリオ実績!D363="","", ポートフォリオ実績!D363)</f>
        <v/>
      </c>
      <c r="E362" s="10" t="str">
        <f>IF(ポートフォリオ実績!E363="","", ポートフォリオ実績!E363)</f>
        <v/>
      </c>
      <c r="F362" s="10" t="str">
        <f>IF(ポートフォリオ実績!F363="","", ポートフォリオ実績!F363)</f>
        <v/>
      </c>
      <c r="G362" t="str">
        <f t="shared" si="55"/>
        <v/>
      </c>
      <c r="H362">
        <f>IF(B362&lt;&gt;"", SUMIFS(ポートフォリオ実績!$D$2:$D$2001, ポートフォリオ実績!$B$2:$B$2001, B362, ポートフォリオ実績!$A$2:$A$2001, G362), 0)</f>
        <v>0</v>
      </c>
      <c r="I362">
        <f>IF(B362&lt;&gt;"", SUMIFS(ポートフォリオ実績!$C$2:$C$2001, ポートフォリオ実績!$B$2:$B$2001, B362, ポートフォリオ実績!$A$2:$A$2001, G362), 0)</f>
        <v>0</v>
      </c>
      <c r="J362">
        <f t="shared" si="56"/>
        <v>0</v>
      </c>
      <c r="K362">
        <f t="shared" si="57"/>
        <v>0</v>
      </c>
      <c r="L362">
        <f t="shared" si="58"/>
        <v>0</v>
      </c>
      <c r="M362">
        <f t="shared" si="59"/>
        <v>0</v>
      </c>
      <c r="N362">
        <f t="shared" si="60"/>
        <v>0</v>
      </c>
      <c r="O362">
        <f t="shared" si="61"/>
        <v>0</v>
      </c>
      <c r="P362" t="str">
        <f t="shared" si="62"/>
        <v/>
      </c>
      <c r="Q362" t="str">
        <f>IF(B362="","", IFERROR(VLOOKUP(B362, '基準資産配分（設定）'!$A$2:$C$2001, 3, FALSE), ""))</f>
        <v/>
      </c>
      <c r="R362" t="str">
        <f>IF(B362="","", IFERROR(VLOOKUP(B362, '基準資産配分（設定）'!$A$2:$C$2001, 2, FALSE)/100, 0))</f>
        <v/>
      </c>
      <c r="S362" t="str">
        <f>IF(B362="","", IFERROR(SUMIFS(ベンチマークリターン!$C$2:$C$2001, ベンチマークリターン!$A$2:$A$2001, A362, ベンチマークリターン!$B$2:$B$2001, Q362) / 100, 0))</f>
        <v/>
      </c>
      <c r="T362" t="str">
        <f>IF(A362="","", SUMIFS($H$2:$H$2000, $A$2:$A$2000, A362))</f>
        <v/>
      </c>
      <c r="U362" t="str">
        <f t="shared" si="63"/>
        <v/>
      </c>
      <c r="V362" t="str">
        <f t="shared" si="64"/>
        <v/>
      </c>
      <c r="W362" t="str">
        <f t="shared" si="65"/>
        <v/>
      </c>
    </row>
    <row r="363" spans="1:23" x14ac:dyDescent="0.2">
      <c r="A363" s="4" t="str">
        <f>IF(ポートフォリオ実績!A364="","", ポートフォリオ実績!A364)</f>
        <v/>
      </c>
      <c r="B363" t="str">
        <f>IF(ポートフォリオ実績!B364="","", ポートフォリオ実績!B364)</f>
        <v/>
      </c>
      <c r="C363" s="10" t="str">
        <f>IF(ポートフォリオ実績!C364="","", ポートフォリオ実績!C364)</f>
        <v/>
      </c>
      <c r="D363" s="10" t="str">
        <f>IF(ポートフォリオ実績!D364="","", ポートフォリオ実績!D364)</f>
        <v/>
      </c>
      <c r="E363" s="10" t="str">
        <f>IF(ポートフォリオ実績!E364="","", ポートフォリオ実績!E364)</f>
        <v/>
      </c>
      <c r="F363" s="10" t="str">
        <f>IF(ポートフォリオ実績!F364="","", ポートフォリオ実績!F364)</f>
        <v/>
      </c>
      <c r="G363" t="str">
        <f t="shared" si="55"/>
        <v/>
      </c>
      <c r="H363">
        <f>IF(B363&lt;&gt;"", SUMIFS(ポートフォリオ実績!$D$2:$D$2001, ポートフォリオ実績!$B$2:$B$2001, B363, ポートフォリオ実績!$A$2:$A$2001, G363), 0)</f>
        <v>0</v>
      </c>
      <c r="I363">
        <f>IF(B363&lt;&gt;"", SUMIFS(ポートフォリオ実績!$C$2:$C$2001, ポートフォリオ実績!$B$2:$B$2001, B363, ポートフォリオ実績!$A$2:$A$2001, G363), 0)</f>
        <v>0</v>
      </c>
      <c r="J363">
        <f t="shared" si="56"/>
        <v>0</v>
      </c>
      <c r="K363">
        <f t="shared" si="57"/>
        <v>0</v>
      </c>
      <c r="L363">
        <f t="shared" si="58"/>
        <v>0</v>
      </c>
      <c r="M363">
        <f t="shared" si="59"/>
        <v>0</v>
      </c>
      <c r="N363">
        <f t="shared" si="60"/>
        <v>0</v>
      </c>
      <c r="O363">
        <f t="shared" si="61"/>
        <v>0</v>
      </c>
      <c r="P363" t="str">
        <f t="shared" si="62"/>
        <v/>
      </c>
      <c r="Q363" t="str">
        <f>IF(B363="","", IFERROR(VLOOKUP(B363, '基準資産配分（設定）'!$A$2:$C$2001, 3, FALSE), ""))</f>
        <v/>
      </c>
      <c r="R363" t="str">
        <f>IF(B363="","", IFERROR(VLOOKUP(B363, '基準資産配分（設定）'!$A$2:$C$2001, 2, FALSE)/100, 0))</f>
        <v/>
      </c>
      <c r="S363" t="str">
        <f>IF(B363="","", IFERROR(SUMIFS(ベンチマークリターン!$C$2:$C$2001, ベンチマークリターン!$A$2:$A$2001, A363, ベンチマークリターン!$B$2:$B$2001, Q363) / 100, 0))</f>
        <v/>
      </c>
      <c r="T363" t="str">
        <f>IF(A363="","", SUMIFS($H$2:$H$2000, $A$2:$A$2000, A363))</f>
        <v/>
      </c>
      <c r="U363" t="str">
        <f t="shared" si="63"/>
        <v/>
      </c>
      <c r="V363" t="str">
        <f t="shared" si="64"/>
        <v/>
      </c>
      <c r="W363" t="str">
        <f t="shared" si="65"/>
        <v/>
      </c>
    </row>
    <row r="364" spans="1:23" x14ac:dyDescent="0.2">
      <c r="A364" s="4" t="str">
        <f>IF(ポートフォリオ実績!A365="","", ポートフォリオ実績!A365)</f>
        <v/>
      </c>
      <c r="B364" t="str">
        <f>IF(ポートフォリオ実績!B365="","", ポートフォリオ実績!B365)</f>
        <v/>
      </c>
      <c r="C364" s="10" t="str">
        <f>IF(ポートフォリオ実績!C365="","", ポートフォリオ実績!C365)</f>
        <v/>
      </c>
      <c r="D364" s="10" t="str">
        <f>IF(ポートフォリオ実績!D365="","", ポートフォリオ実績!D365)</f>
        <v/>
      </c>
      <c r="E364" s="10" t="str">
        <f>IF(ポートフォリオ実績!E365="","", ポートフォリオ実績!E365)</f>
        <v/>
      </c>
      <c r="F364" s="10" t="str">
        <f>IF(ポートフォリオ実績!F365="","", ポートフォリオ実績!F365)</f>
        <v/>
      </c>
      <c r="G364" t="str">
        <f t="shared" si="55"/>
        <v/>
      </c>
      <c r="H364">
        <f>IF(B364&lt;&gt;"", SUMIFS(ポートフォリオ実績!$D$2:$D$2001, ポートフォリオ実績!$B$2:$B$2001, B364, ポートフォリオ実績!$A$2:$A$2001, G364), 0)</f>
        <v>0</v>
      </c>
      <c r="I364">
        <f>IF(B364&lt;&gt;"", SUMIFS(ポートフォリオ実績!$C$2:$C$2001, ポートフォリオ実績!$B$2:$B$2001, B364, ポートフォリオ実績!$A$2:$A$2001, G364), 0)</f>
        <v>0</v>
      </c>
      <c r="J364">
        <f t="shared" si="56"/>
        <v>0</v>
      </c>
      <c r="K364">
        <f t="shared" si="57"/>
        <v>0</v>
      </c>
      <c r="L364">
        <f t="shared" si="58"/>
        <v>0</v>
      </c>
      <c r="M364">
        <f t="shared" si="59"/>
        <v>0</v>
      </c>
      <c r="N364">
        <f t="shared" si="60"/>
        <v>0</v>
      </c>
      <c r="O364">
        <f t="shared" si="61"/>
        <v>0</v>
      </c>
      <c r="P364" t="str">
        <f t="shared" si="62"/>
        <v/>
      </c>
      <c r="Q364" t="str">
        <f>IF(B364="","", IFERROR(VLOOKUP(B364, '基準資産配分（設定）'!$A$2:$C$2001, 3, FALSE), ""))</f>
        <v/>
      </c>
      <c r="R364" t="str">
        <f>IF(B364="","", IFERROR(VLOOKUP(B364, '基準資産配分（設定）'!$A$2:$C$2001, 2, FALSE)/100, 0))</f>
        <v/>
      </c>
      <c r="S364" t="str">
        <f>IF(B364="","", IFERROR(SUMIFS(ベンチマークリターン!$C$2:$C$2001, ベンチマークリターン!$A$2:$A$2001, A364, ベンチマークリターン!$B$2:$B$2001, Q364) / 100, 0))</f>
        <v/>
      </c>
      <c r="T364" t="str">
        <f>IF(A364="","", SUMIFS($H$2:$H$2000, $A$2:$A$2000, A364))</f>
        <v/>
      </c>
      <c r="U364" t="str">
        <f t="shared" si="63"/>
        <v/>
      </c>
      <c r="V364" t="str">
        <f t="shared" si="64"/>
        <v/>
      </c>
      <c r="W364" t="str">
        <f t="shared" si="65"/>
        <v/>
      </c>
    </row>
    <row r="365" spans="1:23" x14ac:dyDescent="0.2">
      <c r="A365" s="4" t="str">
        <f>IF(ポートフォリオ実績!A366="","", ポートフォリオ実績!A366)</f>
        <v/>
      </c>
      <c r="B365" t="str">
        <f>IF(ポートフォリオ実績!B366="","", ポートフォリオ実績!B366)</f>
        <v/>
      </c>
      <c r="C365" s="10" t="str">
        <f>IF(ポートフォリオ実績!C366="","", ポートフォリオ実績!C366)</f>
        <v/>
      </c>
      <c r="D365" s="10" t="str">
        <f>IF(ポートフォリオ実績!D366="","", ポートフォリオ実績!D366)</f>
        <v/>
      </c>
      <c r="E365" s="10" t="str">
        <f>IF(ポートフォリオ実績!E366="","", ポートフォリオ実績!E366)</f>
        <v/>
      </c>
      <c r="F365" s="10" t="str">
        <f>IF(ポートフォリオ実績!F366="","", ポートフォリオ実績!F366)</f>
        <v/>
      </c>
      <c r="G365" t="str">
        <f t="shared" si="55"/>
        <v/>
      </c>
      <c r="H365">
        <f>IF(B365&lt;&gt;"", SUMIFS(ポートフォリオ実績!$D$2:$D$2001, ポートフォリオ実績!$B$2:$B$2001, B365, ポートフォリオ実績!$A$2:$A$2001, G365), 0)</f>
        <v>0</v>
      </c>
      <c r="I365">
        <f>IF(B365&lt;&gt;"", SUMIFS(ポートフォリオ実績!$C$2:$C$2001, ポートフォリオ実績!$B$2:$B$2001, B365, ポートフォリオ実績!$A$2:$A$2001, G365), 0)</f>
        <v>0</v>
      </c>
      <c r="J365">
        <f t="shared" si="56"/>
        <v>0</v>
      </c>
      <c r="K365">
        <f t="shared" si="57"/>
        <v>0</v>
      </c>
      <c r="L365">
        <f t="shared" si="58"/>
        <v>0</v>
      </c>
      <c r="M365">
        <f t="shared" si="59"/>
        <v>0</v>
      </c>
      <c r="N365">
        <f t="shared" si="60"/>
        <v>0</v>
      </c>
      <c r="O365">
        <f t="shared" si="61"/>
        <v>0</v>
      </c>
      <c r="P365" t="str">
        <f t="shared" si="62"/>
        <v/>
      </c>
      <c r="Q365" t="str">
        <f>IF(B365="","", IFERROR(VLOOKUP(B365, '基準資産配分（設定）'!$A$2:$C$2001, 3, FALSE), ""))</f>
        <v/>
      </c>
      <c r="R365" t="str">
        <f>IF(B365="","", IFERROR(VLOOKUP(B365, '基準資産配分（設定）'!$A$2:$C$2001, 2, FALSE)/100, 0))</f>
        <v/>
      </c>
      <c r="S365" t="str">
        <f>IF(B365="","", IFERROR(SUMIFS(ベンチマークリターン!$C$2:$C$2001, ベンチマークリターン!$A$2:$A$2001, A365, ベンチマークリターン!$B$2:$B$2001, Q365) / 100, 0))</f>
        <v/>
      </c>
      <c r="T365" t="str">
        <f>IF(A365="","", SUMIFS($H$2:$H$2000, $A$2:$A$2000, A365))</f>
        <v/>
      </c>
      <c r="U365" t="str">
        <f t="shared" si="63"/>
        <v/>
      </c>
      <c r="V365" t="str">
        <f t="shared" si="64"/>
        <v/>
      </c>
      <c r="W365" t="str">
        <f t="shared" si="65"/>
        <v/>
      </c>
    </row>
    <row r="366" spans="1:23" x14ac:dyDescent="0.2">
      <c r="A366" s="4" t="str">
        <f>IF(ポートフォリオ実績!A367="","", ポートフォリオ実績!A367)</f>
        <v/>
      </c>
      <c r="B366" t="str">
        <f>IF(ポートフォリオ実績!B367="","", ポートフォリオ実績!B367)</f>
        <v/>
      </c>
      <c r="C366" s="10" t="str">
        <f>IF(ポートフォリオ実績!C367="","", ポートフォリオ実績!C367)</f>
        <v/>
      </c>
      <c r="D366" s="10" t="str">
        <f>IF(ポートフォリオ実績!D367="","", ポートフォリオ実績!D367)</f>
        <v/>
      </c>
      <c r="E366" s="10" t="str">
        <f>IF(ポートフォリオ実績!E367="","", ポートフォリオ実績!E367)</f>
        <v/>
      </c>
      <c r="F366" s="10" t="str">
        <f>IF(ポートフォリオ実績!F367="","", ポートフォリオ実績!F367)</f>
        <v/>
      </c>
      <c r="G366" t="str">
        <f t="shared" si="55"/>
        <v/>
      </c>
      <c r="H366">
        <f>IF(B366&lt;&gt;"", SUMIFS(ポートフォリオ実績!$D$2:$D$2001, ポートフォリオ実績!$B$2:$B$2001, B366, ポートフォリオ実績!$A$2:$A$2001, G366), 0)</f>
        <v>0</v>
      </c>
      <c r="I366">
        <f>IF(B366&lt;&gt;"", SUMIFS(ポートフォリオ実績!$C$2:$C$2001, ポートフォリオ実績!$B$2:$B$2001, B366, ポートフォリオ実績!$A$2:$A$2001, G366), 0)</f>
        <v>0</v>
      </c>
      <c r="J366">
        <f t="shared" si="56"/>
        <v>0</v>
      </c>
      <c r="K366">
        <f t="shared" si="57"/>
        <v>0</v>
      </c>
      <c r="L366">
        <f t="shared" si="58"/>
        <v>0</v>
      </c>
      <c r="M366">
        <f t="shared" si="59"/>
        <v>0</v>
      </c>
      <c r="N366">
        <f t="shared" si="60"/>
        <v>0</v>
      </c>
      <c r="O366">
        <f t="shared" si="61"/>
        <v>0</v>
      </c>
      <c r="P366" t="str">
        <f t="shared" si="62"/>
        <v/>
      </c>
      <c r="Q366" t="str">
        <f>IF(B366="","", IFERROR(VLOOKUP(B366, '基準資産配分（設定）'!$A$2:$C$2001, 3, FALSE), ""))</f>
        <v/>
      </c>
      <c r="R366" t="str">
        <f>IF(B366="","", IFERROR(VLOOKUP(B366, '基準資産配分（設定）'!$A$2:$C$2001, 2, FALSE)/100, 0))</f>
        <v/>
      </c>
      <c r="S366" t="str">
        <f>IF(B366="","", IFERROR(SUMIFS(ベンチマークリターン!$C$2:$C$2001, ベンチマークリターン!$A$2:$A$2001, A366, ベンチマークリターン!$B$2:$B$2001, Q366) / 100, 0))</f>
        <v/>
      </c>
      <c r="T366" t="str">
        <f>IF(A366="","", SUMIFS($H$2:$H$2000, $A$2:$A$2000, A366))</f>
        <v/>
      </c>
      <c r="U366" t="str">
        <f t="shared" si="63"/>
        <v/>
      </c>
      <c r="V366" t="str">
        <f t="shared" si="64"/>
        <v/>
      </c>
      <c r="W366" t="str">
        <f t="shared" si="65"/>
        <v/>
      </c>
    </row>
    <row r="367" spans="1:23" x14ac:dyDescent="0.2">
      <c r="A367" s="4" t="str">
        <f>IF(ポートフォリオ実績!A368="","", ポートフォリオ実績!A368)</f>
        <v/>
      </c>
      <c r="B367" t="str">
        <f>IF(ポートフォリオ実績!B368="","", ポートフォリオ実績!B368)</f>
        <v/>
      </c>
      <c r="C367" s="10" t="str">
        <f>IF(ポートフォリオ実績!C368="","", ポートフォリオ実績!C368)</f>
        <v/>
      </c>
      <c r="D367" s="10" t="str">
        <f>IF(ポートフォリオ実績!D368="","", ポートフォリオ実績!D368)</f>
        <v/>
      </c>
      <c r="E367" s="10" t="str">
        <f>IF(ポートフォリオ実績!E368="","", ポートフォリオ実績!E368)</f>
        <v/>
      </c>
      <c r="F367" s="10" t="str">
        <f>IF(ポートフォリオ実績!F368="","", ポートフォリオ実績!F368)</f>
        <v/>
      </c>
      <c r="G367" t="str">
        <f t="shared" si="55"/>
        <v/>
      </c>
      <c r="H367">
        <f>IF(B367&lt;&gt;"", SUMIFS(ポートフォリオ実績!$D$2:$D$2001, ポートフォリオ実績!$B$2:$B$2001, B367, ポートフォリオ実績!$A$2:$A$2001, G367), 0)</f>
        <v>0</v>
      </c>
      <c r="I367">
        <f>IF(B367&lt;&gt;"", SUMIFS(ポートフォリオ実績!$C$2:$C$2001, ポートフォリオ実績!$B$2:$B$2001, B367, ポートフォリオ実績!$A$2:$A$2001, G367), 0)</f>
        <v>0</v>
      </c>
      <c r="J367">
        <f t="shared" si="56"/>
        <v>0</v>
      </c>
      <c r="K367">
        <f t="shared" si="57"/>
        <v>0</v>
      </c>
      <c r="L367">
        <f t="shared" si="58"/>
        <v>0</v>
      </c>
      <c r="M367">
        <f t="shared" si="59"/>
        <v>0</v>
      </c>
      <c r="N367">
        <f t="shared" si="60"/>
        <v>0</v>
      </c>
      <c r="O367">
        <f t="shared" si="61"/>
        <v>0</v>
      </c>
      <c r="P367" t="str">
        <f t="shared" si="62"/>
        <v/>
      </c>
      <c r="Q367" t="str">
        <f>IF(B367="","", IFERROR(VLOOKUP(B367, '基準資産配分（設定）'!$A$2:$C$2001, 3, FALSE), ""))</f>
        <v/>
      </c>
      <c r="R367" t="str">
        <f>IF(B367="","", IFERROR(VLOOKUP(B367, '基準資産配分（設定）'!$A$2:$C$2001, 2, FALSE)/100, 0))</f>
        <v/>
      </c>
      <c r="S367" t="str">
        <f>IF(B367="","", IFERROR(SUMIFS(ベンチマークリターン!$C$2:$C$2001, ベンチマークリターン!$A$2:$A$2001, A367, ベンチマークリターン!$B$2:$B$2001, Q367) / 100, 0))</f>
        <v/>
      </c>
      <c r="T367" t="str">
        <f>IF(A367="","", SUMIFS($H$2:$H$2000, $A$2:$A$2000, A367))</f>
        <v/>
      </c>
      <c r="U367" t="str">
        <f t="shared" si="63"/>
        <v/>
      </c>
      <c r="V367" t="str">
        <f t="shared" si="64"/>
        <v/>
      </c>
      <c r="W367" t="str">
        <f t="shared" si="65"/>
        <v/>
      </c>
    </row>
    <row r="368" spans="1:23" x14ac:dyDescent="0.2">
      <c r="A368" s="4" t="str">
        <f>IF(ポートフォリオ実績!A369="","", ポートフォリオ実績!A369)</f>
        <v/>
      </c>
      <c r="B368" t="str">
        <f>IF(ポートフォリオ実績!B369="","", ポートフォリオ実績!B369)</f>
        <v/>
      </c>
      <c r="C368" s="10" t="str">
        <f>IF(ポートフォリオ実績!C369="","", ポートフォリオ実績!C369)</f>
        <v/>
      </c>
      <c r="D368" s="10" t="str">
        <f>IF(ポートフォリオ実績!D369="","", ポートフォリオ実績!D369)</f>
        <v/>
      </c>
      <c r="E368" s="10" t="str">
        <f>IF(ポートフォリオ実績!E369="","", ポートフォリオ実績!E369)</f>
        <v/>
      </c>
      <c r="F368" s="10" t="str">
        <f>IF(ポートフォリオ実績!F369="","", ポートフォリオ実績!F369)</f>
        <v/>
      </c>
      <c r="G368" t="str">
        <f t="shared" si="55"/>
        <v/>
      </c>
      <c r="H368">
        <f>IF(B368&lt;&gt;"", SUMIFS(ポートフォリオ実績!$D$2:$D$2001, ポートフォリオ実績!$B$2:$B$2001, B368, ポートフォリオ実績!$A$2:$A$2001, G368), 0)</f>
        <v>0</v>
      </c>
      <c r="I368">
        <f>IF(B368&lt;&gt;"", SUMIFS(ポートフォリオ実績!$C$2:$C$2001, ポートフォリオ実績!$B$2:$B$2001, B368, ポートフォリオ実績!$A$2:$A$2001, G368), 0)</f>
        <v>0</v>
      </c>
      <c r="J368">
        <f t="shared" si="56"/>
        <v>0</v>
      </c>
      <c r="K368">
        <f t="shared" si="57"/>
        <v>0</v>
      </c>
      <c r="L368">
        <f t="shared" si="58"/>
        <v>0</v>
      </c>
      <c r="M368">
        <f t="shared" si="59"/>
        <v>0</v>
      </c>
      <c r="N368">
        <f t="shared" si="60"/>
        <v>0</v>
      </c>
      <c r="O368">
        <f t="shared" si="61"/>
        <v>0</v>
      </c>
      <c r="P368" t="str">
        <f t="shared" si="62"/>
        <v/>
      </c>
      <c r="Q368" t="str">
        <f>IF(B368="","", IFERROR(VLOOKUP(B368, '基準資産配分（設定）'!$A$2:$C$2001, 3, FALSE), ""))</f>
        <v/>
      </c>
      <c r="R368" t="str">
        <f>IF(B368="","", IFERROR(VLOOKUP(B368, '基準資産配分（設定）'!$A$2:$C$2001, 2, FALSE)/100, 0))</f>
        <v/>
      </c>
      <c r="S368" t="str">
        <f>IF(B368="","", IFERROR(SUMIFS(ベンチマークリターン!$C$2:$C$2001, ベンチマークリターン!$A$2:$A$2001, A368, ベンチマークリターン!$B$2:$B$2001, Q368) / 100, 0))</f>
        <v/>
      </c>
      <c r="T368" t="str">
        <f>IF(A368="","", SUMIFS($H$2:$H$2000, $A$2:$A$2000, A368))</f>
        <v/>
      </c>
      <c r="U368" t="str">
        <f t="shared" si="63"/>
        <v/>
      </c>
      <c r="V368" t="str">
        <f t="shared" si="64"/>
        <v/>
      </c>
      <c r="W368" t="str">
        <f t="shared" si="65"/>
        <v/>
      </c>
    </row>
    <row r="369" spans="1:23" x14ac:dyDescent="0.2">
      <c r="A369" s="4" t="str">
        <f>IF(ポートフォリオ実績!A370="","", ポートフォリオ実績!A370)</f>
        <v/>
      </c>
      <c r="B369" t="str">
        <f>IF(ポートフォリオ実績!B370="","", ポートフォリオ実績!B370)</f>
        <v/>
      </c>
      <c r="C369" s="10" t="str">
        <f>IF(ポートフォリオ実績!C370="","", ポートフォリオ実績!C370)</f>
        <v/>
      </c>
      <c r="D369" s="10" t="str">
        <f>IF(ポートフォリオ実績!D370="","", ポートフォリオ実績!D370)</f>
        <v/>
      </c>
      <c r="E369" s="10" t="str">
        <f>IF(ポートフォリオ実績!E370="","", ポートフォリオ実績!E370)</f>
        <v/>
      </c>
      <c r="F369" s="10" t="str">
        <f>IF(ポートフォリオ実績!F370="","", ポートフォリオ実績!F370)</f>
        <v/>
      </c>
      <c r="G369" t="str">
        <f t="shared" si="55"/>
        <v/>
      </c>
      <c r="H369">
        <f>IF(B369&lt;&gt;"", SUMIFS(ポートフォリオ実績!$D$2:$D$2001, ポートフォリオ実績!$B$2:$B$2001, B369, ポートフォリオ実績!$A$2:$A$2001, G369), 0)</f>
        <v>0</v>
      </c>
      <c r="I369">
        <f>IF(B369&lt;&gt;"", SUMIFS(ポートフォリオ実績!$C$2:$C$2001, ポートフォリオ実績!$B$2:$B$2001, B369, ポートフォリオ実績!$A$2:$A$2001, G369), 0)</f>
        <v>0</v>
      </c>
      <c r="J369">
        <f t="shared" si="56"/>
        <v>0</v>
      </c>
      <c r="K369">
        <f t="shared" si="57"/>
        <v>0</v>
      </c>
      <c r="L369">
        <f t="shared" si="58"/>
        <v>0</v>
      </c>
      <c r="M369">
        <f t="shared" si="59"/>
        <v>0</v>
      </c>
      <c r="N369">
        <f t="shared" si="60"/>
        <v>0</v>
      </c>
      <c r="O369">
        <f t="shared" si="61"/>
        <v>0</v>
      </c>
      <c r="P369" t="str">
        <f t="shared" si="62"/>
        <v/>
      </c>
      <c r="Q369" t="str">
        <f>IF(B369="","", IFERROR(VLOOKUP(B369, '基準資産配分（設定）'!$A$2:$C$2001, 3, FALSE), ""))</f>
        <v/>
      </c>
      <c r="R369" t="str">
        <f>IF(B369="","", IFERROR(VLOOKUP(B369, '基準資産配分（設定）'!$A$2:$C$2001, 2, FALSE)/100, 0))</f>
        <v/>
      </c>
      <c r="S369" t="str">
        <f>IF(B369="","", IFERROR(SUMIFS(ベンチマークリターン!$C$2:$C$2001, ベンチマークリターン!$A$2:$A$2001, A369, ベンチマークリターン!$B$2:$B$2001, Q369) / 100, 0))</f>
        <v/>
      </c>
      <c r="T369" t="str">
        <f>IF(A369="","", SUMIFS($H$2:$H$2000, $A$2:$A$2000, A369))</f>
        <v/>
      </c>
      <c r="U369" t="str">
        <f t="shared" si="63"/>
        <v/>
      </c>
      <c r="V369" t="str">
        <f t="shared" si="64"/>
        <v/>
      </c>
      <c r="W369" t="str">
        <f t="shared" si="65"/>
        <v/>
      </c>
    </row>
    <row r="370" spans="1:23" x14ac:dyDescent="0.2">
      <c r="A370" s="4" t="str">
        <f>IF(ポートフォリオ実績!A371="","", ポートフォリオ実績!A371)</f>
        <v/>
      </c>
      <c r="B370" t="str">
        <f>IF(ポートフォリオ実績!B371="","", ポートフォリオ実績!B371)</f>
        <v/>
      </c>
      <c r="C370" s="10" t="str">
        <f>IF(ポートフォリオ実績!C371="","", ポートフォリオ実績!C371)</f>
        <v/>
      </c>
      <c r="D370" s="10" t="str">
        <f>IF(ポートフォリオ実績!D371="","", ポートフォリオ実績!D371)</f>
        <v/>
      </c>
      <c r="E370" s="10" t="str">
        <f>IF(ポートフォリオ実績!E371="","", ポートフォリオ実績!E371)</f>
        <v/>
      </c>
      <c r="F370" s="10" t="str">
        <f>IF(ポートフォリオ実績!F371="","", ポートフォリオ実績!F371)</f>
        <v/>
      </c>
      <c r="G370" t="str">
        <f t="shared" si="55"/>
        <v/>
      </c>
      <c r="H370">
        <f>IF(B370&lt;&gt;"", SUMIFS(ポートフォリオ実績!$D$2:$D$2001, ポートフォリオ実績!$B$2:$B$2001, B370, ポートフォリオ実績!$A$2:$A$2001, G370), 0)</f>
        <v>0</v>
      </c>
      <c r="I370">
        <f>IF(B370&lt;&gt;"", SUMIFS(ポートフォリオ実績!$C$2:$C$2001, ポートフォリオ実績!$B$2:$B$2001, B370, ポートフォリオ実績!$A$2:$A$2001, G370), 0)</f>
        <v>0</v>
      </c>
      <c r="J370">
        <f t="shared" si="56"/>
        <v>0</v>
      </c>
      <c r="K370">
        <f t="shared" si="57"/>
        <v>0</v>
      </c>
      <c r="L370">
        <f t="shared" si="58"/>
        <v>0</v>
      </c>
      <c r="M370">
        <f t="shared" si="59"/>
        <v>0</v>
      </c>
      <c r="N370">
        <f t="shared" si="60"/>
        <v>0</v>
      </c>
      <c r="O370">
        <f t="shared" si="61"/>
        <v>0</v>
      </c>
      <c r="P370" t="str">
        <f t="shared" si="62"/>
        <v/>
      </c>
      <c r="Q370" t="str">
        <f>IF(B370="","", IFERROR(VLOOKUP(B370, '基準資産配分（設定）'!$A$2:$C$2001, 3, FALSE), ""))</f>
        <v/>
      </c>
      <c r="R370" t="str">
        <f>IF(B370="","", IFERROR(VLOOKUP(B370, '基準資産配分（設定）'!$A$2:$C$2001, 2, FALSE)/100, 0))</f>
        <v/>
      </c>
      <c r="S370" t="str">
        <f>IF(B370="","", IFERROR(SUMIFS(ベンチマークリターン!$C$2:$C$2001, ベンチマークリターン!$A$2:$A$2001, A370, ベンチマークリターン!$B$2:$B$2001, Q370) / 100, 0))</f>
        <v/>
      </c>
      <c r="T370" t="str">
        <f>IF(A370="","", SUMIFS($H$2:$H$2000, $A$2:$A$2000, A370))</f>
        <v/>
      </c>
      <c r="U370" t="str">
        <f t="shared" si="63"/>
        <v/>
      </c>
      <c r="V370" t="str">
        <f t="shared" si="64"/>
        <v/>
      </c>
      <c r="W370" t="str">
        <f t="shared" si="65"/>
        <v/>
      </c>
    </row>
    <row r="371" spans="1:23" x14ac:dyDescent="0.2">
      <c r="A371" s="4" t="str">
        <f>IF(ポートフォリオ実績!A372="","", ポートフォリオ実績!A372)</f>
        <v/>
      </c>
      <c r="B371" t="str">
        <f>IF(ポートフォリオ実績!B372="","", ポートフォリオ実績!B372)</f>
        <v/>
      </c>
      <c r="C371" s="10" t="str">
        <f>IF(ポートフォリオ実績!C372="","", ポートフォリオ実績!C372)</f>
        <v/>
      </c>
      <c r="D371" s="10" t="str">
        <f>IF(ポートフォリオ実績!D372="","", ポートフォリオ実績!D372)</f>
        <v/>
      </c>
      <c r="E371" s="10" t="str">
        <f>IF(ポートフォリオ実績!E372="","", ポートフォリオ実績!E372)</f>
        <v/>
      </c>
      <c r="F371" s="10" t="str">
        <f>IF(ポートフォリオ実績!F372="","", ポートフォリオ実績!F372)</f>
        <v/>
      </c>
      <c r="G371" t="str">
        <f t="shared" si="55"/>
        <v/>
      </c>
      <c r="H371">
        <f>IF(B371&lt;&gt;"", SUMIFS(ポートフォリオ実績!$D$2:$D$2001, ポートフォリオ実績!$B$2:$B$2001, B371, ポートフォリオ実績!$A$2:$A$2001, G371), 0)</f>
        <v>0</v>
      </c>
      <c r="I371">
        <f>IF(B371&lt;&gt;"", SUMIFS(ポートフォリオ実績!$C$2:$C$2001, ポートフォリオ実績!$B$2:$B$2001, B371, ポートフォリオ実績!$A$2:$A$2001, G371), 0)</f>
        <v>0</v>
      </c>
      <c r="J371">
        <f t="shared" si="56"/>
        <v>0</v>
      </c>
      <c r="K371">
        <f t="shared" si="57"/>
        <v>0</v>
      </c>
      <c r="L371">
        <f t="shared" si="58"/>
        <v>0</v>
      </c>
      <c r="M371">
        <f t="shared" si="59"/>
        <v>0</v>
      </c>
      <c r="N371">
        <f t="shared" si="60"/>
        <v>0</v>
      </c>
      <c r="O371">
        <f t="shared" si="61"/>
        <v>0</v>
      </c>
      <c r="P371" t="str">
        <f t="shared" si="62"/>
        <v/>
      </c>
      <c r="Q371" t="str">
        <f>IF(B371="","", IFERROR(VLOOKUP(B371, '基準資産配分（設定）'!$A$2:$C$2001, 3, FALSE), ""))</f>
        <v/>
      </c>
      <c r="R371" t="str">
        <f>IF(B371="","", IFERROR(VLOOKUP(B371, '基準資産配分（設定）'!$A$2:$C$2001, 2, FALSE)/100, 0))</f>
        <v/>
      </c>
      <c r="S371" t="str">
        <f>IF(B371="","", IFERROR(SUMIFS(ベンチマークリターン!$C$2:$C$2001, ベンチマークリターン!$A$2:$A$2001, A371, ベンチマークリターン!$B$2:$B$2001, Q371) / 100, 0))</f>
        <v/>
      </c>
      <c r="T371" t="str">
        <f>IF(A371="","", SUMIFS($H$2:$H$2000, $A$2:$A$2000, A371))</f>
        <v/>
      </c>
      <c r="U371" t="str">
        <f t="shared" si="63"/>
        <v/>
      </c>
      <c r="V371" t="str">
        <f t="shared" si="64"/>
        <v/>
      </c>
      <c r="W371" t="str">
        <f t="shared" si="65"/>
        <v/>
      </c>
    </row>
    <row r="372" spans="1:23" x14ac:dyDescent="0.2">
      <c r="A372" s="4" t="str">
        <f>IF(ポートフォリオ実績!A373="","", ポートフォリオ実績!A373)</f>
        <v/>
      </c>
      <c r="B372" t="str">
        <f>IF(ポートフォリオ実績!B373="","", ポートフォリオ実績!B373)</f>
        <v/>
      </c>
      <c r="C372" s="10" t="str">
        <f>IF(ポートフォリオ実績!C373="","", ポートフォリオ実績!C373)</f>
        <v/>
      </c>
      <c r="D372" s="10" t="str">
        <f>IF(ポートフォリオ実績!D373="","", ポートフォリオ実績!D373)</f>
        <v/>
      </c>
      <c r="E372" s="10" t="str">
        <f>IF(ポートフォリオ実績!E373="","", ポートフォリオ実績!E373)</f>
        <v/>
      </c>
      <c r="F372" s="10" t="str">
        <f>IF(ポートフォリオ実績!F373="","", ポートフォリオ実績!F373)</f>
        <v/>
      </c>
      <c r="G372" t="str">
        <f t="shared" si="55"/>
        <v/>
      </c>
      <c r="H372">
        <f>IF(B372&lt;&gt;"", SUMIFS(ポートフォリオ実績!$D$2:$D$2001, ポートフォリオ実績!$B$2:$B$2001, B372, ポートフォリオ実績!$A$2:$A$2001, G372), 0)</f>
        <v>0</v>
      </c>
      <c r="I372">
        <f>IF(B372&lt;&gt;"", SUMIFS(ポートフォリオ実績!$C$2:$C$2001, ポートフォリオ実績!$B$2:$B$2001, B372, ポートフォリオ実績!$A$2:$A$2001, G372), 0)</f>
        <v>0</v>
      </c>
      <c r="J372">
        <f t="shared" si="56"/>
        <v>0</v>
      </c>
      <c r="K372">
        <f t="shared" si="57"/>
        <v>0</v>
      </c>
      <c r="L372">
        <f t="shared" si="58"/>
        <v>0</v>
      </c>
      <c r="M372">
        <f t="shared" si="59"/>
        <v>0</v>
      </c>
      <c r="N372">
        <f t="shared" si="60"/>
        <v>0</v>
      </c>
      <c r="O372">
        <f t="shared" si="61"/>
        <v>0</v>
      </c>
      <c r="P372" t="str">
        <f t="shared" si="62"/>
        <v/>
      </c>
      <c r="Q372" t="str">
        <f>IF(B372="","", IFERROR(VLOOKUP(B372, '基準資産配分（設定）'!$A$2:$C$2001, 3, FALSE), ""))</f>
        <v/>
      </c>
      <c r="R372" t="str">
        <f>IF(B372="","", IFERROR(VLOOKUP(B372, '基準資産配分（設定）'!$A$2:$C$2001, 2, FALSE)/100, 0))</f>
        <v/>
      </c>
      <c r="S372" t="str">
        <f>IF(B372="","", IFERROR(SUMIFS(ベンチマークリターン!$C$2:$C$2001, ベンチマークリターン!$A$2:$A$2001, A372, ベンチマークリターン!$B$2:$B$2001, Q372) / 100, 0))</f>
        <v/>
      </c>
      <c r="T372" t="str">
        <f>IF(A372="","", SUMIFS($H$2:$H$2000, $A$2:$A$2000, A372))</f>
        <v/>
      </c>
      <c r="U372" t="str">
        <f t="shared" si="63"/>
        <v/>
      </c>
      <c r="V372" t="str">
        <f t="shared" si="64"/>
        <v/>
      </c>
      <c r="W372" t="str">
        <f t="shared" si="65"/>
        <v/>
      </c>
    </row>
    <row r="373" spans="1:23" x14ac:dyDescent="0.2">
      <c r="A373" s="4" t="str">
        <f>IF(ポートフォリオ実績!A374="","", ポートフォリオ実績!A374)</f>
        <v/>
      </c>
      <c r="B373" t="str">
        <f>IF(ポートフォリオ実績!B374="","", ポートフォリオ実績!B374)</f>
        <v/>
      </c>
      <c r="C373" s="10" t="str">
        <f>IF(ポートフォリオ実績!C374="","", ポートフォリオ実績!C374)</f>
        <v/>
      </c>
      <c r="D373" s="10" t="str">
        <f>IF(ポートフォリオ実績!D374="","", ポートフォリオ実績!D374)</f>
        <v/>
      </c>
      <c r="E373" s="10" t="str">
        <f>IF(ポートフォリオ実績!E374="","", ポートフォリオ実績!E374)</f>
        <v/>
      </c>
      <c r="F373" s="10" t="str">
        <f>IF(ポートフォリオ実績!F374="","", ポートフォリオ実績!F374)</f>
        <v/>
      </c>
      <c r="G373" t="str">
        <f t="shared" si="55"/>
        <v/>
      </c>
      <c r="H373">
        <f>IF(B373&lt;&gt;"", SUMIFS(ポートフォリオ実績!$D$2:$D$2001, ポートフォリオ実績!$B$2:$B$2001, B373, ポートフォリオ実績!$A$2:$A$2001, G373), 0)</f>
        <v>0</v>
      </c>
      <c r="I373">
        <f>IF(B373&lt;&gt;"", SUMIFS(ポートフォリオ実績!$C$2:$C$2001, ポートフォリオ実績!$B$2:$B$2001, B373, ポートフォリオ実績!$A$2:$A$2001, G373), 0)</f>
        <v>0</v>
      </c>
      <c r="J373">
        <f t="shared" si="56"/>
        <v>0</v>
      </c>
      <c r="K373">
        <f t="shared" si="57"/>
        <v>0</v>
      </c>
      <c r="L373">
        <f t="shared" si="58"/>
        <v>0</v>
      </c>
      <c r="M373">
        <f t="shared" si="59"/>
        <v>0</v>
      </c>
      <c r="N373">
        <f t="shared" si="60"/>
        <v>0</v>
      </c>
      <c r="O373">
        <f t="shared" si="61"/>
        <v>0</v>
      </c>
      <c r="P373" t="str">
        <f t="shared" si="62"/>
        <v/>
      </c>
      <c r="Q373" t="str">
        <f>IF(B373="","", IFERROR(VLOOKUP(B373, '基準資産配分（設定）'!$A$2:$C$2001, 3, FALSE), ""))</f>
        <v/>
      </c>
      <c r="R373" t="str">
        <f>IF(B373="","", IFERROR(VLOOKUP(B373, '基準資産配分（設定）'!$A$2:$C$2001, 2, FALSE)/100, 0))</f>
        <v/>
      </c>
      <c r="S373" t="str">
        <f>IF(B373="","", IFERROR(SUMIFS(ベンチマークリターン!$C$2:$C$2001, ベンチマークリターン!$A$2:$A$2001, A373, ベンチマークリターン!$B$2:$B$2001, Q373) / 100, 0))</f>
        <v/>
      </c>
      <c r="T373" t="str">
        <f>IF(A373="","", SUMIFS($H$2:$H$2000, $A$2:$A$2000, A373))</f>
        <v/>
      </c>
      <c r="U373" t="str">
        <f t="shared" si="63"/>
        <v/>
      </c>
      <c r="V373" t="str">
        <f t="shared" si="64"/>
        <v/>
      </c>
      <c r="W373" t="str">
        <f t="shared" si="65"/>
        <v/>
      </c>
    </row>
    <row r="374" spans="1:23" x14ac:dyDescent="0.2">
      <c r="A374" s="4" t="str">
        <f>IF(ポートフォリオ実績!A375="","", ポートフォリオ実績!A375)</f>
        <v/>
      </c>
      <c r="B374" t="str">
        <f>IF(ポートフォリオ実績!B375="","", ポートフォリオ実績!B375)</f>
        <v/>
      </c>
      <c r="C374" s="10" t="str">
        <f>IF(ポートフォリオ実績!C375="","", ポートフォリオ実績!C375)</f>
        <v/>
      </c>
      <c r="D374" s="10" t="str">
        <f>IF(ポートフォリオ実績!D375="","", ポートフォリオ実績!D375)</f>
        <v/>
      </c>
      <c r="E374" s="10" t="str">
        <f>IF(ポートフォリオ実績!E375="","", ポートフォリオ実績!E375)</f>
        <v/>
      </c>
      <c r="F374" s="10" t="str">
        <f>IF(ポートフォリオ実績!F375="","", ポートフォリオ実績!F375)</f>
        <v/>
      </c>
      <c r="G374" t="str">
        <f t="shared" si="55"/>
        <v/>
      </c>
      <c r="H374">
        <f>IF(B374&lt;&gt;"", SUMIFS(ポートフォリオ実績!$D$2:$D$2001, ポートフォリオ実績!$B$2:$B$2001, B374, ポートフォリオ実績!$A$2:$A$2001, G374), 0)</f>
        <v>0</v>
      </c>
      <c r="I374">
        <f>IF(B374&lt;&gt;"", SUMIFS(ポートフォリオ実績!$C$2:$C$2001, ポートフォリオ実績!$B$2:$B$2001, B374, ポートフォリオ実績!$A$2:$A$2001, G374), 0)</f>
        <v>0</v>
      </c>
      <c r="J374">
        <f t="shared" si="56"/>
        <v>0</v>
      </c>
      <c r="K374">
        <f t="shared" si="57"/>
        <v>0</v>
      </c>
      <c r="L374">
        <f t="shared" si="58"/>
        <v>0</v>
      </c>
      <c r="M374">
        <f t="shared" si="59"/>
        <v>0</v>
      </c>
      <c r="N374">
        <f t="shared" si="60"/>
        <v>0</v>
      </c>
      <c r="O374">
        <f t="shared" si="61"/>
        <v>0</v>
      </c>
      <c r="P374" t="str">
        <f t="shared" si="62"/>
        <v/>
      </c>
      <c r="Q374" t="str">
        <f>IF(B374="","", IFERROR(VLOOKUP(B374, '基準資産配分（設定）'!$A$2:$C$2001, 3, FALSE), ""))</f>
        <v/>
      </c>
      <c r="R374" t="str">
        <f>IF(B374="","", IFERROR(VLOOKUP(B374, '基準資産配分（設定）'!$A$2:$C$2001, 2, FALSE)/100, 0))</f>
        <v/>
      </c>
      <c r="S374" t="str">
        <f>IF(B374="","", IFERROR(SUMIFS(ベンチマークリターン!$C$2:$C$2001, ベンチマークリターン!$A$2:$A$2001, A374, ベンチマークリターン!$B$2:$B$2001, Q374) / 100, 0))</f>
        <v/>
      </c>
      <c r="T374" t="str">
        <f>IF(A374="","", SUMIFS($H$2:$H$2000, $A$2:$A$2000, A374))</f>
        <v/>
      </c>
      <c r="U374" t="str">
        <f t="shared" si="63"/>
        <v/>
      </c>
      <c r="V374" t="str">
        <f t="shared" si="64"/>
        <v/>
      </c>
      <c r="W374" t="str">
        <f t="shared" si="65"/>
        <v/>
      </c>
    </row>
    <row r="375" spans="1:23" x14ac:dyDescent="0.2">
      <c r="A375" s="4" t="str">
        <f>IF(ポートフォリオ実績!A376="","", ポートフォリオ実績!A376)</f>
        <v/>
      </c>
      <c r="B375" t="str">
        <f>IF(ポートフォリオ実績!B376="","", ポートフォリオ実績!B376)</f>
        <v/>
      </c>
      <c r="C375" s="10" t="str">
        <f>IF(ポートフォリオ実績!C376="","", ポートフォリオ実績!C376)</f>
        <v/>
      </c>
      <c r="D375" s="10" t="str">
        <f>IF(ポートフォリオ実績!D376="","", ポートフォリオ実績!D376)</f>
        <v/>
      </c>
      <c r="E375" s="10" t="str">
        <f>IF(ポートフォリオ実績!E376="","", ポートフォリオ実績!E376)</f>
        <v/>
      </c>
      <c r="F375" s="10" t="str">
        <f>IF(ポートフォリオ実績!F376="","", ポートフォリオ実績!F376)</f>
        <v/>
      </c>
      <c r="G375" t="str">
        <f t="shared" si="55"/>
        <v/>
      </c>
      <c r="H375">
        <f>IF(B375&lt;&gt;"", SUMIFS(ポートフォリオ実績!$D$2:$D$2001, ポートフォリオ実績!$B$2:$B$2001, B375, ポートフォリオ実績!$A$2:$A$2001, G375), 0)</f>
        <v>0</v>
      </c>
      <c r="I375">
        <f>IF(B375&lt;&gt;"", SUMIFS(ポートフォリオ実績!$C$2:$C$2001, ポートフォリオ実績!$B$2:$B$2001, B375, ポートフォリオ実績!$A$2:$A$2001, G375), 0)</f>
        <v>0</v>
      </c>
      <c r="J375">
        <f t="shared" si="56"/>
        <v>0</v>
      </c>
      <c r="K375">
        <f t="shared" si="57"/>
        <v>0</v>
      </c>
      <c r="L375">
        <f t="shared" si="58"/>
        <v>0</v>
      </c>
      <c r="M375">
        <f t="shared" si="59"/>
        <v>0</v>
      </c>
      <c r="N375">
        <f t="shared" si="60"/>
        <v>0</v>
      </c>
      <c r="O375">
        <f t="shared" si="61"/>
        <v>0</v>
      </c>
      <c r="P375" t="str">
        <f t="shared" si="62"/>
        <v/>
      </c>
      <c r="Q375" t="str">
        <f>IF(B375="","", IFERROR(VLOOKUP(B375, '基準資産配分（設定）'!$A$2:$C$2001, 3, FALSE), ""))</f>
        <v/>
      </c>
      <c r="R375" t="str">
        <f>IF(B375="","", IFERROR(VLOOKUP(B375, '基準資産配分（設定）'!$A$2:$C$2001, 2, FALSE)/100, 0))</f>
        <v/>
      </c>
      <c r="S375" t="str">
        <f>IF(B375="","", IFERROR(SUMIFS(ベンチマークリターン!$C$2:$C$2001, ベンチマークリターン!$A$2:$A$2001, A375, ベンチマークリターン!$B$2:$B$2001, Q375) / 100, 0))</f>
        <v/>
      </c>
      <c r="T375" t="str">
        <f>IF(A375="","", SUMIFS($H$2:$H$2000, $A$2:$A$2000, A375))</f>
        <v/>
      </c>
      <c r="U375" t="str">
        <f t="shared" si="63"/>
        <v/>
      </c>
      <c r="V375" t="str">
        <f t="shared" si="64"/>
        <v/>
      </c>
      <c r="W375" t="str">
        <f t="shared" si="65"/>
        <v/>
      </c>
    </row>
    <row r="376" spans="1:23" x14ac:dyDescent="0.2">
      <c r="A376" s="4" t="str">
        <f>IF(ポートフォリオ実績!A377="","", ポートフォリオ実績!A377)</f>
        <v/>
      </c>
      <c r="B376" t="str">
        <f>IF(ポートフォリオ実績!B377="","", ポートフォリオ実績!B377)</f>
        <v/>
      </c>
      <c r="C376" s="10" t="str">
        <f>IF(ポートフォリオ実績!C377="","", ポートフォリオ実績!C377)</f>
        <v/>
      </c>
      <c r="D376" s="10" t="str">
        <f>IF(ポートフォリオ実績!D377="","", ポートフォリオ実績!D377)</f>
        <v/>
      </c>
      <c r="E376" s="10" t="str">
        <f>IF(ポートフォリオ実績!E377="","", ポートフォリオ実績!E377)</f>
        <v/>
      </c>
      <c r="F376" s="10" t="str">
        <f>IF(ポートフォリオ実績!F377="","", ポートフォリオ実績!F377)</f>
        <v/>
      </c>
      <c r="G376" t="str">
        <f t="shared" si="55"/>
        <v/>
      </c>
      <c r="H376">
        <f>IF(B376&lt;&gt;"", SUMIFS(ポートフォリオ実績!$D$2:$D$2001, ポートフォリオ実績!$B$2:$B$2001, B376, ポートフォリオ実績!$A$2:$A$2001, G376), 0)</f>
        <v>0</v>
      </c>
      <c r="I376">
        <f>IF(B376&lt;&gt;"", SUMIFS(ポートフォリオ実績!$C$2:$C$2001, ポートフォリオ実績!$B$2:$B$2001, B376, ポートフォリオ実績!$A$2:$A$2001, G376), 0)</f>
        <v>0</v>
      </c>
      <c r="J376">
        <f t="shared" si="56"/>
        <v>0</v>
      </c>
      <c r="K376">
        <f t="shared" si="57"/>
        <v>0</v>
      </c>
      <c r="L376">
        <f t="shared" si="58"/>
        <v>0</v>
      </c>
      <c r="M376">
        <f t="shared" si="59"/>
        <v>0</v>
      </c>
      <c r="N376">
        <f t="shared" si="60"/>
        <v>0</v>
      </c>
      <c r="O376">
        <f t="shared" si="61"/>
        <v>0</v>
      </c>
      <c r="P376" t="str">
        <f t="shared" si="62"/>
        <v/>
      </c>
      <c r="Q376" t="str">
        <f>IF(B376="","", IFERROR(VLOOKUP(B376, '基準資産配分（設定）'!$A$2:$C$2001, 3, FALSE), ""))</f>
        <v/>
      </c>
      <c r="R376" t="str">
        <f>IF(B376="","", IFERROR(VLOOKUP(B376, '基準資産配分（設定）'!$A$2:$C$2001, 2, FALSE)/100, 0))</f>
        <v/>
      </c>
      <c r="S376" t="str">
        <f>IF(B376="","", IFERROR(SUMIFS(ベンチマークリターン!$C$2:$C$2001, ベンチマークリターン!$A$2:$A$2001, A376, ベンチマークリターン!$B$2:$B$2001, Q376) / 100, 0))</f>
        <v/>
      </c>
      <c r="T376" t="str">
        <f>IF(A376="","", SUMIFS($H$2:$H$2000, $A$2:$A$2000, A376))</f>
        <v/>
      </c>
      <c r="U376" t="str">
        <f t="shared" si="63"/>
        <v/>
      </c>
      <c r="V376" t="str">
        <f t="shared" si="64"/>
        <v/>
      </c>
      <c r="W376" t="str">
        <f t="shared" si="65"/>
        <v/>
      </c>
    </row>
    <row r="377" spans="1:23" x14ac:dyDescent="0.2">
      <c r="A377" s="4" t="str">
        <f>IF(ポートフォリオ実績!A378="","", ポートフォリオ実績!A378)</f>
        <v/>
      </c>
      <c r="B377" t="str">
        <f>IF(ポートフォリオ実績!B378="","", ポートフォリオ実績!B378)</f>
        <v/>
      </c>
      <c r="C377" s="10" t="str">
        <f>IF(ポートフォリオ実績!C378="","", ポートフォリオ実績!C378)</f>
        <v/>
      </c>
      <c r="D377" s="10" t="str">
        <f>IF(ポートフォリオ実績!D378="","", ポートフォリオ実績!D378)</f>
        <v/>
      </c>
      <c r="E377" s="10" t="str">
        <f>IF(ポートフォリオ実績!E378="","", ポートフォリオ実績!E378)</f>
        <v/>
      </c>
      <c r="F377" s="10" t="str">
        <f>IF(ポートフォリオ実績!F378="","", ポートフォリオ実績!F378)</f>
        <v/>
      </c>
      <c r="G377" t="str">
        <f t="shared" si="55"/>
        <v/>
      </c>
      <c r="H377">
        <f>IF(B377&lt;&gt;"", SUMIFS(ポートフォリオ実績!$D$2:$D$2001, ポートフォリオ実績!$B$2:$B$2001, B377, ポートフォリオ実績!$A$2:$A$2001, G377), 0)</f>
        <v>0</v>
      </c>
      <c r="I377">
        <f>IF(B377&lt;&gt;"", SUMIFS(ポートフォリオ実績!$C$2:$C$2001, ポートフォリオ実績!$B$2:$B$2001, B377, ポートフォリオ実績!$A$2:$A$2001, G377), 0)</f>
        <v>0</v>
      </c>
      <c r="J377">
        <f t="shared" si="56"/>
        <v>0</v>
      </c>
      <c r="K377">
        <f t="shared" si="57"/>
        <v>0</v>
      </c>
      <c r="L377">
        <f t="shared" si="58"/>
        <v>0</v>
      </c>
      <c r="M377">
        <f t="shared" si="59"/>
        <v>0</v>
      </c>
      <c r="N377">
        <f t="shared" si="60"/>
        <v>0</v>
      </c>
      <c r="O377">
        <f t="shared" si="61"/>
        <v>0</v>
      </c>
      <c r="P377" t="str">
        <f t="shared" si="62"/>
        <v/>
      </c>
      <c r="Q377" t="str">
        <f>IF(B377="","", IFERROR(VLOOKUP(B377, '基準資産配分（設定）'!$A$2:$C$2001, 3, FALSE), ""))</f>
        <v/>
      </c>
      <c r="R377" t="str">
        <f>IF(B377="","", IFERROR(VLOOKUP(B377, '基準資産配分（設定）'!$A$2:$C$2001, 2, FALSE)/100, 0))</f>
        <v/>
      </c>
      <c r="S377" t="str">
        <f>IF(B377="","", IFERROR(SUMIFS(ベンチマークリターン!$C$2:$C$2001, ベンチマークリターン!$A$2:$A$2001, A377, ベンチマークリターン!$B$2:$B$2001, Q377) / 100, 0))</f>
        <v/>
      </c>
      <c r="T377" t="str">
        <f>IF(A377="","", SUMIFS($H$2:$H$2000, $A$2:$A$2000, A377))</f>
        <v/>
      </c>
      <c r="U377" t="str">
        <f t="shared" si="63"/>
        <v/>
      </c>
      <c r="V377" t="str">
        <f t="shared" si="64"/>
        <v/>
      </c>
      <c r="W377" t="str">
        <f t="shared" si="65"/>
        <v/>
      </c>
    </row>
    <row r="378" spans="1:23" x14ac:dyDescent="0.2">
      <c r="A378" s="4" t="str">
        <f>IF(ポートフォリオ実績!A379="","", ポートフォリオ実績!A379)</f>
        <v/>
      </c>
      <c r="B378" t="str">
        <f>IF(ポートフォリオ実績!B379="","", ポートフォリオ実績!B379)</f>
        <v/>
      </c>
      <c r="C378" s="10" t="str">
        <f>IF(ポートフォリオ実績!C379="","", ポートフォリオ実績!C379)</f>
        <v/>
      </c>
      <c r="D378" s="10" t="str">
        <f>IF(ポートフォリオ実績!D379="","", ポートフォリオ実績!D379)</f>
        <v/>
      </c>
      <c r="E378" s="10" t="str">
        <f>IF(ポートフォリオ実績!E379="","", ポートフォリオ実績!E379)</f>
        <v/>
      </c>
      <c r="F378" s="10" t="str">
        <f>IF(ポートフォリオ実績!F379="","", ポートフォリオ実績!F379)</f>
        <v/>
      </c>
      <c r="G378" t="str">
        <f t="shared" si="55"/>
        <v/>
      </c>
      <c r="H378">
        <f>IF(B378&lt;&gt;"", SUMIFS(ポートフォリオ実績!$D$2:$D$2001, ポートフォリオ実績!$B$2:$B$2001, B378, ポートフォリオ実績!$A$2:$A$2001, G378), 0)</f>
        <v>0</v>
      </c>
      <c r="I378">
        <f>IF(B378&lt;&gt;"", SUMIFS(ポートフォリオ実績!$C$2:$C$2001, ポートフォリオ実績!$B$2:$B$2001, B378, ポートフォリオ実績!$A$2:$A$2001, G378), 0)</f>
        <v>0</v>
      </c>
      <c r="J378">
        <f t="shared" si="56"/>
        <v>0</v>
      </c>
      <c r="K378">
        <f t="shared" si="57"/>
        <v>0</v>
      </c>
      <c r="L378">
        <f t="shared" si="58"/>
        <v>0</v>
      </c>
      <c r="M378">
        <f t="shared" si="59"/>
        <v>0</v>
      </c>
      <c r="N378">
        <f t="shared" si="60"/>
        <v>0</v>
      </c>
      <c r="O378">
        <f t="shared" si="61"/>
        <v>0</v>
      </c>
      <c r="P378" t="str">
        <f t="shared" si="62"/>
        <v/>
      </c>
      <c r="Q378" t="str">
        <f>IF(B378="","", IFERROR(VLOOKUP(B378, '基準資産配分（設定）'!$A$2:$C$2001, 3, FALSE), ""))</f>
        <v/>
      </c>
      <c r="R378" t="str">
        <f>IF(B378="","", IFERROR(VLOOKUP(B378, '基準資産配分（設定）'!$A$2:$C$2001, 2, FALSE)/100, 0))</f>
        <v/>
      </c>
      <c r="S378" t="str">
        <f>IF(B378="","", IFERROR(SUMIFS(ベンチマークリターン!$C$2:$C$2001, ベンチマークリターン!$A$2:$A$2001, A378, ベンチマークリターン!$B$2:$B$2001, Q378) / 100, 0))</f>
        <v/>
      </c>
      <c r="T378" t="str">
        <f>IF(A378="","", SUMIFS($H$2:$H$2000, $A$2:$A$2000, A378))</f>
        <v/>
      </c>
      <c r="U378" t="str">
        <f t="shared" si="63"/>
        <v/>
      </c>
      <c r="V378" t="str">
        <f t="shared" si="64"/>
        <v/>
      </c>
      <c r="W378" t="str">
        <f t="shared" si="65"/>
        <v/>
      </c>
    </row>
    <row r="379" spans="1:23" x14ac:dyDescent="0.2">
      <c r="A379" s="4" t="str">
        <f>IF(ポートフォリオ実績!A380="","", ポートフォリオ実績!A380)</f>
        <v/>
      </c>
      <c r="B379" t="str">
        <f>IF(ポートフォリオ実績!B380="","", ポートフォリオ実績!B380)</f>
        <v/>
      </c>
      <c r="C379" s="10" t="str">
        <f>IF(ポートフォリオ実績!C380="","", ポートフォリオ実績!C380)</f>
        <v/>
      </c>
      <c r="D379" s="10" t="str">
        <f>IF(ポートフォリオ実績!D380="","", ポートフォリオ実績!D380)</f>
        <v/>
      </c>
      <c r="E379" s="10" t="str">
        <f>IF(ポートフォリオ実績!E380="","", ポートフォリオ実績!E380)</f>
        <v/>
      </c>
      <c r="F379" s="10" t="str">
        <f>IF(ポートフォリオ実績!F380="","", ポートフォリオ実績!F380)</f>
        <v/>
      </c>
      <c r="G379" t="str">
        <f t="shared" si="55"/>
        <v/>
      </c>
      <c r="H379">
        <f>IF(B379&lt;&gt;"", SUMIFS(ポートフォリオ実績!$D$2:$D$2001, ポートフォリオ実績!$B$2:$B$2001, B379, ポートフォリオ実績!$A$2:$A$2001, G379), 0)</f>
        <v>0</v>
      </c>
      <c r="I379">
        <f>IF(B379&lt;&gt;"", SUMIFS(ポートフォリオ実績!$C$2:$C$2001, ポートフォリオ実績!$B$2:$B$2001, B379, ポートフォリオ実績!$A$2:$A$2001, G379), 0)</f>
        <v>0</v>
      </c>
      <c r="J379">
        <f t="shared" si="56"/>
        <v>0</v>
      </c>
      <c r="K379">
        <f t="shared" si="57"/>
        <v>0</v>
      </c>
      <c r="L379">
        <f t="shared" si="58"/>
        <v>0</v>
      </c>
      <c r="M379">
        <f t="shared" si="59"/>
        <v>0</v>
      </c>
      <c r="N379">
        <f t="shared" si="60"/>
        <v>0</v>
      </c>
      <c r="O379">
        <f t="shared" si="61"/>
        <v>0</v>
      </c>
      <c r="P379" t="str">
        <f t="shared" si="62"/>
        <v/>
      </c>
      <c r="Q379" t="str">
        <f>IF(B379="","", IFERROR(VLOOKUP(B379, '基準資産配分（設定）'!$A$2:$C$2001, 3, FALSE), ""))</f>
        <v/>
      </c>
      <c r="R379" t="str">
        <f>IF(B379="","", IFERROR(VLOOKUP(B379, '基準資産配分（設定）'!$A$2:$C$2001, 2, FALSE)/100, 0))</f>
        <v/>
      </c>
      <c r="S379" t="str">
        <f>IF(B379="","", IFERROR(SUMIFS(ベンチマークリターン!$C$2:$C$2001, ベンチマークリターン!$A$2:$A$2001, A379, ベンチマークリターン!$B$2:$B$2001, Q379) / 100, 0))</f>
        <v/>
      </c>
      <c r="T379" t="str">
        <f>IF(A379="","", SUMIFS($H$2:$H$2000, $A$2:$A$2000, A379))</f>
        <v/>
      </c>
      <c r="U379" t="str">
        <f t="shared" si="63"/>
        <v/>
      </c>
      <c r="V379" t="str">
        <f t="shared" si="64"/>
        <v/>
      </c>
      <c r="W379" t="str">
        <f t="shared" si="65"/>
        <v/>
      </c>
    </row>
    <row r="380" spans="1:23" x14ac:dyDescent="0.2">
      <c r="A380" s="4" t="str">
        <f>IF(ポートフォリオ実績!A381="","", ポートフォリオ実績!A381)</f>
        <v/>
      </c>
      <c r="B380" t="str">
        <f>IF(ポートフォリオ実績!B381="","", ポートフォリオ実績!B381)</f>
        <v/>
      </c>
      <c r="C380" s="10" t="str">
        <f>IF(ポートフォリオ実績!C381="","", ポートフォリオ実績!C381)</f>
        <v/>
      </c>
      <c r="D380" s="10" t="str">
        <f>IF(ポートフォリオ実績!D381="","", ポートフォリオ実績!D381)</f>
        <v/>
      </c>
      <c r="E380" s="10" t="str">
        <f>IF(ポートフォリオ実績!E381="","", ポートフォリオ実績!E381)</f>
        <v/>
      </c>
      <c r="F380" s="10" t="str">
        <f>IF(ポートフォリオ実績!F381="","", ポートフォリオ実績!F381)</f>
        <v/>
      </c>
      <c r="G380" t="str">
        <f t="shared" si="55"/>
        <v/>
      </c>
      <c r="H380">
        <f>IF(B380&lt;&gt;"", SUMIFS(ポートフォリオ実績!$D$2:$D$2001, ポートフォリオ実績!$B$2:$B$2001, B380, ポートフォリオ実績!$A$2:$A$2001, G380), 0)</f>
        <v>0</v>
      </c>
      <c r="I380">
        <f>IF(B380&lt;&gt;"", SUMIFS(ポートフォリオ実績!$C$2:$C$2001, ポートフォリオ実績!$B$2:$B$2001, B380, ポートフォリオ実績!$A$2:$A$2001, G380), 0)</f>
        <v>0</v>
      </c>
      <c r="J380">
        <f t="shared" si="56"/>
        <v>0</v>
      </c>
      <c r="K380">
        <f t="shared" si="57"/>
        <v>0</v>
      </c>
      <c r="L380">
        <f t="shared" si="58"/>
        <v>0</v>
      </c>
      <c r="M380">
        <f t="shared" si="59"/>
        <v>0</v>
      </c>
      <c r="N380">
        <f t="shared" si="60"/>
        <v>0</v>
      </c>
      <c r="O380">
        <f t="shared" si="61"/>
        <v>0</v>
      </c>
      <c r="P380" t="str">
        <f t="shared" si="62"/>
        <v/>
      </c>
      <c r="Q380" t="str">
        <f>IF(B380="","", IFERROR(VLOOKUP(B380, '基準資産配分（設定）'!$A$2:$C$2001, 3, FALSE), ""))</f>
        <v/>
      </c>
      <c r="R380" t="str">
        <f>IF(B380="","", IFERROR(VLOOKUP(B380, '基準資産配分（設定）'!$A$2:$C$2001, 2, FALSE)/100, 0))</f>
        <v/>
      </c>
      <c r="S380" t="str">
        <f>IF(B380="","", IFERROR(SUMIFS(ベンチマークリターン!$C$2:$C$2001, ベンチマークリターン!$A$2:$A$2001, A380, ベンチマークリターン!$B$2:$B$2001, Q380) / 100, 0))</f>
        <v/>
      </c>
      <c r="T380" t="str">
        <f>IF(A380="","", SUMIFS($H$2:$H$2000, $A$2:$A$2000, A380))</f>
        <v/>
      </c>
      <c r="U380" t="str">
        <f t="shared" si="63"/>
        <v/>
      </c>
      <c r="V380" t="str">
        <f t="shared" si="64"/>
        <v/>
      </c>
      <c r="W380" t="str">
        <f t="shared" si="65"/>
        <v/>
      </c>
    </row>
    <row r="381" spans="1:23" x14ac:dyDescent="0.2">
      <c r="A381" s="4" t="str">
        <f>IF(ポートフォリオ実績!A382="","", ポートフォリオ実績!A382)</f>
        <v/>
      </c>
      <c r="B381" t="str">
        <f>IF(ポートフォリオ実績!B382="","", ポートフォリオ実績!B382)</f>
        <v/>
      </c>
      <c r="C381" s="10" t="str">
        <f>IF(ポートフォリオ実績!C382="","", ポートフォリオ実績!C382)</f>
        <v/>
      </c>
      <c r="D381" s="10" t="str">
        <f>IF(ポートフォリオ実績!D382="","", ポートフォリオ実績!D382)</f>
        <v/>
      </c>
      <c r="E381" s="10" t="str">
        <f>IF(ポートフォリオ実績!E382="","", ポートフォリオ実績!E382)</f>
        <v/>
      </c>
      <c r="F381" s="10" t="str">
        <f>IF(ポートフォリオ実績!F382="","", ポートフォリオ実績!F382)</f>
        <v/>
      </c>
      <c r="G381" t="str">
        <f t="shared" si="55"/>
        <v/>
      </c>
      <c r="H381">
        <f>IF(B381&lt;&gt;"", SUMIFS(ポートフォリオ実績!$D$2:$D$2001, ポートフォリオ実績!$B$2:$B$2001, B381, ポートフォリオ実績!$A$2:$A$2001, G381), 0)</f>
        <v>0</v>
      </c>
      <c r="I381">
        <f>IF(B381&lt;&gt;"", SUMIFS(ポートフォリオ実績!$C$2:$C$2001, ポートフォリオ実績!$B$2:$B$2001, B381, ポートフォリオ実績!$A$2:$A$2001, G381), 0)</f>
        <v>0</v>
      </c>
      <c r="J381">
        <f t="shared" si="56"/>
        <v>0</v>
      </c>
      <c r="K381">
        <f t="shared" si="57"/>
        <v>0</v>
      </c>
      <c r="L381">
        <f t="shared" si="58"/>
        <v>0</v>
      </c>
      <c r="M381">
        <f t="shared" si="59"/>
        <v>0</v>
      </c>
      <c r="N381">
        <f t="shared" si="60"/>
        <v>0</v>
      </c>
      <c r="O381">
        <f t="shared" si="61"/>
        <v>0</v>
      </c>
      <c r="P381" t="str">
        <f t="shared" si="62"/>
        <v/>
      </c>
      <c r="Q381" t="str">
        <f>IF(B381="","", IFERROR(VLOOKUP(B381, '基準資産配分（設定）'!$A$2:$C$2001, 3, FALSE), ""))</f>
        <v/>
      </c>
      <c r="R381" t="str">
        <f>IF(B381="","", IFERROR(VLOOKUP(B381, '基準資産配分（設定）'!$A$2:$C$2001, 2, FALSE)/100, 0))</f>
        <v/>
      </c>
      <c r="S381" t="str">
        <f>IF(B381="","", IFERROR(SUMIFS(ベンチマークリターン!$C$2:$C$2001, ベンチマークリターン!$A$2:$A$2001, A381, ベンチマークリターン!$B$2:$B$2001, Q381) / 100, 0))</f>
        <v/>
      </c>
      <c r="T381" t="str">
        <f>IF(A381="","", SUMIFS($H$2:$H$2000, $A$2:$A$2000, A381))</f>
        <v/>
      </c>
      <c r="U381" t="str">
        <f t="shared" si="63"/>
        <v/>
      </c>
      <c r="V381" t="str">
        <f t="shared" si="64"/>
        <v/>
      </c>
      <c r="W381" t="str">
        <f t="shared" si="65"/>
        <v/>
      </c>
    </row>
    <row r="382" spans="1:23" x14ac:dyDescent="0.2">
      <c r="A382" s="4" t="str">
        <f>IF(ポートフォリオ実績!A383="","", ポートフォリオ実績!A383)</f>
        <v/>
      </c>
      <c r="B382" t="str">
        <f>IF(ポートフォリオ実績!B383="","", ポートフォリオ実績!B383)</f>
        <v/>
      </c>
      <c r="C382" s="10" t="str">
        <f>IF(ポートフォリオ実績!C383="","", ポートフォリオ実績!C383)</f>
        <v/>
      </c>
      <c r="D382" s="10" t="str">
        <f>IF(ポートフォリオ実績!D383="","", ポートフォリオ実績!D383)</f>
        <v/>
      </c>
      <c r="E382" s="10" t="str">
        <f>IF(ポートフォリオ実績!E383="","", ポートフォリオ実績!E383)</f>
        <v/>
      </c>
      <c r="F382" s="10" t="str">
        <f>IF(ポートフォリオ実績!F383="","", ポートフォリオ実績!F383)</f>
        <v/>
      </c>
      <c r="G382" t="str">
        <f t="shared" si="55"/>
        <v/>
      </c>
      <c r="H382">
        <f>IF(B382&lt;&gt;"", SUMIFS(ポートフォリオ実績!$D$2:$D$2001, ポートフォリオ実績!$B$2:$B$2001, B382, ポートフォリオ実績!$A$2:$A$2001, G382), 0)</f>
        <v>0</v>
      </c>
      <c r="I382">
        <f>IF(B382&lt;&gt;"", SUMIFS(ポートフォリオ実績!$C$2:$C$2001, ポートフォリオ実績!$B$2:$B$2001, B382, ポートフォリオ実績!$A$2:$A$2001, G382), 0)</f>
        <v>0</v>
      </c>
      <c r="J382">
        <f t="shared" si="56"/>
        <v>0</v>
      </c>
      <c r="K382">
        <f t="shared" si="57"/>
        <v>0</v>
      </c>
      <c r="L382">
        <f t="shared" si="58"/>
        <v>0</v>
      </c>
      <c r="M382">
        <f t="shared" si="59"/>
        <v>0</v>
      </c>
      <c r="N382">
        <f t="shared" si="60"/>
        <v>0</v>
      </c>
      <c r="O382">
        <f t="shared" si="61"/>
        <v>0</v>
      </c>
      <c r="P382" t="str">
        <f t="shared" si="62"/>
        <v/>
      </c>
      <c r="Q382" t="str">
        <f>IF(B382="","", IFERROR(VLOOKUP(B382, '基準資産配分（設定）'!$A$2:$C$2001, 3, FALSE), ""))</f>
        <v/>
      </c>
      <c r="R382" t="str">
        <f>IF(B382="","", IFERROR(VLOOKUP(B382, '基準資産配分（設定）'!$A$2:$C$2001, 2, FALSE)/100, 0))</f>
        <v/>
      </c>
      <c r="S382" t="str">
        <f>IF(B382="","", IFERROR(SUMIFS(ベンチマークリターン!$C$2:$C$2001, ベンチマークリターン!$A$2:$A$2001, A382, ベンチマークリターン!$B$2:$B$2001, Q382) / 100, 0))</f>
        <v/>
      </c>
      <c r="T382" t="str">
        <f>IF(A382="","", SUMIFS($H$2:$H$2000, $A$2:$A$2000, A382))</f>
        <v/>
      </c>
      <c r="U382" t="str">
        <f t="shared" si="63"/>
        <v/>
      </c>
      <c r="V382" t="str">
        <f t="shared" si="64"/>
        <v/>
      </c>
      <c r="W382" t="str">
        <f t="shared" si="65"/>
        <v/>
      </c>
    </row>
    <row r="383" spans="1:23" x14ac:dyDescent="0.2">
      <c r="A383" s="4" t="str">
        <f>IF(ポートフォリオ実績!A384="","", ポートフォリオ実績!A384)</f>
        <v/>
      </c>
      <c r="B383" t="str">
        <f>IF(ポートフォリオ実績!B384="","", ポートフォリオ実績!B384)</f>
        <v/>
      </c>
      <c r="C383" s="10" t="str">
        <f>IF(ポートフォリオ実績!C384="","", ポートフォリオ実績!C384)</f>
        <v/>
      </c>
      <c r="D383" s="10" t="str">
        <f>IF(ポートフォリオ実績!D384="","", ポートフォリオ実績!D384)</f>
        <v/>
      </c>
      <c r="E383" s="10" t="str">
        <f>IF(ポートフォリオ実績!E384="","", ポートフォリオ実績!E384)</f>
        <v/>
      </c>
      <c r="F383" s="10" t="str">
        <f>IF(ポートフォリオ実績!F384="","", ポートフォリオ実績!F384)</f>
        <v/>
      </c>
      <c r="G383" t="str">
        <f t="shared" si="55"/>
        <v/>
      </c>
      <c r="H383">
        <f>IF(B383&lt;&gt;"", SUMIFS(ポートフォリオ実績!$D$2:$D$2001, ポートフォリオ実績!$B$2:$B$2001, B383, ポートフォリオ実績!$A$2:$A$2001, G383), 0)</f>
        <v>0</v>
      </c>
      <c r="I383">
        <f>IF(B383&lt;&gt;"", SUMIFS(ポートフォリオ実績!$C$2:$C$2001, ポートフォリオ実績!$B$2:$B$2001, B383, ポートフォリオ実績!$A$2:$A$2001, G383), 0)</f>
        <v>0</v>
      </c>
      <c r="J383">
        <f t="shared" si="56"/>
        <v>0</v>
      </c>
      <c r="K383">
        <f t="shared" si="57"/>
        <v>0</v>
      </c>
      <c r="L383">
        <f t="shared" si="58"/>
        <v>0</v>
      </c>
      <c r="M383">
        <f t="shared" si="59"/>
        <v>0</v>
      </c>
      <c r="N383">
        <f t="shared" si="60"/>
        <v>0</v>
      </c>
      <c r="O383">
        <f t="shared" si="61"/>
        <v>0</v>
      </c>
      <c r="P383" t="str">
        <f t="shared" si="62"/>
        <v/>
      </c>
      <c r="Q383" t="str">
        <f>IF(B383="","", IFERROR(VLOOKUP(B383, '基準資産配分（設定）'!$A$2:$C$2001, 3, FALSE), ""))</f>
        <v/>
      </c>
      <c r="R383" t="str">
        <f>IF(B383="","", IFERROR(VLOOKUP(B383, '基準資産配分（設定）'!$A$2:$C$2001, 2, FALSE)/100, 0))</f>
        <v/>
      </c>
      <c r="S383" t="str">
        <f>IF(B383="","", IFERROR(SUMIFS(ベンチマークリターン!$C$2:$C$2001, ベンチマークリターン!$A$2:$A$2001, A383, ベンチマークリターン!$B$2:$B$2001, Q383) / 100, 0))</f>
        <v/>
      </c>
      <c r="T383" t="str">
        <f>IF(A383="","", SUMIFS($H$2:$H$2000, $A$2:$A$2000, A383))</f>
        <v/>
      </c>
      <c r="U383" t="str">
        <f t="shared" si="63"/>
        <v/>
      </c>
      <c r="V383" t="str">
        <f t="shared" si="64"/>
        <v/>
      </c>
      <c r="W383" t="str">
        <f t="shared" si="65"/>
        <v/>
      </c>
    </row>
    <row r="384" spans="1:23" x14ac:dyDescent="0.2">
      <c r="A384" s="4" t="str">
        <f>IF(ポートフォリオ実績!A385="","", ポートフォリオ実績!A385)</f>
        <v/>
      </c>
      <c r="B384" t="str">
        <f>IF(ポートフォリオ実績!B385="","", ポートフォリオ実績!B385)</f>
        <v/>
      </c>
      <c r="C384" s="10" t="str">
        <f>IF(ポートフォリオ実績!C385="","", ポートフォリオ実績!C385)</f>
        <v/>
      </c>
      <c r="D384" s="10" t="str">
        <f>IF(ポートフォリオ実績!D385="","", ポートフォリオ実績!D385)</f>
        <v/>
      </c>
      <c r="E384" s="10" t="str">
        <f>IF(ポートフォリオ実績!E385="","", ポートフォリオ実績!E385)</f>
        <v/>
      </c>
      <c r="F384" s="10" t="str">
        <f>IF(ポートフォリオ実績!F385="","", ポートフォリオ実績!F385)</f>
        <v/>
      </c>
      <c r="G384" t="str">
        <f t="shared" si="55"/>
        <v/>
      </c>
      <c r="H384">
        <f>IF(B384&lt;&gt;"", SUMIFS(ポートフォリオ実績!$D$2:$D$2001, ポートフォリオ実績!$B$2:$B$2001, B384, ポートフォリオ実績!$A$2:$A$2001, G384), 0)</f>
        <v>0</v>
      </c>
      <c r="I384">
        <f>IF(B384&lt;&gt;"", SUMIFS(ポートフォリオ実績!$C$2:$C$2001, ポートフォリオ実績!$B$2:$B$2001, B384, ポートフォリオ実績!$A$2:$A$2001, G384), 0)</f>
        <v>0</v>
      </c>
      <c r="J384">
        <f t="shared" si="56"/>
        <v>0</v>
      </c>
      <c r="K384">
        <f t="shared" si="57"/>
        <v>0</v>
      </c>
      <c r="L384">
        <f t="shared" si="58"/>
        <v>0</v>
      </c>
      <c r="M384">
        <f t="shared" si="59"/>
        <v>0</v>
      </c>
      <c r="N384">
        <f t="shared" si="60"/>
        <v>0</v>
      </c>
      <c r="O384">
        <f t="shared" si="61"/>
        <v>0</v>
      </c>
      <c r="P384" t="str">
        <f t="shared" si="62"/>
        <v/>
      </c>
      <c r="Q384" t="str">
        <f>IF(B384="","", IFERROR(VLOOKUP(B384, '基準資産配分（設定）'!$A$2:$C$2001, 3, FALSE), ""))</f>
        <v/>
      </c>
      <c r="R384" t="str">
        <f>IF(B384="","", IFERROR(VLOOKUP(B384, '基準資産配分（設定）'!$A$2:$C$2001, 2, FALSE)/100, 0))</f>
        <v/>
      </c>
      <c r="S384" t="str">
        <f>IF(B384="","", IFERROR(SUMIFS(ベンチマークリターン!$C$2:$C$2001, ベンチマークリターン!$A$2:$A$2001, A384, ベンチマークリターン!$B$2:$B$2001, Q384) / 100, 0))</f>
        <v/>
      </c>
      <c r="T384" t="str">
        <f>IF(A384="","", SUMIFS($H$2:$H$2000, $A$2:$A$2000, A384))</f>
        <v/>
      </c>
      <c r="U384" t="str">
        <f t="shared" si="63"/>
        <v/>
      </c>
      <c r="V384" t="str">
        <f t="shared" si="64"/>
        <v/>
      </c>
      <c r="W384" t="str">
        <f t="shared" si="65"/>
        <v/>
      </c>
    </row>
    <row r="385" spans="1:23" x14ac:dyDescent="0.2">
      <c r="A385" s="4" t="str">
        <f>IF(ポートフォリオ実績!A386="","", ポートフォリオ実績!A386)</f>
        <v/>
      </c>
      <c r="B385" t="str">
        <f>IF(ポートフォリオ実績!B386="","", ポートフォリオ実績!B386)</f>
        <v/>
      </c>
      <c r="C385" s="10" t="str">
        <f>IF(ポートフォリオ実績!C386="","", ポートフォリオ実績!C386)</f>
        <v/>
      </c>
      <c r="D385" s="10" t="str">
        <f>IF(ポートフォリオ実績!D386="","", ポートフォリオ実績!D386)</f>
        <v/>
      </c>
      <c r="E385" s="10" t="str">
        <f>IF(ポートフォリオ実績!E386="","", ポートフォリオ実績!E386)</f>
        <v/>
      </c>
      <c r="F385" s="10" t="str">
        <f>IF(ポートフォリオ実績!F386="","", ポートフォリオ実績!F386)</f>
        <v/>
      </c>
      <c r="G385" t="str">
        <f t="shared" ref="G385:G448" si="66">IF(A385&lt;&gt;"", EOMONTH(A385, -1), "")</f>
        <v/>
      </c>
      <c r="H385">
        <f>IF(B385&lt;&gt;"", SUMIFS(ポートフォリオ実績!$D$2:$D$2001, ポートフォリオ実績!$B$2:$B$2001, B385, ポートフォリオ実績!$A$2:$A$2001, G385), 0)</f>
        <v>0</v>
      </c>
      <c r="I385">
        <f>IF(B385&lt;&gt;"", SUMIFS(ポートフォリオ実績!$C$2:$C$2001, ポートフォリオ実績!$B$2:$B$2001, B385, ポートフォリオ実績!$A$2:$A$2001, G385), 0)</f>
        <v>0</v>
      </c>
      <c r="J385">
        <f t="shared" ref="J385:J448" si="67">IF(A385&lt;&gt;"", D385-C385, 0)</f>
        <v>0</v>
      </c>
      <c r="K385">
        <f t="shared" ref="K385:K448" si="68">IF(A385&lt;&gt;"", H385-I385, 0)</f>
        <v>0</v>
      </c>
      <c r="L385">
        <f t="shared" ref="L385:L448" si="69">IF(H385=0, 0, J385-K385)</f>
        <v>0</v>
      </c>
      <c r="M385">
        <f t="shared" ref="M385:M448" si="70">IF(A385&lt;&gt;"", E385+F385+L385, 0)</f>
        <v>0</v>
      </c>
      <c r="N385">
        <f t="shared" ref="N385:N448" si="71">IF(H385=0, 0, (D385-H385)-M385)</f>
        <v>0</v>
      </c>
      <c r="O385">
        <f t="shared" ref="O385:O448" si="72">IF(A385&lt;&gt;"", H385+N385*0.5, 0)</f>
        <v>0</v>
      </c>
      <c r="P385" t="str">
        <f t="shared" ref="P385:P448" si="73">IF(A385="","", IF(O385&gt;0.000001, M385/O385, IF(ABS(M385)&lt;0.000001, 0, 0)))</f>
        <v/>
      </c>
      <c r="Q385" t="str">
        <f>IF(B385="","", IFERROR(VLOOKUP(B385, '基準資産配分（設定）'!$A$2:$C$2001, 3, FALSE), ""))</f>
        <v/>
      </c>
      <c r="R385" t="str">
        <f>IF(B385="","", IFERROR(VLOOKUP(B385, '基準資産配分（設定）'!$A$2:$C$2001, 2, FALSE)/100, 0))</f>
        <v/>
      </c>
      <c r="S385" t="str">
        <f>IF(B385="","", IFERROR(SUMIFS(ベンチマークリターン!$C$2:$C$2001, ベンチマークリターン!$A$2:$A$2001, A385, ベンチマークリターン!$B$2:$B$2001, Q385) / 100, 0))</f>
        <v/>
      </c>
      <c r="T385" t="str">
        <f>IF(A385="","", SUMIFS($H$2:$H$2000, $A$2:$A$2000, A385))</f>
        <v/>
      </c>
      <c r="U385" t="str">
        <f t="shared" ref="U385:U448" si="74">IF(A385="","", IFERROR(H385/T385, 0))</f>
        <v/>
      </c>
      <c r="V385" t="str">
        <f t="shared" ref="V385:V448" si="75">IF(A385="","", U385*P385)</f>
        <v/>
      </c>
      <c r="W385" t="str">
        <f t="shared" ref="W385:W448" si="76">IF(A385="","", R385*S385)</f>
        <v/>
      </c>
    </row>
    <row r="386" spans="1:23" x14ac:dyDescent="0.2">
      <c r="A386" s="4" t="str">
        <f>IF(ポートフォリオ実績!A387="","", ポートフォリオ実績!A387)</f>
        <v/>
      </c>
      <c r="B386" t="str">
        <f>IF(ポートフォリオ実績!B387="","", ポートフォリオ実績!B387)</f>
        <v/>
      </c>
      <c r="C386" s="10" t="str">
        <f>IF(ポートフォリオ実績!C387="","", ポートフォリオ実績!C387)</f>
        <v/>
      </c>
      <c r="D386" s="10" t="str">
        <f>IF(ポートフォリオ実績!D387="","", ポートフォリオ実績!D387)</f>
        <v/>
      </c>
      <c r="E386" s="10" t="str">
        <f>IF(ポートフォリオ実績!E387="","", ポートフォリオ実績!E387)</f>
        <v/>
      </c>
      <c r="F386" s="10" t="str">
        <f>IF(ポートフォリオ実績!F387="","", ポートフォリオ実績!F387)</f>
        <v/>
      </c>
      <c r="G386" t="str">
        <f t="shared" si="66"/>
        <v/>
      </c>
      <c r="H386">
        <f>IF(B386&lt;&gt;"", SUMIFS(ポートフォリオ実績!$D$2:$D$2001, ポートフォリオ実績!$B$2:$B$2001, B386, ポートフォリオ実績!$A$2:$A$2001, G386), 0)</f>
        <v>0</v>
      </c>
      <c r="I386">
        <f>IF(B386&lt;&gt;"", SUMIFS(ポートフォリオ実績!$C$2:$C$2001, ポートフォリオ実績!$B$2:$B$2001, B386, ポートフォリオ実績!$A$2:$A$2001, G386), 0)</f>
        <v>0</v>
      </c>
      <c r="J386">
        <f t="shared" si="67"/>
        <v>0</v>
      </c>
      <c r="K386">
        <f t="shared" si="68"/>
        <v>0</v>
      </c>
      <c r="L386">
        <f t="shared" si="69"/>
        <v>0</v>
      </c>
      <c r="M386">
        <f t="shared" si="70"/>
        <v>0</v>
      </c>
      <c r="N386">
        <f t="shared" si="71"/>
        <v>0</v>
      </c>
      <c r="O386">
        <f t="shared" si="72"/>
        <v>0</v>
      </c>
      <c r="P386" t="str">
        <f t="shared" si="73"/>
        <v/>
      </c>
      <c r="Q386" t="str">
        <f>IF(B386="","", IFERROR(VLOOKUP(B386, '基準資産配分（設定）'!$A$2:$C$2001, 3, FALSE), ""))</f>
        <v/>
      </c>
      <c r="R386" t="str">
        <f>IF(B386="","", IFERROR(VLOOKUP(B386, '基準資産配分（設定）'!$A$2:$C$2001, 2, FALSE)/100, 0))</f>
        <v/>
      </c>
      <c r="S386" t="str">
        <f>IF(B386="","", IFERROR(SUMIFS(ベンチマークリターン!$C$2:$C$2001, ベンチマークリターン!$A$2:$A$2001, A386, ベンチマークリターン!$B$2:$B$2001, Q386) / 100, 0))</f>
        <v/>
      </c>
      <c r="T386" t="str">
        <f>IF(A386="","", SUMIFS($H$2:$H$2000, $A$2:$A$2000, A386))</f>
        <v/>
      </c>
      <c r="U386" t="str">
        <f t="shared" si="74"/>
        <v/>
      </c>
      <c r="V386" t="str">
        <f t="shared" si="75"/>
        <v/>
      </c>
      <c r="W386" t="str">
        <f t="shared" si="76"/>
        <v/>
      </c>
    </row>
    <row r="387" spans="1:23" x14ac:dyDescent="0.2">
      <c r="A387" s="4" t="str">
        <f>IF(ポートフォリオ実績!A388="","", ポートフォリオ実績!A388)</f>
        <v/>
      </c>
      <c r="B387" t="str">
        <f>IF(ポートフォリオ実績!B388="","", ポートフォリオ実績!B388)</f>
        <v/>
      </c>
      <c r="C387" s="10" t="str">
        <f>IF(ポートフォリオ実績!C388="","", ポートフォリオ実績!C388)</f>
        <v/>
      </c>
      <c r="D387" s="10" t="str">
        <f>IF(ポートフォリオ実績!D388="","", ポートフォリオ実績!D388)</f>
        <v/>
      </c>
      <c r="E387" s="10" t="str">
        <f>IF(ポートフォリオ実績!E388="","", ポートフォリオ実績!E388)</f>
        <v/>
      </c>
      <c r="F387" s="10" t="str">
        <f>IF(ポートフォリオ実績!F388="","", ポートフォリオ実績!F388)</f>
        <v/>
      </c>
      <c r="G387" t="str">
        <f t="shared" si="66"/>
        <v/>
      </c>
      <c r="H387">
        <f>IF(B387&lt;&gt;"", SUMIFS(ポートフォリオ実績!$D$2:$D$2001, ポートフォリオ実績!$B$2:$B$2001, B387, ポートフォリオ実績!$A$2:$A$2001, G387), 0)</f>
        <v>0</v>
      </c>
      <c r="I387">
        <f>IF(B387&lt;&gt;"", SUMIFS(ポートフォリオ実績!$C$2:$C$2001, ポートフォリオ実績!$B$2:$B$2001, B387, ポートフォリオ実績!$A$2:$A$2001, G387), 0)</f>
        <v>0</v>
      </c>
      <c r="J387">
        <f t="shared" si="67"/>
        <v>0</v>
      </c>
      <c r="K387">
        <f t="shared" si="68"/>
        <v>0</v>
      </c>
      <c r="L387">
        <f t="shared" si="69"/>
        <v>0</v>
      </c>
      <c r="M387">
        <f t="shared" si="70"/>
        <v>0</v>
      </c>
      <c r="N387">
        <f t="shared" si="71"/>
        <v>0</v>
      </c>
      <c r="O387">
        <f t="shared" si="72"/>
        <v>0</v>
      </c>
      <c r="P387" t="str">
        <f t="shared" si="73"/>
        <v/>
      </c>
      <c r="Q387" t="str">
        <f>IF(B387="","", IFERROR(VLOOKUP(B387, '基準資産配分（設定）'!$A$2:$C$2001, 3, FALSE), ""))</f>
        <v/>
      </c>
      <c r="R387" t="str">
        <f>IF(B387="","", IFERROR(VLOOKUP(B387, '基準資産配分（設定）'!$A$2:$C$2001, 2, FALSE)/100, 0))</f>
        <v/>
      </c>
      <c r="S387" t="str">
        <f>IF(B387="","", IFERROR(SUMIFS(ベンチマークリターン!$C$2:$C$2001, ベンチマークリターン!$A$2:$A$2001, A387, ベンチマークリターン!$B$2:$B$2001, Q387) / 100, 0))</f>
        <v/>
      </c>
      <c r="T387" t="str">
        <f>IF(A387="","", SUMIFS($H$2:$H$2000, $A$2:$A$2000, A387))</f>
        <v/>
      </c>
      <c r="U387" t="str">
        <f t="shared" si="74"/>
        <v/>
      </c>
      <c r="V387" t="str">
        <f t="shared" si="75"/>
        <v/>
      </c>
      <c r="W387" t="str">
        <f t="shared" si="76"/>
        <v/>
      </c>
    </row>
    <row r="388" spans="1:23" x14ac:dyDescent="0.2">
      <c r="A388" s="4" t="str">
        <f>IF(ポートフォリオ実績!A389="","", ポートフォリオ実績!A389)</f>
        <v/>
      </c>
      <c r="B388" t="str">
        <f>IF(ポートフォリオ実績!B389="","", ポートフォリオ実績!B389)</f>
        <v/>
      </c>
      <c r="C388" s="10" t="str">
        <f>IF(ポートフォリオ実績!C389="","", ポートフォリオ実績!C389)</f>
        <v/>
      </c>
      <c r="D388" s="10" t="str">
        <f>IF(ポートフォリオ実績!D389="","", ポートフォリオ実績!D389)</f>
        <v/>
      </c>
      <c r="E388" s="10" t="str">
        <f>IF(ポートフォリオ実績!E389="","", ポートフォリオ実績!E389)</f>
        <v/>
      </c>
      <c r="F388" s="10" t="str">
        <f>IF(ポートフォリオ実績!F389="","", ポートフォリオ実績!F389)</f>
        <v/>
      </c>
      <c r="G388" t="str">
        <f t="shared" si="66"/>
        <v/>
      </c>
      <c r="H388">
        <f>IF(B388&lt;&gt;"", SUMIFS(ポートフォリオ実績!$D$2:$D$2001, ポートフォリオ実績!$B$2:$B$2001, B388, ポートフォリオ実績!$A$2:$A$2001, G388), 0)</f>
        <v>0</v>
      </c>
      <c r="I388">
        <f>IF(B388&lt;&gt;"", SUMIFS(ポートフォリオ実績!$C$2:$C$2001, ポートフォリオ実績!$B$2:$B$2001, B388, ポートフォリオ実績!$A$2:$A$2001, G388), 0)</f>
        <v>0</v>
      </c>
      <c r="J388">
        <f t="shared" si="67"/>
        <v>0</v>
      </c>
      <c r="K388">
        <f t="shared" si="68"/>
        <v>0</v>
      </c>
      <c r="L388">
        <f t="shared" si="69"/>
        <v>0</v>
      </c>
      <c r="M388">
        <f t="shared" si="70"/>
        <v>0</v>
      </c>
      <c r="N388">
        <f t="shared" si="71"/>
        <v>0</v>
      </c>
      <c r="O388">
        <f t="shared" si="72"/>
        <v>0</v>
      </c>
      <c r="P388" t="str">
        <f t="shared" si="73"/>
        <v/>
      </c>
      <c r="Q388" t="str">
        <f>IF(B388="","", IFERROR(VLOOKUP(B388, '基準資産配分（設定）'!$A$2:$C$2001, 3, FALSE), ""))</f>
        <v/>
      </c>
      <c r="R388" t="str">
        <f>IF(B388="","", IFERROR(VLOOKUP(B388, '基準資産配分（設定）'!$A$2:$C$2001, 2, FALSE)/100, 0))</f>
        <v/>
      </c>
      <c r="S388" t="str">
        <f>IF(B388="","", IFERROR(SUMIFS(ベンチマークリターン!$C$2:$C$2001, ベンチマークリターン!$A$2:$A$2001, A388, ベンチマークリターン!$B$2:$B$2001, Q388) / 100, 0))</f>
        <v/>
      </c>
      <c r="T388" t="str">
        <f>IF(A388="","", SUMIFS($H$2:$H$2000, $A$2:$A$2000, A388))</f>
        <v/>
      </c>
      <c r="U388" t="str">
        <f t="shared" si="74"/>
        <v/>
      </c>
      <c r="V388" t="str">
        <f t="shared" si="75"/>
        <v/>
      </c>
      <c r="W388" t="str">
        <f t="shared" si="76"/>
        <v/>
      </c>
    </row>
    <row r="389" spans="1:23" x14ac:dyDescent="0.2">
      <c r="A389" s="4" t="str">
        <f>IF(ポートフォリオ実績!A390="","", ポートフォリオ実績!A390)</f>
        <v/>
      </c>
      <c r="B389" t="str">
        <f>IF(ポートフォリオ実績!B390="","", ポートフォリオ実績!B390)</f>
        <v/>
      </c>
      <c r="C389" s="10" t="str">
        <f>IF(ポートフォリオ実績!C390="","", ポートフォリオ実績!C390)</f>
        <v/>
      </c>
      <c r="D389" s="10" t="str">
        <f>IF(ポートフォリオ実績!D390="","", ポートフォリオ実績!D390)</f>
        <v/>
      </c>
      <c r="E389" s="10" t="str">
        <f>IF(ポートフォリオ実績!E390="","", ポートフォリオ実績!E390)</f>
        <v/>
      </c>
      <c r="F389" s="10" t="str">
        <f>IF(ポートフォリオ実績!F390="","", ポートフォリオ実績!F390)</f>
        <v/>
      </c>
      <c r="G389" t="str">
        <f t="shared" si="66"/>
        <v/>
      </c>
      <c r="H389">
        <f>IF(B389&lt;&gt;"", SUMIFS(ポートフォリオ実績!$D$2:$D$2001, ポートフォリオ実績!$B$2:$B$2001, B389, ポートフォリオ実績!$A$2:$A$2001, G389), 0)</f>
        <v>0</v>
      </c>
      <c r="I389">
        <f>IF(B389&lt;&gt;"", SUMIFS(ポートフォリオ実績!$C$2:$C$2001, ポートフォリオ実績!$B$2:$B$2001, B389, ポートフォリオ実績!$A$2:$A$2001, G389), 0)</f>
        <v>0</v>
      </c>
      <c r="J389">
        <f t="shared" si="67"/>
        <v>0</v>
      </c>
      <c r="K389">
        <f t="shared" si="68"/>
        <v>0</v>
      </c>
      <c r="L389">
        <f t="shared" si="69"/>
        <v>0</v>
      </c>
      <c r="M389">
        <f t="shared" si="70"/>
        <v>0</v>
      </c>
      <c r="N389">
        <f t="shared" si="71"/>
        <v>0</v>
      </c>
      <c r="O389">
        <f t="shared" si="72"/>
        <v>0</v>
      </c>
      <c r="P389" t="str">
        <f t="shared" si="73"/>
        <v/>
      </c>
      <c r="Q389" t="str">
        <f>IF(B389="","", IFERROR(VLOOKUP(B389, '基準資産配分（設定）'!$A$2:$C$2001, 3, FALSE), ""))</f>
        <v/>
      </c>
      <c r="R389" t="str">
        <f>IF(B389="","", IFERROR(VLOOKUP(B389, '基準資産配分（設定）'!$A$2:$C$2001, 2, FALSE)/100, 0))</f>
        <v/>
      </c>
      <c r="S389" t="str">
        <f>IF(B389="","", IFERROR(SUMIFS(ベンチマークリターン!$C$2:$C$2001, ベンチマークリターン!$A$2:$A$2001, A389, ベンチマークリターン!$B$2:$B$2001, Q389) / 100, 0))</f>
        <v/>
      </c>
      <c r="T389" t="str">
        <f>IF(A389="","", SUMIFS($H$2:$H$2000, $A$2:$A$2000, A389))</f>
        <v/>
      </c>
      <c r="U389" t="str">
        <f t="shared" si="74"/>
        <v/>
      </c>
      <c r="V389" t="str">
        <f t="shared" si="75"/>
        <v/>
      </c>
      <c r="W389" t="str">
        <f t="shared" si="76"/>
        <v/>
      </c>
    </row>
    <row r="390" spans="1:23" x14ac:dyDescent="0.2">
      <c r="A390" s="4" t="str">
        <f>IF(ポートフォリオ実績!A391="","", ポートフォリオ実績!A391)</f>
        <v/>
      </c>
      <c r="B390" t="str">
        <f>IF(ポートフォリオ実績!B391="","", ポートフォリオ実績!B391)</f>
        <v/>
      </c>
      <c r="C390" s="10" t="str">
        <f>IF(ポートフォリオ実績!C391="","", ポートフォリオ実績!C391)</f>
        <v/>
      </c>
      <c r="D390" s="10" t="str">
        <f>IF(ポートフォリオ実績!D391="","", ポートフォリオ実績!D391)</f>
        <v/>
      </c>
      <c r="E390" s="10" t="str">
        <f>IF(ポートフォリオ実績!E391="","", ポートフォリオ実績!E391)</f>
        <v/>
      </c>
      <c r="F390" s="10" t="str">
        <f>IF(ポートフォリオ実績!F391="","", ポートフォリオ実績!F391)</f>
        <v/>
      </c>
      <c r="G390" t="str">
        <f t="shared" si="66"/>
        <v/>
      </c>
      <c r="H390">
        <f>IF(B390&lt;&gt;"", SUMIFS(ポートフォリオ実績!$D$2:$D$2001, ポートフォリオ実績!$B$2:$B$2001, B390, ポートフォリオ実績!$A$2:$A$2001, G390), 0)</f>
        <v>0</v>
      </c>
      <c r="I390">
        <f>IF(B390&lt;&gt;"", SUMIFS(ポートフォリオ実績!$C$2:$C$2001, ポートフォリオ実績!$B$2:$B$2001, B390, ポートフォリオ実績!$A$2:$A$2001, G390), 0)</f>
        <v>0</v>
      </c>
      <c r="J390">
        <f t="shared" si="67"/>
        <v>0</v>
      </c>
      <c r="K390">
        <f t="shared" si="68"/>
        <v>0</v>
      </c>
      <c r="L390">
        <f t="shared" si="69"/>
        <v>0</v>
      </c>
      <c r="M390">
        <f t="shared" si="70"/>
        <v>0</v>
      </c>
      <c r="N390">
        <f t="shared" si="71"/>
        <v>0</v>
      </c>
      <c r="O390">
        <f t="shared" si="72"/>
        <v>0</v>
      </c>
      <c r="P390" t="str">
        <f t="shared" si="73"/>
        <v/>
      </c>
      <c r="Q390" t="str">
        <f>IF(B390="","", IFERROR(VLOOKUP(B390, '基準資産配分（設定）'!$A$2:$C$2001, 3, FALSE), ""))</f>
        <v/>
      </c>
      <c r="R390" t="str">
        <f>IF(B390="","", IFERROR(VLOOKUP(B390, '基準資産配分（設定）'!$A$2:$C$2001, 2, FALSE)/100, 0))</f>
        <v/>
      </c>
      <c r="S390" t="str">
        <f>IF(B390="","", IFERROR(SUMIFS(ベンチマークリターン!$C$2:$C$2001, ベンチマークリターン!$A$2:$A$2001, A390, ベンチマークリターン!$B$2:$B$2001, Q390) / 100, 0))</f>
        <v/>
      </c>
      <c r="T390" t="str">
        <f>IF(A390="","", SUMIFS($H$2:$H$2000, $A$2:$A$2000, A390))</f>
        <v/>
      </c>
      <c r="U390" t="str">
        <f t="shared" si="74"/>
        <v/>
      </c>
      <c r="V390" t="str">
        <f t="shared" si="75"/>
        <v/>
      </c>
      <c r="W390" t="str">
        <f t="shared" si="76"/>
        <v/>
      </c>
    </row>
    <row r="391" spans="1:23" x14ac:dyDescent="0.2">
      <c r="A391" s="4" t="str">
        <f>IF(ポートフォリオ実績!A392="","", ポートフォリオ実績!A392)</f>
        <v/>
      </c>
      <c r="B391" t="str">
        <f>IF(ポートフォリオ実績!B392="","", ポートフォリオ実績!B392)</f>
        <v/>
      </c>
      <c r="C391" s="10" t="str">
        <f>IF(ポートフォリオ実績!C392="","", ポートフォリオ実績!C392)</f>
        <v/>
      </c>
      <c r="D391" s="10" t="str">
        <f>IF(ポートフォリオ実績!D392="","", ポートフォリオ実績!D392)</f>
        <v/>
      </c>
      <c r="E391" s="10" t="str">
        <f>IF(ポートフォリオ実績!E392="","", ポートフォリオ実績!E392)</f>
        <v/>
      </c>
      <c r="F391" s="10" t="str">
        <f>IF(ポートフォリオ実績!F392="","", ポートフォリオ実績!F392)</f>
        <v/>
      </c>
      <c r="G391" t="str">
        <f t="shared" si="66"/>
        <v/>
      </c>
      <c r="H391">
        <f>IF(B391&lt;&gt;"", SUMIFS(ポートフォリオ実績!$D$2:$D$2001, ポートフォリオ実績!$B$2:$B$2001, B391, ポートフォリオ実績!$A$2:$A$2001, G391), 0)</f>
        <v>0</v>
      </c>
      <c r="I391">
        <f>IF(B391&lt;&gt;"", SUMIFS(ポートフォリオ実績!$C$2:$C$2001, ポートフォリオ実績!$B$2:$B$2001, B391, ポートフォリオ実績!$A$2:$A$2001, G391), 0)</f>
        <v>0</v>
      </c>
      <c r="J391">
        <f t="shared" si="67"/>
        <v>0</v>
      </c>
      <c r="K391">
        <f t="shared" si="68"/>
        <v>0</v>
      </c>
      <c r="L391">
        <f t="shared" si="69"/>
        <v>0</v>
      </c>
      <c r="M391">
        <f t="shared" si="70"/>
        <v>0</v>
      </c>
      <c r="N391">
        <f t="shared" si="71"/>
        <v>0</v>
      </c>
      <c r="O391">
        <f t="shared" si="72"/>
        <v>0</v>
      </c>
      <c r="P391" t="str">
        <f t="shared" si="73"/>
        <v/>
      </c>
      <c r="Q391" t="str">
        <f>IF(B391="","", IFERROR(VLOOKUP(B391, '基準資産配分（設定）'!$A$2:$C$2001, 3, FALSE), ""))</f>
        <v/>
      </c>
      <c r="R391" t="str">
        <f>IF(B391="","", IFERROR(VLOOKUP(B391, '基準資産配分（設定）'!$A$2:$C$2001, 2, FALSE)/100, 0))</f>
        <v/>
      </c>
      <c r="S391" t="str">
        <f>IF(B391="","", IFERROR(SUMIFS(ベンチマークリターン!$C$2:$C$2001, ベンチマークリターン!$A$2:$A$2001, A391, ベンチマークリターン!$B$2:$B$2001, Q391) / 100, 0))</f>
        <v/>
      </c>
      <c r="T391" t="str">
        <f>IF(A391="","", SUMIFS($H$2:$H$2000, $A$2:$A$2000, A391))</f>
        <v/>
      </c>
      <c r="U391" t="str">
        <f t="shared" si="74"/>
        <v/>
      </c>
      <c r="V391" t="str">
        <f t="shared" si="75"/>
        <v/>
      </c>
      <c r="W391" t="str">
        <f t="shared" si="76"/>
        <v/>
      </c>
    </row>
    <row r="392" spans="1:23" x14ac:dyDescent="0.2">
      <c r="A392" s="4" t="str">
        <f>IF(ポートフォリオ実績!A393="","", ポートフォリオ実績!A393)</f>
        <v/>
      </c>
      <c r="B392" t="str">
        <f>IF(ポートフォリオ実績!B393="","", ポートフォリオ実績!B393)</f>
        <v/>
      </c>
      <c r="C392" s="10" t="str">
        <f>IF(ポートフォリオ実績!C393="","", ポートフォリオ実績!C393)</f>
        <v/>
      </c>
      <c r="D392" s="10" t="str">
        <f>IF(ポートフォリオ実績!D393="","", ポートフォリオ実績!D393)</f>
        <v/>
      </c>
      <c r="E392" s="10" t="str">
        <f>IF(ポートフォリオ実績!E393="","", ポートフォリオ実績!E393)</f>
        <v/>
      </c>
      <c r="F392" s="10" t="str">
        <f>IF(ポートフォリオ実績!F393="","", ポートフォリオ実績!F393)</f>
        <v/>
      </c>
      <c r="G392" t="str">
        <f t="shared" si="66"/>
        <v/>
      </c>
      <c r="H392">
        <f>IF(B392&lt;&gt;"", SUMIFS(ポートフォリオ実績!$D$2:$D$2001, ポートフォリオ実績!$B$2:$B$2001, B392, ポートフォリオ実績!$A$2:$A$2001, G392), 0)</f>
        <v>0</v>
      </c>
      <c r="I392">
        <f>IF(B392&lt;&gt;"", SUMIFS(ポートフォリオ実績!$C$2:$C$2001, ポートフォリオ実績!$B$2:$B$2001, B392, ポートフォリオ実績!$A$2:$A$2001, G392), 0)</f>
        <v>0</v>
      </c>
      <c r="J392">
        <f t="shared" si="67"/>
        <v>0</v>
      </c>
      <c r="K392">
        <f t="shared" si="68"/>
        <v>0</v>
      </c>
      <c r="L392">
        <f t="shared" si="69"/>
        <v>0</v>
      </c>
      <c r="M392">
        <f t="shared" si="70"/>
        <v>0</v>
      </c>
      <c r="N392">
        <f t="shared" si="71"/>
        <v>0</v>
      </c>
      <c r="O392">
        <f t="shared" si="72"/>
        <v>0</v>
      </c>
      <c r="P392" t="str">
        <f t="shared" si="73"/>
        <v/>
      </c>
      <c r="Q392" t="str">
        <f>IF(B392="","", IFERROR(VLOOKUP(B392, '基準資産配分（設定）'!$A$2:$C$2001, 3, FALSE), ""))</f>
        <v/>
      </c>
      <c r="R392" t="str">
        <f>IF(B392="","", IFERROR(VLOOKUP(B392, '基準資産配分（設定）'!$A$2:$C$2001, 2, FALSE)/100, 0))</f>
        <v/>
      </c>
      <c r="S392" t="str">
        <f>IF(B392="","", IFERROR(SUMIFS(ベンチマークリターン!$C$2:$C$2001, ベンチマークリターン!$A$2:$A$2001, A392, ベンチマークリターン!$B$2:$B$2001, Q392) / 100, 0))</f>
        <v/>
      </c>
      <c r="T392" t="str">
        <f>IF(A392="","", SUMIFS($H$2:$H$2000, $A$2:$A$2000, A392))</f>
        <v/>
      </c>
      <c r="U392" t="str">
        <f t="shared" si="74"/>
        <v/>
      </c>
      <c r="V392" t="str">
        <f t="shared" si="75"/>
        <v/>
      </c>
      <c r="W392" t="str">
        <f t="shared" si="76"/>
        <v/>
      </c>
    </row>
    <row r="393" spans="1:23" x14ac:dyDescent="0.2">
      <c r="A393" s="4" t="str">
        <f>IF(ポートフォリオ実績!A394="","", ポートフォリオ実績!A394)</f>
        <v/>
      </c>
      <c r="B393" t="str">
        <f>IF(ポートフォリオ実績!B394="","", ポートフォリオ実績!B394)</f>
        <v/>
      </c>
      <c r="C393" s="10" t="str">
        <f>IF(ポートフォリオ実績!C394="","", ポートフォリオ実績!C394)</f>
        <v/>
      </c>
      <c r="D393" s="10" t="str">
        <f>IF(ポートフォリオ実績!D394="","", ポートフォリオ実績!D394)</f>
        <v/>
      </c>
      <c r="E393" s="10" t="str">
        <f>IF(ポートフォリオ実績!E394="","", ポートフォリオ実績!E394)</f>
        <v/>
      </c>
      <c r="F393" s="10" t="str">
        <f>IF(ポートフォリオ実績!F394="","", ポートフォリオ実績!F394)</f>
        <v/>
      </c>
      <c r="G393" t="str">
        <f t="shared" si="66"/>
        <v/>
      </c>
      <c r="H393">
        <f>IF(B393&lt;&gt;"", SUMIFS(ポートフォリオ実績!$D$2:$D$2001, ポートフォリオ実績!$B$2:$B$2001, B393, ポートフォリオ実績!$A$2:$A$2001, G393), 0)</f>
        <v>0</v>
      </c>
      <c r="I393">
        <f>IF(B393&lt;&gt;"", SUMIFS(ポートフォリオ実績!$C$2:$C$2001, ポートフォリオ実績!$B$2:$B$2001, B393, ポートフォリオ実績!$A$2:$A$2001, G393), 0)</f>
        <v>0</v>
      </c>
      <c r="J393">
        <f t="shared" si="67"/>
        <v>0</v>
      </c>
      <c r="K393">
        <f t="shared" si="68"/>
        <v>0</v>
      </c>
      <c r="L393">
        <f t="shared" si="69"/>
        <v>0</v>
      </c>
      <c r="M393">
        <f t="shared" si="70"/>
        <v>0</v>
      </c>
      <c r="N393">
        <f t="shared" si="71"/>
        <v>0</v>
      </c>
      <c r="O393">
        <f t="shared" si="72"/>
        <v>0</v>
      </c>
      <c r="P393" t="str">
        <f t="shared" si="73"/>
        <v/>
      </c>
      <c r="Q393" t="str">
        <f>IF(B393="","", IFERROR(VLOOKUP(B393, '基準資産配分（設定）'!$A$2:$C$2001, 3, FALSE), ""))</f>
        <v/>
      </c>
      <c r="R393" t="str">
        <f>IF(B393="","", IFERROR(VLOOKUP(B393, '基準資産配分（設定）'!$A$2:$C$2001, 2, FALSE)/100, 0))</f>
        <v/>
      </c>
      <c r="S393" t="str">
        <f>IF(B393="","", IFERROR(SUMIFS(ベンチマークリターン!$C$2:$C$2001, ベンチマークリターン!$A$2:$A$2001, A393, ベンチマークリターン!$B$2:$B$2001, Q393) / 100, 0))</f>
        <v/>
      </c>
      <c r="T393" t="str">
        <f>IF(A393="","", SUMIFS($H$2:$H$2000, $A$2:$A$2000, A393))</f>
        <v/>
      </c>
      <c r="U393" t="str">
        <f t="shared" si="74"/>
        <v/>
      </c>
      <c r="V393" t="str">
        <f t="shared" si="75"/>
        <v/>
      </c>
      <c r="W393" t="str">
        <f t="shared" si="76"/>
        <v/>
      </c>
    </row>
    <row r="394" spans="1:23" x14ac:dyDescent="0.2">
      <c r="A394" s="4" t="str">
        <f>IF(ポートフォリオ実績!A395="","", ポートフォリオ実績!A395)</f>
        <v/>
      </c>
      <c r="B394" t="str">
        <f>IF(ポートフォリオ実績!B395="","", ポートフォリオ実績!B395)</f>
        <v/>
      </c>
      <c r="C394" s="10" t="str">
        <f>IF(ポートフォリオ実績!C395="","", ポートフォリオ実績!C395)</f>
        <v/>
      </c>
      <c r="D394" s="10" t="str">
        <f>IF(ポートフォリオ実績!D395="","", ポートフォリオ実績!D395)</f>
        <v/>
      </c>
      <c r="E394" s="10" t="str">
        <f>IF(ポートフォリオ実績!E395="","", ポートフォリオ実績!E395)</f>
        <v/>
      </c>
      <c r="F394" s="10" t="str">
        <f>IF(ポートフォリオ実績!F395="","", ポートフォリオ実績!F395)</f>
        <v/>
      </c>
      <c r="G394" t="str">
        <f t="shared" si="66"/>
        <v/>
      </c>
      <c r="H394">
        <f>IF(B394&lt;&gt;"", SUMIFS(ポートフォリオ実績!$D$2:$D$2001, ポートフォリオ実績!$B$2:$B$2001, B394, ポートフォリオ実績!$A$2:$A$2001, G394), 0)</f>
        <v>0</v>
      </c>
      <c r="I394">
        <f>IF(B394&lt;&gt;"", SUMIFS(ポートフォリオ実績!$C$2:$C$2001, ポートフォリオ実績!$B$2:$B$2001, B394, ポートフォリオ実績!$A$2:$A$2001, G394), 0)</f>
        <v>0</v>
      </c>
      <c r="J394">
        <f t="shared" si="67"/>
        <v>0</v>
      </c>
      <c r="K394">
        <f t="shared" si="68"/>
        <v>0</v>
      </c>
      <c r="L394">
        <f t="shared" si="69"/>
        <v>0</v>
      </c>
      <c r="M394">
        <f t="shared" si="70"/>
        <v>0</v>
      </c>
      <c r="N394">
        <f t="shared" si="71"/>
        <v>0</v>
      </c>
      <c r="O394">
        <f t="shared" si="72"/>
        <v>0</v>
      </c>
      <c r="P394" t="str">
        <f t="shared" si="73"/>
        <v/>
      </c>
      <c r="Q394" t="str">
        <f>IF(B394="","", IFERROR(VLOOKUP(B394, '基準資産配分（設定）'!$A$2:$C$2001, 3, FALSE), ""))</f>
        <v/>
      </c>
      <c r="R394" t="str">
        <f>IF(B394="","", IFERROR(VLOOKUP(B394, '基準資産配分（設定）'!$A$2:$C$2001, 2, FALSE)/100, 0))</f>
        <v/>
      </c>
      <c r="S394" t="str">
        <f>IF(B394="","", IFERROR(SUMIFS(ベンチマークリターン!$C$2:$C$2001, ベンチマークリターン!$A$2:$A$2001, A394, ベンチマークリターン!$B$2:$B$2001, Q394) / 100, 0))</f>
        <v/>
      </c>
      <c r="T394" t="str">
        <f>IF(A394="","", SUMIFS($H$2:$H$2000, $A$2:$A$2000, A394))</f>
        <v/>
      </c>
      <c r="U394" t="str">
        <f t="shared" si="74"/>
        <v/>
      </c>
      <c r="V394" t="str">
        <f t="shared" si="75"/>
        <v/>
      </c>
      <c r="W394" t="str">
        <f t="shared" si="76"/>
        <v/>
      </c>
    </row>
    <row r="395" spans="1:23" x14ac:dyDescent="0.2">
      <c r="A395" s="4" t="str">
        <f>IF(ポートフォリオ実績!A396="","", ポートフォリオ実績!A396)</f>
        <v/>
      </c>
      <c r="B395" t="str">
        <f>IF(ポートフォリオ実績!B396="","", ポートフォリオ実績!B396)</f>
        <v/>
      </c>
      <c r="C395" s="10" t="str">
        <f>IF(ポートフォリオ実績!C396="","", ポートフォリオ実績!C396)</f>
        <v/>
      </c>
      <c r="D395" s="10" t="str">
        <f>IF(ポートフォリオ実績!D396="","", ポートフォリオ実績!D396)</f>
        <v/>
      </c>
      <c r="E395" s="10" t="str">
        <f>IF(ポートフォリオ実績!E396="","", ポートフォリオ実績!E396)</f>
        <v/>
      </c>
      <c r="F395" s="10" t="str">
        <f>IF(ポートフォリオ実績!F396="","", ポートフォリオ実績!F396)</f>
        <v/>
      </c>
      <c r="G395" t="str">
        <f t="shared" si="66"/>
        <v/>
      </c>
      <c r="H395">
        <f>IF(B395&lt;&gt;"", SUMIFS(ポートフォリオ実績!$D$2:$D$2001, ポートフォリオ実績!$B$2:$B$2001, B395, ポートフォリオ実績!$A$2:$A$2001, G395), 0)</f>
        <v>0</v>
      </c>
      <c r="I395">
        <f>IF(B395&lt;&gt;"", SUMIFS(ポートフォリオ実績!$C$2:$C$2001, ポートフォリオ実績!$B$2:$B$2001, B395, ポートフォリオ実績!$A$2:$A$2001, G395), 0)</f>
        <v>0</v>
      </c>
      <c r="J395">
        <f t="shared" si="67"/>
        <v>0</v>
      </c>
      <c r="K395">
        <f t="shared" si="68"/>
        <v>0</v>
      </c>
      <c r="L395">
        <f t="shared" si="69"/>
        <v>0</v>
      </c>
      <c r="M395">
        <f t="shared" si="70"/>
        <v>0</v>
      </c>
      <c r="N395">
        <f t="shared" si="71"/>
        <v>0</v>
      </c>
      <c r="O395">
        <f t="shared" si="72"/>
        <v>0</v>
      </c>
      <c r="P395" t="str">
        <f t="shared" si="73"/>
        <v/>
      </c>
      <c r="Q395" t="str">
        <f>IF(B395="","", IFERROR(VLOOKUP(B395, '基準資産配分（設定）'!$A$2:$C$2001, 3, FALSE), ""))</f>
        <v/>
      </c>
      <c r="R395" t="str">
        <f>IF(B395="","", IFERROR(VLOOKUP(B395, '基準資産配分（設定）'!$A$2:$C$2001, 2, FALSE)/100, 0))</f>
        <v/>
      </c>
      <c r="S395" t="str">
        <f>IF(B395="","", IFERROR(SUMIFS(ベンチマークリターン!$C$2:$C$2001, ベンチマークリターン!$A$2:$A$2001, A395, ベンチマークリターン!$B$2:$B$2001, Q395) / 100, 0))</f>
        <v/>
      </c>
      <c r="T395" t="str">
        <f>IF(A395="","", SUMIFS($H$2:$H$2000, $A$2:$A$2000, A395))</f>
        <v/>
      </c>
      <c r="U395" t="str">
        <f t="shared" si="74"/>
        <v/>
      </c>
      <c r="V395" t="str">
        <f t="shared" si="75"/>
        <v/>
      </c>
      <c r="W395" t="str">
        <f t="shared" si="76"/>
        <v/>
      </c>
    </row>
    <row r="396" spans="1:23" x14ac:dyDescent="0.2">
      <c r="A396" s="4" t="str">
        <f>IF(ポートフォリオ実績!A397="","", ポートフォリオ実績!A397)</f>
        <v/>
      </c>
      <c r="B396" t="str">
        <f>IF(ポートフォリオ実績!B397="","", ポートフォリオ実績!B397)</f>
        <v/>
      </c>
      <c r="C396" s="10" t="str">
        <f>IF(ポートフォリオ実績!C397="","", ポートフォリオ実績!C397)</f>
        <v/>
      </c>
      <c r="D396" s="10" t="str">
        <f>IF(ポートフォリオ実績!D397="","", ポートフォリオ実績!D397)</f>
        <v/>
      </c>
      <c r="E396" s="10" t="str">
        <f>IF(ポートフォリオ実績!E397="","", ポートフォリオ実績!E397)</f>
        <v/>
      </c>
      <c r="F396" s="10" t="str">
        <f>IF(ポートフォリオ実績!F397="","", ポートフォリオ実績!F397)</f>
        <v/>
      </c>
      <c r="G396" t="str">
        <f t="shared" si="66"/>
        <v/>
      </c>
      <c r="H396">
        <f>IF(B396&lt;&gt;"", SUMIFS(ポートフォリオ実績!$D$2:$D$2001, ポートフォリオ実績!$B$2:$B$2001, B396, ポートフォリオ実績!$A$2:$A$2001, G396), 0)</f>
        <v>0</v>
      </c>
      <c r="I396">
        <f>IF(B396&lt;&gt;"", SUMIFS(ポートフォリオ実績!$C$2:$C$2001, ポートフォリオ実績!$B$2:$B$2001, B396, ポートフォリオ実績!$A$2:$A$2001, G396), 0)</f>
        <v>0</v>
      </c>
      <c r="J396">
        <f t="shared" si="67"/>
        <v>0</v>
      </c>
      <c r="K396">
        <f t="shared" si="68"/>
        <v>0</v>
      </c>
      <c r="L396">
        <f t="shared" si="69"/>
        <v>0</v>
      </c>
      <c r="M396">
        <f t="shared" si="70"/>
        <v>0</v>
      </c>
      <c r="N396">
        <f t="shared" si="71"/>
        <v>0</v>
      </c>
      <c r="O396">
        <f t="shared" si="72"/>
        <v>0</v>
      </c>
      <c r="P396" t="str">
        <f t="shared" si="73"/>
        <v/>
      </c>
      <c r="Q396" t="str">
        <f>IF(B396="","", IFERROR(VLOOKUP(B396, '基準資産配分（設定）'!$A$2:$C$2001, 3, FALSE), ""))</f>
        <v/>
      </c>
      <c r="R396" t="str">
        <f>IF(B396="","", IFERROR(VLOOKUP(B396, '基準資産配分（設定）'!$A$2:$C$2001, 2, FALSE)/100, 0))</f>
        <v/>
      </c>
      <c r="S396" t="str">
        <f>IF(B396="","", IFERROR(SUMIFS(ベンチマークリターン!$C$2:$C$2001, ベンチマークリターン!$A$2:$A$2001, A396, ベンチマークリターン!$B$2:$B$2001, Q396) / 100, 0))</f>
        <v/>
      </c>
      <c r="T396" t="str">
        <f>IF(A396="","", SUMIFS($H$2:$H$2000, $A$2:$A$2000, A396))</f>
        <v/>
      </c>
      <c r="U396" t="str">
        <f t="shared" si="74"/>
        <v/>
      </c>
      <c r="V396" t="str">
        <f t="shared" si="75"/>
        <v/>
      </c>
      <c r="W396" t="str">
        <f t="shared" si="76"/>
        <v/>
      </c>
    </row>
    <row r="397" spans="1:23" x14ac:dyDescent="0.2">
      <c r="A397" s="4" t="str">
        <f>IF(ポートフォリオ実績!A398="","", ポートフォリオ実績!A398)</f>
        <v/>
      </c>
      <c r="B397" t="str">
        <f>IF(ポートフォリオ実績!B398="","", ポートフォリオ実績!B398)</f>
        <v/>
      </c>
      <c r="C397" s="10" t="str">
        <f>IF(ポートフォリオ実績!C398="","", ポートフォリオ実績!C398)</f>
        <v/>
      </c>
      <c r="D397" s="10" t="str">
        <f>IF(ポートフォリオ実績!D398="","", ポートフォリオ実績!D398)</f>
        <v/>
      </c>
      <c r="E397" s="10" t="str">
        <f>IF(ポートフォリオ実績!E398="","", ポートフォリオ実績!E398)</f>
        <v/>
      </c>
      <c r="F397" s="10" t="str">
        <f>IF(ポートフォリオ実績!F398="","", ポートフォリオ実績!F398)</f>
        <v/>
      </c>
      <c r="G397" t="str">
        <f t="shared" si="66"/>
        <v/>
      </c>
      <c r="H397">
        <f>IF(B397&lt;&gt;"", SUMIFS(ポートフォリオ実績!$D$2:$D$2001, ポートフォリオ実績!$B$2:$B$2001, B397, ポートフォリオ実績!$A$2:$A$2001, G397), 0)</f>
        <v>0</v>
      </c>
      <c r="I397">
        <f>IF(B397&lt;&gt;"", SUMIFS(ポートフォリオ実績!$C$2:$C$2001, ポートフォリオ実績!$B$2:$B$2001, B397, ポートフォリオ実績!$A$2:$A$2001, G397), 0)</f>
        <v>0</v>
      </c>
      <c r="J397">
        <f t="shared" si="67"/>
        <v>0</v>
      </c>
      <c r="K397">
        <f t="shared" si="68"/>
        <v>0</v>
      </c>
      <c r="L397">
        <f t="shared" si="69"/>
        <v>0</v>
      </c>
      <c r="M397">
        <f t="shared" si="70"/>
        <v>0</v>
      </c>
      <c r="N397">
        <f t="shared" si="71"/>
        <v>0</v>
      </c>
      <c r="O397">
        <f t="shared" si="72"/>
        <v>0</v>
      </c>
      <c r="P397" t="str">
        <f t="shared" si="73"/>
        <v/>
      </c>
      <c r="Q397" t="str">
        <f>IF(B397="","", IFERROR(VLOOKUP(B397, '基準資産配分（設定）'!$A$2:$C$2001, 3, FALSE), ""))</f>
        <v/>
      </c>
      <c r="R397" t="str">
        <f>IF(B397="","", IFERROR(VLOOKUP(B397, '基準資産配分（設定）'!$A$2:$C$2001, 2, FALSE)/100, 0))</f>
        <v/>
      </c>
      <c r="S397" t="str">
        <f>IF(B397="","", IFERROR(SUMIFS(ベンチマークリターン!$C$2:$C$2001, ベンチマークリターン!$A$2:$A$2001, A397, ベンチマークリターン!$B$2:$B$2001, Q397) / 100, 0))</f>
        <v/>
      </c>
      <c r="T397" t="str">
        <f>IF(A397="","", SUMIFS($H$2:$H$2000, $A$2:$A$2000, A397))</f>
        <v/>
      </c>
      <c r="U397" t="str">
        <f t="shared" si="74"/>
        <v/>
      </c>
      <c r="V397" t="str">
        <f t="shared" si="75"/>
        <v/>
      </c>
      <c r="W397" t="str">
        <f t="shared" si="76"/>
        <v/>
      </c>
    </row>
    <row r="398" spans="1:23" x14ac:dyDescent="0.2">
      <c r="A398" s="4" t="str">
        <f>IF(ポートフォリオ実績!A399="","", ポートフォリオ実績!A399)</f>
        <v/>
      </c>
      <c r="B398" t="str">
        <f>IF(ポートフォリオ実績!B399="","", ポートフォリオ実績!B399)</f>
        <v/>
      </c>
      <c r="C398" s="10" t="str">
        <f>IF(ポートフォリオ実績!C399="","", ポートフォリオ実績!C399)</f>
        <v/>
      </c>
      <c r="D398" s="10" t="str">
        <f>IF(ポートフォリオ実績!D399="","", ポートフォリオ実績!D399)</f>
        <v/>
      </c>
      <c r="E398" s="10" t="str">
        <f>IF(ポートフォリオ実績!E399="","", ポートフォリオ実績!E399)</f>
        <v/>
      </c>
      <c r="F398" s="10" t="str">
        <f>IF(ポートフォリオ実績!F399="","", ポートフォリオ実績!F399)</f>
        <v/>
      </c>
      <c r="G398" t="str">
        <f t="shared" si="66"/>
        <v/>
      </c>
      <c r="H398">
        <f>IF(B398&lt;&gt;"", SUMIFS(ポートフォリオ実績!$D$2:$D$2001, ポートフォリオ実績!$B$2:$B$2001, B398, ポートフォリオ実績!$A$2:$A$2001, G398), 0)</f>
        <v>0</v>
      </c>
      <c r="I398">
        <f>IF(B398&lt;&gt;"", SUMIFS(ポートフォリオ実績!$C$2:$C$2001, ポートフォリオ実績!$B$2:$B$2001, B398, ポートフォリオ実績!$A$2:$A$2001, G398), 0)</f>
        <v>0</v>
      </c>
      <c r="J398">
        <f t="shared" si="67"/>
        <v>0</v>
      </c>
      <c r="K398">
        <f t="shared" si="68"/>
        <v>0</v>
      </c>
      <c r="L398">
        <f t="shared" si="69"/>
        <v>0</v>
      </c>
      <c r="M398">
        <f t="shared" si="70"/>
        <v>0</v>
      </c>
      <c r="N398">
        <f t="shared" si="71"/>
        <v>0</v>
      </c>
      <c r="O398">
        <f t="shared" si="72"/>
        <v>0</v>
      </c>
      <c r="P398" t="str">
        <f t="shared" si="73"/>
        <v/>
      </c>
      <c r="Q398" t="str">
        <f>IF(B398="","", IFERROR(VLOOKUP(B398, '基準資産配分（設定）'!$A$2:$C$2001, 3, FALSE), ""))</f>
        <v/>
      </c>
      <c r="R398" t="str">
        <f>IF(B398="","", IFERROR(VLOOKUP(B398, '基準資産配分（設定）'!$A$2:$C$2001, 2, FALSE)/100, 0))</f>
        <v/>
      </c>
      <c r="S398" t="str">
        <f>IF(B398="","", IFERROR(SUMIFS(ベンチマークリターン!$C$2:$C$2001, ベンチマークリターン!$A$2:$A$2001, A398, ベンチマークリターン!$B$2:$B$2001, Q398) / 100, 0))</f>
        <v/>
      </c>
      <c r="T398" t="str">
        <f>IF(A398="","", SUMIFS($H$2:$H$2000, $A$2:$A$2000, A398))</f>
        <v/>
      </c>
      <c r="U398" t="str">
        <f t="shared" si="74"/>
        <v/>
      </c>
      <c r="V398" t="str">
        <f t="shared" si="75"/>
        <v/>
      </c>
      <c r="W398" t="str">
        <f t="shared" si="76"/>
        <v/>
      </c>
    </row>
    <row r="399" spans="1:23" x14ac:dyDescent="0.2">
      <c r="A399" s="4" t="str">
        <f>IF(ポートフォリオ実績!A400="","", ポートフォリオ実績!A400)</f>
        <v/>
      </c>
      <c r="B399" t="str">
        <f>IF(ポートフォリオ実績!B400="","", ポートフォリオ実績!B400)</f>
        <v/>
      </c>
      <c r="C399" s="10" t="str">
        <f>IF(ポートフォリオ実績!C400="","", ポートフォリオ実績!C400)</f>
        <v/>
      </c>
      <c r="D399" s="10" t="str">
        <f>IF(ポートフォリオ実績!D400="","", ポートフォリオ実績!D400)</f>
        <v/>
      </c>
      <c r="E399" s="10" t="str">
        <f>IF(ポートフォリオ実績!E400="","", ポートフォリオ実績!E400)</f>
        <v/>
      </c>
      <c r="F399" s="10" t="str">
        <f>IF(ポートフォリオ実績!F400="","", ポートフォリオ実績!F400)</f>
        <v/>
      </c>
      <c r="G399" t="str">
        <f t="shared" si="66"/>
        <v/>
      </c>
      <c r="H399">
        <f>IF(B399&lt;&gt;"", SUMIFS(ポートフォリオ実績!$D$2:$D$2001, ポートフォリオ実績!$B$2:$B$2001, B399, ポートフォリオ実績!$A$2:$A$2001, G399), 0)</f>
        <v>0</v>
      </c>
      <c r="I399">
        <f>IF(B399&lt;&gt;"", SUMIFS(ポートフォリオ実績!$C$2:$C$2001, ポートフォリオ実績!$B$2:$B$2001, B399, ポートフォリオ実績!$A$2:$A$2001, G399), 0)</f>
        <v>0</v>
      </c>
      <c r="J399">
        <f t="shared" si="67"/>
        <v>0</v>
      </c>
      <c r="K399">
        <f t="shared" si="68"/>
        <v>0</v>
      </c>
      <c r="L399">
        <f t="shared" si="69"/>
        <v>0</v>
      </c>
      <c r="M399">
        <f t="shared" si="70"/>
        <v>0</v>
      </c>
      <c r="N399">
        <f t="shared" si="71"/>
        <v>0</v>
      </c>
      <c r="O399">
        <f t="shared" si="72"/>
        <v>0</v>
      </c>
      <c r="P399" t="str">
        <f t="shared" si="73"/>
        <v/>
      </c>
      <c r="Q399" t="str">
        <f>IF(B399="","", IFERROR(VLOOKUP(B399, '基準資産配分（設定）'!$A$2:$C$2001, 3, FALSE), ""))</f>
        <v/>
      </c>
      <c r="R399" t="str">
        <f>IF(B399="","", IFERROR(VLOOKUP(B399, '基準資産配分（設定）'!$A$2:$C$2001, 2, FALSE)/100, 0))</f>
        <v/>
      </c>
      <c r="S399" t="str">
        <f>IF(B399="","", IFERROR(SUMIFS(ベンチマークリターン!$C$2:$C$2001, ベンチマークリターン!$A$2:$A$2001, A399, ベンチマークリターン!$B$2:$B$2001, Q399) / 100, 0))</f>
        <v/>
      </c>
      <c r="T399" t="str">
        <f>IF(A399="","", SUMIFS($H$2:$H$2000, $A$2:$A$2000, A399))</f>
        <v/>
      </c>
      <c r="U399" t="str">
        <f t="shared" si="74"/>
        <v/>
      </c>
      <c r="V399" t="str">
        <f t="shared" si="75"/>
        <v/>
      </c>
      <c r="W399" t="str">
        <f t="shared" si="76"/>
        <v/>
      </c>
    </row>
    <row r="400" spans="1:23" x14ac:dyDescent="0.2">
      <c r="A400" s="4" t="str">
        <f>IF(ポートフォリオ実績!A401="","", ポートフォリオ実績!A401)</f>
        <v/>
      </c>
      <c r="B400" t="str">
        <f>IF(ポートフォリオ実績!B401="","", ポートフォリオ実績!B401)</f>
        <v/>
      </c>
      <c r="C400" s="10" t="str">
        <f>IF(ポートフォリオ実績!C401="","", ポートフォリオ実績!C401)</f>
        <v/>
      </c>
      <c r="D400" s="10" t="str">
        <f>IF(ポートフォリオ実績!D401="","", ポートフォリオ実績!D401)</f>
        <v/>
      </c>
      <c r="E400" s="10" t="str">
        <f>IF(ポートフォリオ実績!E401="","", ポートフォリオ実績!E401)</f>
        <v/>
      </c>
      <c r="F400" s="10" t="str">
        <f>IF(ポートフォリオ実績!F401="","", ポートフォリオ実績!F401)</f>
        <v/>
      </c>
      <c r="G400" t="str">
        <f t="shared" si="66"/>
        <v/>
      </c>
      <c r="H400">
        <f>IF(B400&lt;&gt;"", SUMIFS(ポートフォリオ実績!$D$2:$D$2001, ポートフォリオ実績!$B$2:$B$2001, B400, ポートフォリオ実績!$A$2:$A$2001, G400), 0)</f>
        <v>0</v>
      </c>
      <c r="I400">
        <f>IF(B400&lt;&gt;"", SUMIFS(ポートフォリオ実績!$C$2:$C$2001, ポートフォリオ実績!$B$2:$B$2001, B400, ポートフォリオ実績!$A$2:$A$2001, G400), 0)</f>
        <v>0</v>
      </c>
      <c r="J400">
        <f t="shared" si="67"/>
        <v>0</v>
      </c>
      <c r="K400">
        <f t="shared" si="68"/>
        <v>0</v>
      </c>
      <c r="L400">
        <f t="shared" si="69"/>
        <v>0</v>
      </c>
      <c r="M400">
        <f t="shared" si="70"/>
        <v>0</v>
      </c>
      <c r="N400">
        <f t="shared" si="71"/>
        <v>0</v>
      </c>
      <c r="O400">
        <f t="shared" si="72"/>
        <v>0</v>
      </c>
      <c r="P400" t="str">
        <f t="shared" si="73"/>
        <v/>
      </c>
      <c r="Q400" t="str">
        <f>IF(B400="","", IFERROR(VLOOKUP(B400, '基準資産配分（設定）'!$A$2:$C$2001, 3, FALSE), ""))</f>
        <v/>
      </c>
      <c r="R400" t="str">
        <f>IF(B400="","", IFERROR(VLOOKUP(B400, '基準資産配分（設定）'!$A$2:$C$2001, 2, FALSE)/100, 0))</f>
        <v/>
      </c>
      <c r="S400" t="str">
        <f>IF(B400="","", IFERROR(SUMIFS(ベンチマークリターン!$C$2:$C$2001, ベンチマークリターン!$A$2:$A$2001, A400, ベンチマークリターン!$B$2:$B$2001, Q400) / 100, 0))</f>
        <v/>
      </c>
      <c r="T400" t="str">
        <f>IF(A400="","", SUMIFS($H$2:$H$2000, $A$2:$A$2000, A400))</f>
        <v/>
      </c>
      <c r="U400" t="str">
        <f t="shared" si="74"/>
        <v/>
      </c>
      <c r="V400" t="str">
        <f t="shared" si="75"/>
        <v/>
      </c>
      <c r="W400" t="str">
        <f t="shared" si="76"/>
        <v/>
      </c>
    </row>
    <row r="401" spans="1:23" x14ac:dyDescent="0.2">
      <c r="A401" s="4" t="str">
        <f>IF(ポートフォリオ実績!A402="","", ポートフォリオ実績!A402)</f>
        <v/>
      </c>
      <c r="B401" t="str">
        <f>IF(ポートフォリオ実績!B402="","", ポートフォリオ実績!B402)</f>
        <v/>
      </c>
      <c r="C401" s="10" t="str">
        <f>IF(ポートフォリオ実績!C402="","", ポートフォリオ実績!C402)</f>
        <v/>
      </c>
      <c r="D401" s="10" t="str">
        <f>IF(ポートフォリオ実績!D402="","", ポートフォリオ実績!D402)</f>
        <v/>
      </c>
      <c r="E401" s="10" t="str">
        <f>IF(ポートフォリオ実績!E402="","", ポートフォリオ実績!E402)</f>
        <v/>
      </c>
      <c r="F401" s="10" t="str">
        <f>IF(ポートフォリオ実績!F402="","", ポートフォリオ実績!F402)</f>
        <v/>
      </c>
      <c r="G401" t="str">
        <f t="shared" si="66"/>
        <v/>
      </c>
      <c r="H401">
        <f>IF(B401&lt;&gt;"", SUMIFS(ポートフォリオ実績!$D$2:$D$2001, ポートフォリオ実績!$B$2:$B$2001, B401, ポートフォリオ実績!$A$2:$A$2001, G401), 0)</f>
        <v>0</v>
      </c>
      <c r="I401">
        <f>IF(B401&lt;&gt;"", SUMIFS(ポートフォリオ実績!$C$2:$C$2001, ポートフォリオ実績!$B$2:$B$2001, B401, ポートフォリオ実績!$A$2:$A$2001, G401), 0)</f>
        <v>0</v>
      </c>
      <c r="J401">
        <f t="shared" si="67"/>
        <v>0</v>
      </c>
      <c r="K401">
        <f t="shared" si="68"/>
        <v>0</v>
      </c>
      <c r="L401">
        <f t="shared" si="69"/>
        <v>0</v>
      </c>
      <c r="M401">
        <f t="shared" si="70"/>
        <v>0</v>
      </c>
      <c r="N401">
        <f t="shared" si="71"/>
        <v>0</v>
      </c>
      <c r="O401">
        <f t="shared" si="72"/>
        <v>0</v>
      </c>
      <c r="P401" t="str">
        <f t="shared" si="73"/>
        <v/>
      </c>
      <c r="Q401" t="str">
        <f>IF(B401="","", IFERROR(VLOOKUP(B401, '基準資産配分（設定）'!$A$2:$C$2001, 3, FALSE), ""))</f>
        <v/>
      </c>
      <c r="R401" t="str">
        <f>IF(B401="","", IFERROR(VLOOKUP(B401, '基準資産配分（設定）'!$A$2:$C$2001, 2, FALSE)/100, 0))</f>
        <v/>
      </c>
      <c r="S401" t="str">
        <f>IF(B401="","", IFERROR(SUMIFS(ベンチマークリターン!$C$2:$C$2001, ベンチマークリターン!$A$2:$A$2001, A401, ベンチマークリターン!$B$2:$B$2001, Q401) / 100, 0))</f>
        <v/>
      </c>
      <c r="T401" t="str">
        <f>IF(A401="","", SUMIFS($H$2:$H$2000, $A$2:$A$2000, A401))</f>
        <v/>
      </c>
      <c r="U401" t="str">
        <f t="shared" si="74"/>
        <v/>
      </c>
      <c r="V401" t="str">
        <f t="shared" si="75"/>
        <v/>
      </c>
      <c r="W401" t="str">
        <f t="shared" si="76"/>
        <v/>
      </c>
    </row>
    <row r="402" spans="1:23" x14ac:dyDescent="0.2">
      <c r="A402" s="4" t="str">
        <f>IF(ポートフォリオ実績!A403="","", ポートフォリオ実績!A403)</f>
        <v/>
      </c>
      <c r="B402" t="str">
        <f>IF(ポートフォリオ実績!B403="","", ポートフォリオ実績!B403)</f>
        <v/>
      </c>
      <c r="C402" s="10" t="str">
        <f>IF(ポートフォリオ実績!C403="","", ポートフォリオ実績!C403)</f>
        <v/>
      </c>
      <c r="D402" s="10" t="str">
        <f>IF(ポートフォリオ実績!D403="","", ポートフォリオ実績!D403)</f>
        <v/>
      </c>
      <c r="E402" s="10" t="str">
        <f>IF(ポートフォリオ実績!E403="","", ポートフォリオ実績!E403)</f>
        <v/>
      </c>
      <c r="F402" s="10" t="str">
        <f>IF(ポートフォリオ実績!F403="","", ポートフォリオ実績!F403)</f>
        <v/>
      </c>
      <c r="G402" t="str">
        <f t="shared" si="66"/>
        <v/>
      </c>
      <c r="H402">
        <f>IF(B402&lt;&gt;"", SUMIFS(ポートフォリオ実績!$D$2:$D$2001, ポートフォリオ実績!$B$2:$B$2001, B402, ポートフォリオ実績!$A$2:$A$2001, G402), 0)</f>
        <v>0</v>
      </c>
      <c r="I402">
        <f>IF(B402&lt;&gt;"", SUMIFS(ポートフォリオ実績!$C$2:$C$2001, ポートフォリオ実績!$B$2:$B$2001, B402, ポートフォリオ実績!$A$2:$A$2001, G402), 0)</f>
        <v>0</v>
      </c>
      <c r="J402">
        <f t="shared" si="67"/>
        <v>0</v>
      </c>
      <c r="K402">
        <f t="shared" si="68"/>
        <v>0</v>
      </c>
      <c r="L402">
        <f t="shared" si="69"/>
        <v>0</v>
      </c>
      <c r="M402">
        <f t="shared" si="70"/>
        <v>0</v>
      </c>
      <c r="N402">
        <f t="shared" si="71"/>
        <v>0</v>
      </c>
      <c r="O402">
        <f t="shared" si="72"/>
        <v>0</v>
      </c>
      <c r="P402" t="str">
        <f t="shared" si="73"/>
        <v/>
      </c>
      <c r="Q402" t="str">
        <f>IF(B402="","", IFERROR(VLOOKUP(B402, '基準資産配分（設定）'!$A$2:$C$2001, 3, FALSE), ""))</f>
        <v/>
      </c>
      <c r="R402" t="str">
        <f>IF(B402="","", IFERROR(VLOOKUP(B402, '基準資産配分（設定）'!$A$2:$C$2001, 2, FALSE)/100, 0))</f>
        <v/>
      </c>
      <c r="S402" t="str">
        <f>IF(B402="","", IFERROR(SUMIFS(ベンチマークリターン!$C$2:$C$2001, ベンチマークリターン!$A$2:$A$2001, A402, ベンチマークリターン!$B$2:$B$2001, Q402) / 100, 0))</f>
        <v/>
      </c>
      <c r="T402" t="str">
        <f>IF(A402="","", SUMIFS($H$2:$H$2000, $A$2:$A$2000, A402))</f>
        <v/>
      </c>
      <c r="U402" t="str">
        <f t="shared" si="74"/>
        <v/>
      </c>
      <c r="V402" t="str">
        <f t="shared" si="75"/>
        <v/>
      </c>
      <c r="W402" t="str">
        <f t="shared" si="76"/>
        <v/>
      </c>
    </row>
    <row r="403" spans="1:23" x14ac:dyDescent="0.2">
      <c r="A403" s="4" t="str">
        <f>IF(ポートフォリオ実績!A404="","", ポートフォリオ実績!A404)</f>
        <v/>
      </c>
      <c r="B403" t="str">
        <f>IF(ポートフォリオ実績!B404="","", ポートフォリオ実績!B404)</f>
        <v/>
      </c>
      <c r="C403" s="10" t="str">
        <f>IF(ポートフォリオ実績!C404="","", ポートフォリオ実績!C404)</f>
        <v/>
      </c>
      <c r="D403" s="10" t="str">
        <f>IF(ポートフォリオ実績!D404="","", ポートフォリオ実績!D404)</f>
        <v/>
      </c>
      <c r="E403" s="10" t="str">
        <f>IF(ポートフォリオ実績!E404="","", ポートフォリオ実績!E404)</f>
        <v/>
      </c>
      <c r="F403" s="10" t="str">
        <f>IF(ポートフォリオ実績!F404="","", ポートフォリオ実績!F404)</f>
        <v/>
      </c>
      <c r="G403" t="str">
        <f t="shared" si="66"/>
        <v/>
      </c>
      <c r="H403">
        <f>IF(B403&lt;&gt;"", SUMIFS(ポートフォリオ実績!$D$2:$D$2001, ポートフォリオ実績!$B$2:$B$2001, B403, ポートフォリオ実績!$A$2:$A$2001, G403), 0)</f>
        <v>0</v>
      </c>
      <c r="I403">
        <f>IF(B403&lt;&gt;"", SUMIFS(ポートフォリオ実績!$C$2:$C$2001, ポートフォリオ実績!$B$2:$B$2001, B403, ポートフォリオ実績!$A$2:$A$2001, G403), 0)</f>
        <v>0</v>
      </c>
      <c r="J403">
        <f t="shared" si="67"/>
        <v>0</v>
      </c>
      <c r="K403">
        <f t="shared" si="68"/>
        <v>0</v>
      </c>
      <c r="L403">
        <f t="shared" si="69"/>
        <v>0</v>
      </c>
      <c r="M403">
        <f t="shared" si="70"/>
        <v>0</v>
      </c>
      <c r="N403">
        <f t="shared" si="71"/>
        <v>0</v>
      </c>
      <c r="O403">
        <f t="shared" si="72"/>
        <v>0</v>
      </c>
      <c r="P403" t="str">
        <f t="shared" si="73"/>
        <v/>
      </c>
      <c r="Q403" t="str">
        <f>IF(B403="","", IFERROR(VLOOKUP(B403, '基準資産配分（設定）'!$A$2:$C$2001, 3, FALSE), ""))</f>
        <v/>
      </c>
      <c r="R403" t="str">
        <f>IF(B403="","", IFERROR(VLOOKUP(B403, '基準資産配分（設定）'!$A$2:$C$2001, 2, FALSE)/100, 0))</f>
        <v/>
      </c>
      <c r="S403" t="str">
        <f>IF(B403="","", IFERROR(SUMIFS(ベンチマークリターン!$C$2:$C$2001, ベンチマークリターン!$A$2:$A$2001, A403, ベンチマークリターン!$B$2:$B$2001, Q403) / 100, 0))</f>
        <v/>
      </c>
      <c r="T403" t="str">
        <f>IF(A403="","", SUMIFS($H$2:$H$2000, $A$2:$A$2000, A403))</f>
        <v/>
      </c>
      <c r="U403" t="str">
        <f t="shared" si="74"/>
        <v/>
      </c>
      <c r="V403" t="str">
        <f t="shared" si="75"/>
        <v/>
      </c>
      <c r="W403" t="str">
        <f t="shared" si="76"/>
        <v/>
      </c>
    </row>
    <row r="404" spans="1:23" x14ac:dyDescent="0.2">
      <c r="A404" s="4" t="str">
        <f>IF(ポートフォリオ実績!A405="","", ポートフォリオ実績!A405)</f>
        <v/>
      </c>
      <c r="B404" t="str">
        <f>IF(ポートフォリオ実績!B405="","", ポートフォリオ実績!B405)</f>
        <v/>
      </c>
      <c r="C404" s="10" t="str">
        <f>IF(ポートフォリオ実績!C405="","", ポートフォリオ実績!C405)</f>
        <v/>
      </c>
      <c r="D404" s="10" t="str">
        <f>IF(ポートフォリオ実績!D405="","", ポートフォリオ実績!D405)</f>
        <v/>
      </c>
      <c r="E404" s="10" t="str">
        <f>IF(ポートフォリオ実績!E405="","", ポートフォリオ実績!E405)</f>
        <v/>
      </c>
      <c r="F404" s="10" t="str">
        <f>IF(ポートフォリオ実績!F405="","", ポートフォリオ実績!F405)</f>
        <v/>
      </c>
      <c r="G404" t="str">
        <f t="shared" si="66"/>
        <v/>
      </c>
      <c r="H404">
        <f>IF(B404&lt;&gt;"", SUMIFS(ポートフォリオ実績!$D$2:$D$2001, ポートフォリオ実績!$B$2:$B$2001, B404, ポートフォリオ実績!$A$2:$A$2001, G404), 0)</f>
        <v>0</v>
      </c>
      <c r="I404">
        <f>IF(B404&lt;&gt;"", SUMIFS(ポートフォリオ実績!$C$2:$C$2001, ポートフォリオ実績!$B$2:$B$2001, B404, ポートフォリオ実績!$A$2:$A$2001, G404), 0)</f>
        <v>0</v>
      </c>
      <c r="J404">
        <f t="shared" si="67"/>
        <v>0</v>
      </c>
      <c r="K404">
        <f t="shared" si="68"/>
        <v>0</v>
      </c>
      <c r="L404">
        <f t="shared" si="69"/>
        <v>0</v>
      </c>
      <c r="M404">
        <f t="shared" si="70"/>
        <v>0</v>
      </c>
      <c r="N404">
        <f t="shared" si="71"/>
        <v>0</v>
      </c>
      <c r="O404">
        <f t="shared" si="72"/>
        <v>0</v>
      </c>
      <c r="P404" t="str">
        <f t="shared" si="73"/>
        <v/>
      </c>
      <c r="Q404" t="str">
        <f>IF(B404="","", IFERROR(VLOOKUP(B404, '基準資産配分（設定）'!$A$2:$C$2001, 3, FALSE), ""))</f>
        <v/>
      </c>
      <c r="R404" t="str">
        <f>IF(B404="","", IFERROR(VLOOKUP(B404, '基準資産配分（設定）'!$A$2:$C$2001, 2, FALSE)/100, 0))</f>
        <v/>
      </c>
      <c r="S404" t="str">
        <f>IF(B404="","", IFERROR(SUMIFS(ベンチマークリターン!$C$2:$C$2001, ベンチマークリターン!$A$2:$A$2001, A404, ベンチマークリターン!$B$2:$B$2001, Q404) / 100, 0))</f>
        <v/>
      </c>
      <c r="T404" t="str">
        <f>IF(A404="","", SUMIFS($H$2:$H$2000, $A$2:$A$2000, A404))</f>
        <v/>
      </c>
      <c r="U404" t="str">
        <f t="shared" si="74"/>
        <v/>
      </c>
      <c r="V404" t="str">
        <f t="shared" si="75"/>
        <v/>
      </c>
      <c r="W404" t="str">
        <f t="shared" si="76"/>
        <v/>
      </c>
    </row>
    <row r="405" spans="1:23" x14ac:dyDescent="0.2">
      <c r="A405" s="4" t="str">
        <f>IF(ポートフォリオ実績!A406="","", ポートフォリオ実績!A406)</f>
        <v/>
      </c>
      <c r="B405" t="str">
        <f>IF(ポートフォリオ実績!B406="","", ポートフォリオ実績!B406)</f>
        <v/>
      </c>
      <c r="C405" s="10" t="str">
        <f>IF(ポートフォリオ実績!C406="","", ポートフォリオ実績!C406)</f>
        <v/>
      </c>
      <c r="D405" s="10" t="str">
        <f>IF(ポートフォリオ実績!D406="","", ポートフォリオ実績!D406)</f>
        <v/>
      </c>
      <c r="E405" s="10" t="str">
        <f>IF(ポートフォリオ実績!E406="","", ポートフォリオ実績!E406)</f>
        <v/>
      </c>
      <c r="F405" s="10" t="str">
        <f>IF(ポートフォリオ実績!F406="","", ポートフォリオ実績!F406)</f>
        <v/>
      </c>
      <c r="G405" t="str">
        <f t="shared" si="66"/>
        <v/>
      </c>
      <c r="H405">
        <f>IF(B405&lt;&gt;"", SUMIFS(ポートフォリオ実績!$D$2:$D$2001, ポートフォリオ実績!$B$2:$B$2001, B405, ポートフォリオ実績!$A$2:$A$2001, G405), 0)</f>
        <v>0</v>
      </c>
      <c r="I405">
        <f>IF(B405&lt;&gt;"", SUMIFS(ポートフォリオ実績!$C$2:$C$2001, ポートフォリオ実績!$B$2:$B$2001, B405, ポートフォリオ実績!$A$2:$A$2001, G405), 0)</f>
        <v>0</v>
      </c>
      <c r="J405">
        <f t="shared" si="67"/>
        <v>0</v>
      </c>
      <c r="K405">
        <f t="shared" si="68"/>
        <v>0</v>
      </c>
      <c r="L405">
        <f t="shared" si="69"/>
        <v>0</v>
      </c>
      <c r="M405">
        <f t="shared" si="70"/>
        <v>0</v>
      </c>
      <c r="N405">
        <f t="shared" si="71"/>
        <v>0</v>
      </c>
      <c r="O405">
        <f t="shared" si="72"/>
        <v>0</v>
      </c>
      <c r="P405" t="str">
        <f t="shared" si="73"/>
        <v/>
      </c>
      <c r="Q405" t="str">
        <f>IF(B405="","", IFERROR(VLOOKUP(B405, '基準資産配分（設定）'!$A$2:$C$2001, 3, FALSE), ""))</f>
        <v/>
      </c>
      <c r="R405" t="str">
        <f>IF(B405="","", IFERROR(VLOOKUP(B405, '基準資産配分（設定）'!$A$2:$C$2001, 2, FALSE)/100, 0))</f>
        <v/>
      </c>
      <c r="S405" t="str">
        <f>IF(B405="","", IFERROR(SUMIFS(ベンチマークリターン!$C$2:$C$2001, ベンチマークリターン!$A$2:$A$2001, A405, ベンチマークリターン!$B$2:$B$2001, Q405) / 100, 0))</f>
        <v/>
      </c>
      <c r="T405" t="str">
        <f>IF(A405="","", SUMIFS($H$2:$H$2000, $A$2:$A$2000, A405))</f>
        <v/>
      </c>
      <c r="U405" t="str">
        <f t="shared" si="74"/>
        <v/>
      </c>
      <c r="V405" t="str">
        <f t="shared" si="75"/>
        <v/>
      </c>
      <c r="W405" t="str">
        <f t="shared" si="76"/>
        <v/>
      </c>
    </row>
    <row r="406" spans="1:23" x14ac:dyDescent="0.2">
      <c r="A406" s="4" t="str">
        <f>IF(ポートフォリオ実績!A407="","", ポートフォリオ実績!A407)</f>
        <v/>
      </c>
      <c r="B406" t="str">
        <f>IF(ポートフォリオ実績!B407="","", ポートフォリオ実績!B407)</f>
        <v/>
      </c>
      <c r="C406" s="10" t="str">
        <f>IF(ポートフォリオ実績!C407="","", ポートフォリオ実績!C407)</f>
        <v/>
      </c>
      <c r="D406" s="10" t="str">
        <f>IF(ポートフォリオ実績!D407="","", ポートフォリオ実績!D407)</f>
        <v/>
      </c>
      <c r="E406" s="10" t="str">
        <f>IF(ポートフォリオ実績!E407="","", ポートフォリオ実績!E407)</f>
        <v/>
      </c>
      <c r="F406" s="10" t="str">
        <f>IF(ポートフォリオ実績!F407="","", ポートフォリオ実績!F407)</f>
        <v/>
      </c>
      <c r="G406" t="str">
        <f t="shared" si="66"/>
        <v/>
      </c>
      <c r="H406">
        <f>IF(B406&lt;&gt;"", SUMIFS(ポートフォリオ実績!$D$2:$D$2001, ポートフォリオ実績!$B$2:$B$2001, B406, ポートフォリオ実績!$A$2:$A$2001, G406), 0)</f>
        <v>0</v>
      </c>
      <c r="I406">
        <f>IF(B406&lt;&gt;"", SUMIFS(ポートフォリオ実績!$C$2:$C$2001, ポートフォリオ実績!$B$2:$B$2001, B406, ポートフォリオ実績!$A$2:$A$2001, G406), 0)</f>
        <v>0</v>
      </c>
      <c r="J406">
        <f t="shared" si="67"/>
        <v>0</v>
      </c>
      <c r="K406">
        <f t="shared" si="68"/>
        <v>0</v>
      </c>
      <c r="L406">
        <f t="shared" si="69"/>
        <v>0</v>
      </c>
      <c r="M406">
        <f t="shared" si="70"/>
        <v>0</v>
      </c>
      <c r="N406">
        <f t="shared" si="71"/>
        <v>0</v>
      </c>
      <c r="O406">
        <f t="shared" si="72"/>
        <v>0</v>
      </c>
      <c r="P406" t="str">
        <f t="shared" si="73"/>
        <v/>
      </c>
      <c r="Q406" t="str">
        <f>IF(B406="","", IFERROR(VLOOKUP(B406, '基準資産配分（設定）'!$A$2:$C$2001, 3, FALSE), ""))</f>
        <v/>
      </c>
      <c r="R406" t="str">
        <f>IF(B406="","", IFERROR(VLOOKUP(B406, '基準資産配分（設定）'!$A$2:$C$2001, 2, FALSE)/100, 0))</f>
        <v/>
      </c>
      <c r="S406" t="str">
        <f>IF(B406="","", IFERROR(SUMIFS(ベンチマークリターン!$C$2:$C$2001, ベンチマークリターン!$A$2:$A$2001, A406, ベンチマークリターン!$B$2:$B$2001, Q406) / 100, 0))</f>
        <v/>
      </c>
      <c r="T406" t="str">
        <f>IF(A406="","", SUMIFS($H$2:$H$2000, $A$2:$A$2000, A406))</f>
        <v/>
      </c>
      <c r="U406" t="str">
        <f t="shared" si="74"/>
        <v/>
      </c>
      <c r="V406" t="str">
        <f t="shared" si="75"/>
        <v/>
      </c>
      <c r="W406" t="str">
        <f t="shared" si="76"/>
        <v/>
      </c>
    </row>
    <row r="407" spans="1:23" x14ac:dyDescent="0.2">
      <c r="A407" s="4" t="str">
        <f>IF(ポートフォリオ実績!A408="","", ポートフォリオ実績!A408)</f>
        <v/>
      </c>
      <c r="B407" t="str">
        <f>IF(ポートフォリオ実績!B408="","", ポートフォリオ実績!B408)</f>
        <v/>
      </c>
      <c r="C407" s="10" t="str">
        <f>IF(ポートフォリオ実績!C408="","", ポートフォリオ実績!C408)</f>
        <v/>
      </c>
      <c r="D407" s="10" t="str">
        <f>IF(ポートフォリオ実績!D408="","", ポートフォリオ実績!D408)</f>
        <v/>
      </c>
      <c r="E407" s="10" t="str">
        <f>IF(ポートフォリオ実績!E408="","", ポートフォリオ実績!E408)</f>
        <v/>
      </c>
      <c r="F407" s="10" t="str">
        <f>IF(ポートフォリオ実績!F408="","", ポートフォリオ実績!F408)</f>
        <v/>
      </c>
      <c r="G407" t="str">
        <f t="shared" si="66"/>
        <v/>
      </c>
      <c r="H407">
        <f>IF(B407&lt;&gt;"", SUMIFS(ポートフォリオ実績!$D$2:$D$2001, ポートフォリオ実績!$B$2:$B$2001, B407, ポートフォリオ実績!$A$2:$A$2001, G407), 0)</f>
        <v>0</v>
      </c>
      <c r="I407">
        <f>IF(B407&lt;&gt;"", SUMIFS(ポートフォリオ実績!$C$2:$C$2001, ポートフォリオ実績!$B$2:$B$2001, B407, ポートフォリオ実績!$A$2:$A$2001, G407), 0)</f>
        <v>0</v>
      </c>
      <c r="J407">
        <f t="shared" si="67"/>
        <v>0</v>
      </c>
      <c r="K407">
        <f t="shared" si="68"/>
        <v>0</v>
      </c>
      <c r="L407">
        <f t="shared" si="69"/>
        <v>0</v>
      </c>
      <c r="M407">
        <f t="shared" si="70"/>
        <v>0</v>
      </c>
      <c r="N407">
        <f t="shared" si="71"/>
        <v>0</v>
      </c>
      <c r="O407">
        <f t="shared" si="72"/>
        <v>0</v>
      </c>
      <c r="P407" t="str">
        <f t="shared" si="73"/>
        <v/>
      </c>
      <c r="Q407" t="str">
        <f>IF(B407="","", IFERROR(VLOOKUP(B407, '基準資産配分（設定）'!$A$2:$C$2001, 3, FALSE), ""))</f>
        <v/>
      </c>
      <c r="R407" t="str">
        <f>IF(B407="","", IFERROR(VLOOKUP(B407, '基準資産配分（設定）'!$A$2:$C$2001, 2, FALSE)/100, 0))</f>
        <v/>
      </c>
      <c r="S407" t="str">
        <f>IF(B407="","", IFERROR(SUMIFS(ベンチマークリターン!$C$2:$C$2001, ベンチマークリターン!$A$2:$A$2001, A407, ベンチマークリターン!$B$2:$B$2001, Q407) / 100, 0))</f>
        <v/>
      </c>
      <c r="T407" t="str">
        <f>IF(A407="","", SUMIFS($H$2:$H$2000, $A$2:$A$2000, A407))</f>
        <v/>
      </c>
      <c r="U407" t="str">
        <f t="shared" si="74"/>
        <v/>
      </c>
      <c r="V407" t="str">
        <f t="shared" si="75"/>
        <v/>
      </c>
      <c r="W407" t="str">
        <f t="shared" si="76"/>
        <v/>
      </c>
    </row>
    <row r="408" spans="1:23" x14ac:dyDescent="0.2">
      <c r="A408" s="4" t="str">
        <f>IF(ポートフォリオ実績!A409="","", ポートフォリオ実績!A409)</f>
        <v/>
      </c>
      <c r="B408" t="str">
        <f>IF(ポートフォリオ実績!B409="","", ポートフォリオ実績!B409)</f>
        <v/>
      </c>
      <c r="C408" s="10" t="str">
        <f>IF(ポートフォリオ実績!C409="","", ポートフォリオ実績!C409)</f>
        <v/>
      </c>
      <c r="D408" s="10" t="str">
        <f>IF(ポートフォリオ実績!D409="","", ポートフォリオ実績!D409)</f>
        <v/>
      </c>
      <c r="E408" s="10" t="str">
        <f>IF(ポートフォリオ実績!E409="","", ポートフォリオ実績!E409)</f>
        <v/>
      </c>
      <c r="F408" s="10" t="str">
        <f>IF(ポートフォリオ実績!F409="","", ポートフォリオ実績!F409)</f>
        <v/>
      </c>
      <c r="G408" t="str">
        <f t="shared" si="66"/>
        <v/>
      </c>
      <c r="H408">
        <f>IF(B408&lt;&gt;"", SUMIFS(ポートフォリオ実績!$D$2:$D$2001, ポートフォリオ実績!$B$2:$B$2001, B408, ポートフォリオ実績!$A$2:$A$2001, G408), 0)</f>
        <v>0</v>
      </c>
      <c r="I408">
        <f>IF(B408&lt;&gt;"", SUMIFS(ポートフォリオ実績!$C$2:$C$2001, ポートフォリオ実績!$B$2:$B$2001, B408, ポートフォリオ実績!$A$2:$A$2001, G408), 0)</f>
        <v>0</v>
      </c>
      <c r="J408">
        <f t="shared" si="67"/>
        <v>0</v>
      </c>
      <c r="K408">
        <f t="shared" si="68"/>
        <v>0</v>
      </c>
      <c r="L408">
        <f t="shared" si="69"/>
        <v>0</v>
      </c>
      <c r="M408">
        <f t="shared" si="70"/>
        <v>0</v>
      </c>
      <c r="N408">
        <f t="shared" si="71"/>
        <v>0</v>
      </c>
      <c r="O408">
        <f t="shared" si="72"/>
        <v>0</v>
      </c>
      <c r="P408" t="str">
        <f t="shared" si="73"/>
        <v/>
      </c>
      <c r="Q408" t="str">
        <f>IF(B408="","", IFERROR(VLOOKUP(B408, '基準資産配分（設定）'!$A$2:$C$2001, 3, FALSE), ""))</f>
        <v/>
      </c>
      <c r="R408" t="str">
        <f>IF(B408="","", IFERROR(VLOOKUP(B408, '基準資産配分（設定）'!$A$2:$C$2001, 2, FALSE)/100, 0))</f>
        <v/>
      </c>
      <c r="S408" t="str">
        <f>IF(B408="","", IFERROR(SUMIFS(ベンチマークリターン!$C$2:$C$2001, ベンチマークリターン!$A$2:$A$2001, A408, ベンチマークリターン!$B$2:$B$2001, Q408) / 100, 0))</f>
        <v/>
      </c>
      <c r="T408" t="str">
        <f>IF(A408="","", SUMIFS($H$2:$H$2000, $A$2:$A$2000, A408))</f>
        <v/>
      </c>
      <c r="U408" t="str">
        <f t="shared" si="74"/>
        <v/>
      </c>
      <c r="V408" t="str">
        <f t="shared" si="75"/>
        <v/>
      </c>
      <c r="W408" t="str">
        <f t="shared" si="76"/>
        <v/>
      </c>
    </row>
    <row r="409" spans="1:23" x14ac:dyDescent="0.2">
      <c r="A409" s="4" t="str">
        <f>IF(ポートフォリオ実績!A410="","", ポートフォリオ実績!A410)</f>
        <v/>
      </c>
      <c r="B409" t="str">
        <f>IF(ポートフォリオ実績!B410="","", ポートフォリオ実績!B410)</f>
        <v/>
      </c>
      <c r="C409" s="10" t="str">
        <f>IF(ポートフォリオ実績!C410="","", ポートフォリオ実績!C410)</f>
        <v/>
      </c>
      <c r="D409" s="10" t="str">
        <f>IF(ポートフォリオ実績!D410="","", ポートフォリオ実績!D410)</f>
        <v/>
      </c>
      <c r="E409" s="10" t="str">
        <f>IF(ポートフォリオ実績!E410="","", ポートフォリオ実績!E410)</f>
        <v/>
      </c>
      <c r="F409" s="10" t="str">
        <f>IF(ポートフォリオ実績!F410="","", ポートフォリオ実績!F410)</f>
        <v/>
      </c>
      <c r="G409" t="str">
        <f t="shared" si="66"/>
        <v/>
      </c>
      <c r="H409">
        <f>IF(B409&lt;&gt;"", SUMIFS(ポートフォリオ実績!$D$2:$D$2001, ポートフォリオ実績!$B$2:$B$2001, B409, ポートフォリオ実績!$A$2:$A$2001, G409), 0)</f>
        <v>0</v>
      </c>
      <c r="I409">
        <f>IF(B409&lt;&gt;"", SUMIFS(ポートフォリオ実績!$C$2:$C$2001, ポートフォリオ実績!$B$2:$B$2001, B409, ポートフォリオ実績!$A$2:$A$2001, G409), 0)</f>
        <v>0</v>
      </c>
      <c r="J409">
        <f t="shared" si="67"/>
        <v>0</v>
      </c>
      <c r="K409">
        <f t="shared" si="68"/>
        <v>0</v>
      </c>
      <c r="L409">
        <f t="shared" si="69"/>
        <v>0</v>
      </c>
      <c r="M409">
        <f t="shared" si="70"/>
        <v>0</v>
      </c>
      <c r="N409">
        <f t="shared" si="71"/>
        <v>0</v>
      </c>
      <c r="O409">
        <f t="shared" si="72"/>
        <v>0</v>
      </c>
      <c r="P409" t="str">
        <f t="shared" si="73"/>
        <v/>
      </c>
      <c r="Q409" t="str">
        <f>IF(B409="","", IFERROR(VLOOKUP(B409, '基準資産配分（設定）'!$A$2:$C$2001, 3, FALSE), ""))</f>
        <v/>
      </c>
      <c r="R409" t="str">
        <f>IF(B409="","", IFERROR(VLOOKUP(B409, '基準資産配分（設定）'!$A$2:$C$2001, 2, FALSE)/100, 0))</f>
        <v/>
      </c>
      <c r="S409" t="str">
        <f>IF(B409="","", IFERROR(SUMIFS(ベンチマークリターン!$C$2:$C$2001, ベンチマークリターン!$A$2:$A$2001, A409, ベンチマークリターン!$B$2:$B$2001, Q409) / 100, 0))</f>
        <v/>
      </c>
      <c r="T409" t="str">
        <f>IF(A409="","", SUMIFS($H$2:$H$2000, $A$2:$A$2000, A409))</f>
        <v/>
      </c>
      <c r="U409" t="str">
        <f t="shared" si="74"/>
        <v/>
      </c>
      <c r="V409" t="str">
        <f t="shared" si="75"/>
        <v/>
      </c>
      <c r="W409" t="str">
        <f t="shared" si="76"/>
        <v/>
      </c>
    </row>
    <row r="410" spans="1:23" x14ac:dyDescent="0.2">
      <c r="A410" s="4" t="str">
        <f>IF(ポートフォリオ実績!A411="","", ポートフォリオ実績!A411)</f>
        <v/>
      </c>
      <c r="B410" t="str">
        <f>IF(ポートフォリオ実績!B411="","", ポートフォリオ実績!B411)</f>
        <v/>
      </c>
      <c r="C410" s="10" t="str">
        <f>IF(ポートフォリオ実績!C411="","", ポートフォリオ実績!C411)</f>
        <v/>
      </c>
      <c r="D410" s="10" t="str">
        <f>IF(ポートフォリオ実績!D411="","", ポートフォリオ実績!D411)</f>
        <v/>
      </c>
      <c r="E410" s="10" t="str">
        <f>IF(ポートフォリオ実績!E411="","", ポートフォリオ実績!E411)</f>
        <v/>
      </c>
      <c r="F410" s="10" t="str">
        <f>IF(ポートフォリオ実績!F411="","", ポートフォリオ実績!F411)</f>
        <v/>
      </c>
      <c r="G410" t="str">
        <f t="shared" si="66"/>
        <v/>
      </c>
      <c r="H410">
        <f>IF(B410&lt;&gt;"", SUMIFS(ポートフォリオ実績!$D$2:$D$2001, ポートフォリオ実績!$B$2:$B$2001, B410, ポートフォリオ実績!$A$2:$A$2001, G410), 0)</f>
        <v>0</v>
      </c>
      <c r="I410">
        <f>IF(B410&lt;&gt;"", SUMIFS(ポートフォリオ実績!$C$2:$C$2001, ポートフォリオ実績!$B$2:$B$2001, B410, ポートフォリオ実績!$A$2:$A$2001, G410), 0)</f>
        <v>0</v>
      </c>
      <c r="J410">
        <f t="shared" si="67"/>
        <v>0</v>
      </c>
      <c r="K410">
        <f t="shared" si="68"/>
        <v>0</v>
      </c>
      <c r="L410">
        <f t="shared" si="69"/>
        <v>0</v>
      </c>
      <c r="M410">
        <f t="shared" si="70"/>
        <v>0</v>
      </c>
      <c r="N410">
        <f t="shared" si="71"/>
        <v>0</v>
      </c>
      <c r="O410">
        <f t="shared" si="72"/>
        <v>0</v>
      </c>
      <c r="P410" t="str">
        <f t="shared" si="73"/>
        <v/>
      </c>
      <c r="Q410" t="str">
        <f>IF(B410="","", IFERROR(VLOOKUP(B410, '基準資産配分（設定）'!$A$2:$C$2001, 3, FALSE), ""))</f>
        <v/>
      </c>
      <c r="R410" t="str">
        <f>IF(B410="","", IFERROR(VLOOKUP(B410, '基準資産配分（設定）'!$A$2:$C$2001, 2, FALSE)/100, 0))</f>
        <v/>
      </c>
      <c r="S410" t="str">
        <f>IF(B410="","", IFERROR(SUMIFS(ベンチマークリターン!$C$2:$C$2001, ベンチマークリターン!$A$2:$A$2001, A410, ベンチマークリターン!$B$2:$B$2001, Q410) / 100, 0))</f>
        <v/>
      </c>
      <c r="T410" t="str">
        <f>IF(A410="","", SUMIFS($H$2:$H$2000, $A$2:$A$2000, A410))</f>
        <v/>
      </c>
      <c r="U410" t="str">
        <f t="shared" si="74"/>
        <v/>
      </c>
      <c r="V410" t="str">
        <f t="shared" si="75"/>
        <v/>
      </c>
      <c r="W410" t="str">
        <f t="shared" si="76"/>
        <v/>
      </c>
    </row>
    <row r="411" spans="1:23" x14ac:dyDescent="0.2">
      <c r="A411" s="4" t="str">
        <f>IF(ポートフォリオ実績!A412="","", ポートフォリオ実績!A412)</f>
        <v/>
      </c>
      <c r="B411" t="str">
        <f>IF(ポートフォリオ実績!B412="","", ポートフォリオ実績!B412)</f>
        <v/>
      </c>
      <c r="C411" s="10" t="str">
        <f>IF(ポートフォリオ実績!C412="","", ポートフォリオ実績!C412)</f>
        <v/>
      </c>
      <c r="D411" s="10" t="str">
        <f>IF(ポートフォリオ実績!D412="","", ポートフォリオ実績!D412)</f>
        <v/>
      </c>
      <c r="E411" s="10" t="str">
        <f>IF(ポートフォリオ実績!E412="","", ポートフォリオ実績!E412)</f>
        <v/>
      </c>
      <c r="F411" s="10" t="str">
        <f>IF(ポートフォリオ実績!F412="","", ポートフォリオ実績!F412)</f>
        <v/>
      </c>
      <c r="G411" t="str">
        <f t="shared" si="66"/>
        <v/>
      </c>
      <c r="H411">
        <f>IF(B411&lt;&gt;"", SUMIFS(ポートフォリオ実績!$D$2:$D$2001, ポートフォリオ実績!$B$2:$B$2001, B411, ポートフォリオ実績!$A$2:$A$2001, G411), 0)</f>
        <v>0</v>
      </c>
      <c r="I411">
        <f>IF(B411&lt;&gt;"", SUMIFS(ポートフォリオ実績!$C$2:$C$2001, ポートフォリオ実績!$B$2:$B$2001, B411, ポートフォリオ実績!$A$2:$A$2001, G411), 0)</f>
        <v>0</v>
      </c>
      <c r="J411">
        <f t="shared" si="67"/>
        <v>0</v>
      </c>
      <c r="K411">
        <f t="shared" si="68"/>
        <v>0</v>
      </c>
      <c r="L411">
        <f t="shared" si="69"/>
        <v>0</v>
      </c>
      <c r="M411">
        <f t="shared" si="70"/>
        <v>0</v>
      </c>
      <c r="N411">
        <f t="shared" si="71"/>
        <v>0</v>
      </c>
      <c r="O411">
        <f t="shared" si="72"/>
        <v>0</v>
      </c>
      <c r="P411" t="str">
        <f t="shared" si="73"/>
        <v/>
      </c>
      <c r="Q411" t="str">
        <f>IF(B411="","", IFERROR(VLOOKUP(B411, '基準資産配分（設定）'!$A$2:$C$2001, 3, FALSE), ""))</f>
        <v/>
      </c>
      <c r="R411" t="str">
        <f>IF(B411="","", IFERROR(VLOOKUP(B411, '基準資産配分（設定）'!$A$2:$C$2001, 2, FALSE)/100, 0))</f>
        <v/>
      </c>
      <c r="S411" t="str">
        <f>IF(B411="","", IFERROR(SUMIFS(ベンチマークリターン!$C$2:$C$2001, ベンチマークリターン!$A$2:$A$2001, A411, ベンチマークリターン!$B$2:$B$2001, Q411) / 100, 0))</f>
        <v/>
      </c>
      <c r="T411" t="str">
        <f>IF(A411="","", SUMIFS($H$2:$H$2000, $A$2:$A$2000, A411))</f>
        <v/>
      </c>
      <c r="U411" t="str">
        <f t="shared" si="74"/>
        <v/>
      </c>
      <c r="V411" t="str">
        <f t="shared" si="75"/>
        <v/>
      </c>
      <c r="W411" t="str">
        <f t="shared" si="76"/>
        <v/>
      </c>
    </row>
    <row r="412" spans="1:23" x14ac:dyDescent="0.2">
      <c r="A412" s="4" t="str">
        <f>IF(ポートフォリオ実績!A413="","", ポートフォリオ実績!A413)</f>
        <v/>
      </c>
      <c r="B412" t="str">
        <f>IF(ポートフォリオ実績!B413="","", ポートフォリオ実績!B413)</f>
        <v/>
      </c>
      <c r="C412" s="10" t="str">
        <f>IF(ポートフォリオ実績!C413="","", ポートフォリオ実績!C413)</f>
        <v/>
      </c>
      <c r="D412" s="10" t="str">
        <f>IF(ポートフォリオ実績!D413="","", ポートフォリオ実績!D413)</f>
        <v/>
      </c>
      <c r="E412" s="10" t="str">
        <f>IF(ポートフォリオ実績!E413="","", ポートフォリオ実績!E413)</f>
        <v/>
      </c>
      <c r="F412" s="10" t="str">
        <f>IF(ポートフォリオ実績!F413="","", ポートフォリオ実績!F413)</f>
        <v/>
      </c>
      <c r="G412" t="str">
        <f t="shared" si="66"/>
        <v/>
      </c>
      <c r="H412">
        <f>IF(B412&lt;&gt;"", SUMIFS(ポートフォリオ実績!$D$2:$D$2001, ポートフォリオ実績!$B$2:$B$2001, B412, ポートフォリオ実績!$A$2:$A$2001, G412), 0)</f>
        <v>0</v>
      </c>
      <c r="I412">
        <f>IF(B412&lt;&gt;"", SUMIFS(ポートフォリオ実績!$C$2:$C$2001, ポートフォリオ実績!$B$2:$B$2001, B412, ポートフォリオ実績!$A$2:$A$2001, G412), 0)</f>
        <v>0</v>
      </c>
      <c r="J412">
        <f t="shared" si="67"/>
        <v>0</v>
      </c>
      <c r="K412">
        <f t="shared" si="68"/>
        <v>0</v>
      </c>
      <c r="L412">
        <f t="shared" si="69"/>
        <v>0</v>
      </c>
      <c r="M412">
        <f t="shared" si="70"/>
        <v>0</v>
      </c>
      <c r="N412">
        <f t="shared" si="71"/>
        <v>0</v>
      </c>
      <c r="O412">
        <f t="shared" si="72"/>
        <v>0</v>
      </c>
      <c r="P412" t="str">
        <f t="shared" si="73"/>
        <v/>
      </c>
      <c r="Q412" t="str">
        <f>IF(B412="","", IFERROR(VLOOKUP(B412, '基準資産配分（設定）'!$A$2:$C$2001, 3, FALSE), ""))</f>
        <v/>
      </c>
      <c r="R412" t="str">
        <f>IF(B412="","", IFERROR(VLOOKUP(B412, '基準資産配分（設定）'!$A$2:$C$2001, 2, FALSE)/100, 0))</f>
        <v/>
      </c>
      <c r="S412" t="str">
        <f>IF(B412="","", IFERROR(SUMIFS(ベンチマークリターン!$C$2:$C$2001, ベンチマークリターン!$A$2:$A$2001, A412, ベンチマークリターン!$B$2:$B$2001, Q412) / 100, 0))</f>
        <v/>
      </c>
      <c r="T412" t="str">
        <f>IF(A412="","", SUMIFS($H$2:$H$2000, $A$2:$A$2000, A412))</f>
        <v/>
      </c>
      <c r="U412" t="str">
        <f t="shared" si="74"/>
        <v/>
      </c>
      <c r="V412" t="str">
        <f t="shared" si="75"/>
        <v/>
      </c>
      <c r="W412" t="str">
        <f t="shared" si="76"/>
        <v/>
      </c>
    </row>
    <row r="413" spans="1:23" x14ac:dyDescent="0.2">
      <c r="A413" s="4" t="str">
        <f>IF(ポートフォリオ実績!A414="","", ポートフォリオ実績!A414)</f>
        <v/>
      </c>
      <c r="B413" t="str">
        <f>IF(ポートフォリオ実績!B414="","", ポートフォリオ実績!B414)</f>
        <v/>
      </c>
      <c r="C413" s="10" t="str">
        <f>IF(ポートフォリオ実績!C414="","", ポートフォリオ実績!C414)</f>
        <v/>
      </c>
      <c r="D413" s="10" t="str">
        <f>IF(ポートフォリオ実績!D414="","", ポートフォリオ実績!D414)</f>
        <v/>
      </c>
      <c r="E413" s="10" t="str">
        <f>IF(ポートフォリオ実績!E414="","", ポートフォリオ実績!E414)</f>
        <v/>
      </c>
      <c r="F413" s="10" t="str">
        <f>IF(ポートフォリオ実績!F414="","", ポートフォリオ実績!F414)</f>
        <v/>
      </c>
      <c r="G413" t="str">
        <f t="shared" si="66"/>
        <v/>
      </c>
      <c r="H413">
        <f>IF(B413&lt;&gt;"", SUMIFS(ポートフォリオ実績!$D$2:$D$2001, ポートフォリオ実績!$B$2:$B$2001, B413, ポートフォリオ実績!$A$2:$A$2001, G413), 0)</f>
        <v>0</v>
      </c>
      <c r="I413">
        <f>IF(B413&lt;&gt;"", SUMIFS(ポートフォリオ実績!$C$2:$C$2001, ポートフォリオ実績!$B$2:$B$2001, B413, ポートフォリオ実績!$A$2:$A$2001, G413), 0)</f>
        <v>0</v>
      </c>
      <c r="J413">
        <f t="shared" si="67"/>
        <v>0</v>
      </c>
      <c r="K413">
        <f t="shared" si="68"/>
        <v>0</v>
      </c>
      <c r="L413">
        <f t="shared" si="69"/>
        <v>0</v>
      </c>
      <c r="M413">
        <f t="shared" si="70"/>
        <v>0</v>
      </c>
      <c r="N413">
        <f t="shared" si="71"/>
        <v>0</v>
      </c>
      <c r="O413">
        <f t="shared" si="72"/>
        <v>0</v>
      </c>
      <c r="P413" t="str">
        <f t="shared" si="73"/>
        <v/>
      </c>
      <c r="Q413" t="str">
        <f>IF(B413="","", IFERROR(VLOOKUP(B413, '基準資産配分（設定）'!$A$2:$C$2001, 3, FALSE), ""))</f>
        <v/>
      </c>
      <c r="R413" t="str">
        <f>IF(B413="","", IFERROR(VLOOKUP(B413, '基準資産配分（設定）'!$A$2:$C$2001, 2, FALSE)/100, 0))</f>
        <v/>
      </c>
      <c r="S413" t="str">
        <f>IF(B413="","", IFERROR(SUMIFS(ベンチマークリターン!$C$2:$C$2001, ベンチマークリターン!$A$2:$A$2001, A413, ベンチマークリターン!$B$2:$B$2001, Q413) / 100, 0))</f>
        <v/>
      </c>
      <c r="T413" t="str">
        <f>IF(A413="","", SUMIFS($H$2:$H$2000, $A$2:$A$2000, A413))</f>
        <v/>
      </c>
      <c r="U413" t="str">
        <f t="shared" si="74"/>
        <v/>
      </c>
      <c r="V413" t="str">
        <f t="shared" si="75"/>
        <v/>
      </c>
      <c r="W413" t="str">
        <f t="shared" si="76"/>
        <v/>
      </c>
    </row>
    <row r="414" spans="1:23" x14ac:dyDescent="0.2">
      <c r="A414" s="4" t="str">
        <f>IF(ポートフォリオ実績!A415="","", ポートフォリオ実績!A415)</f>
        <v/>
      </c>
      <c r="B414" t="str">
        <f>IF(ポートフォリオ実績!B415="","", ポートフォリオ実績!B415)</f>
        <v/>
      </c>
      <c r="C414" s="10" t="str">
        <f>IF(ポートフォリオ実績!C415="","", ポートフォリオ実績!C415)</f>
        <v/>
      </c>
      <c r="D414" s="10" t="str">
        <f>IF(ポートフォリオ実績!D415="","", ポートフォリオ実績!D415)</f>
        <v/>
      </c>
      <c r="E414" s="10" t="str">
        <f>IF(ポートフォリオ実績!E415="","", ポートフォリオ実績!E415)</f>
        <v/>
      </c>
      <c r="F414" s="10" t="str">
        <f>IF(ポートフォリオ実績!F415="","", ポートフォリオ実績!F415)</f>
        <v/>
      </c>
      <c r="G414" t="str">
        <f t="shared" si="66"/>
        <v/>
      </c>
      <c r="H414">
        <f>IF(B414&lt;&gt;"", SUMIFS(ポートフォリオ実績!$D$2:$D$2001, ポートフォリオ実績!$B$2:$B$2001, B414, ポートフォリオ実績!$A$2:$A$2001, G414), 0)</f>
        <v>0</v>
      </c>
      <c r="I414">
        <f>IF(B414&lt;&gt;"", SUMIFS(ポートフォリオ実績!$C$2:$C$2001, ポートフォリオ実績!$B$2:$B$2001, B414, ポートフォリオ実績!$A$2:$A$2001, G414), 0)</f>
        <v>0</v>
      </c>
      <c r="J414">
        <f t="shared" si="67"/>
        <v>0</v>
      </c>
      <c r="K414">
        <f t="shared" si="68"/>
        <v>0</v>
      </c>
      <c r="L414">
        <f t="shared" si="69"/>
        <v>0</v>
      </c>
      <c r="M414">
        <f t="shared" si="70"/>
        <v>0</v>
      </c>
      <c r="N414">
        <f t="shared" si="71"/>
        <v>0</v>
      </c>
      <c r="O414">
        <f t="shared" si="72"/>
        <v>0</v>
      </c>
      <c r="P414" t="str">
        <f t="shared" si="73"/>
        <v/>
      </c>
      <c r="Q414" t="str">
        <f>IF(B414="","", IFERROR(VLOOKUP(B414, '基準資産配分（設定）'!$A$2:$C$2001, 3, FALSE), ""))</f>
        <v/>
      </c>
      <c r="R414" t="str">
        <f>IF(B414="","", IFERROR(VLOOKUP(B414, '基準資産配分（設定）'!$A$2:$C$2001, 2, FALSE)/100, 0))</f>
        <v/>
      </c>
      <c r="S414" t="str">
        <f>IF(B414="","", IFERROR(SUMIFS(ベンチマークリターン!$C$2:$C$2001, ベンチマークリターン!$A$2:$A$2001, A414, ベンチマークリターン!$B$2:$B$2001, Q414) / 100, 0))</f>
        <v/>
      </c>
      <c r="T414" t="str">
        <f>IF(A414="","", SUMIFS($H$2:$H$2000, $A$2:$A$2000, A414))</f>
        <v/>
      </c>
      <c r="U414" t="str">
        <f t="shared" si="74"/>
        <v/>
      </c>
      <c r="V414" t="str">
        <f t="shared" si="75"/>
        <v/>
      </c>
      <c r="W414" t="str">
        <f t="shared" si="76"/>
        <v/>
      </c>
    </row>
    <row r="415" spans="1:23" x14ac:dyDescent="0.2">
      <c r="A415" s="4" t="str">
        <f>IF(ポートフォリオ実績!A416="","", ポートフォリオ実績!A416)</f>
        <v/>
      </c>
      <c r="B415" t="str">
        <f>IF(ポートフォリオ実績!B416="","", ポートフォリオ実績!B416)</f>
        <v/>
      </c>
      <c r="C415" s="10" t="str">
        <f>IF(ポートフォリオ実績!C416="","", ポートフォリオ実績!C416)</f>
        <v/>
      </c>
      <c r="D415" s="10" t="str">
        <f>IF(ポートフォリオ実績!D416="","", ポートフォリオ実績!D416)</f>
        <v/>
      </c>
      <c r="E415" s="10" t="str">
        <f>IF(ポートフォリオ実績!E416="","", ポートフォリオ実績!E416)</f>
        <v/>
      </c>
      <c r="F415" s="10" t="str">
        <f>IF(ポートフォリオ実績!F416="","", ポートフォリオ実績!F416)</f>
        <v/>
      </c>
      <c r="G415" t="str">
        <f t="shared" si="66"/>
        <v/>
      </c>
      <c r="H415">
        <f>IF(B415&lt;&gt;"", SUMIFS(ポートフォリオ実績!$D$2:$D$2001, ポートフォリオ実績!$B$2:$B$2001, B415, ポートフォリオ実績!$A$2:$A$2001, G415), 0)</f>
        <v>0</v>
      </c>
      <c r="I415">
        <f>IF(B415&lt;&gt;"", SUMIFS(ポートフォリオ実績!$C$2:$C$2001, ポートフォリオ実績!$B$2:$B$2001, B415, ポートフォリオ実績!$A$2:$A$2001, G415), 0)</f>
        <v>0</v>
      </c>
      <c r="J415">
        <f t="shared" si="67"/>
        <v>0</v>
      </c>
      <c r="K415">
        <f t="shared" si="68"/>
        <v>0</v>
      </c>
      <c r="L415">
        <f t="shared" si="69"/>
        <v>0</v>
      </c>
      <c r="M415">
        <f t="shared" si="70"/>
        <v>0</v>
      </c>
      <c r="N415">
        <f t="shared" si="71"/>
        <v>0</v>
      </c>
      <c r="O415">
        <f t="shared" si="72"/>
        <v>0</v>
      </c>
      <c r="P415" t="str">
        <f t="shared" si="73"/>
        <v/>
      </c>
      <c r="Q415" t="str">
        <f>IF(B415="","", IFERROR(VLOOKUP(B415, '基準資産配分（設定）'!$A$2:$C$2001, 3, FALSE), ""))</f>
        <v/>
      </c>
      <c r="R415" t="str">
        <f>IF(B415="","", IFERROR(VLOOKUP(B415, '基準資産配分（設定）'!$A$2:$C$2001, 2, FALSE)/100, 0))</f>
        <v/>
      </c>
      <c r="S415" t="str">
        <f>IF(B415="","", IFERROR(SUMIFS(ベンチマークリターン!$C$2:$C$2001, ベンチマークリターン!$A$2:$A$2001, A415, ベンチマークリターン!$B$2:$B$2001, Q415) / 100, 0))</f>
        <v/>
      </c>
      <c r="T415" t="str">
        <f>IF(A415="","", SUMIFS($H$2:$H$2000, $A$2:$A$2000, A415))</f>
        <v/>
      </c>
      <c r="U415" t="str">
        <f t="shared" si="74"/>
        <v/>
      </c>
      <c r="V415" t="str">
        <f t="shared" si="75"/>
        <v/>
      </c>
      <c r="W415" t="str">
        <f t="shared" si="76"/>
        <v/>
      </c>
    </row>
    <row r="416" spans="1:23" x14ac:dyDescent="0.2">
      <c r="A416" s="4" t="str">
        <f>IF(ポートフォリオ実績!A417="","", ポートフォリオ実績!A417)</f>
        <v/>
      </c>
      <c r="B416" t="str">
        <f>IF(ポートフォリオ実績!B417="","", ポートフォリオ実績!B417)</f>
        <v/>
      </c>
      <c r="C416" s="10" t="str">
        <f>IF(ポートフォリオ実績!C417="","", ポートフォリオ実績!C417)</f>
        <v/>
      </c>
      <c r="D416" s="10" t="str">
        <f>IF(ポートフォリオ実績!D417="","", ポートフォリオ実績!D417)</f>
        <v/>
      </c>
      <c r="E416" s="10" t="str">
        <f>IF(ポートフォリオ実績!E417="","", ポートフォリオ実績!E417)</f>
        <v/>
      </c>
      <c r="F416" s="10" t="str">
        <f>IF(ポートフォリオ実績!F417="","", ポートフォリオ実績!F417)</f>
        <v/>
      </c>
      <c r="G416" t="str">
        <f t="shared" si="66"/>
        <v/>
      </c>
      <c r="H416">
        <f>IF(B416&lt;&gt;"", SUMIFS(ポートフォリオ実績!$D$2:$D$2001, ポートフォリオ実績!$B$2:$B$2001, B416, ポートフォリオ実績!$A$2:$A$2001, G416), 0)</f>
        <v>0</v>
      </c>
      <c r="I416">
        <f>IF(B416&lt;&gt;"", SUMIFS(ポートフォリオ実績!$C$2:$C$2001, ポートフォリオ実績!$B$2:$B$2001, B416, ポートフォリオ実績!$A$2:$A$2001, G416), 0)</f>
        <v>0</v>
      </c>
      <c r="J416">
        <f t="shared" si="67"/>
        <v>0</v>
      </c>
      <c r="K416">
        <f t="shared" si="68"/>
        <v>0</v>
      </c>
      <c r="L416">
        <f t="shared" si="69"/>
        <v>0</v>
      </c>
      <c r="M416">
        <f t="shared" si="70"/>
        <v>0</v>
      </c>
      <c r="N416">
        <f t="shared" si="71"/>
        <v>0</v>
      </c>
      <c r="O416">
        <f t="shared" si="72"/>
        <v>0</v>
      </c>
      <c r="P416" t="str">
        <f t="shared" si="73"/>
        <v/>
      </c>
      <c r="Q416" t="str">
        <f>IF(B416="","", IFERROR(VLOOKUP(B416, '基準資産配分（設定）'!$A$2:$C$2001, 3, FALSE), ""))</f>
        <v/>
      </c>
      <c r="R416" t="str">
        <f>IF(B416="","", IFERROR(VLOOKUP(B416, '基準資産配分（設定）'!$A$2:$C$2001, 2, FALSE)/100, 0))</f>
        <v/>
      </c>
      <c r="S416" t="str">
        <f>IF(B416="","", IFERROR(SUMIFS(ベンチマークリターン!$C$2:$C$2001, ベンチマークリターン!$A$2:$A$2001, A416, ベンチマークリターン!$B$2:$B$2001, Q416) / 100, 0))</f>
        <v/>
      </c>
      <c r="T416" t="str">
        <f>IF(A416="","", SUMIFS($H$2:$H$2000, $A$2:$A$2000, A416))</f>
        <v/>
      </c>
      <c r="U416" t="str">
        <f t="shared" si="74"/>
        <v/>
      </c>
      <c r="V416" t="str">
        <f t="shared" si="75"/>
        <v/>
      </c>
      <c r="W416" t="str">
        <f t="shared" si="76"/>
        <v/>
      </c>
    </row>
    <row r="417" spans="1:23" x14ac:dyDescent="0.2">
      <c r="A417" s="4" t="str">
        <f>IF(ポートフォリオ実績!A418="","", ポートフォリオ実績!A418)</f>
        <v/>
      </c>
      <c r="B417" t="str">
        <f>IF(ポートフォリオ実績!B418="","", ポートフォリオ実績!B418)</f>
        <v/>
      </c>
      <c r="C417" s="10" t="str">
        <f>IF(ポートフォリオ実績!C418="","", ポートフォリオ実績!C418)</f>
        <v/>
      </c>
      <c r="D417" s="10" t="str">
        <f>IF(ポートフォリオ実績!D418="","", ポートフォリオ実績!D418)</f>
        <v/>
      </c>
      <c r="E417" s="10" t="str">
        <f>IF(ポートフォリオ実績!E418="","", ポートフォリオ実績!E418)</f>
        <v/>
      </c>
      <c r="F417" s="10" t="str">
        <f>IF(ポートフォリオ実績!F418="","", ポートフォリオ実績!F418)</f>
        <v/>
      </c>
      <c r="G417" t="str">
        <f t="shared" si="66"/>
        <v/>
      </c>
      <c r="H417">
        <f>IF(B417&lt;&gt;"", SUMIFS(ポートフォリオ実績!$D$2:$D$2001, ポートフォリオ実績!$B$2:$B$2001, B417, ポートフォリオ実績!$A$2:$A$2001, G417), 0)</f>
        <v>0</v>
      </c>
      <c r="I417">
        <f>IF(B417&lt;&gt;"", SUMIFS(ポートフォリオ実績!$C$2:$C$2001, ポートフォリオ実績!$B$2:$B$2001, B417, ポートフォリオ実績!$A$2:$A$2001, G417), 0)</f>
        <v>0</v>
      </c>
      <c r="J417">
        <f t="shared" si="67"/>
        <v>0</v>
      </c>
      <c r="K417">
        <f t="shared" si="68"/>
        <v>0</v>
      </c>
      <c r="L417">
        <f t="shared" si="69"/>
        <v>0</v>
      </c>
      <c r="M417">
        <f t="shared" si="70"/>
        <v>0</v>
      </c>
      <c r="N417">
        <f t="shared" si="71"/>
        <v>0</v>
      </c>
      <c r="O417">
        <f t="shared" si="72"/>
        <v>0</v>
      </c>
      <c r="P417" t="str">
        <f t="shared" si="73"/>
        <v/>
      </c>
      <c r="Q417" t="str">
        <f>IF(B417="","", IFERROR(VLOOKUP(B417, '基準資産配分（設定）'!$A$2:$C$2001, 3, FALSE), ""))</f>
        <v/>
      </c>
      <c r="R417" t="str">
        <f>IF(B417="","", IFERROR(VLOOKUP(B417, '基準資産配分（設定）'!$A$2:$C$2001, 2, FALSE)/100, 0))</f>
        <v/>
      </c>
      <c r="S417" t="str">
        <f>IF(B417="","", IFERROR(SUMIFS(ベンチマークリターン!$C$2:$C$2001, ベンチマークリターン!$A$2:$A$2001, A417, ベンチマークリターン!$B$2:$B$2001, Q417) / 100, 0))</f>
        <v/>
      </c>
      <c r="T417" t="str">
        <f>IF(A417="","", SUMIFS($H$2:$H$2000, $A$2:$A$2000, A417))</f>
        <v/>
      </c>
      <c r="U417" t="str">
        <f t="shared" si="74"/>
        <v/>
      </c>
      <c r="V417" t="str">
        <f t="shared" si="75"/>
        <v/>
      </c>
      <c r="W417" t="str">
        <f t="shared" si="76"/>
        <v/>
      </c>
    </row>
    <row r="418" spans="1:23" x14ac:dyDescent="0.2">
      <c r="A418" s="4" t="str">
        <f>IF(ポートフォリオ実績!A419="","", ポートフォリオ実績!A419)</f>
        <v/>
      </c>
      <c r="B418" t="str">
        <f>IF(ポートフォリオ実績!B419="","", ポートフォリオ実績!B419)</f>
        <v/>
      </c>
      <c r="C418" s="10" t="str">
        <f>IF(ポートフォリオ実績!C419="","", ポートフォリオ実績!C419)</f>
        <v/>
      </c>
      <c r="D418" s="10" t="str">
        <f>IF(ポートフォリオ実績!D419="","", ポートフォリオ実績!D419)</f>
        <v/>
      </c>
      <c r="E418" s="10" t="str">
        <f>IF(ポートフォリオ実績!E419="","", ポートフォリオ実績!E419)</f>
        <v/>
      </c>
      <c r="F418" s="10" t="str">
        <f>IF(ポートフォリオ実績!F419="","", ポートフォリオ実績!F419)</f>
        <v/>
      </c>
      <c r="G418" t="str">
        <f t="shared" si="66"/>
        <v/>
      </c>
      <c r="H418">
        <f>IF(B418&lt;&gt;"", SUMIFS(ポートフォリオ実績!$D$2:$D$2001, ポートフォリオ実績!$B$2:$B$2001, B418, ポートフォリオ実績!$A$2:$A$2001, G418), 0)</f>
        <v>0</v>
      </c>
      <c r="I418">
        <f>IF(B418&lt;&gt;"", SUMIFS(ポートフォリオ実績!$C$2:$C$2001, ポートフォリオ実績!$B$2:$B$2001, B418, ポートフォリオ実績!$A$2:$A$2001, G418), 0)</f>
        <v>0</v>
      </c>
      <c r="J418">
        <f t="shared" si="67"/>
        <v>0</v>
      </c>
      <c r="K418">
        <f t="shared" si="68"/>
        <v>0</v>
      </c>
      <c r="L418">
        <f t="shared" si="69"/>
        <v>0</v>
      </c>
      <c r="M418">
        <f t="shared" si="70"/>
        <v>0</v>
      </c>
      <c r="N418">
        <f t="shared" si="71"/>
        <v>0</v>
      </c>
      <c r="O418">
        <f t="shared" si="72"/>
        <v>0</v>
      </c>
      <c r="P418" t="str">
        <f t="shared" si="73"/>
        <v/>
      </c>
      <c r="Q418" t="str">
        <f>IF(B418="","", IFERROR(VLOOKUP(B418, '基準資産配分（設定）'!$A$2:$C$2001, 3, FALSE), ""))</f>
        <v/>
      </c>
      <c r="R418" t="str">
        <f>IF(B418="","", IFERROR(VLOOKUP(B418, '基準資産配分（設定）'!$A$2:$C$2001, 2, FALSE)/100, 0))</f>
        <v/>
      </c>
      <c r="S418" t="str">
        <f>IF(B418="","", IFERROR(SUMIFS(ベンチマークリターン!$C$2:$C$2001, ベンチマークリターン!$A$2:$A$2001, A418, ベンチマークリターン!$B$2:$B$2001, Q418) / 100, 0))</f>
        <v/>
      </c>
      <c r="T418" t="str">
        <f>IF(A418="","", SUMIFS($H$2:$H$2000, $A$2:$A$2000, A418))</f>
        <v/>
      </c>
      <c r="U418" t="str">
        <f t="shared" si="74"/>
        <v/>
      </c>
      <c r="V418" t="str">
        <f t="shared" si="75"/>
        <v/>
      </c>
      <c r="W418" t="str">
        <f t="shared" si="76"/>
        <v/>
      </c>
    </row>
    <row r="419" spans="1:23" x14ac:dyDescent="0.2">
      <c r="A419" s="4" t="str">
        <f>IF(ポートフォリオ実績!A420="","", ポートフォリオ実績!A420)</f>
        <v/>
      </c>
      <c r="B419" t="str">
        <f>IF(ポートフォリオ実績!B420="","", ポートフォリオ実績!B420)</f>
        <v/>
      </c>
      <c r="C419" s="10" t="str">
        <f>IF(ポートフォリオ実績!C420="","", ポートフォリオ実績!C420)</f>
        <v/>
      </c>
      <c r="D419" s="10" t="str">
        <f>IF(ポートフォリオ実績!D420="","", ポートフォリオ実績!D420)</f>
        <v/>
      </c>
      <c r="E419" s="10" t="str">
        <f>IF(ポートフォリオ実績!E420="","", ポートフォリオ実績!E420)</f>
        <v/>
      </c>
      <c r="F419" s="10" t="str">
        <f>IF(ポートフォリオ実績!F420="","", ポートフォリオ実績!F420)</f>
        <v/>
      </c>
      <c r="G419" t="str">
        <f t="shared" si="66"/>
        <v/>
      </c>
      <c r="H419">
        <f>IF(B419&lt;&gt;"", SUMIFS(ポートフォリオ実績!$D$2:$D$2001, ポートフォリオ実績!$B$2:$B$2001, B419, ポートフォリオ実績!$A$2:$A$2001, G419), 0)</f>
        <v>0</v>
      </c>
      <c r="I419">
        <f>IF(B419&lt;&gt;"", SUMIFS(ポートフォリオ実績!$C$2:$C$2001, ポートフォリオ実績!$B$2:$B$2001, B419, ポートフォリオ実績!$A$2:$A$2001, G419), 0)</f>
        <v>0</v>
      </c>
      <c r="J419">
        <f t="shared" si="67"/>
        <v>0</v>
      </c>
      <c r="K419">
        <f t="shared" si="68"/>
        <v>0</v>
      </c>
      <c r="L419">
        <f t="shared" si="69"/>
        <v>0</v>
      </c>
      <c r="M419">
        <f t="shared" si="70"/>
        <v>0</v>
      </c>
      <c r="N419">
        <f t="shared" si="71"/>
        <v>0</v>
      </c>
      <c r="O419">
        <f t="shared" si="72"/>
        <v>0</v>
      </c>
      <c r="P419" t="str">
        <f t="shared" si="73"/>
        <v/>
      </c>
      <c r="Q419" t="str">
        <f>IF(B419="","", IFERROR(VLOOKUP(B419, '基準資産配分（設定）'!$A$2:$C$2001, 3, FALSE), ""))</f>
        <v/>
      </c>
      <c r="R419" t="str">
        <f>IF(B419="","", IFERROR(VLOOKUP(B419, '基準資産配分（設定）'!$A$2:$C$2001, 2, FALSE)/100, 0))</f>
        <v/>
      </c>
      <c r="S419" t="str">
        <f>IF(B419="","", IFERROR(SUMIFS(ベンチマークリターン!$C$2:$C$2001, ベンチマークリターン!$A$2:$A$2001, A419, ベンチマークリターン!$B$2:$B$2001, Q419) / 100, 0))</f>
        <v/>
      </c>
      <c r="T419" t="str">
        <f>IF(A419="","", SUMIFS($H$2:$H$2000, $A$2:$A$2000, A419))</f>
        <v/>
      </c>
      <c r="U419" t="str">
        <f t="shared" si="74"/>
        <v/>
      </c>
      <c r="V419" t="str">
        <f t="shared" si="75"/>
        <v/>
      </c>
      <c r="W419" t="str">
        <f t="shared" si="76"/>
        <v/>
      </c>
    </row>
    <row r="420" spans="1:23" x14ac:dyDescent="0.2">
      <c r="A420" s="4" t="str">
        <f>IF(ポートフォリオ実績!A421="","", ポートフォリオ実績!A421)</f>
        <v/>
      </c>
      <c r="B420" t="str">
        <f>IF(ポートフォリオ実績!B421="","", ポートフォリオ実績!B421)</f>
        <v/>
      </c>
      <c r="C420" s="10" t="str">
        <f>IF(ポートフォリオ実績!C421="","", ポートフォリオ実績!C421)</f>
        <v/>
      </c>
      <c r="D420" s="10" t="str">
        <f>IF(ポートフォリオ実績!D421="","", ポートフォリオ実績!D421)</f>
        <v/>
      </c>
      <c r="E420" s="10" t="str">
        <f>IF(ポートフォリオ実績!E421="","", ポートフォリオ実績!E421)</f>
        <v/>
      </c>
      <c r="F420" s="10" t="str">
        <f>IF(ポートフォリオ実績!F421="","", ポートフォリオ実績!F421)</f>
        <v/>
      </c>
      <c r="G420" t="str">
        <f t="shared" si="66"/>
        <v/>
      </c>
      <c r="H420">
        <f>IF(B420&lt;&gt;"", SUMIFS(ポートフォリオ実績!$D$2:$D$2001, ポートフォリオ実績!$B$2:$B$2001, B420, ポートフォリオ実績!$A$2:$A$2001, G420), 0)</f>
        <v>0</v>
      </c>
      <c r="I420">
        <f>IF(B420&lt;&gt;"", SUMIFS(ポートフォリオ実績!$C$2:$C$2001, ポートフォリオ実績!$B$2:$B$2001, B420, ポートフォリオ実績!$A$2:$A$2001, G420), 0)</f>
        <v>0</v>
      </c>
      <c r="J420">
        <f t="shared" si="67"/>
        <v>0</v>
      </c>
      <c r="K420">
        <f t="shared" si="68"/>
        <v>0</v>
      </c>
      <c r="L420">
        <f t="shared" si="69"/>
        <v>0</v>
      </c>
      <c r="M420">
        <f t="shared" si="70"/>
        <v>0</v>
      </c>
      <c r="N420">
        <f t="shared" si="71"/>
        <v>0</v>
      </c>
      <c r="O420">
        <f t="shared" si="72"/>
        <v>0</v>
      </c>
      <c r="P420" t="str">
        <f t="shared" si="73"/>
        <v/>
      </c>
      <c r="Q420" t="str">
        <f>IF(B420="","", IFERROR(VLOOKUP(B420, '基準資産配分（設定）'!$A$2:$C$2001, 3, FALSE), ""))</f>
        <v/>
      </c>
      <c r="R420" t="str">
        <f>IF(B420="","", IFERROR(VLOOKUP(B420, '基準資産配分（設定）'!$A$2:$C$2001, 2, FALSE)/100, 0))</f>
        <v/>
      </c>
      <c r="S420" t="str">
        <f>IF(B420="","", IFERROR(SUMIFS(ベンチマークリターン!$C$2:$C$2001, ベンチマークリターン!$A$2:$A$2001, A420, ベンチマークリターン!$B$2:$B$2001, Q420) / 100, 0))</f>
        <v/>
      </c>
      <c r="T420" t="str">
        <f>IF(A420="","", SUMIFS($H$2:$H$2000, $A$2:$A$2000, A420))</f>
        <v/>
      </c>
      <c r="U420" t="str">
        <f t="shared" si="74"/>
        <v/>
      </c>
      <c r="V420" t="str">
        <f t="shared" si="75"/>
        <v/>
      </c>
      <c r="W420" t="str">
        <f t="shared" si="76"/>
        <v/>
      </c>
    </row>
    <row r="421" spans="1:23" x14ac:dyDescent="0.2">
      <c r="A421" s="4" t="str">
        <f>IF(ポートフォリオ実績!A422="","", ポートフォリオ実績!A422)</f>
        <v/>
      </c>
      <c r="B421" t="str">
        <f>IF(ポートフォリオ実績!B422="","", ポートフォリオ実績!B422)</f>
        <v/>
      </c>
      <c r="C421" s="10" t="str">
        <f>IF(ポートフォリオ実績!C422="","", ポートフォリオ実績!C422)</f>
        <v/>
      </c>
      <c r="D421" s="10" t="str">
        <f>IF(ポートフォリオ実績!D422="","", ポートフォリオ実績!D422)</f>
        <v/>
      </c>
      <c r="E421" s="10" t="str">
        <f>IF(ポートフォリオ実績!E422="","", ポートフォリオ実績!E422)</f>
        <v/>
      </c>
      <c r="F421" s="10" t="str">
        <f>IF(ポートフォリオ実績!F422="","", ポートフォリオ実績!F422)</f>
        <v/>
      </c>
      <c r="G421" t="str">
        <f t="shared" si="66"/>
        <v/>
      </c>
      <c r="H421">
        <f>IF(B421&lt;&gt;"", SUMIFS(ポートフォリオ実績!$D$2:$D$2001, ポートフォリオ実績!$B$2:$B$2001, B421, ポートフォリオ実績!$A$2:$A$2001, G421), 0)</f>
        <v>0</v>
      </c>
      <c r="I421">
        <f>IF(B421&lt;&gt;"", SUMIFS(ポートフォリオ実績!$C$2:$C$2001, ポートフォリオ実績!$B$2:$B$2001, B421, ポートフォリオ実績!$A$2:$A$2001, G421), 0)</f>
        <v>0</v>
      </c>
      <c r="J421">
        <f t="shared" si="67"/>
        <v>0</v>
      </c>
      <c r="K421">
        <f t="shared" si="68"/>
        <v>0</v>
      </c>
      <c r="L421">
        <f t="shared" si="69"/>
        <v>0</v>
      </c>
      <c r="M421">
        <f t="shared" si="70"/>
        <v>0</v>
      </c>
      <c r="N421">
        <f t="shared" si="71"/>
        <v>0</v>
      </c>
      <c r="O421">
        <f t="shared" si="72"/>
        <v>0</v>
      </c>
      <c r="P421" t="str">
        <f t="shared" si="73"/>
        <v/>
      </c>
      <c r="Q421" t="str">
        <f>IF(B421="","", IFERROR(VLOOKUP(B421, '基準資産配分（設定）'!$A$2:$C$2001, 3, FALSE), ""))</f>
        <v/>
      </c>
      <c r="R421" t="str">
        <f>IF(B421="","", IFERROR(VLOOKUP(B421, '基準資産配分（設定）'!$A$2:$C$2001, 2, FALSE)/100, 0))</f>
        <v/>
      </c>
      <c r="S421" t="str">
        <f>IF(B421="","", IFERROR(SUMIFS(ベンチマークリターン!$C$2:$C$2001, ベンチマークリターン!$A$2:$A$2001, A421, ベンチマークリターン!$B$2:$B$2001, Q421) / 100, 0))</f>
        <v/>
      </c>
      <c r="T421" t="str">
        <f>IF(A421="","", SUMIFS($H$2:$H$2000, $A$2:$A$2000, A421))</f>
        <v/>
      </c>
      <c r="U421" t="str">
        <f t="shared" si="74"/>
        <v/>
      </c>
      <c r="V421" t="str">
        <f t="shared" si="75"/>
        <v/>
      </c>
      <c r="W421" t="str">
        <f t="shared" si="76"/>
        <v/>
      </c>
    </row>
    <row r="422" spans="1:23" x14ac:dyDescent="0.2">
      <c r="A422" s="4" t="str">
        <f>IF(ポートフォリオ実績!A423="","", ポートフォリオ実績!A423)</f>
        <v/>
      </c>
      <c r="B422" t="str">
        <f>IF(ポートフォリオ実績!B423="","", ポートフォリオ実績!B423)</f>
        <v/>
      </c>
      <c r="C422" s="10" t="str">
        <f>IF(ポートフォリオ実績!C423="","", ポートフォリオ実績!C423)</f>
        <v/>
      </c>
      <c r="D422" s="10" t="str">
        <f>IF(ポートフォリオ実績!D423="","", ポートフォリオ実績!D423)</f>
        <v/>
      </c>
      <c r="E422" s="10" t="str">
        <f>IF(ポートフォリオ実績!E423="","", ポートフォリオ実績!E423)</f>
        <v/>
      </c>
      <c r="F422" s="10" t="str">
        <f>IF(ポートフォリオ実績!F423="","", ポートフォリオ実績!F423)</f>
        <v/>
      </c>
      <c r="G422" t="str">
        <f t="shared" si="66"/>
        <v/>
      </c>
      <c r="H422">
        <f>IF(B422&lt;&gt;"", SUMIFS(ポートフォリオ実績!$D$2:$D$2001, ポートフォリオ実績!$B$2:$B$2001, B422, ポートフォリオ実績!$A$2:$A$2001, G422), 0)</f>
        <v>0</v>
      </c>
      <c r="I422">
        <f>IF(B422&lt;&gt;"", SUMIFS(ポートフォリオ実績!$C$2:$C$2001, ポートフォリオ実績!$B$2:$B$2001, B422, ポートフォリオ実績!$A$2:$A$2001, G422), 0)</f>
        <v>0</v>
      </c>
      <c r="J422">
        <f t="shared" si="67"/>
        <v>0</v>
      </c>
      <c r="K422">
        <f t="shared" si="68"/>
        <v>0</v>
      </c>
      <c r="L422">
        <f t="shared" si="69"/>
        <v>0</v>
      </c>
      <c r="M422">
        <f t="shared" si="70"/>
        <v>0</v>
      </c>
      <c r="N422">
        <f t="shared" si="71"/>
        <v>0</v>
      </c>
      <c r="O422">
        <f t="shared" si="72"/>
        <v>0</v>
      </c>
      <c r="P422" t="str">
        <f t="shared" si="73"/>
        <v/>
      </c>
      <c r="Q422" t="str">
        <f>IF(B422="","", IFERROR(VLOOKUP(B422, '基準資産配分（設定）'!$A$2:$C$2001, 3, FALSE), ""))</f>
        <v/>
      </c>
      <c r="R422" t="str">
        <f>IF(B422="","", IFERROR(VLOOKUP(B422, '基準資産配分（設定）'!$A$2:$C$2001, 2, FALSE)/100, 0))</f>
        <v/>
      </c>
      <c r="S422" t="str">
        <f>IF(B422="","", IFERROR(SUMIFS(ベンチマークリターン!$C$2:$C$2001, ベンチマークリターン!$A$2:$A$2001, A422, ベンチマークリターン!$B$2:$B$2001, Q422) / 100, 0))</f>
        <v/>
      </c>
      <c r="T422" t="str">
        <f>IF(A422="","", SUMIFS($H$2:$H$2000, $A$2:$A$2000, A422))</f>
        <v/>
      </c>
      <c r="U422" t="str">
        <f t="shared" si="74"/>
        <v/>
      </c>
      <c r="V422" t="str">
        <f t="shared" si="75"/>
        <v/>
      </c>
      <c r="W422" t="str">
        <f t="shared" si="76"/>
        <v/>
      </c>
    </row>
    <row r="423" spans="1:23" x14ac:dyDescent="0.2">
      <c r="A423" s="4" t="str">
        <f>IF(ポートフォリオ実績!A424="","", ポートフォリオ実績!A424)</f>
        <v/>
      </c>
      <c r="B423" t="str">
        <f>IF(ポートフォリオ実績!B424="","", ポートフォリオ実績!B424)</f>
        <v/>
      </c>
      <c r="C423" s="10" t="str">
        <f>IF(ポートフォリオ実績!C424="","", ポートフォリオ実績!C424)</f>
        <v/>
      </c>
      <c r="D423" s="10" t="str">
        <f>IF(ポートフォリオ実績!D424="","", ポートフォリオ実績!D424)</f>
        <v/>
      </c>
      <c r="E423" s="10" t="str">
        <f>IF(ポートフォリオ実績!E424="","", ポートフォリオ実績!E424)</f>
        <v/>
      </c>
      <c r="F423" s="10" t="str">
        <f>IF(ポートフォリオ実績!F424="","", ポートフォリオ実績!F424)</f>
        <v/>
      </c>
      <c r="G423" t="str">
        <f t="shared" si="66"/>
        <v/>
      </c>
      <c r="H423">
        <f>IF(B423&lt;&gt;"", SUMIFS(ポートフォリオ実績!$D$2:$D$2001, ポートフォリオ実績!$B$2:$B$2001, B423, ポートフォリオ実績!$A$2:$A$2001, G423), 0)</f>
        <v>0</v>
      </c>
      <c r="I423">
        <f>IF(B423&lt;&gt;"", SUMIFS(ポートフォリオ実績!$C$2:$C$2001, ポートフォリオ実績!$B$2:$B$2001, B423, ポートフォリオ実績!$A$2:$A$2001, G423), 0)</f>
        <v>0</v>
      </c>
      <c r="J423">
        <f t="shared" si="67"/>
        <v>0</v>
      </c>
      <c r="K423">
        <f t="shared" si="68"/>
        <v>0</v>
      </c>
      <c r="L423">
        <f t="shared" si="69"/>
        <v>0</v>
      </c>
      <c r="M423">
        <f t="shared" si="70"/>
        <v>0</v>
      </c>
      <c r="N423">
        <f t="shared" si="71"/>
        <v>0</v>
      </c>
      <c r="O423">
        <f t="shared" si="72"/>
        <v>0</v>
      </c>
      <c r="P423" t="str">
        <f t="shared" si="73"/>
        <v/>
      </c>
      <c r="Q423" t="str">
        <f>IF(B423="","", IFERROR(VLOOKUP(B423, '基準資産配分（設定）'!$A$2:$C$2001, 3, FALSE), ""))</f>
        <v/>
      </c>
      <c r="R423" t="str">
        <f>IF(B423="","", IFERROR(VLOOKUP(B423, '基準資産配分（設定）'!$A$2:$C$2001, 2, FALSE)/100, 0))</f>
        <v/>
      </c>
      <c r="S423" t="str">
        <f>IF(B423="","", IFERROR(SUMIFS(ベンチマークリターン!$C$2:$C$2001, ベンチマークリターン!$A$2:$A$2001, A423, ベンチマークリターン!$B$2:$B$2001, Q423) / 100, 0))</f>
        <v/>
      </c>
      <c r="T423" t="str">
        <f>IF(A423="","", SUMIFS($H$2:$H$2000, $A$2:$A$2000, A423))</f>
        <v/>
      </c>
      <c r="U423" t="str">
        <f t="shared" si="74"/>
        <v/>
      </c>
      <c r="V423" t="str">
        <f t="shared" si="75"/>
        <v/>
      </c>
      <c r="W423" t="str">
        <f t="shared" si="76"/>
        <v/>
      </c>
    </row>
    <row r="424" spans="1:23" x14ac:dyDescent="0.2">
      <c r="A424" s="4" t="str">
        <f>IF(ポートフォリオ実績!A425="","", ポートフォリオ実績!A425)</f>
        <v/>
      </c>
      <c r="B424" t="str">
        <f>IF(ポートフォリオ実績!B425="","", ポートフォリオ実績!B425)</f>
        <v/>
      </c>
      <c r="C424" s="10" t="str">
        <f>IF(ポートフォリオ実績!C425="","", ポートフォリオ実績!C425)</f>
        <v/>
      </c>
      <c r="D424" s="10" t="str">
        <f>IF(ポートフォリオ実績!D425="","", ポートフォリオ実績!D425)</f>
        <v/>
      </c>
      <c r="E424" s="10" t="str">
        <f>IF(ポートフォリオ実績!E425="","", ポートフォリオ実績!E425)</f>
        <v/>
      </c>
      <c r="F424" s="10" t="str">
        <f>IF(ポートフォリオ実績!F425="","", ポートフォリオ実績!F425)</f>
        <v/>
      </c>
      <c r="G424" t="str">
        <f t="shared" si="66"/>
        <v/>
      </c>
      <c r="H424">
        <f>IF(B424&lt;&gt;"", SUMIFS(ポートフォリオ実績!$D$2:$D$2001, ポートフォリオ実績!$B$2:$B$2001, B424, ポートフォリオ実績!$A$2:$A$2001, G424), 0)</f>
        <v>0</v>
      </c>
      <c r="I424">
        <f>IF(B424&lt;&gt;"", SUMIFS(ポートフォリオ実績!$C$2:$C$2001, ポートフォリオ実績!$B$2:$B$2001, B424, ポートフォリオ実績!$A$2:$A$2001, G424), 0)</f>
        <v>0</v>
      </c>
      <c r="J424">
        <f t="shared" si="67"/>
        <v>0</v>
      </c>
      <c r="K424">
        <f t="shared" si="68"/>
        <v>0</v>
      </c>
      <c r="L424">
        <f t="shared" si="69"/>
        <v>0</v>
      </c>
      <c r="M424">
        <f t="shared" si="70"/>
        <v>0</v>
      </c>
      <c r="N424">
        <f t="shared" si="71"/>
        <v>0</v>
      </c>
      <c r="O424">
        <f t="shared" si="72"/>
        <v>0</v>
      </c>
      <c r="P424" t="str">
        <f t="shared" si="73"/>
        <v/>
      </c>
      <c r="Q424" t="str">
        <f>IF(B424="","", IFERROR(VLOOKUP(B424, '基準資産配分（設定）'!$A$2:$C$2001, 3, FALSE), ""))</f>
        <v/>
      </c>
      <c r="R424" t="str">
        <f>IF(B424="","", IFERROR(VLOOKUP(B424, '基準資産配分（設定）'!$A$2:$C$2001, 2, FALSE)/100, 0))</f>
        <v/>
      </c>
      <c r="S424" t="str">
        <f>IF(B424="","", IFERROR(SUMIFS(ベンチマークリターン!$C$2:$C$2001, ベンチマークリターン!$A$2:$A$2001, A424, ベンチマークリターン!$B$2:$B$2001, Q424) / 100, 0))</f>
        <v/>
      </c>
      <c r="T424" t="str">
        <f>IF(A424="","", SUMIFS($H$2:$H$2000, $A$2:$A$2000, A424))</f>
        <v/>
      </c>
      <c r="U424" t="str">
        <f t="shared" si="74"/>
        <v/>
      </c>
      <c r="V424" t="str">
        <f t="shared" si="75"/>
        <v/>
      </c>
      <c r="W424" t="str">
        <f t="shared" si="76"/>
        <v/>
      </c>
    </row>
    <row r="425" spans="1:23" x14ac:dyDescent="0.2">
      <c r="A425" s="4" t="str">
        <f>IF(ポートフォリオ実績!A426="","", ポートフォリオ実績!A426)</f>
        <v/>
      </c>
      <c r="B425" t="str">
        <f>IF(ポートフォリオ実績!B426="","", ポートフォリオ実績!B426)</f>
        <v/>
      </c>
      <c r="C425" s="10" t="str">
        <f>IF(ポートフォリオ実績!C426="","", ポートフォリオ実績!C426)</f>
        <v/>
      </c>
      <c r="D425" s="10" t="str">
        <f>IF(ポートフォリオ実績!D426="","", ポートフォリオ実績!D426)</f>
        <v/>
      </c>
      <c r="E425" s="10" t="str">
        <f>IF(ポートフォリオ実績!E426="","", ポートフォリオ実績!E426)</f>
        <v/>
      </c>
      <c r="F425" s="10" t="str">
        <f>IF(ポートフォリオ実績!F426="","", ポートフォリオ実績!F426)</f>
        <v/>
      </c>
      <c r="G425" t="str">
        <f t="shared" si="66"/>
        <v/>
      </c>
      <c r="H425">
        <f>IF(B425&lt;&gt;"", SUMIFS(ポートフォリオ実績!$D$2:$D$2001, ポートフォリオ実績!$B$2:$B$2001, B425, ポートフォリオ実績!$A$2:$A$2001, G425), 0)</f>
        <v>0</v>
      </c>
      <c r="I425">
        <f>IF(B425&lt;&gt;"", SUMIFS(ポートフォリオ実績!$C$2:$C$2001, ポートフォリオ実績!$B$2:$B$2001, B425, ポートフォリオ実績!$A$2:$A$2001, G425), 0)</f>
        <v>0</v>
      </c>
      <c r="J425">
        <f t="shared" si="67"/>
        <v>0</v>
      </c>
      <c r="K425">
        <f t="shared" si="68"/>
        <v>0</v>
      </c>
      <c r="L425">
        <f t="shared" si="69"/>
        <v>0</v>
      </c>
      <c r="M425">
        <f t="shared" si="70"/>
        <v>0</v>
      </c>
      <c r="N425">
        <f t="shared" si="71"/>
        <v>0</v>
      </c>
      <c r="O425">
        <f t="shared" si="72"/>
        <v>0</v>
      </c>
      <c r="P425" t="str">
        <f t="shared" si="73"/>
        <v/>
      </c>
      <c r="Q425" t="str">
        <f>IF(B425="","", IFERROR(VLOOKUP(B425, '基準資産配分（設定）'!$A$2:$C$2001, 3, FALSE), ""))</f>
        <v/>
      </c>
      <c r="R425" t="str">
        <f>IF(B425="","", IFERROR(VLOOKUP(B425, '基準資産配分（設定）'!$A$2:$C$2001, 2, FALSE)/100, 0))</f>
        <v/>
      </c>
      <c r="S425" t="str">
        <f>IF(B425="","", IFERROR(SUMIFS(ベンチマークリターン!$C$2:$C$2001, ベンチマークリターン!$A$2:$A$2001, A425, ベンチマークリターン!$B$2:$B$2001, Q425) / 100, 0))</f>
        <v/>
      </c>
      <c r="T425" t="str">
        <f>IF(A425="","", SUMIFS($H$2:$H$2000, $A$2:$A$2000, A425))</f>
        <v/>
      </c>
      <c r="U425" t="str">
        <f t="shared" si="74"/>
        <v/>
      </c>
      <c r="V425" t="str">
        <f t="shared" si="75"/>
        <v/>
      </c>
      <c r="W425" t="str">
        <f t="shared" si="76"/>
        <v/>
      </c>
    </row>
    <row r="426" spans="1:23" x14ac:dyDescent="0.2">
      <c r="A426" s="4" t="str">
        <f>IF(ポートフォリオ実績!A427="","", ポートフォリオ実績!A427)</f>
        <v/>
      </c>
      <c r="B426" t="str">
        <f>IF(ポートフォリオ実績!B427="","", ポートフォリオ実績!B427)</f>
        <v/>
      </c>
      <c r="C426" s="10" t="str">
        <f>IF(ポートフォリオ実績!C427="","", ポートフォリオ実績!C427)</f>
        <v/>
      </c>
      <c r="D426" s="10" t="str">
        <f>IF(ポートフォリオ実績!D427="","", ポートフォリオ実績!D427)</f>
        <v/>
      </c>
      <c r="E426" s="10" t="str">
        <f>IF(ポートフォリオ実績!E427="","", ポートフォリオ実績!E427)</f>
        <v/>
      </c>
      <c r="F426" s="10" t="str">
        <f>IF(ポートフォリオ実績!F427="","", ポートフォリオ実績!F427)</f>
        <v/>
      </c>
      <c r="G426" t="str">
        <f t="shared" si="66"/>
        <v/>
      </c>
      <c r="H426">
        <f>IF(B426&lt;&gt;"", SUMIFS(ポートフォリオ実績!$D$2:$D$2001, ポートフォリオ実績!$B$2:$B$2001, B426, ポートフォリオ実績!$A$2:$A$2001, G426), 0)</f>
        <v>0</v>
      </c>
      <c r="I426">
        <f>IF(B426&lt;&gt;"", SUMIFS(ポートフォリオ実績!$C$2:$C$2001, ポートフォリオ実績!$B$2:$B$2001, B426, ポートフォリオ実績!$A$2:$A$2001, G426), 0)</f>
        <v>0</v>
      </c>
      <c r="J426">
        <f t="shared" si="67"/>
        <v>0</v>
      </c>
      <c r="K426">
        <f t="shared" si="68"/>
        <v>0</v>
      </c>
      <c r="L426">
        <f t="shared" si="69"/>
        <v>0</v>
      </c>
      <c r="M426">
        <f t="shared" si="70"/>
        <v>0</v>
      </c>
      <c r="N426">
        <f t="shared" si="71"/>
        <v>0</v>
      </c>
      <c r="O426">
        <f t="shared" si="72"/>
        <v>0</v>
      </c>
      <c r="P426" t="str">
        <f t="shared" si="73"/>
        <v/>
      </c>
      <c r="Q426" t="str">
        <f>IF(B426="","", IFERROR(VLOOKUP(B426, '基準資産配分（設定）'!$A$2:$C$2001, 3, FALSE), ""))</f>
        <v/>
      </c>
      <c r="R426" t="str">
        <f>IF(B426="","", IFERROR(VLOOKUP(B426, '基準資産配分（設定）'!$A$2:$C$2001, 2, FALSE)/100, 0))</f>
        <v/>
      </c>
      <c r="S426" t="str">
        <f>IF(B426="","", IFERROR(SUMIFS(ベンチマークリターン!$C$2:$C$2001, ベンチマークリターン!$A$2:$A$2001, A426, ベンチマークリターン!$B$2:$B$2001, Q426) / 100, 0))</f>
        <v/>
      </c>
      <c r="T426" t="str">
        <f>IF(A426="","", SUMIFS($H$2:$H$2000, $A$2:$A$2000, A426))</f>
        <v/>
      </c>
      <c r="U426" t="str">
        <f t="shared" si="74"/>
        <v/>
      </c>
      <c r="V426" t="str">
        <f t="shared" si="75"/>
        <v/>
      </c>
      <c r="W426" t="str">
        <f t="shared" si="76"/>
        <v/>
      </c>
    </row>
    <row r="427" spans="1:23" x14ac:dyDescent="0.2">
      <c r="A427" s="4" t="str">
        <f>IF(ポートフォリオ実績!A428="","", ポートフォリオ実績!A428)</f>
        <v/>
      </c>
      <c r="B427" t="str">
        <f>IF(ポートフォリオ実績!B428="","", ポートフォリオ実績!B428)</f>
        <v/>
      </c>
      <c r="C427" s="10" t="str">
        <f>IF(ポートフォリオ実績!C428="","", ポートフォリオ実績!C428)</f>
        <v/>
      </c>
      <c r="D427" s="10" t="str">
        <f>IF(ポートフォリオ実績!D428="","", ポートフォリオ実績!D428)</f>
        <v/>
      </c>
      <c r="E427" s="10" t="str">
        <f>IF(ポートフォリオ実績!E428="","", ポートフォリオ実績!E428)</f>
        <v/>
      </c>
      <c r="F427" s="10" t="str">
        <f>IF(ポートフォリオ実績!F428="","", ポートフォリオ実績!F428)</f>
        <v/>
      </c>
      <c r="G427" t="str">
        <f t="shared" si="66"/>
        <v/>
      </c>
      <c r="H427">
        <f>IF(B427&lt;&gt;"", SUMIFS(ポートフォリオ実績!$D$2:$D$2001, ポートフォリオ実績!$B$2:$B$2001, B427, ポートフォリオ実績!$A$2:$A$2001, G427), 0)</f>
        <v>0</v>
      </c>
      <c r="I427">
        <f>IF(B427&lt;&gt;"", SUMIFS(ポートフォリオ実績!$C$2:$C$2001, ポートフォリオ実績!$B$2:$B$2001, B427, ポートフォリオ実績!$A$2:$A$2001, G427), 0)</f>
        <v>0</v>
      </c>
      <c r="J427">
        <f t="shared" si="67"/>
        <v>0</v>
      </c>
      <c r="K427">
        <f t="shared" si="68"/>
        <v>0</v>
      </c>
      <c r="L427">
        <f t="shared" si="69"/>
        <v>0</v>
      </c>
      <c r="M427">
        <f t="shared" si="70"/>
        <v>0</v>
      </c>
      <c r="N427">
        <f t="shared" si="71"/>
        <v>0</v>
      </c>
      <c r="O427">
        <f t="shared" si="72"/>
        <v>0</v>
      </c>
      <c r="P427" t="str">
        <f t="shared" si="73"/>
        <v/>
      </c>
      <c r="Q427" t="str">
        <f>IF(B427="","", IFERROR(VLOOKUP(B427, '基準資産配分（設定）'!$A$2:$C$2001, 3, FALSE), ""))</f>
        <v/>
      </c>
      <c r="R427" t="str">
        <f>IF(B427="","", IFERROR(VLOOKUP(B427, '基準資産配分（設定）'!$A$2:$C$2001, 2, FALSE)/100, 0))</f>
        <v/>
      </c>
      <c r="S427" t="str">
        <f>IF(B427="","", IFERROR(SUMIFS(ベンチマークリターン!$C$2:$C$2001, ベンチマークリターン!$A$2:$A$2001, A427, ベンチマークリターン!$B$2:$B$2001, Q427) / 100, 0))</f>
        <v/>
      </c>
      <c r="T427" t="str">
        <f>IF(A427="","", SUMIFS($H$2:$H$2000, $A$2:$A$2000, A427))</f>
        <v/>
      </c>
      <c r="U427" t="str">
        <f t="shared" si="74"/>
        <v/>
      </c>
      <c r="V427" t="str">
        <f t="shared" si="75"/>
        <v/>
      </c>
      <c r="W427" t="str">
        <f t="shared" si="76"/>
        <v/>
      </c>
    </row>
    <row r="428" spans="1:23" x14ac:dyDescent="0.2">
      <c r="A428" s="4" t="str">
        <f>IF(ポートフォリオ実績!A429="","", ポートフォリオ実績!A429)</f>
        <v/>
      </c>
      <c r="B428" t="str">
        <f>IF(ポートフォリオ実績!B429="","", ポートフォリオ実績!B429)</f>
        <v/>
      </c>
      <c r="C428" s="10" t="str">
        <f>IF(ポートフォリオ実績!C429="","", ポートフォリオ実績!C429)</f>
        <v/>
      </c>
      <c r="D428" s="10" t="str">
        <f>IF(ポートフォリオ実績!D429="","", ポートフォリオ実績!D429)</f>
        <v/>
      </c>
      <c r="E428" s="10" t="str">
        <f>IF(ポートフォリオ実績!E429="","", ポートフォリオ実績!E429)</f>
        <v/>
      </c>
      <c r="F428" s="10" t="str">
        <f>IF(ポートフォリオ実績!F429="","", ポートフォリオ実績!F429)</f>
        <v/>
      </c>
      <c r="G428" t="str">
        <f t="shared" si="66"/>
        <v/>
      </c>
      <c r="H428">
        <f>IF(B428&lt;&gt;"", SUMIFS(ポートフォリオ実績!$D$2:$D$2001, ポートフォリオ実績!$B$2:$B$2001, B428, ポートフォリオ実績!$A$2:$A$2001, G428), 0)</f>
        <v>0</v>
      </c>
      <c r="I428">
        <f>IF(B428&lt;&gt;"", SUMIFS(ポートフォリオ実績!$C$2:$C$2001, ポートフォリオ実績!$B$2:$B$2001, B428, ポートフォリオ実績!$A$2:$A$2001, G428), 0)</f>
        <v>0</v>
      </c>
      <c r="J428">
        <f t="shared" si="67"/>
        <v>0</v>
      </c>
      <c r="K428">
        <f t="shared" si="68"/>
        <v>0</v>
      </c>
      <c r="L428">
        <f t="shared" si="69"/>
        <v>0</v>
      </c>
      <c r="M428">
        <f t="shared" si="70"/>
        <v>0</v>
      </c>
      <c r="N428">
        <f t="shared" si="71"/>
        <v>0</v>
      </c>
      <c r="O428">
        <f t="shared" si="72"/>
        <v>0</v>
      </c>
      <c r="P428" t="str">
        <f t="shared" si="73"/>
        <v/>
      </c>
      <c r="Q428" t="str">
        <f>IF(B428="","", IFERROR(VLOOKUP(B428, '基準資産配分（設定）'!$A$2:$C$2001, 3, FALSE), ""))</f>
        <v/>
      </c>
      <c r="R428" t="str">
        <f>IF(B428="","", IFERROR(VLOOKUP(B428, '基準資産配分（設定）'!$A$2:$C$2001, 2, FALSE)/100, 0))</f>
        <v/>
      </c>
      <c r="S428" t="str">
        <f>IF(B428="","", IFERROR(SUMIFS(ベンチマークリターン!$C$2:$C$2001, ベンチマークリターン!$A$2:$A$2001, A428, ベンチマークリターン!$B$2:$B$2001, Q428) / 100, 0))</f>
        <v/>
      </c>
      <c r="T428" t="str">
        <f>IF(A428="","", SUMIFS($H$2:$H$2000, $A$2:$A$2000, A428))</f>
        <v/>
      </c>
      <c r="U428" t="str">
        <f t="shared" si="74"/>
        <v/>
      </c>
      <c r="V428" t="str">
        <f t="shared" si="75"/>
        <v/>
      </c>
      <c r="W428" t="str">
        <f t="shared" si="76"/>
        <v/>
      </c>
    </row>
    <row r="429" spans="1:23" x14ac:dyDescent="0.2">
      <c r="A429" s="4" t="str">
        <f>IF(ポートフォリオ実績!A430="","", ポートフォリオ実績!A430)</f>
        <v/>
      </c>
      <c r="B429" t="str">
        <f>IF(ポートフォリオ実績!B430="","", ポートフォリオ実績!B430)</f>
        <v/>
      </c>
      <c r="C429" s="10" t="str">
        <f>IF(ポートフォリオ実績!C430="","", ポートフォリオ実績!C430)</f>
        <v/>
      </c>
      <c r="D429" s="10" t="str">
        <f>IF(ポートフォリオ実績!D430="","", ポートフォリオ実績!D430)</f>
        <v/>
      </c>
      <c r="E429" s="10" t="str">
        <f>IF(ポートフォリオ実績!E430="","", ポートフォリオ実績!E430)</f>
        <v/>
      </c>
      <c r="F429" s="10" t="str">
        <f>IF(ポートフォリオ実績!F430="","", ポートフォリオ実績!F430)</f>
        <v/>
      </c>
      <c r="G429" t="str">
        <f t="shared" si="66"/>
        <v/>
      </c>
      <c r="H429">
        <f>IF(B429&lt;&gt;"", SUMIFS(ポートフォリオ実績!$D$2:$D$2001, ポートフォリオ実績!$B$2:$B$2001, B429, ポートフォリオ実績!$A$2:$A$2001, G429), 0)</f>
        <v>0</v>
      </c>
      <c r="I429">
        <f>IF(B429&lt;&gt;"", SUMIFS(ポートフォリオ実績!$C$2:$C$2001, ポートフォリオ実績!$B$2:$B$2001, B429, ポートフォリオ実績!$A$2:$A$2001, G429), 0)</f>
        <v>0</v>
      </c>
      <c r="J429">
        <f t="shared" si="67"/>
        <v>0</v>
      </c>
      <c r="K429">
        <f t="shared" si="68"/>
        <v>0</v>
      </c>
      <c r="L429">
        <f t="shared" si="69"/>
        <v>0</v>
      </c>
      <c r="M429">
        <f t="shared" si="70"/>
        <v>0</v>
      </c>
      <c r="N429">
        <f t="shared" si="71"/>
        <v>0</v>
      </c>
      <c r="O429">
        <f t="shared" si="72"/>
        <v>0</v>
      </c>
      <c r="P429" t="str">
        <f t="shared" si="73"/>
        <v/>
      </c>
      <c r="Q429" t="str">
        <f>IF(B429="","", IFERROR(VLOOKUP(B429, '基準資産配分（設定）'!$A$2:$C$2001, 3, FALSE), ""))</f>
        <v/>
      </c>
      <c r="R429" t="str">
        <f>IF(B429="","", IFERROR(VLOOKUP(B429, '基準資産配分（設定）'!$A$2:$C$2001, 2, FALSE)/100, 0))</f>
        <v/>
      </c>
      <c r="S429" t="str">
        <f>IF(B429="","", IFERROR(SUMIFS(ベンチマークリターン!$C$2:$C$2001, ベンチマークリターン!$A$2:$A$2001, A429, ベンチマークリターン!$B$2:$B$2001, Q429) / 100, 0))</f>
        <v/>
      </c>
      <c r="T429" t="str">
        <f>IF(A429="","", SUMIFS($H$2:$H$2000, $A$2:$A$2000, A429))</f>
        <v/>
      </c>
      <c r="U429" t="str">
        <f t="shared" si="74"/>
        <v/>
      </c>
      <c r="V429" t="str">
        <f t="shared" si="75"/>
        <v/>
      </c>
      <c r="W429" t="str">
        <f t="shared" si="76"/>
        <v/>
      </c>
    </row>
    <row r="430" spans="1:23" x14ac:dyDescent="0.2">
      <c r="A430" s="4" t="str">
        <f>IF(ポートフォリオ実績!A431="","", ポートフォリオ実績!A431)</f>
        <v/>
      </c>
      <c r="B430" t="str">
        <f>IF(ポートフォリオ実績!B431="","", ポートフォリオ実績!B431)</f>
        <v/>
      </c>
      <c r="C430" s="10" t="str">
        <f>IF(ポートフォリオ実績!C431="","", ポートフォリオ実績!C431)</f>
        <v/>
      </c>
      <c r="D430" s="10" t="str">
        <f>IF(ポートフォリオ実績!D431="","", ポートフォリオ実績!D431)</f>
        <v/>
      </c>
      <c r="E430" s="10" t="str">
        <f>IF(ポートフォリオ実績!E431="","", ポートフォリオ実績!E431)</f>
        <v/>
      </c>
      <c r="F430" s="10" t="str">
        <f>IF(ポートフォリオ実績!F431="","", ポートフォリオ実績!F431)</f>
        <v/>
      </c>
      <c r="G430" t="str">
        <f t="shared" si="66"/>
        <v/>
      </c>
      <c r="H430">
        <f>IF(B430&lt;&gt;"", SUMIFS(ポートフォリオ実績!$D$2:$D$2001, ポートフォリオ実績!$B$2:$B$2001, B430, ポートフォリオ実績!$A$2:$A$2001, G430), 0)</f>
        <v>0</v>
      </c>
      <c r="I430">
        <f>IF(B430&lt;&gt;"", SUMIFS(ポートフォリオ実績!$C$2:$C$2001, ポートフォリオ実績!$B$2:$B$2001, B430, ポートフォリオ実績!$A$2:$A$2001, G430), 0)</f>
        <v>0</v>
      </c>
      <c r="J430">
        <f t="shared" si="67"/>
        <v>0</v>
      </c>
      <c r="K430">
        <f t="shared" si="68"/>
        <v>0</v>
      </c>
      <c r="L430">
        <f t="shared" si="69"/>
        <v>0</v>
      </c>
      <c r="M430">
        <f t="shared" si="70"/>
        <v>0</v>
      </c>
      <c r="N430">
        <f t="shared" si="71"/>
        <v>0</v>
      </c>
      <c r="O430">
        <f t="shared" si="72"/>
        <v>0</v>
      </c>
      <c r="P430" t="str">
        <f t="shared" si="73"/>
        <v/>
      </c>
      <c r="Q430" t="str">
        <f>IF(B430="","", IFERROR(VLOOKUP(B430, '基準資産配分（設定）'!$A$2:$C$2001, 3, FALSE), ""))</f>
        <v/>
      </c>
      <c r="R430" t="str">
        <f>IF(B430="","", IFERROR(VLOOKUP(B430, '基準資産配分（設定）'!$A$2:$C$2001, 2, FALSE)/100, 0))</f>
        <v/>
      </c>
      <c r="S430" t="str">
        <f>IF(B430="","", IFERROR(SUMIFS(ベンチマークリターン!$C$2:$C$2001, ベンチマークリターン!$A$2:$A$2001, A430, ベンチマークリターン!$B$2:$B$2001, Q430) / 100, 0))</f>
        <v/>
      </c>
      <c r="T430" t="str">
        <f>IF(A430="","", SUMIFS($H$2:$H$2000, $A$2:$A$2000, A430))</f>
        <v/>
      </c>
      <c r="U430" t="str">
        <f t="shared" si="74"/>
        <v/>
      </c>
      <c r="V430" t="str">
        <f t="shared" si="75"/>
        <v/>
      </c>
      <c r="W430" t="str">
        <f t="shared" si="76"/>
        <v/>
      </c>
    </row>
    <row r="431" spans="1:23" x14ac:dyDescent="0.2">
      <c r="A431" s="4" t="str">
        <f>IF(ポートフォリオ実績!A432="","", ポートフォリオ実績!A432)</f>
        <v/>
      </c>
      <c r="B431" t="str">
        <f>IF(ポートフォリオ実績!B432="","", ポートフォリオ実績!B432)</f>
        <v/>
      </c>
      <c r="C431" s="10" t="str">
        <f>IF(ポートフォリオ実績!C432="","", ポートフォリオ実績!C432)</f>
        <v/>
      </c>
      <c r="D431" s="10" t="str">
        <f>IF(ポートフォリオ実績!D432="","", ポートフォリオ実績!D432)</f>
        <v/>
      </c>
      <c r="E431" s="10" t="str">
        <f>IF(ポートフォリオ実績!E432="","", ポートフォリオ実績!E432)</f>
        <v/>
      </c>
      <c r="F431" s="10" t="str">
        <f>IF(ポートフォリオ実績!F432="","", ポートフォリオ実績!F432)</f>
        <v/>
      </c>
      <c r="G431" t="str">
        <f t="shared" si="66"/>
        <v/>
      </c>
      <c r="H431">
        <f>IF(B431&lt;&gt;"", SUMIFS(ポートフォリオ実績!$D$2:$D$2001, ポートフォリオ実績!$B$2:$B$2001, B431, ポートフォリオ実績!$A$2:$A$2001, G431), 0)</f>
        <v>0</v>
      </c>
      <c r="I431">
        <f>IF(B431&lt;&gt;"", SUMIFS(ポートフォリオ実績!$C$2:$C$2001, ポートフォリオ実績!$B$2:$B$2001, B431, ポートフォリオ実績!$A$2:$A$2001, G431), 0)</f>
        <v>0</v>
      </c>
      <c r="J431">
        <f t="shared" si="67"/>
        <v>0</v>
      </c>
      <c r="K431">
        <f t="shared" si="68"/>
        <v>0</v>
      </c>
      <c r="L431">
        <f t="shared" si="69"/>
        <v>0</v>
      </c>
      <c r="M431">
        <f t="shared" si="70"/>
        <v>0</v>
      </c>
      <c r="N431">
        <f t="shared" si="71"/>
        <v>0</v>
      </c>
      <c r="O431">
        <f t="shared" si="72"/>
        <v>0</v>
      </c>
      <c r="P431" t="str">
        <f t="shared" si="73"/>
        <v/>
      </c>
      <c r="Q431" t="str">
        <f>IF(B431="","", IFERROR(VLOOKUP(B431, '基準資産配分（設定）'!$A$2:$C$2001, 3, FALSE), ""))</f>
        <v/>
      </c>
      <c r="R431" t="str">
        <f>IF(B431="","", IFERROR(VLOOKUP(B431, '基準資産配分（設定）'!$A$2:$C$2001, 2, FALSE)/100, 0))</f>
        <v/>
      </c>
      <c r="S431" t="str">
        <f>IF(B431="","", IFERROR(SUMIFS(ベンチマークリターン!$C$2:$C$2001, ベンチマークリターン!$A$2:$A$2001, A431, ベンチマークリターン!$B$2:$B$2001, Q431) / 100, 0))</f>
        <v/>
      </c>
      <c r="T431" t="str">
        <f>IF(A431="","", SUMIFS($H$2:$H$2000, $A$2:$A$2000, A431))</f>
        <v/>
      </c>
      <c r="U431" t="str">
        <f t="shared" si="74"/>
        <v/>
      </c>
      <c r="V431" t="str">
        <f t="shared" si="75"/>
        <v/>
      </c>
      <c r="W431" t="str">
        <f t="shared" si="76"/>
        <v/>
      </c>
    </row>
    <row r="432" spans="1:23" x14ac:dyDescent="0.2">
      <c r="A432" s="4" t="str">
        <f>IF(ポートフォリオ実績!A433="","", ポートフォリオ実績!A433)</f>
        <v/>
      </c>
      <c r="B432" t="str">
        <f>IF(ポートフォリオ実績!B433="","", ポートフォリオ実績!B433)</f>
        <v/>
      </c>
      <c r="C432" s="10" t="str">
        <f>IF(ポートフォリオ実績!C433="","", ポートフォリオ実績!C433)</f>
        <v/>
      </c>
      <c r="D432" s="10" t="str">
        <f>IF(ポートフォリオ実績!D433="","", ポートフォリオ実績!D433)</f>
        <v/>
      </c>
      <c r="E432" s="10" t="str">
        <f>IF(ポートフォリオ実績!E433="","", ポートフォリオ実績!E433)</f>
        <v/>
      </c>
      <c r="F432" s="10" t="str">
        <f>IF(ポートフォリオ実績!F433="","", ポートフォリオ実績!F433)</f>
        <v/>
      </c>
      <c r="G432" t="str">
        <f t="shared" si="66"/>
        <v/>
      </c>
      <c r="H432">
        <f>IF(B432&lt;&gt;"", SUMIFS(ポートフォリオ実績!$D$2:$D$2001, ポートフォリオ実績!$B$2:$B$2001, B432, ポートフォリオ実績!$A$2:$A$2001, G432), 0)</f>
        <v>0</v>
      </c>
      <c r="I432">
        <f>IF(B432&lt;&gt;"", SUMIFS(ポートフォリオ実績!$C$2:$C$2001, ポートフォリオ実績!$B$2:$B$2001, B432, ポートフォリオ実績!$A$2:$A$2001, G432), 0)</f>
        <v>0</v>
      </c>
      <c r="J432">
        <f t="shared" si="67"/>
        <v>0</v>
      </c>
      <c r="K432">
        <f t="shared" si="68"/>
        <v>0</v>
      </c>
      <c r="L432">
        <f t="shared" si="69"/>
        <v>0</v>
      </c>
      <c r="M432">
        <f t="shared" si="70"/>
        <v>0</v>
      </c>
      <c r="N432">
        <f t="shared" si="71"/>
        <v>0</v>
      </c>
      <c r="O432">
        <f t="shared" si="72"/>
        <v>0</v>
      </c>
      <c r="P432" t="str">
        <f t="shared" si="73"/>
        <v/>
      </c>
      <c r="Q432" t="str">
        <f>IF(B432="","", IFERROR(VLOOKUP(B432, '基準資産配分（設定）'!$A$2:$C$2001, 3, FALSE), ""))</f>
        <v/>
      </c>
      <c r="R432" t="str">
        <f>IF(B432="","", IFERROR(VLOOKUP(B432, '基準資産配分（設定）'!$A$2:$C$2001, 2, FALSE)/100, 0))</f>
        <v/>
      </c>
      <c r="S432" t="str">
        <f>IF(B432="","", IFERROR(SUMIFS(ベンチマークリターン!$C$2:$C$2001, ベンチマークリターン!$A$2:$A$2001, A432, ベンチマークリターン!$B$2:$B$2001, Q432) / 100, 0))</f>
        <v/>
      </c>
      <c r="T432" t="str">
        <f>IF(A432="","", SUMIFS($H$2:$H$2000, $A$2:$A$2000, A432))</f>
        <v/>
      </c>
      <c r="U432" t="str">
        <f t="shared" si="74"/>
        <v/>
      </c>
      <c r="V432" t="str">
        <f t="shared" si="75"/>
        <v/>
      </c>
      <c r="W432" t="str">
        <f t="shared" si="76"/>
        <v/>
      </c>
    </row>
    <row r="433" spans="1:23" x14ac:dyDescent="0.2">
      <c r="A433" s="4" t="str">
        <f>IF(ポートフォリオ実績!A434="","", ポートフォリオ実績!A434)</f>
        <v/>
      </c>
      <c r="B433" t="str">
        <f>IF(ポートフォリオ実績!B434="","", ポートフォリオ実績!B434)</f>
        <v/>
      </c>
      <c r="C433" s="10" t="str">
        <f>IF(ポートフォリオ実績!C434="","", ポートフォリオ実績!C434)</f>
        <v/>
      </c>
      <c r="D433" s="10" t="str">
        <f>IF(ポートフォリオ実績!D434="","", ポートフォリオ実績!D434)</f>
        <v/>
      </c>
      <c r="E433" s="10" t="str">
        <f>IF(ポートフォリオ実績!E434="","", ポートフォリオ実績!E434)</f>
        <v/>
      </c>
      <c r="F433" s="10" t="str">
        <f>IF(ポートフォリオ実績!F434="","", ポートフォリオ実績!F434)</f>
        <v/>
      </c>
      <c r="G433" t="str">
        <f t="shared" si="66"/>
        <v/>
      </c>
      <c r="H433">
        <f>IF(B433&lt;&gt;"", SUMIFS(ポートフォリオ実績!$D$2:$D$2001, ポートフォリオ実績!$B$2:$B$2001, B433, ポートフォリオ実績!$A$2:$A$2001, G433), 0)</f>
        <v>0</v>
      </c>
      <c r="I433">
        <f>IF(B433&lt;&gt;"", SUMIFS(ポートフォリオ実績!$C$2:$C$2001, ポートフォリオ実績!$B$2:$B$2001, B433, ポートフォリオ実績!$A$2:$A$2001, G433), 0)</f>
        <v>0</v>
      </c>
      <c r="J433">
        <f t="shared" si="67"/>
        <v>0</v>
      </c>
      <c r="K433">
        <f t="shared" si="68"/>
        <v>0</v>
      </c>
      <c r="L433">
        <f t="shared" si="69"/>
        <v>0</v>
      </c>
      <c r="M433">
        <f t="shared" si="70"/>
        <v>0</v>
      </c>
      <c r="N433">
        <f t="shared" si="71"/>
        <v>0</v>
      </c>
      <c r="O433">
        <f t="shared" si="72"/>
        <v>0</v>
      </c>
      <c r="P433" t="str">
        <f t="shared" si="73"/>
        <v/>
      </c>
      <c r="Q433" t="str">
        <f>IF(B433="","", IFERROR(VLOOKUP(B433, '基準資産配分（設定）'!$A$2:$C$2001, 3, FALSE), ""))</f>
        <v/>
      </c>
      <c r="R433" t="str">
        <f>IF(B433="","", IFERROR(VLOOKUP(B433, '基準資産配分（設定）'!$A$2:$C$2001, 2, FALSE)/100, 0))</f>
        <v/>
      </c>
      <c r="S433" t="str">
        <f>IF(B433="","", IFERROR(SUMIFS(ベンチマークリターン!$C$2:$C$2001, ベンチマークリターン!$A$2:$A$2001, A433, ベンチマークリターン!$B$2:$B$2001, Q433) / 100, 0))</f>
        <v/>
      </c>
      <c r="T433" t="str">
        <f>IF(A433="","", SUMIFS($H$2:$H$2000, $A$2:$A$2000, A433))</f>
        <v/>
      </c>
      <c r="U433" t="str">
        <f t="shared" si="74"/>
        <v/>
      </c>
      <c r="V433" t="str">
        <f t="shared" si="75"/>
        <v/>
      </c>
      <c r="W433" t="str">
        <f t="shared" si="76"/>
        <v/>
      </c>
    </row>
    <row r="434" spans="1:23" x14ac:dyDescent="0.2">
      <c r="A434" s="4" t="str">
        <f>IF(ポートフォリオ実績!A435="","", ポートフォリオ実績!A435)</f>
        <v/>
      </c>
      <c r="B434" t="str">
        <f>IF(ポートフォリオ実績!B435="","", ポートフォリオ実績!B435)</f>
        <v/>
      </c>
      <c r="C434" s="10" t="str">
        <f>IF(ポートフォリオ実績!C435="","", ポートフォリオ実績!C435)</f>
        <v/>
      </c>
      <c r="D434" s="10" t="str">
        <f>IF(ポートフォリオ実績!D435="","", ポートフォリオ実績!D435)</f>
        <v/>
      </c>
      <c r="E434" s="10" t="str">
        <f>IF(ポートフォリオ実績!E435="","", ポートフォリオ実績!E435)</f>
        <v/>
      </c>
      <c r="F434" s="10" t="str">
        <f>IF(ポートフォリオ実績!F435="","", ポートフォリオ実績!F435)</f>
        <v/>
      </c>
      <c r="G434" t="str">
        <f t="shared" si="66"/>
        <v/>
      </c>
      <c r="H434">
        <f>IF(B434&lt;&gt;"", SUMIFS(ポートフォリオ実績!$D$2:$D$2001, ポートフォリオ実績!$B$2:$B$2001, B434, ポートフォリオ実績!$A$2:$A$2001, G434), 0)</f>
        <v>0</v>
      </c>
      <c r="I434">
        <f>IF(B434&lt;&gt;"", SUMIFS(ポートフォリオ実績!$C$2:$C$2001, ポートフォリオ実績!$B$2:$B$2001, B434, ポートフォリオ実績!$A$2:$A$2001, G434), 0)</f>
        <v>0</v>
      </c>
      <c r="J434">
        <f t="shared" si="67"/>
        <v>0</v>
      </c>
      <c r="K434">
        <f t="shared" si="68"/>
        <v>0</v>
      </c>
      <c r="L434">
        <f t="shared" si="69"/>
        <v>0</v>
      </c>
      <c r="M434">
        <f t="shared" si="70"/>
        <v>0</v>
      </c>
      <c r="N434">
        <f t="shared" si="71"/>
        <v>0</v>
      </c>
      <c r="O434">
        <f t="shared" si="72"/>
        <v>0</v>
      </c>
      <c r="P434" t="str">
        <f t="shared" si="73"/>
        <v/>
      </c>
      <c r="Q434" t="str">
        <f>IF(B434="","", IFERROR(VLOOKUP(B434, '基準資産配分（設定）'!$A$2:$C$2001, 3, FALSE), ""))</f>
        <v/>
      </c>
      <c r="R434" t="str">
        <f>IF(B434="","", IFERROR(VLOOKUP(B434, '基準資産配分（設定）'!$A$2:$C$2001, 2, FALSE)/100, 0))</f>
        <v/>
      </c>
      <c r="S434" t="str">
        <f>IF(B434="","", IFERROR(SUMIFS(ベンチマークリターン!$C$2:$C$2001, ベンチマークリターン!$A$2:$A$2001, A434, ベンチマークリターン!$B$2:$B$2001, Q434) / 100, 0))</f>
        <v/>
      </c>
      <c r="T434" t="str">
        <f>IF(A434="","", SUMIFS($H$2:$H$2000, $A$2:$A$2000, A434))</f>
        <v/>
      </c>
      <c r="U434" t="str">
        <f t="shared" si="74"/>
        <v/>
      </c>
      <c r="V434" t="str">
        <f t="shared" si="75"/>
        <v/>
      </c>
      <c r="W434" t="str">
        <f t="shared" si="76"/>
        <v/>
      </c>
    </row>
    <row r="435" spans="1:23" x14ac:dyDescent="0.2">
      <c r="A435" s="4" t="str">
        <f>IF(ポートフォリオ実績!A436="","", ポートフォリオ実績!A436)</f>
        <v/>
      </c>
      <c r="B435" t="str">
        <f>IF(ポートフォリオ実績!B436="","", ポートフォリオ実績!B436)</f>
        <v/>
      </c>
      <c r="C435" s="10" t="str">
        <f>IF(ポートフォリオ実績!C436="","", ポートフォリオ実績!C436)</f>
        <v/>
      </c>
      <c r="D435" s="10" t="str">
        <f>IF(ポートフォリオ実績!D436="","", ポートフォリオ実績!D436)</f>
        <v/>
      </c>
      <c r="E435" s="10" t="str">
        <f>IF(ポートフォリオ実績!E436="","", ポートフォリオ実績!E436)</f>
        <v/>
      </c>
      <c r="F435" s="10" t="str">
        <f>IF(ポートフォリオ実績!F436="","", ポートフォリオ実績!F436)</f>
        <v/>
      </c>
      <c r="G435" t="str">
        <f t="shared" si="66"/>
        <v/>
      </c>
      <c r="H435">
        <f>IF(B435&lt;&gt;"", SUMIFS(ポートフォリオ実績!$D$2:$D$2001, ポートフォリオ実績!$B$2:$B$2001, B435, ポートフォリオ実績!$A$2:$A$2001, G435), 0)</f>
        <v>0</v>
      </c>
      <c r="I435">
        <f>IF(B435&lt;&gt;"", SUMIFS(ポートフォリオ実績!$C$2:$C$2001, ポートフォリオ実績!$B$2:$B$2001, B435, ポートフォリオ実績!$A$2:$A$2001, G435), 0)</f>
        <v>0</v>
      </c>
      <c r="J435">
        <f t="shared" si="67"/>
        <v>0</v>
      </c>
      <c r="K435">
        <f t="shared" si="68"/>
        <v>0</v>
      </c>
      <c r="L435">
        <f t="shared" si="69"/>
        <v>0</v>
      </c>
      <c r="M435">
        <f t="shared" si="70"/>
        <v>0</v>
      </c>
      <c r="N435">
        <f t="shared" si="71"/>
        <v>0</v>
      </c>
      <c r="O435">
        <f t="shared" si="72"/>
        <v>0</v>
      </c>
      <c r="P435" t="str">
        <f t="shared" si="73"/>
        <v/>
      </c>
      <c r="Q435" t="str">
        <f>IF(B435="","", IFERROR(VLOOKUP(B435, '基準資産配分（設定）'!$A$2:$C$2001, 3, FALSE), ""))</f>
        <v/>
      </c>
      <c r="R435" t="str">
        <f>IF(B435="","", IFERROR(VLOOKUP(B435, '基準資産配分（設定）'!$A$2:$C$2001, 2, FALSE)/100, 0))</f>
        <v/>
      </c>
      <c r="S435" t="str">
        <f>IF(B435="","", IFERROR(SUMIFS(ベンチマークリターン!$C$2:$C$2001, ベンチマークリターン!$A$2:$A$2001, A435, ベンチマークリターン!$B$2:$B$2001, Q435) / 100, 0))</f>
        <v/>
      </c>
      <c r="T435" t="str">
        <f>IF(A435="","", SUMIFS($H$2:$H$2000, $A$2:$A$2000, A435))</f>
        <v/>
      </c>
      <c r="U435" t="str">
        <f t="shared" si="74"/>
        <v/>
      </c>
      <c r="V435" t="str">
        <f t="shared" si="75"/>
        <v/>
      </c>
      <c r="W435" t="str">
        <f t="shared" si="76"/>
        <v/>
      </c>
    </row>
    <row r="436" spans="1:23" x14ac:dyDescent="0.2">
      <c r="A436" s="4" t="str">
        <f>IF(ポートフォリオ実績!A437="","", ポートフォリオ実績!A437)</f>
        <v/>
      </c>
      <c r="B436" t="str">
        <f>IF(ポートフォリオ実績!B437="","", ポートフォリオ実績!B437)</f>
        <v/>
      </c>
      <c r="C436" s="10" t="str">
        <f>IF(ポートフォリオ実績!C437="","", ポートフォリオ実績!C437)</f>
        <v/>
      </c>
      <c r="D436" s="10" t="str">
        <f>IF(ポートフォリオ実績!D437="","", ポートフォリオ実績!D437)</f>
        <v/>
      </c>
      <c r="E436" s="10" t="str">
        <f>IF(ポートフォリオ実績!E437="","", ポートフォリオ実績!E437)</f>
        <v/>
      </c>
      <c r="F436" s="10" t="str">
        <f>IF(ポートフォリオ実績!F437="","", ポートフォリオ実績!F437)</f>
        <v/>
      </c>
      <c r="G436" t="str">
        <f t="shared" si="66"/>
        <v/>
      </c>
      <c r="H436">
        <f>IF(B436&lt;&gt;"", SUMIFS(ポートフォリオ実績!$D$2:$D$2001, ポートフォリオ実績!$B$2:$B$2001, B436, ポートフォリオ実績!$A$2:$A$2001, G436), 0)</f>
        <v>0</v>
      </c>
      <c r="I436">
        <f>IF(B436&lt;&gt;"", SUMIFS(ポートフォリオ実績!$C$2:$C$2001, ポートフォリオ実績!$B$2:$B$2001, B436, ポートフォリオ実績!$A$2:$A$2001, G436), 0)</f>
        <v>0</v>
      </c>
      <c r="J436">
        <f t="shared" si="67"/>
        <v>0</v>
      </c>
      <c r="K436">
        <f t="shared" si="68"/>
        <v>0</v>
      </c>
      <c r="L436">
        <f t="shared" si="69"/>
        <v>0</v>
      </c>
      <c r="M436">
        <f t="shared" si="70"/>
        <v>0</v>
      </c>
      <c r="N436">
        <f t="shared" si="71"/>
        <v>0</v>
      </c>
      <c r="O436">
        <f t="shared" si="72"/>
        <v>0</v>
      </c>
      <c r="P436" t="str">
        <f t="shared" si="73"/>
        <v/>
      </c>
      <c r="Q436" t="str">
        <f>IF(B436="","", IFERROR(VLOOKUP(B436, '基準資産配分（設定）'!$A$2:$C$2001, 3, FALSE), ""))</f>
        <v/>
      </c>
      <c r="R436" t="str">
        <f>IF(B436="","", IFERROR(VLOOKUP(B436, '基準資産配分（設定）'!$A$2:$C$2001, 2, FALSE)/100, 0))</f>
        <v/>
      </c>
      <c r="S436" t="str">
        <f>IF(B436="","", IFERROR(SUMIFS(ベンチマークリターン!$C$2:$C$2001, ベンチマークリターン!$A$2:$A$2001, A436, ベンチマークリターン!$B$2:$B$2001, Q436) / 100, 0))</f>
        <v/>
      </c>
      <c r="T436" t="str">
        <f>IF(A436="","", SUMIFS($H$2:$H$2000, $A$2:$A$2000, A436))</f>
        <v/>
      </c>
      <c r="U436" t="str">
        <f t="shared" si="74"/>
        <v/>
      </c>
      <c r="V436" t="str">
        <f t="shared" si="75"/>
        <v/>
      </c>
      <c r="W436" t="str">
        <f t="shared" si="76"/>
        <v/>
      </c>
    </row>
    <row r="437" spans="1:23" x14ac:dyDescent="0.2">
      <c r="A437" s="4" t="str">
        <f>IF(ポートフォリオ実績!A438="","", ポートフォリオ実績!A438)</f>
        <v/>
      </c>
      <c r="B437" t="str">
        <f>IF(ポートフォリオ実績!B438="","", ポートフォリオ実績!B438)</f>
        <v/>
      </c>
      <c r="C437" s="10" t="str">
        <f>IF(ポートフォリオ実績!C438="","", ポートフォリオ実績!C438)</f>
        <v/>
      </c>
      <c r="D437" s="10" t="str">
        <f>IF(ポートフォリオ実績!D438="","", ポートフォリオ実績!D438)</f>
        <v/>
      </c>
      <c r="E437" s="10" t="str">
        <f>IF(ポートフォリオ実績!E438="","", ポートフォリオ実績!E438)</f>
        <v/>
      </c>
      <c r="F437" s="10" t="str">
        <f>IF(ポートフォリオ実績!F438="","", ポートフォリオ実績!F438)</f>
        <v/>
      </c>
      <c r="G437" t="str">
        <f t="shared" si="66"/>
        <v/>
      </c>
      <c r="H437">
        <f>IF(B437&lt;&gt;"", SUMIFS(ポートフォリオ実績!$D$2:$D$2001, ポートフォリオ実績!$B$2:$B$2001, B437, ポートフォリオ実績!$A$2:$A$2001, G437), 0)</f>
        <v>0</v>
      </c>
      <c r="I437">
        <f>IF(B437&lt;&gt;"", SUMIFS(ポートフォリオ実績!$C$2:$C$2001, ポートフォリオ実績!$B$2:$B$2001, B437, ポートフォリオ実績!$A$2:$A$2001, G437), 0)</f>
        <v>0</v>
      </c>
      <c r="J437">
        <f t="shared" si="67"/>
        <v>0</v>
      </c>
      <c r="K437">
        <f t="shared" si="68"/>
        <v>0</v>
      </c>
      <c r="L437">
        <f t="shared" si="69"/>
        <v>0</v>
      </c>
      <c r="M437">
        <f t="shared" si="70"/>
        <v>0</v>
      </c>
      <c r="N437">
        <f t="shared" si="71"/>
        <v>0</v>
      </c>
      <c r="O437">
        <f t="shared" si="72"/>
        <v>0</v>
      </c>
      <c r="P437" t="str">
        <f t="shared" si="73"/>
        <v/>
      </c>
      <c r="Q437" t="str">
        <f>IF(B437="","", IFERROR(VLOOKUP(B437, '基準資産配分（設定）'!$A$2:$C$2001, 3, FALSE), ""))</f>
        <v/>
      </c>
      <c r="R437" t="str">
        <f>IF(B437="","", IFERROR(VLOOKUP(B437, '基準資産配分（設定）'!$A$2:$C$2001, 2, FALSE)/100, 0))</f>
        <v/>
      </c>
      <c r="S437" t="str">
        <f>IF(B437="","", IFERROR(SUMIFS(ベンチマークリターン!$C$2:$C$2001, ベンチマークリターン!$A$2:$A$2001, A437, ベンチマークリターン!$B$2:$B$2001, Q437) / 100, 0))</f>
        <v/>
      </c>
      <c r="T437" t="str">
        <f>IF(A437="","", SUMIFS($H$2:$H$2000, $A$2:$A$2000, A437))</f>
        <v/>
      </c>
      <c r="U437" t="str">
        <f t="shared" si="74"/>
        <v/>
      </c>
      <c r="V437" t="str">
        <f t="shared" si="75"/>
        <v/>
      </c>
      <c r="W437" t="str">
        <f t="shared" si="76"/>
        <v/>
      </c>
    </row>
    <row r="438" spans="1:23" x14ac:dyDescent="0.2">
      <c r="A438" s="4" t="str">
        <f>IF(ポートフォリオ実績!A439="","", ポートフォリオ実績!A439)</f>
        <v/>
      </c>
      <c r="B438" t="str">
        <f>IF(ポートフォリオ実績!B439="","", ポートフォリオ実績!B439)</f>
        <v/>
      </c>
      <c r="C438" s="10" t="str">
        <f>IF(ポートフォリオ実績!C439="","", ポートフォリオ実績!C439)</f>
        <v/>
      </c>
      <c r="D438" s="10" t="str">
        <f>IF(ポートフォリオ実績!D439="","", ポートフォリオ実績!D439)</f>
        <v/>
      </c>
      <c r="E438" s="10" t="str">
        <f>IF(ポートフォリオ実績!E439="","", ポートフォリオ実績!E439)</f>
        <v/>
      </c>
      <c r="F438" s="10" t="str">
        <f>IF(ポートフォリオ実績!F439="","", ポートフォリオ実績!F439)</f>
        <v/>
      </c>
      <c r="G438" t="str">
        <f t="shared" si="66"/>
        <v/>
      </c>
      <c r="H438">
        <f>IF(B438&lt;&gt;"", SUMIFS(ポートフォリオ実績!$D$2:$D$2001, ポートフォリオ実績!$B$2:$B$2001, B438, ポートフォリオ実績!$A$2:$A$2001, G438), 0)</f>
        <v>0</v>
      </c>
      <c r="I438">
        <f>IF(B438&lt;&gt;"", SUMIFS(ポートフォリオ実績!$C$2:$C$2001, ポートフォリオ実績!$B$2:$B$2001, B438, ポートフォリオ実績!$A$2:$A$2001, G438), 0)</f>
        <v>0</v>
      </c>
      <c r="J438">
        <f t="shared" si="67"/>
        <v>0</v>
      </c>
      <c r="K438">
        <f t="shared" si="68"/>
        <v>0</v>
      </c>
      <c r="L438">
        <f t="shared" si="69"/>
        <v>0</v>
      </c>
      <c r="M438">
        <f t="shared" si="70"/>
        <v>0</v>
      </c>
      <c r="N438">
        <f t="shared" si="71"/>
        <v>0</v>
      </c>
      <c r="O438">
        <f t="shared" si="72"/>
        <v>0</v>
      </c>
      <c r="P438" t="str">
        <f t="shared" si="73"/>
        <v/>
      </c>
      <c r="Q438" t="str">
        <f>IF(B438="","", IFERROR(VLOOKUP(B438, '基準資産配分（設定）'!$A$2:$C$2001, 3, FALSE), ""))</f>
        <v/>
      </c>
      <c r="R438" t="str">
        <f>IF(B438="","", IFERROR(VLOOKUP(B438, '基準資産配分（設定）'!$A$2:$C$2001, 2, FALSE)/100, 0))</f>
        <v/>
      </c>
      <c r="S438" t="str">
        <f>IF(B438="","", IFERROR(SUMIFS(ベンチマークリターン!$C$2:$C$2001, ベンチマークリターン!$A$2:$A$2001, A438, ベンチマークリターン!$B$2:$B$2001, Q438) / 100, 0))</f>
        <v/>
      </c>
      <c r="T438" t="str">
        <f>IF(A438="","", SUMIFS($H$2:$H$2000, $A$2:$A$2000, A438))</f>
        <v/>
      </c>
      <c r="U438" t="str">
        <f t="shared" si="74"/>
        <v/>
      </c>
      <c r="V438" t="str">
        <f t="shared" si="75"/>
        <v/>
      </c>
      <c r="W438" t="str">
        <f t="shared" si="76"/>
        <v/>
      </c>
    </row>
    <row r="439" spans="1:23" x14ac:dyDescent="0.2">
      <c r="A439" s="4" t="str">
        <f>IF(ポートフォリオ実績!A440="","", ポートフォリオ実績!A440)</f>
        <v/>
      </c>
      <c r="B439" t="str">
        <f>IF(ポートフォリオ実績!B440="","", ポートフォリオ実績!B440)</f>
        <v/>
      </c>
      <c r="C439" s="10" t="str">
        <f>IF(ポートフォリオ実績!C440="","", ポートフォリオ実績!C440)</f>
        <v/>
      </c>
      <c r="D439" s="10" t="str">
        <f>IF(ポートフォリオ実績!D440="","", ポートフォリオ実績!D440)</f>
        <v/>
      </c>
      <c r="E439" s="10" t="str">
        <f>IF(ポートフォリオ実績!E440="","", ポートフォリオ実績!E440)</f>
        <v/>
      </c>
      <c r="F439" s="10" t="str">
        <f>IF(ポートフォリオ実績!F440="","", ポートフォリオ実績!F440)</f>
        <v/>
      </c>
      <c r="G439" t="str">
        <f t="shared" si="66"/>
        <v/>
      </c>
      <c r="H439">
        <f>IF(B439&lt;&gt;"", SUMIFS(ポートフォリオ実績!$D$2:$D$2001, ポートフォリオ実績!$B$2:$B$2001, B439, ポートフォリオ実績!$A$2:$A$2001, G439), 0)</f>
        <v>0</v>
      </c>
      <c r="I439">
        <f>IF(B439&lt;&gt;"", SUMIFS(ポートフォリオ実績!$C$2:$C$2001, ポートフォリオ実績!$B$2:$B$2001, B439, ポートフォリオ実績!$A$2:$A$2001, G439), 0)</f>
        <v>0</v>
      </c>
      <c r="J439">
        <f t="shared" si="67"/>
        <v>0</v>
      </c>
      <c r="K439">
        <f t="shared" si="68"/>
        <v>0</v>
      </c>
      <c r="L439">
        <f t="shared" si="69"/>
        <v>0</v>
      </c>
      <c r="M439">
        <f t="shared" si="70"/>
        <v>0</v>
      </c>
      <c r="N439">
        <f t="shared" si="71"/>
        <v>0</v>
      </c>
      <c r="O439">
        <f t="shared" si="72"/>
        <v>0</v>
      </c>
      <c r="P439" t="str">
        <f t="shared" si="73"/>
        <v/>
      </c>
      <c r="Q439" t="str">
        <f>IF(B439="","", IFERROR(VLOOKUP(B439, '基準資産配分（設定）'!$A$2:$C$2001, 3, FALSE), ""))</f>
        <v/>
      </c>
      <c r="R439" t="str">
        <f>IF(B439="","", IFERROR(VLOOKUP(B439, '基準資産配分（設定）'!$A$2:$C$2001, 2, FALSE)/100, 0))</f>
        <v/>
      </c>
      <c r="S439" t="str">
        <f>IF(B439="","", IFERROR(SUMIFS(ベンチマークリターン!$C$2:$C$2001, ベンチマークリターン!$A$2:$A$2001, A439, ベンチマークリターン!$B$2:$B$2001, Q439) / 100, 0))</f>
        <v/>
      </c>
      <c r="T439" t="str">
        <f>IF(A439="","", SUMIFS($H$2:$H$2000, $A$2:$A$2000, A439))</f>
        <v/>
      </c>
      <c r="U439" t="str">
        <f t="shared" si="74"/>
        <v/>
      </c>
      <c r="V439" t="str">
        <f t="shared" si="75"/>
        <v/>
      </c>
      <c r="W439" t="str">
        <f t="shared" si="76"/>
        <v/>
      </c>
    </row>
    <row r="440" spans="1:23" x14ac:dyDescent="0.2">
      <c r="A440" s="4" t="str">
        <f>IF(ポートフォリオ実績!A441="","", ポートフォリオ実績!A441)</f>
        <v/>
      </c>
      <c r="B440" t="str">
        <f>IF(ポートフォリオ実績!B441="","", ポートフォリオ実績!B441)</f>
        <v/>
      </c>
      <c r="C440" s="10" t="str">
        <f>IF(ポートフォリオ実績!C441="","", ポートフォリオ実績!C441)</f>
        <v/>
      </c>
      <c r="D440" s="10" t="str">
        <f>IF(ポートフォリオ実績!D441="","", ポートフォリオ実績!D441)</f>
        <v/>
      </c>
      <c r="E440" s="10" t="str">
        <f>IF(ポートフォリオ実績!E441="","", ポートフォリオ実績!E441)</f>
        <v/>
      </c>
      <c r="F440" s="10" t="str">
        <f>IF(ポートフォリオ実績!F441="","", ポートフォリオ実績!F441)</f>
        <v/>
      </c>
      <c r="G440" t="str">
        <f t="shared" si="66"/>
        <v/>
      </c>
      <c r="H440">
        <f>IF(B440&lt;&gt;"", SUMIFS(ポートフォリオ実績!$D$2:$D$2001, ポートフォリオ実績!$B$2:$B$2001, B440, ポートフォリオ実績!$A$2:$A$2001, G440), 0)</f>
        <v>0</v>
      </c>
      <c r="I440">
        <f>IF(B440&lt;&gt;"", SUMIFS(ポートフォリオ実績!$C$2:$C$2001, ポートフォリオ実績!$B$2:$B$2001, B440, ポートフォリオ実績!$A$2:$A$2001, G440), 0)</f>
        <v>0</v>
      </c>
      <c r="J440">
        <f t="shared" si="67"/>
        <v>0</v>
      </c>
      <c r="K440">
        <f t="shared" si="68"/>
        <v>0</v>
      </c>
      <c r="L440">
        <f t="shared" si="69"/>
        <v>0</v>
      </c>
      <c r="M440">
        <f t="shared" si="70"/>
        <v>0</v>
      </c>
      <c r="N440">
        <f t="shared" si="71"/>
        <v>0</v>
      </c>
      <c r="O440">
        <f t="shared" si="72"/>
        <v>0</v>
      </c>
      <c r="P440" t="str">
        <f t="shared" si="73"/>
        <v/>
      </c>
      <c r="Q440" t="str">
        <f>IF(B440="","", IFERROR(VLOOKUP(B440, '基準資産配分（設定）'!$A$2:$C$2001, 3, FALSE), ""))</f>
        <v/>
      </c>
      <c r="R440" t="str">
        <f>IF(B440="","", IFERROR(VLOOKUP(B440, '基準資産配分（設定）'!$A$2:$C$2001, 2, FALSE)/100, 0))</f>
        <v/>
      </c>
      <c r="S440" t="str">
        <f>IF(B440="","", IFERROR(SUMIFS(ベンチマークリターン!$C$2:$C$2001, ベンチマークリターン!$A$2:$A$2001, A440, ベンチマークリターン!$B$2:$B$2001, Q440) / 100, 0))</f>
        <v/>
      </c>
      <c r="T440" t="str">
        <f>IF(A440="","", SUMIFS($H$2:$H$2000, $A$2:$A$2000, A440))</f>
        <v/>
      </c>
      <c r="U440" t="str">
        <f t="shared" si="74"/>
        <v/>
      </c>
      <c r="V440" t="str">
        <f t="shared" si="75"/>
        <v/>
      </c>
      <c r="W440" t="str">
        <f t="shared" si="76"/>
        <v/>
      </c>
    </row>
    <row r="441" spans="1:23" x14ac:dyDescent="0.2">
      <c r="A441" s="4" t="str">
        <f>IF(ポートフォリオ実績!A442="","", ポートフォリオ実績!A442)</f>
        <v/>
      </c>
      <c r="B441" t="str">
        <f>IF(ポートフォリオ実績!B442="","", ポートフォリオ実績!B442)</f>
        <v/>
      </c>
      <c r="C441" s="10" t="str">
        <f>IF(ポートフォリオ実績!C442="","", ポートフォリオ実績!C442)</f>
        <v/>
      </c>
      <c r="D441" s="10" t="str">
        <f>IF(ポートフォリオ実績!D442="","", ポートフォリオ実績!D442)</f>
        <v/>
      </c>
      <c r="E441" s="10" t="str">
        <f>IF(ポートフォリオ実績!E442="","", ポートフォリオ実績!E442)</f>
        <v/>
      </c>
      <c r="F441" s="10" t="str">
        <f>IF(ポートフォリオ実績!F442="","", ポートフォリオ実績!F442)</f>
        <v/>
      </c>
      <c r="G441" t="str">
        <f t="shared" si="66"/>
        <v/>
      </c>
      <c r="H441">
        <f>IF(B441&lt;&gt;"", SUMIFS(ポートフォリオ実績!$D$2:$D$2001, ポートフォリオ実績!$B$2:$B$2001, B441, ポートフォリオ実績!$A$2:$A$2001, G441), 0)</f>
        <v>0</v>
      </c>
      <c r="I441">
        <f>IF(B441&lt;&gt;"", SUMIFS(ポートフォリオ実績!$C$2:$C$2001, ポートフォリオ実績!$B$2:$B$2001, B441, ポートフォリオ実績!$A$2:$A$2001, G441), 0)</f>
        <v>0</v>
      </c>
      <c r="J441">
        <f t="shared" si="67"/>
        <v>0</v>
      </c>
      <c r="K441">
        <f t="shared" si="68"/>
        <v>0</v>
      </c>
      <c r="L441">
        <f t="shared" si="69"/>
        <v>0</v>
      </c>
      <c r="M441">
        <f t="shared" si="70"/>
        <v>0</v>
      </c>
      <c r="N441">
        <f t="shared" si="71"/>
        <v>0</v>
      </c>
      <c r="O441">
        <f t="shared" si="72"/>
        <v>0</v>
      </c>
      <c r="P441" t="str">
        <f t="shared" si="73"/>
        <v/>
      </c>
      <c r="Q441" t="str">
        <f>IF(B441="","", IFERROR(VLOOKUP(B441, '基準資産配分（設定）'!$A$2:$C$2001, 3, FALSE), ""))</f>
        <v/>
      </c>
      <c r="R441" t="str">
        <f>IF(B441="","", IFERROR(VLOOKUP(B441, '基準資産配分（設定）'!$A$2:$C$2001, 2, FALSE)/100, 0))</f>
        <v/>
      </c>
      <c r="S441" t="str">
        <f>IF(B441="","", IFERROR(SUMIFS(ベンチマークリターン!$C$2:$C$2001, ベンチマークリターン!$A$2:$A$2001, A441, ベンチマークリターン!$B$2:$B$2001, Q441) / 100, 0))</f>
        <v/>
      </c>
      <c r="T441" t="str">
        <f>IF(A441="","", SUMIFS($H$2:$H$2000, $A$2:$A$2000, A441))</f>
        <v/>
      </c>
      <c r="U441" t="str">
        <f t="shared" si="74"/>
        <v/>
      </c>
      <c r="V441" t="str">
        <f t="shared" si="75"/>
        <v/>
      </c>
      <c r="W441" t="str">
        <f t="shared" si="76"/>
        <v/>
      </c>
    </row>
    <row r="442" spans="1:23" x14ac:dyDescent="0.2">
      <c r="A442" s="4" t="str">
        <f>IF(ポートフォリオ実績!A443="","", ポートフォリオ実績!A443)</f>
        <v/>
      </c>
      <c r="B442" t="str">
        <f>IF(ポートフォリオ実績!B443="","", ポートフォリオ実績!B443)</f>
        <v/>
      </c>
      <c r="C442" s="10" t="str">
        <f>IF(ポートフォリオ実績!C443="","", ポートフォリオ実績!C443)</f>
        <v/>
      </c>
      <c r="D442" s="10" t="str">
        <f>IF(ポートフォリオ実績!D443="","", ポートフォリオ実績!D443)</f>
        <v/>
      </c>
      <c r="E442" s="10" t="str">
        <f>IF(ポートフォリオ実績!E443="","", ポートフォリオ実績!E443)</f>
        <v/>
      </c>
      <c r="F442" s="10" t="str">
        <f>IF(ポートフォリオ実績!F443="","", ポートフォリオ実績!F443)</f>
        <v/>
      </c>
      <c r="G442" t="str">
        <f t="shared" si="66"/>
        <v/>
      </c>
      <c r="H442">
        <f>IF(B442&lt;&gt;"", SUMIFS(ポートフォリオ実績!$D$2:$D$2001, ポートフォリオ実績!$B$2:$B$2001, B442, ポートフォリオ実績!$A$2:$A$2001, G442), 0)</f>
        <v>0</v>
      </c>
      <c r="I442">
        <f>IF(B442&lt;&gt;"", SUMIFS(ポートフォリオ実績!$C$2:$C$2001, ポートフォリオ実績!$B$2:$B$2001, B442, ポートフォリオ実績!$A$2:$A$2001, G442), 0)</f>
        <v>0</v>
      </c>
      <c r="J442">
        <f t="shared" si="67"/>
        <v>0</v>
      </c>
      <c r="K442">
        <f t="shared" si="68"/>
        <v>0</v>
      </c>
      <c r="L442">
        <f t="shared" si="69"/>
        <v>0</v>
      </c>
      <c r="M442">
        <f t="shared" si="70"/>
        <v>0</v>
      </c>
      <c r="N442">
        <f t="shared" si="71"/>
        <v>0</v>
      </c>
      <c r="O442">
        <f t="shared" si="72"/>
        <v>0</v>
      </c>
      <c r="P442" t="str">
        <f t="shared" si="73"/>
        <v/>
      </c>
      <c r="Q442" t="str">
        <f>IF(B442="","", IFERROR(VLOOKUP(B442, '基準資産配分（設定）'!$A$2:$C$2001, 3, FALSE), ""))</f>
        <v/>
      </c>
      <c r="R442" t="str">
        <f>IF(B442="","", IFERROR(VLOOKUP(B442, '基準資産配分（設定）'!$A$2:$C$2001, 2, FALSE)/100, 0))</f>
        <v/>
      </c>
      <c r="S442" t="str">
        <f>IF(B442="","", IFERROR(SUMIFS(ベンチマークリターン!$C$2:$C$2001, ベンチマークリターン!$A$2:$A$2001, A442, ベンチマークリターン!$B$2:$B$2001, Q442) / 100, 0))</f>
        <v/>
      </c>
      <c r="T442" t="str">
        <f>IF(A442="","", SUMIFS($H$2:$H$2000, $A$2:$A$2000, A442))</f>
        <v/>
      </c>
      <c r="U442" t="str">
        <f t="shared" si="74"/>
        <v/>
      </c>
      <c r="V442" t="str">
        <f t="shared" si="75"/>
        <v/>
      </c>
      <c r="W442" t="str">
        <f t="shared" si="76"/>
        <v/>
      </c>
    </row>
    <row r="443" spans="1:23" x14ac:dyDescent="0.2">
      <c r="A443" s="4" t="str">
        <f>IF(ポートフォリオ実績!A444="","", ポートフォリオ実績!A444)</f>
        <v/>
      </c>
      <c r="B443" t="str">
        <f>IF(ポートフォリオ実績!B444="","", ポートフォリオ実績!B444)</f>
        <v/>
      </c>
      <c r="C443" s="10" t="str">
        <f>IF(ポートフォリオ実績!C444="","", ポートフォリオ実績!C444)</f>
        <v/>
      </c>
      <c r="D443" s="10" t="str">
        <f>IF(ポートフォリオ実績!D444="","", ポートフォリオ実績!D444)</f>
        <v/>
      </c>
      <c r="E443" s="10" t="str">
        <f>IF(ポートフォリオ実績!E444="","", ポートフォリオ実績!E444)</f>
        <v/>
      </c>
      <c r="F443" s="10" t="str">
        <f>IF(ポートフォリオ実績!F444="","", ポートフォリオ実績!F444)</f>
        <v/>
      </c>
      <c r="G443" t="str">
        <f t="shared" si="66"/>
        <v/>
      </c>
      <c r="H443">
        <f>IF(B443&lt;&gt;"", SUMIFS(ポートフォリオ実績!$D$2:$D$2001, ポートフォリオ実績!$B$2:$B$2001, B443, ポートフォリオ実績!$A$2:$A$2001, G443), 0)</f>
        <v>0</v>
      </c>
      <c r="I443">
        <f>IF(B443&lt;&gt;"", SUMIFS(ポートフォリオ実績!$C$2:$C$2001, ポートフォリオ実績!$B$2:$B$2001, B443, ポートフォリオ実績!$A$2:$A$2001, G443), 0)</f>
        <v>0</v>
      </c>
      <c r="J443">
        <f t="shared" si="67"/>
        <v>0</v>
      </c>
      <c r="K443">
        <f t="shared" si="68"/>
        <v>0</v>
      </c>
      <c r="L443">
        <f t="shared" si="69"/>
        <v>0</v>
      </c>
      <c r="M443">
        <f t="shared" si="70"/>
        <v>0</v>
      </c>
      <c r="N443">
        <f t="shared" si="71"/>
        <v>0</v>
      </c>
      <c r="O443">
        <f t="shared" si="72"/>
        <v>0</v>
      </c>
      <c r="P443" t="str">
        <f t="shared" si="73"/>
        <v/>
      </c>
      <c r="Q443" t="str">
        <f>IF(B443="","", IFERROR(VLOOKUP(B443, '基準資産配分（設定）'!$A$2:$C$2001, 3, FALSE), ""))</f>
        <v/>
      </c>
      <c r="R443" t="str">
        <f>IF(B443="","", IFERROR(VLOOKUP(B443, '基準資産配分（設定）'!$A$2:$C$2001, 2, FALSE)/100, 0))</f>
        <v/>
      </c>
      <c r="S443" t="str">
        <f>IF(B443="","", IFERROR(SUMIFS(ベンチマークリターン!$C$2:$C$2001, ベンチマークリターン!$A$2:$A$2001, A443, ベンチマークリターン!$B$2:$B$2001, Q443) / 100, 0))</f>
        <v/>
      </c>
      <c r="T443" t="str">
        <f>IF(A443="","", SUMIFS($H$2:$H$2000, $A$2:$A$2000, A443))</f>
        <v/>
      </c>
      <c r="U443" t="str">
        <f t="shared" si="74"/>
        <v/>
      </c>
      <c r="V443" t="str">
        <f t="shared" si="75"/>
        <v/>
      </c>
      <c r="W443" t="str">
        <f t="shared" si="76"/>
        <v/>
      </c>
    </row>
    <row r="444" spans="1:23" x14ac:dyDescent="0.2">
      <c r="A444" s="4" t="str">
        <f>IF(ポートフォリオ実績!A445="","", ポートフォリオ実績!A445)</f>
        <v/>
      </c>
      <c r="B444" t="str">
        <f>IF(ポートフォリオ実績!B445="","", ポートフォリオ実績!B445)</f>
        <v/>
      </c>
      <c r="C444" s="10" t="str">
        <f>IF(ポートフォリオ実績!C445="","", ポートフォリオ実績!C445)</f>
        <v/>
      </c>
      <c r="D444" s="10" t="str">
        <f>IF(ポートフォリオ実績!D445="","", ポートフォリオ実績!D445)</f>
        <v/>
      </c>
      <c r="E444" s="10" t="str">
        <f>IF(ポートフォリオ実績!E445="","", ポートフォリオ実績!E445)</f>
        <v/>
      </c>
      <c r="F444" s="10" t="str">
        <f>IF(ポートフォリオ実績!F445="","", ポートフォリオ実績!F445)</f>
        <v/>
      </c>
      <c r="G444" t="str">
        <f t="shared" si="66"/>
        <v/>
      </c>
      <c r="H444">
        <f>IF(B444&lt;&gt;"", SUMIFS(ポートフォリオ実績!$D$2:$D$2001, ポートフォリオ実績!$B$2:$B$2001, B444, ポートフォリオ実績!$A$2:$A$2001, G444), 0)</f>
        <v>0</v>
      </c>
      <c r="I444">
        <f>IF(B444&lt;&gt;"", SUMIFS(ポートフォリオ実績!$C$2:$C$2001, ポートフォリオ実績!$B$2:$B$2001, B444, ポートフォリオ実績!$A$2:$A$2001, G444), 0)</f>
        <v>0</v>
      </c>
      <c r="J444">
        <f t="shared" si="67"/>
        <v>0</v>
      </c>
      <c r="K444">
        <f t="shared" si="68"/>
        <v>0</v>
      </c>
      <c r="L444">
        <f t="shared" si="69"/>
        <v>0</v>
      </c>
      <c r="M444">
        <f t="shared" si="70"/>
        <v>0</v>
      </c>
      <c r="N444">
        <f t="shared" si="71"/>
        <v>0</v>
      </c>
      <c r="O444">
        <f t="shared" si="72"/>
        <v>0</v>
      </c>
      <c r="P444" t="str">
        <f t="shared" si="73"/>
        <v/>
      </c>
      <c r="Q444" t="str">
        <f>IF(B444="","", IFERROR(VLOOKUP(B444, '基準資産配分（設定）'!$A$2:$C$2001, 3, FALSE), ""))</f>
        <v/>
      </c>
      <c r="R444" t="str">
        <f>IF(B444="","", IFERROR(VLOOKUP(B444, '基準資産配分（設定）'!$A$2:$C$2001, 2, FALSE)/100, 0))</f>
        <v/>
      </c>
      <c r="S444" t="str">
        <f>IF(B444="","", IFERROR(SUMIFS(ベンチマークリターン!$C$2:$C$2001, ベンチマークリターン!$A$2:$A$2001, A444, ベンチマークリターン!$B$2:$B$2001, Q444) / 100, 0))</f>
        <v/>
      </c>
      <c r="T444" t="str">
        <f>IF(A444="","", SUMIFS($H$2:$H$2000, $A$2:$A$2000, A444))</f>
        <v/>
      </c>
      <c r="U444" t="str">
        <f t="shared" si="74"/>
        <v/>
      </c>
      <c r="V444" t="str">
        <f t="shared" si="75"/>
        <v/>
      </c>
      <c r="W444" t="str">
        <f t="shared" si="76"/>
        <v/>
      </c>
    </row>
    <row r="445" spans="1:23" x14ac:dyDescent="0.2">
      <c r="A445" s="4" t="str">
        <f>IF(ポートフォリオ実績!A446="","", ポートフォリオ実績!A446)</f>
        <v/>
      </c>
      <c r="B445" t="str">
        <f>IF(ポートフォリオ実績!B446="","", ポートフォリオ実績!B446)</f>
        <v/>
      </c>
      <c r="C445" s="10" t="str">
        <f>IF(ポートフォリオ実績!C446="","", ポートフォリオ実績!C446)</f>
        <v/>
      </c>
      <c r="D445" s="10" t="str">
        <f>IF(ポートフォリオ実績!D446="","", ポートフォリオ実績!D446)</f>
        <v/>
      </c>
      <c r="E445" s="10" t="str">
        <f>IF(ポートフォリオ実績!E446="","", ポートフォリオ実績!E446)</f>
        <v/>
      </c>
      <c r="F445" s="10" t="str">
        <f>IF(ポートフォリオ実績!F446="","", ポートフォリオ実績!F446)</f>
        <v/>
      </c>
      <c r="G445" t="str">
        <f t="shared" si="66"/>
        <v/>
      </c>
      <c r="H445">
        <f>IF(B445&lt;&gt;"", SUMIFS(ポートフォリオ実績!$D$2:$D$2001, ポートフォリオ実績!$B$2:$B$2001, B445, ポートフォリオ実績!$A$2:$A$2001, G445), 0)</f>
        <v>0</v>
      </c>
      <c r="I445">
        <f>IF(B445&lt;&gt;"", SUMIFS(ポートフォリオ実績!$C$2:$C$2001, ポートフォリオ実績!$B$2:$B$2001, B445, ポートフォリオ実績!$A$2:$A$2001, G445), 0)</f>
        <v>0</v>
      </c>
      <c r="J445">
        <f t="shared" si="67"/>
        <v>0</v>
      </c>
      <c r="K445">
        <f t="shared" si="68"/>
        <v>0</v>
      </c>
      <c r="L445">
        <f t="shared" si="69"/>
        <v>0</v>
      </c>
      <c r="M445">
        <f t="shared" si="70"/>
        <v>0</v>
      </c>
      <c r="N445">
        <f t="shared" si="71"/>
        <v>0</v>
      </c>
      <c r="O445">
        <f t="shared" si="72"/>
        <v>0</v>
      </c>
      <c r="P445" t="str">
        <f t="shared" si="73"/>
        <v/>
      </c>
      <c r="Q445" t="str">
        <f>IF(B445="","", IFERROR(VLOOKUP(B445, '基準資産配分（設定）'!$A$2:$C$2001, 3, FALSE), ""))</f>
        <v/>
      </c>
      <c r="R445" t="str">
        <f>IF(B445="","", IFERROR(VLOOKUP(B445, '基準資産配分（設定）'!$A$2:$C$2001, 2, FALSE)/100, 0))</f>
        <v/>
      </c>
      <c r="S445" t="str">
        <f>IF(B445="","", IFERROR(SUMIFS(ベンチマークリターン!$C$2:$C$2001, ベンチマークリターン!$A$2:$A$2001, A445, ベンチマークリターン!$B$2:$B$2001, Q445) / 100, 0))</f>
        <v/>
      </c>
      <c r="T445" t="str">
        <f>IF(A445="","", SUMIFS($H$2:$H$2000, $A$2:$A$2000, A445))</f>
        <v/>
      </c>
      <c r="U445" t="str">
        <f t="shared" si="74"/>
        <v/>
      </c>
      <c r="V445" t="str">
        <f t="shared" si="75"/>
        <v/>
      </c>
      <c r="W445" t="str">
        <f t="shared" si="76"/>
        <v/>
      </c>
    </row>
    <row r="446" spans="1:23" x14ac:dyDescent="0.2">
      <c r="A446" s="4" t="str">
        <f>IF(ポートフォリオ実績!A447="","", ポートフォリオ実績!A447)</f>
        <v/>
      </c>
      <c r="B446" t="str">
        <f>IF(ポートフォリオ実績!B447="","", ポートフォリオ実績!B447)</f>
        <v/>
      </c>
      <c r="C446" s="10" t="str">
        <f>IF(ポートフォリオ実績!C447="","", ポートフォリオ実績!C447)</f>
        <v/>
      </c>
      <c r="D446" s="10" t="str">
        <f>IF(ポートフォリオ実績!D447="","", ポートフォリオ実績!D447)</f>
        <v/>
      </c>
      <c r="E446" s="10" t="str">
        <f>IF(ポートフォリオ実績!E447="","", ポートフォリオ実績!E447)</f>
        <v/>
      </c>
      <c r="F446" s="10" t="str">
        <f>IF(ポートフォリオ実績!F447="","", ポートフォリオ実績!F447)</f>
        <v/>
      </c>
      <c r="G446" t="str">
        <f t="shared" si="66"/>
        <v/>
      </c>
      <c r="H446">
        <f>IF(B446&lt;&gt;"", SUMIFS(ポートフォリオ実績!$D$2:$D$2001, ポートフォリオ実績!$B$2:$B$2001, B446, ポートフォリオ実績!$A$2:$A$2001, G446), 0)</f>
        <v>0</v>
      </c>
      <c r="I446">
        <f>IF(B446&lt;&gt;"", SUMIFS(ポートフォリオ実績!$C$2:$C$2001, ポートフォリオ実績!$B$2:$B$2001, B446, ポートフォリオ実績!$A$2:$A$2001, G446), 0)</f>
        <v>0</v>
      </c>
      <c r="J446">
        <f t="shared" si="67"/>
        <v>0</v>
      </c>
      <c r="K446">
        <f t="shared" si="68"/>
        <v>0</v>
      </c>
      <c r="L446">
        <f t="shared" si="69"/>
        <v>0</v>
      </c>
      <c r="M446">
        <f t="shared" si="70"/>
        <v>0</v>
      </c>
      <c r="N446">
        <f t="shared" si="71"/>
        <v>0</v>
      </c>
      <c r="O446">
        <f t="shared" si="72"/>
        <v>0</v>
      </c>
      <c r="P446" t="str">
        <f t="shared" si="73"/>
        <v/>
      </c>
      <c r="Q446" t="str">
        <f>IF(B446="","", IFERROR(VLOOKUP(B446, '基準資産配分（設定）'!$A$2:$C$2001, 3, FALSE), ""))</f>
        <v/>
      </c>
      <c r="R446" t="str">
        <f>IF(B446="","", IFERROR(VLOOKUP(B446, '基準資産配分（設定）'!$A$2:$C$2001, 2, FALSE)/100, 0))</f>
        <v/>
      </c>
      <c r="S446" t="str">
        <f>IF(B446="","", IFERROR(SUMIFS(ベンチマークリターン!$C$2:$C$2001, ベンチマークリターン!$A$2:$A$2001, A446, ベンチマークリターン!$B$2:$B$2001, Q446) / 100, 0))</f>
        <v/>
      </c>
      <c r="T446" t="str">
        <f>IF(A446="","", SUMIFS($H$2:$H$2000, $A$2:$A$2000, A446))</f>
        <v/>
      </c>
      <c r="U446" t="str">
        <f t="shared" si="74"/>
        <v/>
      </c>
      <c r="V446" t="str">
        <f t="shared" si="75"/>
        <v/>
      </c>
      <c r="W446" t="str">
        <f t="shared" si="76"/>
        <v/>
      </c>
    </row>
    <row r="447" spans="1:23" x14ac:dyDescent="0.2">
      <c r="A447" s="4" t="str">
        <f>IF(ポートフォリオ実績!A448="","", ポートフォリオ実績!A448)</f>
        <v/>
      </c>
      <c r="B447" t="str">
        <f>IF(ポートフォリオ実績!B448="","", ポートフォリオ実績!B448)</f>
        <v/>
      </c>
      <c r="C447" s="10" t="str">
        <f>IF(ポートフォリオ実績!C448="","", ポートフォリオ実績!C448)</f>
        <v/>
      </c>
      <c r="D447" s="10" t="str">
        <f>IF(ポートフォリオ実績!D448="","", ポートフォリオ実績!D448)</f>
        <v/>
      </c>
      <c r="E447" s="10" t="str">
        <f>IF(ポートフォリオ実績!E448="","", ポートフォリオ実績!E448)</f>
        <v/>
      </c>
      <c r="F447" s="10" t="str">
        <f>IF(ポートフォリオ実績!F448="","", ポートフォリオ実績!F448)</f>
        <v/>
      </c>
      <c r="G447" t="str">
        <f t="shared" si="66"/>
        <v/>
      </c>
      <c r="H447">
        <f>IF(B447&lt;&gt;"", SUMIFS(ポートフォリオ実績!$D$2:$D$2001, ポートフォリオ実績!$B$2:$B$2001, B447, ポートフォリオ実績!$A$2:$A$2001, G447), 0)</f>
        <v>0</v>
      </c>
      <c r="I447">
        <f>IF(B447&lt;&gt;"", SUMIFS(ポートフォリオ実績!$C$2:$C$2001, ポートフォリオ実績!$B$2:$B$2001, B447, ポートフォリオ実績!$A$2:$A$2001, G447), 0)</f>
        <v>0</v>
      </c>
      <c r="J447">
        <f t="shared" si="67"/>
        <v>0</v>
      </c>
      <c r="K447">
        <f t="shared" si="68"/>
        <v>0</v>
      </c>
      <c r="L447">
        <f t="shared" si="69"/>
        <v>0</v>
      </c>
      <c r="M447">
        <f t="shared" si="70"/>
        <v>0</v>
      </c>
      <c r="N447">
        <f t="shared" si="71"/>
        <v>0</v>
      </c>
      <c r="O447">
        <f t="shared" si="72"/>
        <v>0</v>
      </c>
      <c r="P447" t="str">
        <f t="shared" si="73"/>
        <v/>
      </c>
      <c r="Q447" t="str">
        <f>IF(B447="","", IFERROR(VLOOKUP(B447, '基準資産配分（設定）'!$A$2:$C$2001, 3, FALSE), ""))</f>
        <v/>
      </c>
      <c r="R447" t="str">
        <f>IF(B447="","", IFERROR(VLOOKUP(B447, '基準資産配分（設定）'!$A$2:$C$2001, 2, FALSE)/100, 0))</f>
        <v/>
      </c>
      <c r="S447" t="str">
        <f>IF(B447="","", IFERROR(SUMIFS(ベンチマークリターン!$C$2:$C$2001, ベンチマークリターン!$A$2:$A$2001, A447, ベンチマークリターン!$B$2:$B$2001, Q447) / 100, 0))</f>
        <v/>
      </c>
      <c r="T447" t="str">
        <f>IF(A447="","", SUMIFS($H$2:$H$2000, $A$2:$A$2000, A447))</f>
        <v/>
      </c>
      <c r="U447" t="str">
        <f t="shared" si="74"/>
        <v/>
      </c>
      <c r="V447" t="str">
        <f t="shared" si="75"/>
        <v/>
      </c>
      <c r="W447" t="str">
        <f t="shared" si="76"/>
        <v/>
      </c>
    </row>
    <row r="448" spans="1:23" x14ac:dyDescent="0.2">
      <c r="A448" s="4" t="str">
        <f>IF(ポートフォリオ実績!A449="","", ポートフォリオ実績!A449)</f>
        <v/>
      </c>
      <c r="B448" t="str">
        <f>IF(ポートフォリオ実績!B449="","", ポートフォリオ実績!B449)</f>
        <v/>
      </c>
      <c r="C448" s="10" t="str">
        <f>IF(ポートフォリオ実績!C449="","", ポートフォリオ実績!C449)</f>
        <v/>
      </c>
      <c r="D448" s="10" t="str">
        <f>IF(ポートフォリオ実績!D449="","", ポートフォリオ実績!D449)</f>
        <v/>
      </c>
      <c r="E448" s="10" t="str">
        <f>IF(ポートフォリオ実績!E449="","", ポートフォリオ実績!E449)</f>
        <v/>
      </c>
      <c r="F448" s="10" t="str">
        <f>IF(ポートフォリオ実績!F449="","", ポートフォリオ実績!F449)</f>
        <v/>
      </c>
      <c r="G448" t="str">
        <f t="shared" si="66"/>
        <v/>
      </c>
      <c r="H448">
        <f>IF(B448&lt;&gt;"", SUMIFS(ポートフォリオ実績!$D$2:$D$2001, ポートフォリオ実績!$B$2:$B$2001, B448, ポートフォリオ実績!$A$2:$A$2001, G448), 0)</f>
        <v>0</v>
      </c>
      <c r="I448">
        <f>IF(B448&lt;&gt;"", SUMIFS(ポートフォリオ実績!$C$2:$C$2001, ポートフォリオ実績!$B$2:$B$2001, B448, ポートフォリオ実績!$A$2:$A$2001, G448), 0)</f>
        <v>0</v>
      </c>
      <c r="J448">
        <f t="shared" si="67"/>
        <v>0</v>
      </c>
      <c r="K448">
        <f t="shared" si="68"/>
        <v>0</v>
      </c>
      <c r="L448">
        <f t="shared" si="69"/>
        <v>0</v>
      </c>
      <c r="M448">
        <f t="shared" si="70"/>
        <v>0</v>
      </c>
      <c r="N448">
        <f t="shared" si="71"/>
        <v>0</v>
      </c>
      <c r="O448">
        <f t="shared" si="72"/>
        <v>0</v>
      </c>
      <c r="P448" t="str">
        <f t="shared" si="73"/>
        <v/>
      </c>
      <c r="Q448" t="str">
        <f>IF(B448="","", IFERROR(VLOOKUP(B448, '基準資産配分（設定）'!$A$2:$C$2001, 3, FALSE), ""))</f>
        <v/>
      </c>
      <c r="R448" t="str">
        <f>IF(B448="","", IFERROR(VLOOKUP(B448, '基準資産配分（設定）'!$A$2:$C$2001, 2, FALSE)/100, 0))</f>
        <v/>
      </c>
      <c r="S448" t="str">
        <f>IF(B448="","", IFERROR(SUMIFS(ベンチマークリターン!$C$2:$C$2001, ベンチマークリターン!$A$2:$A$2001, A448, ベンチマークリターン!$B$2:$B$2001, Q448) / 100, 0))</f>
        <v/>
      </c>
      <c r="T448" t="str">
        <f>IF(A448="","", SUMIFS($H$2:$H$2000, $A$2:$A$2000, A448))</f>
        <v/>
      </c>
      <c r="U448" t="str">
        <f t="shared" si="74"/>
        <v/>
      </c>
      <c r="V448" t="str">
        <f t="shared" si="75"/>
        <v/>
      </c>
      <c r="W448" t="str">
        <f t="shared" si="76"/>
        <v/>
      </c>
    </row>
    <row r="449" spans="1:23" x14ac:dyDescent="0.2">
      <c r="A449" s="4" t="str">
        <f>IF(ポートフォリオ実績!A450="","", ポートフォリオ実績!A450)</f>
        <v/>
      </c>
      <c r="B449" t="str">
        <f>IF(ポートフォリオ実績!B450="","", ポートフォリオ実績!B450)</f>
        <v/>
      </c>
      <c r="C449" s="10" t="str">
        <f>IF(ポートフォリオ実績!C450="","", ポートフォリオ実績!C450)</f>
        <v/>
      </c>
      <c r="D449" s="10" t="str">
        <f>IF(ポートフォリオ実績!D450="","", ポートフォリオ実績!D450)</f>
        <v/>
      </c>
      <c r="E449" s="10" t="str">
        <f>IF(ポートフォリオ実績!E450="","", ポートフォリオ実績!E450)</f>
        <v/>
      </c>
      <c r="F449" s="10" t="str">
        <f>IF(ポートフォリオ実績!F450="","", ポートフォリオ実績!F450)</f>
        <v/>
      </c>
      <c r="G449" t="str">
        <f t="shared" ref="G449:G512" si="77">IF(A449&lt;&gt;"", EOMONTH(A449, -1), "")</f>
        <v/>
      </c>
      <c r="H449">
        <f>IF(B449&lt;&gt;"", SUMIFS(ポートフォリオ実績!$D$2:$D$2001, ポートフォリオ実績!$B$2:$B$2001, B449, ポートフォリオ実績!$A$2:$A$2001, G449), 0)</f>
        <v>0</v>
      </c>
      <c r="I449">
        <f>IF(B449&lt;&gt;"", SUMIFS(ポートフォリオ実績!$C$2:$C$2001, ポートフォリオ実績!$B$2:$B$2001, B449, ポートフォリオ実績!$A$2:$A$2001, G449), 0)</f>
        <v>0</v>
      </c>
      <c r="J449">
        <f t="shared" ref="J449:J512" si="78">IF(A449&lt;&gt;"", D449-C449, 0)</f>
        <v>0</v>
      </c>
      <c r="K449">
        <f t="shared" ref="K449:K512" si="79">IF(A449&lt;&gt;"", H449-I449, 0)</f>
        <v>0</v>
      </c>
      <c r="L449">
        <f t="shared" ref="L449:L512" si="80">IF(H449=0, 0, J449-K449)</f>
        <v>0</v>
      </c>
      <c r="M449">
        <f t="shared" ref="M449:M512" si="81">IF(A449&lt;&gt;"", E449+F449+L449, 0)</f>
        <v>0</v>
      </c>
      <c r="N449">
        <f t="shared" ref="N449:N512" si="82">IF(H449=0, 0, (D449-H449)-M449)</f>
        <v>0</v>
      </c>
      <c r="O449">
        <f t="shared" ref="O449:O512" si="83">IF(A449&lt;&gt;"", H449+N449*0.5, 0)</f>
        <v>0</v>
      </c>
      <c r="P449" t="str">
        <f t="shared" ref="P449:P512" si="84">IF(A449="","", IF(O449&gt;0.000001, M449/O449, IF(ABS(M449)&lt;0.000001, 0, 0)))</f>
        <v/>
      </c>
      <c r="Q449" t="str">
        <f>IF(B449="","", IFERROR(VLOOKUP(B449, '基準資産配分（設定）'!$A$2:$C$2001, 3, FALSE), ""))</f>
        <v/>
      </c>
      <c r="R449" t="str">
        <f>IF(B449="","", IFERROR(VLOOKUP(B449, '基準資産配分（設定）'!$A$2:$C$2001, 2, FALSE)/100, 0))</f>
        <v/>
      </c>
      <c r="S449" t="str">
        <f>IF(B449="","", IFERROR(SUMIFS(ベンチマークリターン!$C$2:$C$2001, ベンチマークリターン!$A$2:$A$2001, A449, ベンチマークリターン!$B$2:$B$2001, Q449) / 100, 0))</f>
        <v/>
      </c>
      <c r="T449" t="str">
        <f>IF(A449="","", SUMIFS($H$2:$H$2000, $A$2:$A$2000, A449))</f>
        <v/>
      </c>
      <c r="U449" t="str">
        <f t="shared" ref="U449:U512" si="85">IF(A449="","", IFERROR(H449/T449, 0))</f>
        <v/>
      </c>
      <c r="V449" t="str">
        <f t="shared" ref="V449:V512" si="86">IF(A449="","", U449*P449)</f>
        <v/>
      </c>
      <c r="W449" t="str">
        <f t="shared" ref="W449:W512" si="87">IF(A449="","", R449*S449)</f>
        <v/>
      </c>
    </row>
    <row r="450" spans="1:23" x14ac:dyDescent="0.2">
      <c r="A450" s="4" t="str">
        <f>IF(ポートフォリオ実績!A451="","", ポートフォリオ実績!A451)</f>
        <v/>
      </c>
      <c r="B450" t="str">
        <f>IF(ポートフォリオ実績!B451="","", ポートフォリオ実績!B451)</f>
        <v/>
      </c>
      <c r="C450" s="10" t="str">
        <f>IF(ポートフォリオ実績!C451="","", ポートフォリオ実績!C451)</f>
        <v/>
      </c>
      <c r="D450" s="10" t="str">
        <f>IF(ポートフォリオ実績!D451="","", ポートフォリオ実績!D451)</f>
        <v/>
      </c>
      <c r="E450" s="10" t="str">
        <f>IF(ポートフォリオ実績!E451="","", ポートフォリオ実績!E451)</f>
        <v/>
      </c>
      <c r="F450" s="10" t="str">
        <f>IF(ポートフォリオ実績!F451="","", ポートフォリオ実績!F451)</f>
        <v/>
      </c>
      <c r="G450" t="str">
        <f t="shared" si="77"/>
        <v/>
      </c>
      <c r="H450">
        <f>IF(B450&lt;&gt;"", SUMIFS(ポートフォリオ実績!$D$2:$D$2001, ポートフォリオ実績!$B$2:$B$2001, B450, ポートフォリオ実績!$A$2:$A$2001, G450), 0)</f>
        <v>0</v>
      </c>
      <c r="I450">
        <f>IF(B450&lt;&gt;"", SUMIFS(ポートフォリオ実績!$C$2:$C$2001, ポートフォリオ実績!$B$2:$B$2001, B450, ポートフォリオ実績!$A$2:$A$2001, G450), 0)</f>
        <v>0</v>
      </c>
      <c r="J450">
        <f t="shared" si="78"/>
        <v>0</v>
      </c>
      <c r="K450">
        <f t="shared" si="79"/>
        <v>0</v>
      </c>
      <c r="L450">
        <f t="shared" si="80"/>
        <v>0</v>
      </c>
      <c r="M450">
        <f t="shared" si="81"/>
        <v>0</v>
      </c>
      <c r="N450">
        <f t="shared" si="82"/>
        <v>0</v>
      </c>
      <c r="O450">
        <f t="shared" si="83"/>
        <v>0</v>
      </c>
      <c r="P450" t="str">
        <f t="shared" si="84"/>
        <v/>
      </c>
      <c r="Q450" t="str">
        <f>IF(B450="","", IFERROR(VLOOKUP(B450, '基準資産配分（設定）'!$A$2:$C$2001, 3, FALSE), ""))</f>
        <v/>
      </c>
      <c r="R450" t="str">
        <f>IF(B450="","", IFERROR(VLOOKUP(B450, '基準資産配分（設定）'!$A$2:$C$2001, 2, FALSE)/100, 0))</f>
        <v/>
      </c>
      <c r="S450" t="str">
        <f>IF(B450="","", IFERROR(SUMIFS(ベンチマークリターン!$C$2:$C$2001, ベンチマークリターン!$A$2:$A$2001, A450, ベンチマークリターン!$B$2:$B$2001, Q450) / 100, 0))</f>
        <v/>
      </c>
      <c r="T450" t="str">
        <f>IF(A450="","", SUMIFS($H$2:$H$2000, $A$2:$A$2000, A450))</f>
        <v/>
      </c>
      <c r="U450" t="str">
        <f t="shared" si="85"/>
        <v/>
      </c>
      <c r="V450" t="str">
        <f t="shared" si="86"/>
        <v/>
      </c>
      <c r="W450" t="str">
        <f t="shared" si="87"/>
        <v/>
      </c>
    </row>
    <row r="451" spans="1:23" x14ac:dyDescent="0.2">
      <c r="A451" s="4" t="str">
        <f>IF(ポートフォリオ実績!A452="","", ポートフォリオ実績!A452)</f>
        <v/>
      </c>
      <c r="B451" t="str">
        <f>IF(ポートフォリオ実績!B452="","", ポートフォリオ実績!B452)</f>
        <v/>
      </c>
      <c r="C451" s="10" t="str">
        <f>IF(ポートフォリオ実績!C452="","", ポートフォリオ実績!C452)</f>
        <v/>
      </c>
      <c r="D451" s="10" t="str">
        <f>IF(ポートフォリオ実績!D452="","", ポートフォリオ実績!D452)</f>
        <v/>
      </c>
      <c r="E451" s="10" t="str">
        <f>IF(ポートフォリオ実績!E452="","", ポートフォリオ実績!E452)</f>
        <v/>
      </c>
      <c r="F451" s="10" t="str">
        <f>IF(ポートフォリオ実績!F452="","", ポートフォリオ実績!F452)</f>
        <v/>
      </c>
      <c r="G451" t="str">
        <f t="shared" si="77"/>
        <v/>
      </c>
      <c r="H451">
        <f>IF(B451&lt;&gt;"", SUMIFS(ポートフォリオ実績!$D$2:$D$2001, ポートフォリオ実績!$B$2:$B$2001, B451, ポートフォリオ実績!$A$2:$A$2001, G451), 0)</f>
        <v>0</v>
      </c>
      <c r="I451">
        <f>IF(B451&lt;&gt;"", SUMIFS(ポートフォリオ実績!$C$2:$C$2001, ポートフォリオ実績!$B$2:$B$2001, B451, ポートフォリオ実績!$A$2:$A$2001, G451), 0)</f>
        <v>0</v>
      </c>
      <c r="J451">
        <f t="shared" si="78"/>
        <v>0</v>
      </c>
      <c r="K451">
        <f t="shared" si="79"/>
        <v>0</v>
      </c>
      <c r="L451">
        <f t="shared" si="80"/>
        <v>0</v>
      </c>
      <c r="M451">
        <f t="shared" si="81"/>
        <v>0</v>
      </c>
      <c r="N451">
        <f t="shared" si="82"/>
        <v>0</v>
      </c>
      <c r="O451">
        <f t="shared" si="83"/>
        <v>0</v>
      </c>
      <c r="P451" t="str">
        <f t="shared" si="84"/>
        <v/>
      </c>
      <c r="Q451" t="str">
        <f>IF(B451="","", IFERROR(VLOOKUP(B451, '基準資産配分（設定）'!$A$2:$C$2001, 3, FALSE), ""))</f>
        <v/>
      </c>
      <c r="R451" t="str">
        <f>IF(B451="","", IFERROR(VLOOKUP(B451, '基準資産配分（設定）'!$A$2:$C$2001, 2, FALSE)/100, 0))</f>
        <v/>
      </c>
      <c r="S451" t="str">
        <f>IF(B451="","", IFERROR(SUMIFS(ベンチマークリターン!$C$2:$C$2001, ベンチマークリターン!$A$2:$A$2001, A451, ベンチマークリターン!$B$2:$B$2001, Q451) / 100, 0))</f>
        <v/>
      </c>
      <c r="T451" t="str">
        <f>IF(A451="","", SUMIFS($H$2:$H$2000, $A$2:$A$2000, A451))</f>
        <v/>
      </c>
      <c r="U451" t="str">
        <f t="shared" si="85"/>
        <v/>
      </c>
      <c r="V451" t="str">
        <f t="shared" si="86"/>
        <v/>
      </c>
      <c r="W451" t="str">
        <f t="shared" si="87"/>
        <v/>
      </c>
    </row>
    <row r="452" spans="1:23" x14ac:dyDescent="0.2">
      <c r="A452" s="4" t="str">
        <f>IF(ポートフォリオ実績!A453="","", ポートフォリオ実績!A453)</f>
        <v/>
      </c>
      <c r="B452" t="str">
        <f>IF(ポートフォリオ実績!B453="","", ポートフォリオ実績!B453)</f>
        <v/>
      </c>
      <c r="C452" s="10" t="str">
        <f>IF(ポートフォリオ実績!C453="","", ポートフォリオ実績!C453)</f>
        <v/>
      </c>
      <c r="D452" s="10" t="str">
        <f>IF(ポートフォリオ実績!D453="","", ポートフォリオ実績!D453)</f>
        <v/>
      </c>
      <c r="E452" s="10" t="str">
        <f>IF(ポートフォリオ実績!E453="","", ポートフォリオ実績!E453)</f>
        <v/>
      </c>
      <c r="F452" s="10" t="str">
        <f>IF(ポートフォリオ実績!F453="","", ポートフォリオ実績!F453)</f>
        <v/>
      </c>
      <c r="G452" t="str">
        <f t="shared" si="77"/>
        <v/>
      </c>
      <c r="H452">
        <f>IF(B452&lt;&gt;"", SUMIFS(ポートフォリオ実績!$D$2:$D$2001, ポートフォリオ実績!$B$2:$B$2001, B452, ポートフォリオ実績!$A$2:$A$2001, G452), 0)</f>
        <v>0</v>
      </c>
      <c r="I452">
        <f>IF(B452&lt;&gt;"", SUMIFS(ポートフォリオ実績!$C$2:$C$2001, ポートフォリオ実績!$B$2:$B$2001, B452, ポートフォリオ実績!$A$2:$A$2001, G452), 0)</f>
        <v>0</v>
      </c>
      <c r="J452">
        <f t="shared" si="78"/>
        <v>0</v>
      </c>
      <c r="K452">
        <f t="shared" si="79"/>
        <v>0</v>
      </c>
      <c r="L452">
        <f t="shared" si="80"/>
        <v>0</v>
      </c>
      <c r="M452">
        <f t="shared" si="81"/>
        <v>0</v>
      </c>
      <c r="N452">
        <f t="shared" si="82"/>
        <v>0</v>
      </c>
      <c r="O452">
        <f t="shared" si="83"/>
        <v>0</v>
      </c>
      <c r="P452" t="str">
        <f t="shared" si="84"/>
        <v/>
      </c>
      <c r="Q452" t="str">
        <f>IF(B452="","", IFERROR(VLOOKUP(B452, '基準資産配分（設定）'!$A$2:$C$2001, 3, FALSE), ""))</f>
        <v/>
      </c>
      <c r="R452" t="str">
        <f>IF(B452="","", IFERROR(VLOOKUP(B452, '基準資産配分（設定）'!$A$2:$C$2001, 2, FALSE)/100, 0))</f>
        <v/>
      </c>
      <c r="S452" t="str">
        <f>IF(B452="","", IFERROR(SUMIFS(ベンチマークリターン!$C$2:$C$2001, ベンチマークリターン!$A$2:$A$2001, A452, ベンチマークリターン!$B$2:$B$2001, Q452) / 100, 0))</f>
        <v/>
      </c>
      <c r="T452" t="str">
        <f>IF(A452="","", SUMIFS($H$2:$H$2000, $A$2:$A$2000, A452))</f>
        <v/>
      </c>
      <c r="U452" t="str">
        <f t="shared" si="85"/>
        <v/>
      </c>
      <c r="V452" t="str">
        <f t="shared" si="86"/>
        <v/>
      </c>
      <c r="W452" t="str">
        <f t="shared" si="87"/>
        <v/>
      </c>
    </row>
    <row r="453" spans="1:23" x14ac:dyDescent="0.2">
      <c r="A453" s="4" t="str">
        <f>IF(ポートフォリオ実績!A454="","", ポートフォリオ実績!A454)</f>
        <v/>
      </c>
      <c r="B453" t="str">
        <f>IF(ポートフォリオ実績!B454="","", ポートフォリオ実績!B454)</f>
        <v/>
      </c>
      <c r="C453" s="10" t="str">
        <f>IF(ポートフォリオ実績!C454="","", ポートフォリオ実績!C454)</f>
        <v/>
      </c>
      <c r="D453" s="10" t="str">
        <f>IF(ポートフォリオ実績!D454="","", ポートフォリオ実績!D454)</f>
        <v/>
      </c>
      <c r="E453" s="10" t="str">
        <f>IF(ポートフォリオ実績!E454="","", ポートフォリオ実績!E454)</f>
        <v/>
      </c>
      <c r="F453" s="10" t="str">
        <f>IF(ポートフォリオ実績!F454="","", ポートフォリオ実績!F454)</f>
        <v/>
      </c>
      <c r="G453" t="str">
        <f t="shared" si="77"/>
        <v/>
      </c>
      <c r="H453">
        <f>IF(B453&lt;&gt;"", SUMIFS(ポートフォリオ実績!$D$2:$D$2001, ポートフォリオ実績!$B$2:$B$2001, B453, ポートフォリオ実績!$A$2:$A$2001, G453), 0)</f>
        <v>0</v>
      </c>
      <c r="I453">
        <f>IF(B453&lt;&gt;"", SUMIFS(ポートフォリオ実績!$C$2:$C$2001, ポートフォリオ実績!$B$2:$B$2001, B453, ポートフォリオ実績!$A$2:$A$2001, G453), 0)</f>
        <v>0</v>
      </c>
      <c r="J453">
        <f t="shared" si="78"/>
        <v>0</v>
      </c>
      <c r="K453">
        <f t="shared" si="79"/>
        <v>0</v>
      </c>
      <c r="L453">
        <f t="shared" si="80"/>
        <v>0</v>
      </c>
      <c r="M453">
        <f t="shared" si="81"/>
        <v>0</v>
      </c>
      <c r="N453">
        <f t="shared" si="82"/>
        <v>0</v>
      </c>
      <c r="O453">
        <f t="shared" si="83"/>
        <v>0</v>
      </c>
      <c r="P453" t="str">
        <f t="shared" si="84"/>
        <v/>
      </c>
      <c r="Q453" t="str">
        <f>IF(B453="","", IFERROR(VLOOKUP(B453, '基準資産配分（設定）'!$A$2:$C$2001, 3, FALSE), ""))</f>
        <v/>
      </c>
      <c r="R453" t="str">
        <f>IF(B453="","", IFERROR(VLOOKUP(B453, '基準資産配分（設定）'!$A$2:$C$2001, 2, FALSE)/100, 0))</f>
        <v/>
      </c>
      <c r="S453" t="str">
        <f>IF(B453="","", IFERROR(SUMIFS(ベンチマークリターン!$C$2:$C$2001, ベンチマークリターン!$A$2:$A$2001, A453, ベンチマークリターン!$B$2:$B$2001, Q453) / 100, 0))</f>
        <v/>
      </c>
      <c r="T453" t="str">
        <f>IF(A453="","", SUMIFS($H$2:$H$2000, $A$2:$A$2000, A453))</f>
        <v/>
      </c>
      <c r="U453" t="str">
        <f t="shared" si="85"/>
        <v/>
      </c>
      <c r="V453" t="str">
        <f t="shared" si="86"/>
        <v/>
      </c>
      <c r="W453" t="str">
        <f t="shared" si="87"/>
        <v/>
      </c>
    </row>
    <row r="454" spans="1:23" x14ac:dyDescent="0.2">
      <c r="A454" s="4" t="str">
        <f>IF(ポートフォリオ実績!A455="","", ポートフォリオ実績!A455)</f>
        <v/>
      </c>
      <c r="B454" t="str">
        <f>IF(ポートフォリオ実績!B455="","", ポートフォリオ実績!B455)</f>
        <v/>
      </c>
      <c r="C454" s="10" t="str">
        <f>IF(ポートフォリオ実績!C455="","", ポートフォリオ実績!C455)</f>
        <v/>
      </c>
      <c r="D454" s="10" t="str">
        <f>IF(ポートフォリオ実績!D455="","", ポートフォリオ実績!D455)</f>
        <v/>
      </c>
      <c r="E454" s="10" t="str">
        <f>IF(ポートフォリオ実績!E455="","", ポートフォリオ実績!E455)</f>
        <v/>
      </c>
      <c r="F454" s="10" t="str">
        <f>IF(ポートフォリオ実績!F455="","", ポートフォリオ実績!F455)</f>
        <v/>
      </c>
      <c r="G454" t="str">
        <f t="shared" si="77"/>
        <v/>
      </c>
      <c r="H454">
        <f>IF(B454&lt;&gt;"", SUMIFS(ポートフォリオ実績!$D$2:$D$2001, ポートフォリオ実績!$B$2:$B$2001, B454, ポートフォリオ実績!$A$2:$A$2001, G454), 0)</f>
        <v>0</v>
      </c>
      <c r="I454">
        <f>IF(B454&lt;&gt;"", SUMIFS(ポートフォリオ実績!$C$2:$C$2001, ポートフォリオ実績!$B$2:$B$2001, B454, ポートフォリオ実績!$A$2:$A$2001, G454), 0)</f>
        <v>0</v>
      </c>
      <c r="J454">
        <f t="shared" si="78"/>
        <v>0</v>
      </c>
      <c r="K454">
        <f t="shared" si="79"/>
        <v>0</v>
      </c>
      <c r="L454">
        <f t="shared" si="80"/>
        <v>0</v>
      </c>
      <c r="M454">
        <f t="shared" si="81"/>
        <v>0</v>
      </c>
      <c r="N454">
        <f t="shared" si="82"/>
        <v>0</v>
      </c>
      <c r="O454">
        <f t="shared" si="83"/>
        <v>0</v>
      </c>
      <c r="P454" t="str">
        <f t="shared" si="84"/>
        <v/>
      </c>
      <c r="Q454" t="str">
        <f>IF(B454="","", IFERROR(VLOOKUP(B454, '基準資産配分（設定）'!$A$2:$C$2001, 3, FALSE), ""))</f>
        <v/>
      </c>
      <c r="R454" t="str">
        <f>IF(B454="","", IFERROR(VLOOKUP(B454, '基準資産配分（設定）'!$A$2:$C$2001, 2, FALSE)/100, 0))</f>
        <v/>
      </c>
      <c r="S454" t="str">
        <f>IF(B454="","", IFERROR(SUMIFS(ベンチマークリターン!$C$2:$C$2001, ベンチマークリターン!$A$2:$A$2001, A454, ベンチマークリターン!$B$2:$B$2001, Q454) / 100, 0))</f>
        <v/>
      </c>
      <c r="T454" t="str">
        <f>IF(A454="","", SUMIFS($H$2:$H$2000, $A$2:$A$2000, A454))</f>
        <v/>
      </c>
      <c r="U454" t="str">
        <f t="shared" si="85"/>
        <v/>
      </c>
      <c r="V454" t="str">
        <f t="shared" si="86"/>
        <v/>
      </c>
      <c r="W454" t="str">
        <f t="shared" si="87"/>
        <v/>
      </c>
    </row>
    <row r="455" spans="1:23" x14ac:dyDescent="0.2">
      <c r="A455" s="4" t="str">
        <f>IF(ポートフォリオ実績!A456="","", ポートフォリオ実績!A456)</f>
        <v/>
      </c>
      <c r="B455" t="str">
        <f>IF(ポートフォリオ実績!B456="","", ポートフォリオ実績!B456)</f>
        <v/>
      </c>
      <c r="C455" s="10" t="str">
        <f>IF(ポートフォリオ実績!C456="","", ポートフォリオ実績!C456)</f>
        <v/>
      </c>
      <c r="D455" s="10" t="str">
        <f>IF(ポートフォリオ実績!D456="","", ポートフォリオ実績!D456)</f>
        <v/>
      </c>
      <c r="E455" s="10" t="str">
        <f>IF(ポートフォリオ実績!E456="","", ポートフォリオ実績!E456)</f>
        <v/>
      </c>
      <c r="F455" s="10" t="str">
        <f>IF(ポートフォリオ実績!F456="","", ポートフォリオ実績!F456)</f>
        <v/>
      </c>
      <c r="G455" t="str">
        <f t="shared" si="77"/>
        <v/>
      </c>
      <c r="H455">
        <f>IF(B455&lt;&gt;"", SUMIFS(ポートフォリオ実績!$D$2:$D$2001, ポートフォリオ実績!$B$2:$B$2001, B455, ポートフォリオ実績!$A$2:$A$2001, G455), 0)</f>
        <v>0</v>
      </c>
      <c r="I455">
        <f>IF(B455&lt;&gt;"", SUMIFS(ポートフォリオ実績!$C$2:$C$2001, ポートフォリオ実績!$B$2:$B$2001, B455, ポートフォリオ実績!$A$2:$A$2001, G455), 0)</f>
        <v>0</v>
      </c>
      <c r="J455">
        <f t="shared" si="78"/>
        <v>0</v>
      </c>
      <c r="K455">
        <f t="shared" si="79"/>
        <v>0</v>
      </c>
      <c r="L455">
        <f t="shared" si="80"/>
        <v>0</v>
      </c>
      <c r="M455">
        <f t="shared" si="81"/>
        <v>0</v>
      </c>
      <c r="N455">
        <f t="shared" si="82"/>
        <v>0</v>
      </c>
      <c r="O455">
        <f t="shared" si="83"/>
        <v>0</v>
      </c>
      <c r="P455" t="str">
        <f t="shared" si="84"/>
        <v/>
      </c>
      <c r="Q455" t="str">
        <f>IF(B455="","", IFERROR(VLOOKUP(B455, '基準資産配分（設定）'!$A$2:$C$2001, 3, FALSE), ""))</f>
        <v/>
      </c>
      <c r="R455" t="str">
        <f>IF(B455="","", IFERROR(VLOOKUP(B455, '基準資産配分（設定）'!$A$2:$C$2001, 2, FALSE)/100, 0))</f>
        <v/>
      </c>
      <c r="S455" t="str">
        <f>IF(B455="","", IFERROR(SUMIFS(ベンチマークリターン!$C$2:$C$2001, ベンチマークリターン!$A$2:$A$2001, A455, ベンチマークリターン!$B$2:$B$2001, Q455) / 100, 0))</f>
        <v/>
      </c>
      <c r="T455" t="str">
        <f>IF(A455="","", SUMIFS($H$2:$H$2000, $A$2:$A$2000, A455))</f>
        <v/>
      </c>
      <c r="U455" t="str">
        <f t="shared" si="85"/>
        <v/>
      </c>
      <c r="V455" t="str">
        <f t="shared" si="86"/>
        <v/>
      </c>
      <c r="W455" t="str">
        <f t="shared" si="87"/>
        <v/>
      </c>
    </row>
    <row r="456" spans="1:23" x14ac:dyDescent="0.2">
      <c r="A456" s="4" t="str">
        <f>IF(ポートフォリオ実績!A457="","", ポートフォリオ実績!A457)</f>
        <v/>
      </c>
      <c r="B456" t="str">
        <f>IF(ポートフォリオ実績!B457="","", ポートフォリオ実績!B457)</f>
        <v/>
      </c>
      <c r="C456" s="10" t="str">
        <f>IF(ポートフォリオ実績!C457="","", ポートフォリオ実績!C457)</f>
        <v/>
      </c>
      <c r="D456" s="10" t="str">
        <f>IF(ポートフォリオ実績!D457="","", ポートフォリオ実績!D457)</f>
        <v/>
      </c>
      <c r="E456" s="10" t="str">
        <f>IF(ポートフォリオ実績!E457="","", ポートフォリオ実績!E457)</f>
        <v/>
      </c>
      <c r="F456" s="10" t="str">
        <f>IF(ポートフォリオ実績!F457="","", ポートフォリオ実績!F457)</f>
        <v/>
      </c>
      <c r="G456" t="str">
        <f t="shared" si="77"/>
        <v/>
      </c>
      <c r="H456">
        <f>IF(B456&lt;&gt;"", SUMIFS(ポートフォリオ実績!$D$2:$D$2001, ポートフォリオ実績!$B$2:$B$2001, B456, ポートフォリオ実績!$A$2:$A$2001, G456), 0)</f>
        <v>0</v>
      </c>
      <c r="I456">
        <f>IF(B456&lt;&gt;"", SUMIFS(ポートフォリオ実績!$C$2:$C$2001, ポートフォリオ実績!$B$2:$B$2001, B456, ポートフォリオ実績!$A$2:$A$2001, G456), 0)</f>
        <v>0</v>
      </c>
      <c r="J456">
        <f t="shared" si="78"/>
        <v>0</v>
      </c>
      <c r="K456">
        <f t="shared" si="79"/>
        <v>0</v>
      </c>
      <c r="L456">
        <f t="shared" si="80"/>
        <v>0</v>
      </c>
      <c r="M456">
        <f t="shared" si="81"/>
        <v>0</v>
      </c>
      <c r="N456">
        <f t="shared" si="82"/>
        <v>0</v>
      </c>
      <c r="O456">
        <f t="shared" si="83"/>
        <v>0</v>
      </c>
      <c r="P456" t="str">
        <f t="shared" si="84"/>
        <v/>
      </c>
      <c r="Q456" t="str">
        <f>IF(B456="","", IFERROR(VLOOKUP(B456, '基準資産配分（設定）'!$A$2:$C$2001, 3, FALSE), ""))</f>
        <v/>
      </c>
      <c r="R456" t="str">
        <f>IF(B456="","", IFERROR(VLOOKUP(B456, '基準資産配分（設定）'!$A$2:$C$2001, 2, FALSE)/100, 0))</f>
        <v/>
      </c>
      <c r="S456" t="str">
        <f>IF(B456="","", IFERROR(SUMIFS(ベンチマークリターン!$C$2:$C$2001, ベンチマークリターン!$A$2:$A$2001, A456, ベンチマークリターン!$B$2:$B$2001, Q456) / 100, 0))</f>
        <v/>
      </c>
      <c r="T456" t="str">
        <f>IF(A456="","", SUMIFS($H$2:$H$2000, $A$2:$A$2000, A456))</f>
        <v/>
      </c>
      <c r="U456" t="str">
        <f t="shared" si="85"/>
        <v/>
      </c>
      <c r="V456" t="str">
        <f t="shared" si="86"/>
        <v/>
      </c>
      <c r="W456" t="str">
        <f t="shared" si="87"/>
        <v/>
      </c>
    </row>
    <row r="457" spans="1:23" x14ac:dyDescent="0.2">
      <c r="A457" s="4" t="str">
        <f>IF(ポートフォリオ実績!A458="","", ポートフォリオ実績!A458)</f>
        <v/>
      </c>
      <c r="B457" t="str">
        <f>IF(ポートフォリオ実績!B458="","", ポートフォリオ実績!B458)</f>
        <v/>
      </c>
      <c r="C457" s="10" t="str">
        <f>IF(ポートフォリオ実績!C458="","", ポートフォリオ実績!C458)</f>
        <v/>
      </c>
      <c r="D457" s="10" t="str">
        <f>IF(ポートフォリオ実績!D458="","", ポートフォリオ実績!D458)</f>
        <v/>
      </c>
      <c r="E457" s="10" t="str">
        <f>IF(ポートフォリオ実績!E458="","", ポートフォリオ実績!E458)</f>
        <v/>
      </c>
      <c r="F457" s="10" t="str">
        <f>IF(ポートフォリオ実績!F458="","", ポートフォリオ実績!F458)</f>
        <v/>
      </c>
      <c r="G457" t="str">
        <f t="shared" si="77"/>
        <v/>
      </c>
      <c r="H457">
        <f>IF(B457&lt;&gt;"", SUMIFS(ポートフォリオ実績!$D$2:$D$2001, ポートフォリオ実績!$B$2:$B$2001, B457, ポートフォリオ実績!$A$2:$A$2001, G457), 0)</f>
        <v>0</v>
      </c>
      <c r="I457">
        <f>IF(B457&lt;&gt;"", SUMIFS(ポートフォリオ実績!$C$2:$C$2001, ポートフォリオ実績!$B$2:$B$2001, B457, ポートフォリオ実績!$A$2:$A$2001, G457), 0)</f>
        <v>0</v>
      </c>
      <c r="J457">
        <f t="shared" si="78"/>
        <v>0</v>
      </c>
      <c r="K457">
        <f t="shared" si="79"/>
        <v>0</v>
      </c>
      <c r="L457">
        <f t="shared" si="80"/>
        <v>0</v>
      </c>
      <c r="M457">
        <f t="shared" si="81"/>
        <v>0</v>
      </c>
      <c r="N457">
        <f t="shared" si="82"/>
        <v>0</v>
      </c>
      <c r="O457">
        <f t="shared" si="83"/>
        <v>0</v>
      </c>
      <c r="P457" t="str">
        <f t="shared" si="84"/>
        <v/>
      </c>
      <c r="Q457" t="str">
        <f>IF(B457="","", IFERROR(VLOOKUP(B457, '基準資産配分（設定）'!$A$2:$C$2001, 3, FALSE), ""))</f>
        <v/>
      </c>
      <c r="R457" t="str">
        <f>IF(B457="","", IFERROR(VLOOKUP(B457, '基準資産配分（設定）'!$A$2:$C$2001, 2, FALSE)/100, 0))</f>
        <v/>
      </c>
      <c r="S457" t="str">
        <f>IF(B457="","", IFERROR(SUMIFS(ベンチマークリターン!$C$2:$C$2001, ベンチマークリターン!$A$2:$A$2001, A457, ベンチマークリターン!$B$2:$B$2001, Q457) / 100, 0))</f>
        <v/>
      </c>
      <c r="T457" t="str">
        <f>IF(A457="","", SUMIFS($H$2:$H$2000, $A$2:$A$2000, A457))</f>
        <v/>
      </c>
      <c r="U457" t="str">
        <f t="shared" si="85"/>
        <v/>
      </c>
      <c r="V457" t="str">
        <f t="shared" si="86"/>
        <v/>
      </c>
      <c r="W457" t="str">
        <f t="shared" si="87"/>
        <v/>
      </c>
    </row>
    <row r="458" spans="1:23" x14ac:dyDescent="0.2">
      <c r="A458" s="4" t="str">
        <f>IF(ポートフォリオ実績!A459="","", ポートフォリオ実績!A459)</f>
        <v/>
      </c>
      <c r="B458" t="str">
        <f>IF(ポートフォリオ実績!B459="","", ポートフォリオ実績!B459)</f>
        <v/>
      </c>
      <c r="C458" s="10" t="str">
        <f>IF(ポートフォリオ実績!C459="","", ポートフォリオ実績!C459)</f>
        <v/>
      </c>
      <c r="D458" s="10" t="str">
        <f>IF(ポートフォリオ実績!D459="","", ポートフォリオ実績!D459)</f>
        <v/>
      </c>
      <c r="E458" s="10" t="str">
        <f>IF(ポートフォリオ実績!E459="","", ポートフォリオ実績!E459)</f>
        <v/>
      </c>
      <c r="F458" s="10" t="str">
        <f>IF(ポートフォリオ実績!F459="","", ポートフォリオ実績!F459)</f>
        <v/>
      </c>
      <c r="G458" t="str">
        <f t="shared" si="77"/>
        <v/>
      </c>
      <c r="H458">
        <f>IF(B458&lt;&gt;"", SUMIFS(ポートフォリオ実績!$D$2:$D$2001, ポートフォリオ実績!$B$2:$B$2001, B458, ポートフォリオ実績!$A$2:$A$2001, G458), 0)</f>
        <v>0</v>
      </c>
      <c r="I458">
        <f>IF(B458&lt;&gt;"", SUMIFS(ポートフォリオ実績!$C$2:$C$2001, ポートフォリオ実績!$B$2:$B$2001, B458, ポートフォリオ実績!$A$2:$A$2001, G458), 0)</f>
        <v>0</v>
      </c>
      <c r="J458">
        <f t="shared" si="78"/>
        <v>0</v>
      </c>
      <c r="K458">
        <f t="shared" si="79"/>
        <v>0</v>
      </c>
      <c r="L458">
        <f t="shared" si="80"/>
        <v>0</v>
      </c>
      <c r="M458">
        <f t="shared" si="81"/>
        <v>0</v>
      </c>
      <c r="N458">
        <f t="shared" si="82"/>
        <v>0</v>
      </c>
      <c r="O458">
        <f t="shared" si="83"/>
        <v>0</v>
      </c>
      <c r="P458" t="str">
        <f t="shared" si="84"/>
        <v/>
      </c>
      <c r="Q458" t="str">
        <f>IF(B458="","", IFERROR(VLOOKUP(B458, '基準資産配分（設定）'!$A$2:$C$2001, 3, FALSE), ""))</f>
        <v/>
      </c>
      <c r="R458" t="str">
        <f>IF(B458="","", IFERROR(VLOOKUP(B458, '基準資産配分（設定）'!$A$2:$C$2001, 2, FALSE)/100, 0))</f>
        <v/>
      </c>
      <c r="S458" t="str">
        <f>IF(B458="","", IFERROR(SUMIFS(ベンチマークリターン!$C$2:$C$2001, ベンチマークリターン!$A$2:$A$2001, A458, ベンチマークリターン!$B$2:$B$2001, Q458) / 100, 0))</f>
        <v/>
      </c>
      <c r="T458" t="str">
        <f>IF(A458="","", SUMIFS($H$2:$H$2000, $A$2:$A$2000, A458))</f>
        <v/>
      </c>
      <c r="U458" t="str">
        <f t="shared" si="85"/>
        <v/>
      </c>
      <c r="V458" t="str">
        <f t="shared" si="86"/>
        <v/>
      </c>
      <c r="W458" t="str">
        <f t="shared" si="87"/>
        <v/>
      </c>
    </row>
    <row r="459" spans="1:23" x14ac:dyDescent="0.2">
      <c r="A459" s="4" t="str">
        <f>IF(ポートフォリオ実績!A460="","", ポートフォリオ実績!A460)</f>
        <v/>
      </c>
      <c r="B459" t="str">
        <f>IF(ポートフォリオ実績!B460="","", ポートフォリオ実績!B460)</f>
        <v/>
      </c>
      <c r="C459" s="10" t="str">
        <f>IF(ポートフォリオ実績!C460="","", ポートフォリオ実績!C460)</f>
        <v/>
      </c>
      <c r="D459" s="10" t="str">
        <f>IF(ポートフォリオ実績!D460="","", ポートフォリオ実績!D460)</f>
        <v/>
      </c>
      <c r="E459" s="10" t="str">
        <f>IF(ポートフォリオ実績!E460="","", ポートフォリオ実績!E460)</f>
        <v/>
      </c>
      <c r="F459" s="10" t="str">
        <f>IF(ポートフォリオ実績!F460="","", ポートフォリオ実績!F460)</f>
        <v/>
      </c>
      <c r="G459" t="str">
        <f t="shared" si="77"/>
        <v/>
      </c>
      <c r="H459">
        <f>IF(B459&lt;&gt;"", SUMIFS(ポートフォリオ実績!$D$2:$D$2001, ポートフォリオ実績!$B$2:$B$2001, B459, ポートフォリオ実績!$A$2:$A$2001, G459), 0)</f>
        <v>0</v>
      </c>
      <c r="I459">
        <f>IF(B459&lt;&gt;"", SUMIFS(ポートフォリオ実績!$C$2:$C$2001, ポートフォリオ実績!$B$2:$B$2001, B459, ポートフォリオ実績!$A$2:$A$2001, G459), 0)</f>
        <v>0</v>
      </c>
      <c r="J459">
        <f t="shared" si="78"/>
        <v>0</v>
      </c>
      <c r="K459">
        <f t="shared" si="79"/>
        <v>0</v>
      </c>
      <c r="L459">
        <f t="shared" si="80"/>
        <v>0</v>
      </c>
      <c r="M459">
        <f t="shared" si="81"/>
        <v>0</v>
      </c>
      <c r="N459">
        <f t="shared" si="82"/>
        <v>0</v>
      </c>
      <c r="O459">
        <f t="shared" si="83"/>
        <v>0</v>
      </c>
      <c r="P459" t="str">
        <f t="shared" si="84"/>
        <v/>
      </c>
      <c r="Q459" t="str">
        <f>IF(B459="","", IFERROR(VLOOKUP(B459, '基準資産配分（設定）'!$A$2:$C$2001, 3, FALSE), ""))</f>
        <v/>
      </c>
      <c r="R459" t="str">
        <f>IF(B459="","", IFERROR(VLOOKUP(B459, '基準資産配分（設定）'!$A$2:$C$2001, 2, FALSE)/100, 0))</f>
        <v/>
      </c>
      <c r="S459" t="str">
        <f>IF(B459="","", IFERROR(SUMIFS(ベンチマークリターン!$C$2:$C$2001, ベンチマークリターン!$A$2:$A$2001, A459, ベンチマークリターン!$B$2:$B$2001, Q459) / 100, 0))</f>
        <v/>
      </c>
      <c r="T459" t="str">
        <f>IF(A459="","", SUMIFS($H$2:$H$2000, $A$2:$A$2000, A459))</f>
        <v/>
      </c>
      <c r="U459" t="str">
        <f t="shared" si="85"/>
        <v/>
      </c>
      <c r="V459" t="str">
        <f t="shared" si="86"/>
        <v/>
      </c>
      <c r="W459" t="str">
        <f t="shared" si="87"/>
        <v/>
      </c>
    </row>
    <row r="460" spans="1:23" x14ac:dyDescent="0.2">
      <c r="A460" s="4" t="str">
        <f>IF(ポートフォリオ実績!A461="","", ポートフォリオ実績!A461)</f>
        <v/>
      </c>
      <c r="B460" t="str">
        <f>IF(ポートフォリオ実績!B461="","", ポートフォリオ実績!B461)</f>
        <v/>
      </c>
      <c r="C460" s="10" t="str">
        <f>IF(ポートフォリオ実績!C461="","", ポートフォリオ実績!C461)</f>
        <v/>
      </c>
      <c r="D460" s="10" t="str">
        <f>IF(ポートフォリオ実績!D461="","", ポートフォリオ実績!D461)</f>
        <v/>
      </c>
      <c r="E460" s="10" t="str">
        <f>IF(ポートフォリオ実績!E461="","", ポートフォリオ実績!E461)</f>
        <v/>
      </c>
      <c r="F460" s="10" t="str">
        <f>IF(ポートフォリオ実績!F461="","", ポートフォリオ実績!F461)</f>
        <v/>
      </c>
      <c r="G460" t="str">
        <f t="shared" si="77"/>
        <v/>
      </c>
      <c r="H460">
        <f>IF(B460&lt;&gt;"", SUMIFS(ポートフォリオ実績!$D$2:$D$2001, ポートフォリオ実績!$B$2:$B$2001, B460, ポートフォリオ実績!$A$2:$A$2001, G460), 0)</f>
        <v>0</v>
      </c>
      <c r="I460">
        <f>IF(B460&lt;&gt;"", SUMIFS(ポートフォリオ実績!$C$2:$C$2001, ポートフォリオ実績!$B$2:$B$2001, B460, ポートフォリオ実績!$A$2:$A$2001, G460), 0)</f>
        <v>0</v>
      </c>
      <c r="J460">
        <f t="shared" si="78"/>
        <v>0</v>
      </c>
      <c r="K460">
        <f t="shared" si="79"/>
        <v>0</v>
      </c>
      <c r="L460">
        <f t="shared" si="80"/>
        <v>0</v>
      </c>
      <c r="M460">
        <f t="shared" si="81"/>
        <v>0</v>
      </c>
      <c r="N460">
        <f t="shared" si="82"/>
        <v>0</v>
      </c>
      <c r="O460">
        <f t="shared" si="83"/>
        <v>0</v>
      </c>
      <c r="P460" t="str">
        <f t="shared" si="84"/>
        <v/>
      </c>
      <c r="Q460" t="str">
        <f>IF(B460="","", IFERROR(VLOOKUP(B460, '基準資産配分（設定）'!$A$2:$C$2001, 3, FALSE), ""))</f>
        <v/>
      </c>
      <c r="R460" t="str">
        <f>IF(B460="","", IFERROR(VLOOKUP(B460, '基準資産配分（設定）'!$A$2:$C$2001, 2, FALSE)/100, 0))</f>
        <v/>
      </c>
      <c r="S460" t="str">
        <f>IF(B460="","", IFERROR(SUMIFS(ベンチマークリターン!$C$2:$C$2001, ベンチマークリターン!$A$2:$A$2001, A460, ベンチマークリターン!$B$2:$B$2001, Q460) / 100, 0))</f>
        <v/>
      </c>
      <c r="T460" t="str">
        <f>IF(A460="","", SUMIFS($H$2:$H$2000, $A$2:$A$2000, A460))</f>
        <v/>
      </c>
      <c r="U460" t="str">
        <f t="shared" si="85"/>
        <v/>
      </c>
      <c r="V460" t="str">
        <f t="shared" si="86"/>
        <v/>
      </c>
      <c r="W460" t="str">
        <f t="shared" si="87"/>
        <v/>
      </c>
    </row>
    <row r="461" spans="1:23" x14ac:dyDescent="0.2">
      <c r="A461" s="4" t="str">
        <f>IF(ポートフォリオ実績!A462="","", ポートフォリオ実績!A462)</f>
        <v/>
      </c>
      <c r="B461" t="str">
        <f>IF(ポートフォリオ実績!B462="","", ポートフォリオ実績!B462)</f>
        <v/>
      </c>
      <c r="C461" s="10" t="str">
        <f>IF(ポートフォリオ実績!C462="","", ポートフォリオ実績!C462)</f>
        <v/>
      </c>
      <c r="D461" s="10" t="str">
        <f>IF(ポートフォリオ実績!D462="","", ポートフォリオ実績!D462)</f>
        <v/>
      </c>
      <c r="E461" s="10" t="str">
        <f>IF(ポートフォリオ実績!E462="","", ポートフォリオ実績!E462)</f>
        <v/>
      </c>
      <c r="F461" s="10" t="str">
        <f>IF(ポートフォリオ実績!F462="","", ポートフォリオ実績!F462)</f>
        <v/>
      </c>
      <c r="G461" t="str">
        <f t="shared" si="77"/>
        <v/>
      </c>
      <c r="H461">
        <f>IF(B461&lt;&gt;"", SUMIFS(ポートフォリオ実績!$D$2:$D$2001, ポートフォリオ実績!$B$2:$B$2001, B461, ポートフォリオ実績!$A$2:$A$2001, G461), 0)</f>
        <v>0</v>
      </c>
      <c r="I461">
        <f>IF(B461&lt;&gt;"", SUMIFS(ポートフォリオ実績!$C$2:$C$2001, ポートフォリオ実績!$B$2:$B$2001, B461, ポートフォリオ実績!$A$2:$A$2001, G461), 0)</f>
        <v>0</v>
      </c>
      <c r="J461">
        <f t="shared" si="78"/>
        <v>0</v>
      </c>
      <c r="K461">
        <f t="shared" si="79"/>
        <v>0</v>
      </c>
      <c r="L461">
        <f t="shared" si="80"/>
        <v>0</v>
      </c>
      <c r="M461">
        <f t="shared" si="81"/>
        <v>0</v>
      </c>
      <c r="N461">
        <f t="shared" si="82"/>
        <v>0</v>
      </c>
      <c r="O461">
        <f t="shared" si="83"/>
        <v>0</v>
      </c>
      <c r="P461" t="str">
        <f t="shared" si="84"/>
        <v/>
      </c>
      <c r="Q461" t="str">
        <f>IF(B461="","", IFERROR(VLOOKUP(B461, '基準資産配分（設定）'!$A$2:$C$2001, 3, FALSE), ""))</f>
        <v/>
      </c>
      <c r="R461" t="str">
        <f>IF(B461="","", IFERROR(VLOOKUP(B461, '基準資産配分（設定）'!$A$2:$C$2001, 2, FALSE)/100, 0))</f>
        <v/>
      </c>
      <c r="S461" t="str">
        <f>IF(B461="","", IFERROR(SUMIFS(ベンチマークリターン!$C$2:$C$2001, ベンチマークリターン!$A$2:$A$2001, A461, ベンチマークリターン!$B$2:$B$2001, Q461) / 100, 0))</f>
        <v/>
      </c>
      <c r="T461" t="str">
        <f>IF(A461="","", SUMIFS($H$2:$H$2000, $A$2:$A$2000, A461))</f>
        <v/>
      </c>
      <c r="U461" t="str">
        <f t="shared" si="85"/>
        <v/>
      </c>
      <c r="V461" t="str">
        <f t="shared" si="86"/>
        <v/>
      </c>
      <c r="W461" t="str">
        <f t="shared" si="87"/>
        <v/>
      </c>
    </row>
    <row r="462" spans="1:23" x14ac:dyDescent="0.2">
      <c r="A462" s="4" t="str">
        <f>IF(ポートフォリオ実績!A463="","", ポートフォリオ実績!A463)</f>
        <v/>
      </c>
      <c r="B462" t="str">
        <f>IF(ポートフォリオ実績!B463="","", ポートフォリオ実績!B463)</f>
        <v/>
      </c>
      <c r="C462" s="10" t="str">
        <f>IF(ポートフォリオ実績!C463="","", ポートフォリオ実績!C463)</f>
        <v/>
      </c>
      <c r="D462" s="10" t="str">
        <f>IF(ポートフォリオ実績!D463="","", ポートフォリオ実績!D463)</f>
        <v/>
      </c>
      <c r="E462" s="10" t="str">
        <f>IF(ポートフォリオ実績!E463="","", ポートフォリオ実績!E463)</f>
        <v/>
      </c>
      <c r="F462" s="10" t="str">
        <f>IF(ポートフォリオ実績!F463="","", ポートフォリオ実績!F463)</f>
        <v/>
      </c>
      <c r="G462" t="str">
        <f t="shared" si="77"/>
        <v/>
      </c>
      <c r="H462">
        <f>IF(B462&lt;&gt;"", SUMIFS(ポートフォリオ実績!$D$2:$D$2001, ポートフォリオ実績!$B$2:$B$2001, B462, ポートフォリオ実績!$A$2:$A$2001, G462), 0)</f>
        <v>0</v>
      </c>
      <c r="I462">
        <f>IF(B462&lt;&gt;"", SUMIFS(ポートフォリオ実績!$C$2:$C$2001, ポートフォリオ実績!$B$2:$B$2001, B462, ポートフォリオ実績!$A$2:$A$2001, G462), 0)</f>
        <v>0</v>
      </c>
      <c r="J462">
        <f t="shared" si="78"/>
        <v>0</v>
      </c>
      <c r="K462">
        <f t="shared" si="79"/>
        <v>0</v>
      </c>
      <c r="L462">
        <f t="shared" si="80"/>
        <v>0</v>
      </c>
      <c r="M462">
        <f t="shared" si="81"/>
        <v>0</v>
      </c>
      <c r="N462">
        <f t="shared" si="82"/>
        <v>0</v>
      </c>
      <c r="O462">
        <f t="shared" si="83"/>
        <v>0</v>
      </c>
      <c r="P462" t="str">
        <f t="shared" si="84"/>
        <v/>
      </c>
      <c r="Q462" t="str">
        <f>IF(B462="","", IFERROR(VLOOKUP(B462, '基準資産配分（設定）'!$A$2:$C$2001, 3, FALSE), ""))</f>
        <v/>
      </c>
      <c r="R462" t="str">
        <f>IF(B462="","", IFERROR(VLOOKUP(B462, '基準資産配分（設定）'!$A$2:$C$2001, 2, FALSE)/100, 0))</f>
        <v/>
      </c>
      <c r="S462" t="str">
        <f>IF(B462="","", IFERROR(SUMIFS(ベンチマークリターン!$C$2:$C$2001, ベンチマークリターン!$A$2:$A$2001, A462, ベンチマークリターン!$B$2:$B$2001, Q462) / 100, 0))</f>
        <v/>
      </c>
      <c r="T462" t="str">
        <f>IF(A462="","", SUMIFS($H$2:$H$2000, $A$2:$A$2000, A462))</f>
        <v/>
      </c>
      <c r="U462" t="str">
        <f t="shared" si="85"/>
        <v/>
      </c>
      <c r="V462" t="str">
        <f t="shared" si="86"/>
        <v/>
      </c>
      <c r="W462" t="str">
        <f t="shared" si="87"/>
        <v/>
      </c>
    </row>
    <row r="463" spans="1:23" x14ac:dyDescent="0.2">
      <c r="A463" s="4" t="str">
        <f>IF(ポートフォリオ実績!A464="","", ポートフォリオ実績!A464)</f>
        <v/>
      </c>
      <c r="B463" t="str">
        <f>IF(ポートフォリオ実績!B464="","", ポートフォリオ実績!B464)</f>
        <v/>
      </c>
      <c r="C463" s="10" t="str">
        <f>IF(ポートフォリオ実績!C464="","", ポートフォリオ実績!C464)</f>
        <v/>
      </c>
      <c r="D463" s="10" t="str">
        <f>IF(ポートフォリオ実績!D464="","", ポートフォリオ実績!D464)</f>
        <v/>
      </c>
      <c r="E463" s="10" t="str">
        <f>IF(ポートフォリオ実績!E464="","", ポートフォリオ実績!E464)</f>
        <v/>
      </c>
      <c r="F463" s="10" t="str">
        <f>IF(ポートフォリオ実績!F464="","", ポートフォリオ実績!F464)</f>
        <v/>
      </c>
      <c r="G463" t="str">
        <f t="shared" si="77"/>
        <v/>
      </c>
      <c r="H463">
        <f>IF(B463&lt;&gt;"", SUMIFS(ポートフォリオ実績!$D$2:$D$2001, ポートフォリオ実績!$B$2:$B$2001, B463, ポートフォリオ実績!$A$2:$A$2001, G463), 0)</f>
        <v>0</v>
      </c>
      <c r="I463">
        <f>IF(B463&lt;&gt;"", SUMIFS(ポートフォリオ実績!$C$2:$C$2001, ポートフォリオ実績!$B$2:$B$2001, B463, ポートフォリオ実績!$A$2:$A$2001, G463), 0)</f>
        <v>0</v>
      </c>
      <c r="J463">
        <f t="shared" si="78"/>
        <v>0</v>
      </c>
      <c r="K463">
        <f t="shared" si="79"/>
        <v>0</v>
      </c>
      <c r="L463">
        <f t="shared" si="80"/>
        <v>0</v>
      </c>
      <c r="M463">
        <f t="shared" si="81"/>
        <v>0</v>
      </c>
      <c r="N463">
        <f t="shared" si="82"/>
        <v>0</v>
      </c>
      <c r="O463">
        <f t="shared" si="83"/>
        <v>0</v>
      </c>
      <c r="P463" t="str">
        <f t="shared" si="84"/>
        <v/>
      </c>
      <c r="Q463" t="str">
        <f>IF(B463="","", IFERROR(VLOOKUP(B463, '基準資産配分（設定）'!$A$2:$C$2001, 3, FALSE), ""))</f>
        <v/>
      </c>
      <c r="R463" t="str">
        <f>IF(B463="","", IFERROR(VLOOKUP(B463, '基準資産配分（設定）'!$A$2:$C$2001, 2, FALSE)/100, 0))</f>
        <v/>
      </c>
      <c r="S463" t="str">
        <f>IF(B463="","", IFERROR(SUMIFS(ベンチマークリターン!$C$2:$C$2001, ベンチマークリターン!$A$2:$A$2001, A463, ベンチマークリターン!$B$2:$B$2001, Q463) / 100, 0))</f>
        <v/>
      </c>
      <c r="T463" t="str">
        <f>IF(A463="","", SUMIFS($H$2:$H$2000, $A$2:$A$2000, A463))</f>
        <v/>
      </c>
      <c r="U463" t="str">
        <f t="shared" si="85"/>
        <v/>
      </c>
      <c r="V463" t="str">
        <f t="shared" si="86"/>
        <v/>
      </c>
      <c r="W463" t="str">
        <f t="shared" si="87"/>
        <v/>
      </c>
    </row>
    <row r="464" spans="1:23" x14ac:dyDescent="0.2">
      <c r="A464" s="4" t="str">
        <f>IF(ポートフォリオ実績!A465="","", ポートフォリオ実績!A465)</f>
        <v/>
      </c>
      <c r="B464" t="str">
        <f>IF(ポートフォリオ実績!B465="","", ポートフォリオ実績!B465)</f>
        <v/>
      </c>
      <c r="C464" s="10" t="str">
        <f>IF(ポートフォリオ実績!C465="","", ポートフォリオ実績!C465)</f>
        <v/>
      </c>
      <c r="D464" s="10" t="str">
        <f>IF(ポートフォリオ実績!D465="","", ポートフォリオ実績!D465)</f>
        <v/>
      </c>
      <c r="E464" s="10" t="str">
        <f>IF(ポートフォリオ実績!E465="","", ポートフォリオ実績!E465)</f>
        <v/>
      </c>
      <c r="F464" s="10" t="str">
        <f>IF(ポートフォリオ実績!F465="","", ポートフォリオ実績!F465)</f>
        <v/>
      </c>
      <c r="G464" t="str">
        <f t="shared" si="77"/>
        <v/>
      </c>
      <c r="H464">
        <f>IF(B464&lt;&gt;"", SUMIFS(ポートフォリオ実績!$D$2:$D$2001, ポートフォリオ実績!$B$2:$B$2001, B464, ポートフォリオ実績!$A$2:$A$2001, G464), 0)</f>
        <v>0</v>
      </c>
      <c r="I464">
        <f>IF(B464&lt;&gt;"", SUMIFS(ポートフォリオ実績!$C$2:$C$2001, ポートフォリオ実績!$B$2:$B$2001, B464, ポートフォリオ実績!$A$2:$A$2001, G464), 0)</f>
        <v>0</v>
      </c>
      <c r="J464">
        <f t="shared" si="78"/>
        <v>0</v>
      </c>
      <c r="K464">
        <f t="shared" si="79"/>
        <v>0</v>
      </c>
      <c r="L464">
        <f t="shared" si="80"/>
        <v>0</v>
      </c>
      <c r="M464">
        <f t="shared" si="81"/>
        <v>0</v>
      </c>
      <c r="N464">
        <f t="shared" si="82"/>
        <v>0</v>
      </c>
      <c r="O464">
        <f t="shared" si="83"/>
        <v>0</v>
      </c>
      <c r="P464" t="str">
        <f t="shared" si="84"/>
        <v/>
      </c>
      <c r="Q464" t="str">
        <f>IF(B464="","", IFERROR(VLOOKUP(B464, '基準資産配分（設定）'!$A$2:$C$2001, 3, FALSE), ""))</f>
        <v/>
      </c>
      <c r="R464" t="str">
        <f>IF(B464="","", IFERROR(VLOOKUP(B464, '基準資産配分（設定）'!$A$2:$C$2001, 2, FALSE)/100, 0))</f>
        <v/>
      </c>
      <c r="S464" t="str">
        <f>IF(B464="","", IFERROR(SUMIFS(ベンチマークリターン!$C$2:$C$2001, ベンチマークリターン!$A$2:$A$2001, A464, ベンチマークリターン!$B$2:$B$2001, Q464) / 100, 0))</f>
        <v/>
      </c>
      <c r="T464" t="str">
        <f>IF(A464="","", SUMIFS($H$2:$H$2000, $A$2:$A$2000, A464))</f>
        <v/>
      </c>
      <c r="U464" t="str">
        <f t="shared" si="85"/>
        <v/>
      </c>
      <c r="V464" t="str">
        <f t="shared" si="86"/>
        <v/>
      </c>
      <c r="W464" t="str">
        <f t="shared" si="87"/>
        <v/>
      </c>
    </row>
    <row r="465" spans="1:23" x14ac:dyDescent="0.2">
      <c r="A465" s="4" t="str">
        <f>IF(ポートフォリオ実績!A466="","", ポートフォリオ実績!A466)</f>
        <v/>
      </c>
      <c r="B465" t="str">
        <f>IF(ポートフォリオ実績!B466="","", ポートフォリオ実績!B466)</f>
        <v/>
      </c>
      <c r="C465" s="10" t="str">
        <f>IF(ポートフォリオ実績!C466="","", ポートフォリオ実績!C466)</f>
        <v/>
      </c>
      <c r="D465" s="10" t="str">
        <f>IF(ポートフォリオ実績!D466="","", ポートフォリオ実績!D466)</f>
        <v/>
      </c>
      <c r="E465" s="10" t="str">
        <f>IF(ポートフォリオ実績!E466="","", ポートフォリオ実績!E466)</f>
        <v/>
      </c>
      <c r="F465" s="10" t="str">
        <f>IF(ポートフォリオ実績!F466="","", ポートフォリオ実績!F466)</f>
        <v/>
      </c>
      <c r="G465" t="str">
        <f t="shared" si="77"/>
        <v/>
      </c>
      <c r="H465">
        <f>IF(B465&lt;&gt;"", SUMIFS(ポートフォリオ実績!$D$2:$D$2001, ポートフォリオ実績!$B$2:$B$2001, B465, ポートフォリオ実績!$A$2:$A$2001, G465), 0)</f>
        <v>0</v>
      </c>
      <c r="I465">
        <f>IF(B465&lt;&gt;"", SUMIFS(ポートフォリオ実績!$C$2:$C$2001, ポートフォリオ実績!$B$2:$B$2001, B465, ポートフォリオ実績!$A$2:$A$2001, G465), 0)</f>
        <v>0</v>
      </c>
      <c r="J465">
        <f t="shared" si="78"/>
        <v>0</v>
      </c>
      <c r="K465">
        <f t="shared" si="79"/>
        <v>0</v>
      </c>
      <c r="L465">
        <f t="shared" si="80"/>
        <v>0</v>
      </c>
      <c r="M465">
        <f t="shared" si="81"/>
        <v>0</v>
      </c>
      <c r="N465">
        <f t="shared" si="82"/>
        <v>0</v>
      </c>
      <c r="O465">
        <f t="shared" si="83"/>
        <v>0</v>
      </c>
      <c r="P465" t="str">
        <f t="shared" si="84"/>
        <v/>
      </c>
      <c r="Q465" t="str">
        <f>IF(B465="","", IFERROR(VLOOKUP(B465, '基準資産配分（設定）'!$A$2:$C$2001, 3, FALSE), ""))</f>
        <v/>
      </c>
      <c r="R465" t="str">
        <f>IF(B465="","", IFERROR(VLOOKUP(B465, '基準資産配分（設定）'!$A$2:$C$2001, 2, FALSE)/100, 0))</f>
        <v/>
      </c>
      <c r="S465" t="str">
        <f>IF(B465="","", IFERROR(SUMIFS(ベンチマークリターン!$C$2:$C$2001, ベンチマークリターン!$A$2:$A$2001, A465, ベンチマークリターン!$B$2:$B$2001, Q465) / 100, 0))</f>
        <v/>
      </c>
      <c r="T465" t="str">
        <f>IF(A465="","", SUMIFS($H$2:$H$2000, $A$2:$A$2000, A465))</f>
        <v/>
      </c>
      <c r="U465" t="str">
        <f t="shared" si="85"/>
        <v/>
      </c>
      <c r="V465" t="str">
        <f t="shared" si="86"/>
        <v/>
      </c>
      <c r="W465" t="str">
        <f t="shared" si="87"/>
        <v/>
      </c>
    </row>
    <row r="466" spans="1:23" x14ac:dyDescent="0.2">
      <c r="A466" s="4" t="str">
        <f>IF(ポートフォリオ実績!A467="","", ポートフォリオ実績!A467)</f>
        <v/>
      </c>
      <c r="B466" t="str">
        <f>IF(ポートフォリオ実績!B467="","", ポートフォリオ実績!B467)</f>
        <v/>
      </c>
      <c r="C466" s="10" t="str">
        <f>IF(ポートフォリオ実績!C467="","", ポートフォリオ実績!C467)</f>
        <v/>
      </c>
      <c r="D466" s="10" t="str">
        <f>IF(ポートフォリオ実績!D467="","", ポートフォリオ実績!D467)</f>
        <v/>
      </c>
      <c r="E466" s="10" t="str">
        <f>IF(ポートフォリオ実績!E467="","", ポートフォリオ実績!E467)</f>
        <v/>
      </c>
      <c r="F466" s="10" t="str">
        <f>IF(ポートフォリオ実績!F467="","", ポートフォリオ実績!F467)</f>
        <v/>
      </c>
      <c r="G466" t="str">
        <f t="shared" si="77"/>
        <v/>
      </c>
      <c r="H466">
        <f>IF(B466&lt;&gt;"", SUMIFS(ポートフォリオ実績!$D$2:$D$2001, ポートフォリオ実績!$B$2:$B$2001, B466, ポートフォリオ実績!$A$2:$A$2001, G466), 0)</f>
        <v>0</v>
      </c>
      <c r="I466">
        <f>IF(B466&lt;&gt;"", SUMIFS(ポートフォリオ実績!$C$2:$C$2001, ポートフォリオ実績!$B$2:$B$2001, B466, ポートフォリオ実績!$A$2:$A$2001, G466), 0)</f>
        <v>0</v>
      </c>
      <c r="J466">
        <f t="shared" si="78"/>
        <v>0</v>
      </c>
      <c r="K466">
        <f t="shared" si="79"/>
        <v>0</v>
      </c>
      <c r="L466">
        <f t="shared" si="80"/>
        <v>0</v>
      </c>
      <c r="M466">
        <f t="shared" si="81"/>
        <v>0</v>
      </c>
      <c r="N466">
        <f t="shared" si="82"/>
        <v>0</v>
      </c>
      <c r="O466">
        <f t="shared" si="83"/>
        <v>0</v>
      </c>
      <c r="P466" t="str">
        <f t="shared" si="84"/>
        <v/>
      </c>
      <c r="Q466" t="str">
        <f>IF(B466="","", IFERROR(VLOOKUP(B466, '基準資産配分（設定）'!$A$2:$C$2001, 3, FALSE), ""))</f>
        <v/>
      </c>
      <c r="R466" t="str">
        <f>IF(B466="","", IFERROR(VLOOKUP(B466, '基準資産配分（設定）'!$A$2:$C$2001, 2, FALSE)/100, 0))</f>
        <v/>
      </c>
      <c r="S466" t="str">
        <f>IF(B466="","", IFERROR(SUMIFS(ベンチマークリターン!$C$2:$C$2001, ベンチマークリターン!$A$2:$A$2001, A466, ベンチマークリターン!$B$2:$B$2001, Q466) / 100, 0))</f>
        <v/>
      </c>
      <c r="T466" t="str">
        <f>IF(A466="","", SUMIFS($H$2:$H$2000, $A$2:$A$2000, A466))</f>
        <v/>
      </c>
      <c r="U466" t="str">
        <f t="shared" si="85"/>
        <v/>
      </c>
      <c r="V466" t="str">
        <f t="shared" si="86"/>
        <v/>
      </c>
      <c r="W466" t="str">
        <f t="shared" si="87"/>
        <v/>
      </c>
    </row>
    <row r="467" spans="1:23" x14ac:dyDescent="0.2">
      <c r="A467" s="4" t="str">
        <f>IF(ポートフォリオ実績!A468="","", ポートフォリオ実績!A468)</f>
        <v/>
      </c>
      <c r="B467" t="str">
        <f>IF(ポートフォリオ実績!B468="","", ポートフォリオ実績!B468)</f>
        <v/>
      </c>
      <c r="C467" s="10" t="str">
        <f>IF(ポートフォリオ実績!C468="","", ポートフォリオ実績!C468)</f>
        <v/>
      </c>
      <c r="D467" s="10" t="str">
        <f>IF(ポートフォリオ実績!D468="","", ポートフォリオ実績!D468)</f>
        <v/>
      </c>
      <c r="E467" s="10" t="str">
        <f>IF(ポートフォリオ実績!E468="","", ポートフォリオ実績!E468)</f>
        <v/>
      </c>
      <c r="F467" s="10" t="str">
        <f>IF(ポートフォリオ実績!F468="","", ポートフォリオ実績!F468)</f>
        <v/>
      </c>
      <c r="G467" t="str">
        <f t="shared" si="77"/>
        <v/>
      </c>
      <c r="H467">
        <f>IF(B467&lt;&gt;"", SUMIFS(ポートフォリオ実績!$D$2:$D$2001, ポートフォリオ実績!$B$2:$B$2001, B467, ポートフォリオ実績!$A$2:$A$2001, G467), 0)</f>
        <v>0</v>
      </c>
      <c r="I467">
        <f>IF(B467&lt;&gt;"", SUMIFS(ポートフォリオ実績!$C$2:$C$2001, ポートフォリオ実績!$B$2:$B$2001, B467, ポートフォリオ実績!$A$2:$A$2001, G467), 0)</f>
        <v>0</v>
      </c>
      <c r="J467">
        <f t="shared" si="78"/>
        <v>0</v>
      </c>
      <c r="K467">
        <f t="shared" si="79"/>
        <v>0</v>
      </c>
      <c r="L467">
        <f t="shared" si="80"/>
        <v>0</v>
      </c>
      <c r="M467">
        <f t="shared" si="81"/>
        <v>0</v>
      </c>
      <c r="N467">
        <f t="shared" si="82"/>
        <v>0</v>
      </c>
      <c r="O467">
        <f t="shared" si="83"/>
        <v>0</v>
      </c>
      <c r="P467" t="str">
        <f t="shared" si="84"/>
        <v/>
      </c>
      <c r="Q467" t="str">
        <f>IF(B467="","", IFERROR(VLOOKUP(B467, '基準資産配分（設定）'!$A$2:$C$2001, 3, FALSE), ""))</f>
        <v/>
      </c>
      <c r="R467" t="str">
        <f>IF(B467="","", IFERROR(VLOOKUP(B467, '基準資産配分（設定）'!$A$2:$C$2001, 2, FALSE)/100, 0))</f>
        <v/>
      </c>
      <c r="S467" t="str">
        <f>IF(B467="","", IFERROR(SUMIFS(ベンチマークリターン!$C$2:$C$2001, ベンチマークリターン!$A$2:$A$2001, A467, ベンチマークリターン!$B$2:$B$2001, Q467) / 100, 0))</f>
        <v/>
      </c>
      <c r="T467" t="str">
        <f>IF(A467="","", SUMIFS($H$2:$H$2000, $A$2:$A$2000, A467))</f>
        <v/>
      </c>
      <c r="U467" t="str">
        <f t="shared" si="85"/>
        <v/>
      </c>
      <c r="V467" t="str">
        <f t="shared" si="86"/>
        <v/>
      </c>
      <c r="W467" t="str">
        <f t="shared" si="87"/>
        <v/>
      </c>
    </row>
    <row r="468" spans="1:23" x14ac:dyDescent="0.2">
      <c r="A468" s="4" t="str">
        <f>IF(ポートフォリオ実績!A469="","", ポートフォリオ実績!A469)</f>
        <v/>
      </c>
      <c r="B468" t="str">
        <f>IF(ポートフォリオ実績!B469="","", ポートフォリオ実績!B469)</f>
        <v/>
      </c>
      <c r="C468" s="10" t="str">
        <f>IF(ポートフォリオ実績!C469="","", ポートフォリオ実績!C469)</f>
        <v/>
      </c>
      <c r="D468" s="10" t="str">
        <f>IF(ポートフォリオ実績!D469="","", ポートフォリオ実績!D469)</f>
        <v/>
      </c>
      <c r="E468" s="10" t="str">
        <f>IF(ポートフォリオ実績!E469="","", ポートフォリオ実績!E469)</f>
        <v/>
      </c>
      <c r="F468" s="10" t="str">
        <f>IF(ポートフォリオ実績!F469="","", ポートフォリオ実績!F469)</f>
        <v/>
      </c>
      <c r="G468" t="str">
        <f t="shared" si="77"/>
        <v/>
      </c>
      <c r="H468">
        <f>IF(B468&lt;&gt;"", SUMIFS(ポートフォリオ実績!$D$2:$D$2001, ポートフォリオ実績!$B$2:$B$2001, B468, ポートフォリオ実績!$A$2:$A$2001, G468), 0)</f>
        <v>0</v>
      </c>
      <c r="I468">
        <f>IF(B468&lt;&gt;"", SUMIFS(ポートフォリオ実績!$C$2:$C$2001, ポートフォリオ実績!$B$2:$B$2001, B468, ポートフォリオ実績!$A$2:$A$2001, G468), 0)</f>
        <v>0</v>
      </c>
      <c r="J468">
        <f t="shared" si="78"/>
        <v>0</v>
      </c>
      <c r="K468">
        <f t="shared" si="79"/>
        <v>0</v>
      </c>
      <c r="L468">
        <f t="shared" si="80"/>
        <v>0</v>
      </c>
      <c r="M468">
        <f t="shared" si="81"/>
        <v>0</v>
      </c>
      <c r="N468">
        <f t="shared" si="82"/>
        <v>0</v>
      </c>
      <c r="O468">
        <f t="shared" si="83"/>
        <v>0</v>
      </c>
      <c r="P468" t="str">
        <f t="shared" si="84"/>
        <v/>
      </c>
      <c r="Q468" t="str">
        <f>IF(B468="","", IFERROR(VLOOKUP(B468, '基準資産配分（設定）'!$A$2:$C$2001, 3, FALSE), ""))</f>
        <v/>
      </c>
      <c r="R468" t="str">
        <f>IF(B468="","", IFERROR(VLOOKUP(B468, '基準資産配分（設定）'!$A$2:$C$2001, 2, FALSE)/100, 0))</f>
        <v/>
      </c>
      <c r="S468" t="str">
        <f>IF(B468="","", IFERROR(SUMIFS(ベンチマークリターン!$C$2:$C$2001, ベンチマークリターン!$A$2:$A$2001, A468, ベンチマークリターン!$B$2:$B$2001, Q468) / 100, 0))</f>
        <v/>
      </c>
      <c r="T468" t="str">
        <f>IF(A468="","", SUMIFS($H$2:$H$2000, $A$2:$A$2000, A468))</f>
        <v/>
      </c>
      <c r="U468" t="str">
        <f t="shared" si="85"/>
        <v/>
      </c>
      <c r="V468" t="str">
        <f t="shared" si="86"/>
        <v/>
      </c>
      <c r="W468" t="str">
        <f t="shared" si="87"/>
        <v/>
      </c>
    </row>
    <row r="469" spans="1:23" x14ac:dyDescent="0.2">
      <c r="A469" s="4" t="str">
        <f>IF(ポートフォリオ実績!A470="","", ポートフォリオ実績!A470)</f>
        <v/>
      </c>
      <c r="B469" t="str">
        <f>IF(ポートフォリオ実績!B470="","", ポートフォリオ実績!B470)</f>
        <v/>
      </c>
      <c r="C469" s="10" t="str">
        <f>IF(ポートフォリオ実績!C470="","", ポートフォリオ実績!C470)</f>
        <v/>
      </c>
      <c r="D469" s="10" t="str">
        <f>IF(ポートフォリオ実績!D470="","", ポートフォリオ実績!D470)</f>
        <v/>
      </c>
      <c r="E469" s="10" t="str">
        <f>IF(ポートフォリオ実績!E470="","", ポートフォリオ実績!E470)</f>
        <v/>
      </c>
      <c r="F469" s="10" t="str">
        <f>IF(ポートフォリオ実績!F470="","", ポートフォリオ実績!F470)</f>
        <v/>
      </c>
      <c r="G469" t="str">
        <f t="shared" si="77"/>
        <v/>
      </c>
      <c r="H469">
        <f>IF(B469&lt;&gt;"", SUMIFS(ポートフォリオ実績!$D$2:$D$2001, ポートフォリオ実績!$B$2:$B$2001, B469, ポートフォリオ実績!$A$2:$A$2001, G469), 0)</f>
        <v>0</v>
      </c>
      <c r="I469">
        <f>IF(B469&lt;&gt;"", SUMIFS(ポートフォリオ実績!$C$2:$C$2001, ポートフォリオ実績!$B$2:$B$2001, B469, ポートフォリオ実績!$A$2:$A$2001, G469), 0)</f>
        <v>0</v>
      </c>
      <c r="J469">
        <f t="shared" si="78"/>
        <v>0</v>
      </c>
      <c r="K469">
        <f t="shared" si="79"/>
        <v>0</v>
      </c>
      <c r="L469">
        <f t="shared" si="80"/>
        <v>0</v>
      </c>
      <c r="M469">
        <f t="shared" si="81"/>
        <v>0</v>
      </c>
      <c r="N469">
        <f t="shared" si="82"/>
        <v>0</v>
      </c>
      <c r="O469">
        <f t="shared" si="83"/>
        <v>0</v>
      </c>
      <c r="P469" t="str">
        <f t="shared" si="84"/>
        <v/>
      </c>
      <c r="Q469" t="str">
        <f>IF(B469="","", IFERROR(VLOOKUP(B469, '基準資産配分（設定）'!$A$2:$C$2001, 3, FALSE), ""))</f>
        <v/>
      </c>
      <c r="R469" t="str">
        <f>IF(B469="","", IFERROR(VLOOKUP(B469, '基準資産配分（設定）'!$A$2:$C$2001, 2, FALSE)/100, 0))</f>
        <v/>
      </c>
      <c r="S469" t="str">
        <f>IF(B469="","", IFERROR(SUMIFS(ベンチマークリターン!$C$2:$C$2001, ベンチマークリターン!$A$2:$A$2001, A469, ベンチマークリターン!$B$2:$B$2001, Q469) / 100, 0))</f>
        <v/>
      </c>
      <c r="T469" t="str">
        <f>IF(A469="","", SUMIFS($H$2:$H$2000, $A$2:$A$2000, A469))</f>
        <v/>
      </c>
      <c r="U469" t="str">
        <f t="shared" si="85"/>
        <v/>
      </c>
      <c r="V469" t="str">
        <f t="shared" si="86"/>
        <v/>
      </c>
      <c r="W469" t="str">
        <f t="shared" si="87"/>
        <v/>
      </c>
    </row>
    <row r="470" spans="1:23" x14ac:dyDescent="0.2">
      <c r="A470" s="4" t="str">
        <f>IF(ポートフォリオ実績!A471="","", ポートフォリオ実績!A471)</f>
        <v/>
      </c>
      <c r="B470" t="str">
        <f>IF(ポートフォリオ実績!B471="","", ポートフォリオ実績!B471)</f>
        <v/>
      </c>
      <c r="C470" s="10" t="str">
        <f>IF(ポートフォリオ実績!C471="","", ポートフォリオ実績!C471)</f>
        <v/>
      </c>
      <c r="D470" s="10" t="str">
        <f>IF(ポートフォリオ実績!D471="","", ポートフォリオ実績!D471)</f>
        <v/>
      </c>
      <c r="E470" s="10" t="str">
        <f>IF(ポートフォリオ実績!E471="","", ポートフォリオ実績!E471)</f>
        <v/>
      </c>
      <c r="F470" s="10" t="str">
        <f>IF(ポートフォリオ実績!F471="","", ポートフォリオ実績!F471)</f>
        <v/>
      </c>
      <c r="G470" t="str">
        <f t="shared" si="77"/>
        <v/>
      </c>
      <c r="H470">
        <f>IF(B470&lt;&gt;"", SUMIFS(ポートフォリオ実績!$D$2:$D$2001, ポートフォリオ実績!$B$2:$B$2001, B470, ポートフォリオ実績!$A$2:$A$2001, G470), 0)</f>
        <v>0</v>
      </c>
      <c r="I470">
        <f>IF(B470&lt;&gt;"", SUMIFS(ポートフォリオ実績!$C$2:$C$2001, ポートフォリオ実績!$B$2:$B$2001, B470, ポートフォリオ実績!$A$2:$A$2001, G470), 0)</f>
        <v>0</v>
      </c>
      <c r="J470">
        <f t="shared" si="78"/>
        <v>0</v>
      </c>
      <c r="K470">
        <f t="shared" si="79"/>
        <v>0</v>
      </c>
      <c r="L470">
        <f t="shared" si="80"/>
        <v>0</v>
      </c>
      <c r="M470">
        <f t="shared" si="81"/>
        <v>0</v>
      </c>
      <c r="N470">
        <f t="shared" si="82"/>
        <v>0</v>
      </c>
      <c r="O470">
        <f t="shared" si="83"/>
        <v>0</v>
      </c>
      <c r="P470" t="str">
        <f t="shared" si="84"/>
        <v/>
      </c>
      <c r="Q470" t="str">
        <f>IF(B470="","", IFERROR(VLOOKUP(B470, '基準資産配分（設定）'!$A$2:$C$2001, 3, FALSE), ""))</f>
        <v/>
      </c>
      <c r="R470" t="str">
        <f>IF(B470="","", IFERROR(VLOOKUP(B470, '基準資産配分（設定）'!$A$2:$C$2001, 2, FALSE)/100, 0))</f>
        <v/>
      </c>
      <c r="S470" t="str">
        <f>IF(B470="","", IFERROR(SUMIFS(ベンチマークリターン!$C$2:$C$2001, ベンチマークリターン!$A$2:$A$2001, A470, ベンチマークリターン!$B$2:$B$2001, Q470) / 100, 0))</f>
        <v/>
      </c>
      <c r="T470" t="str">
        <f>IF(A470="","", SUMIFS($H$2:$H$2000, $A$2:$A$2000, A470))</f>
        <v/>
      </c>
      <c r="U470" t="str">
        <f t="shared" si="85"/>
        <v/>
      </c>
      <c r="V470" t="str">
        <f t="shared" si="86"/>
        <v/>
      </c>
      <c r="W470" t="str">
        <f t="shared" si="87"/>
        <v/>
      </c>
    </row>
    <row r="471" spans="1:23" x14ac:dyDescent="0.2">
      <c r="A471" s="4" t="str">
        <f>IF(ポートフォリオ実績!A472="","", ポートフォリオ実績!A472)</f>
        <v/>
      </c>
      <c r="B471" t="str">
        <f>IF(ポートフォリオ実績!B472="","", ポートフォリオ実績!B472)</f>
        <v/>
      </c>
      <c r="C471" s="10" t="str">
        <f>IF(ポートフォリオ実績!C472="","", ポートフォリオ実績!C472)</f>
        <v/>
      </c>
      <c r="D471" s="10" t="str">
        <f>IF(ポートフォリオ実績!D472="","", ポートフォリオ実績!D472)</f>
        <v/>
      </c>
      <c r="E471" s="10" t="str">
        <f>IF(ポートフォリオ実績!E472="","", ポートフォリオ実績!E472)</f>
        <v/>
      </c>
      <c r="F471" s="10" t="str">
        <f>IF(ポートフォリオ実績!F472="","", ポートフォリオ実績!F472)</f>
        <v/>
      </c>
      <c r="G471" t="str">
        <f t="shared" si="77"/>
        <v/>
      </c>
      <c r="H471">
        <f>IF(B471&lt;&gt;"", SUMIFS(ポートフォリオ実績!$D$2:$D$2001, ポートフォリオ実績!$B$2:$B$2001, B471, ポートフォリオ実績!$A$2:$A$2001, G471), 0)</f>
        <v>0</v>
      </c>
      <c r="I471">
        <f>IF(B471&lt;&gt;"", SUMIFS(ポートフォリオ実績!$C$2:$C$2001, ポートフォリオ実績!$B$2:$B$2001, B471, ポートフォリオ実績!$A$2:$A$2001, G471), 0)</f>
        <v>0</v>
      </c>
      <c r="J471">
        <f t="shared" si="78"/>
        <v>0</v>
      </c>
      <c r="K471">
        <f t="shared" si="79"/>
        <v>0</v>
      </c>
      <c r="L471">
        <f t="shared" si="80"/>
        <v>0</v>
      </c>
      <c r="M471">
        <f t="shared" si="81"/>
        <v>0</v>
      </c>
      <c r="N471">
        <f t="shared" si="82"/>
        <v>0</v>
      </c>
      <c r="O471">
        <f t="shared" si="83"/>
        <v>0</v>
      </c>
      <c r="P471" t="str">
        <f t="shared" si="84"/>
        <v/>
      </c>
      <c r="Q471" t="str">
        <f>IF(B471="","", IFERROR(VLOOKUP(B471, '基準資産配分（設定）'!$A$2:$C$2001, 3, FALSE), ""))</f>
        <v/>
      </c>
      <c r="R471" t="str">
        <f>IF(B471="","", IFERROR(VLOOKUP(B471, '基準資産配分（設定）'!$A$2:$C$2001, 2, FALSE)/100, 0))</f>
        <v/>
      </c>
      <c r="S471" t="str">
        <f>IF(B471="","", IFERROR(SUMIFS(ベンチマークリターン!$C$2:$C$2001, ベンチマークリターン!$A$2:$A$2001, A471, ベンチマークリターン!$B$2:$B$2001, Q471) / 100, 0))</f>
        <v/>
      </c>
      <c r="T471" t="str">
        <f>IF(A471="","", SUMIFS($H$2:$H$2000, $A$2:$A$2000, A471))</f>
        <v/>
      </c>
      <c r="U471" t="str">
        <f t="shared" si="85"/>
        <v/>
      </c>
      <c r="V471" t="str">
        <f t="shared" si="86"/>
        <v/>
      </c>
      <c r="W471" t="str">
        <f t="shared" si="87"/>
        <v/>
      </c>
    </row>
    <row r="472" spans="1:23" x14ac:dyDescent="0.2">
      <c r="A472" s="4" t="str">
        <f>IF(ポートフォリオ実績!A473="","", ポートフォリオ実績!A473)</f>
        <v/>
      </c>
      <c r="B472" t="str">
        <f>IF(ポートフォリオ実績!B473="","", ポートフォリオ実績!B473)</f>
        <v/>
      </c>
      <c r="C472" s="10" t="str">
        <f>IF(ポートフォリオ実績!C473="","", ポートフォリオ実績!C473)</f>
        <v/>
      </c>
      <c r="D472" s="10" t="str">
        <f>IF(ポートフォリオ実績!D473="","", ポートフォリオ実績!D473)</f>
        <v/>
      </c>
      <c r="E472" s="10" t="str">
        <f>IF(ポートフォリオ実績!E473="","", ポートフォリオ実績!E473)</f>
        <v/>
      </c>
      <c r="F472" s="10" t="str">
        <f>IF(ポートフォリオ実績!F473="","", ポートフォリオ実績!F473)</f>
        <v/>
      </c>
      <c r="G472" t="str">
        <f t="shared" si="77"/>
        <v/>
      </c>
      <c r="H472">
        <f>IF(B472&lt;&gt;"", SUMIFS(ポートフォリオ実績!$D$2:$D$2001, ポートフォリオ実績!$B$2:$B$2001, B472, ポートフォリオ実績!$A$2:$A$2001, G472), 0)</f>
        <v>0</v>
      </c>
      <c r="I472">
        <f>IF(B472&lt;&gt;"", SUMIFS(ポートフォリオ実績!$C$2:$C$2001, ポートフォリオ実績!$B$2:$B$2001, B472, ポートフォリオ実績!$A$2:$A$2001, G472), 0)</f>
        <v>0</v>
      </c>
      <c r="J472">
        <f t="shared" si="78"/>
        <v>0</v>
      </c>
      <c r="K472">
        <f t="shared" si="79"/>
        <v>0</v>
      </c>
      <c r="L472">
        <f t="shared" si="80"/>
        <v>0</v>
      </c>
      <c r="M472">
        <f t="shared" si="81"/>
        <v>0</v>
      </c>
      <c r="N472">
        <f t="shared" si="82"/>
        <v>0</v>
      </c>
      <c r="O472">
        <f t="shared" si="83"/>
        <v>0</v>
      </c>
      <c r="P472" t="str">
        <f t="shared" si="84"/>
        <v/>
      </c>
      <c r="Q472" t="str">
        <f>IF(B472="","", IFERROR(VLOOKUP(B472, '基準資産配分（設定）'!$A$2:$C$2001, 3, FALSE), ""))</f>
        <v/>
      </c>
      <c r="R472" t="str">
        <f>IF(B472="","", IFERROR(VLOOKUP(B472, '基準資産配分（設定）'!$A$2:$C$2001, 2, FALSE)/100, 0))</f>
        <v/>
      </c>
      <c r="S472" t="str">
        <f>IF(B472="","", IFERROR(SUMIFS(ベンチマークリターン!$C$2:$C$2001, ベンチマークリターン!$A$2:$A$2001, A472, ベンチマークリターン!$B$2:$B$2001, Q472) / 100, 0))</f>
        <v/>
      </c>
      <c r="T472" t="str">
        <f>IF(A472="","", SUMIFS($H$2:$H$2000, $A$2:$A$2000, A472))</f>
        <v/>
      </c>
      <c r="U472" t="str">
        <f t="shared" si="85"/>
        <v/>
      </c>
      <c r="V472" t="str">
        <f t="shared" si="86"/>
        <v/>
      </c>
      <c r="W472" t="str">
        <f t="shared" si="87"/>
        <v/>
      </c>
    </row>
    <row r="473" spans="1:23" x14ac:dyDescent="0.2">
      <c r="A473" s="4" t="str">
        <f>IF(ポートフォリオ実績!A474="","", ポートフォリオ実績!A474)</f>
        <v/>
      </c>
      <c r="B473" t="str">
        <f>IF(ポートフォリオ実績!B474="","", ポートフォリオ実績!B474)</f>
        <v/>
      </c>
      <c r="C473" s="10" t="str">
        <f>IF(ポートフォリオ実績!C474="","", ポートフォリオ実績!C474)</f>
        <v/>
      </c>
      <c r="D473" s="10" t="str">
        <f>IF(ポートフォリオ実績!D474="","", ポートフォリオ実績!D474)</f>
        <v/>
      </c>
      <c r="E473" s="10" t="str">
        <f>IF(ポートフォリオ実績!E474="","", ポートフォリオ実績!E474)</f>
        <v/>
      </c>
      <c r="F473" s="10" t="str">
        <f>IF(ポートフォリオ実績!F474="","", ポートフォリオ実績!F474)</f>
        <v/>
      </c>
      <c r="G473" t="str">
        <f t="shared" si="77"/>
        <v/>
      </c>
      <c r="H473">
        <f>IF(B473&lt;&gt;"", SUMIFS(ポートフォリオ実績!$D$2:$D$2001, ポートフォリオ実績!$B$2:$B$2001, B473, ポートフォリオ実績!$A$2:$A$2001, G473), 0)</f>
        <v>0</v>
      </c>
      <c r="I473">
        <f>IF(B473&lt;&gt;"", SUMIFS(ポートフォリオ実績!$C$2:$C$2001, ポートフォリオ実績!$B$2:$B$2001, B473, ポートフォリオ実績!$A$2:$A$2001, G473), 0)</f>
        <v>0</v>
      </c>
      <c r="J473">
        <f t="shared" si="78"/>
        <v>0</v>
      </c>
      <c r="K473">
        <f t="shared" si="79"/>
        <v>0</v>
      </c>
      <c r="L473">
        <f t="shared" si="80"/>
        <v>0</v>
      </c>
      <c r="M473">
        <f t="shared" si="81"/>
        <v>0</v>
      </c>
      <c r="N473">
        <f t="shared" si="82"/>
        <v>0</v>
      </c>
      <c r="O473">
        <f t="shared" si="83"/>
        <v>0</v>
      </c>
      <c r="P473" t="str">
        <f t="shared" si="84"/>
        <v/>
      </c>
      <c r="Q473" t="str">
        <f>IF(B473="","", IFERROR(VLOOKUP(B473, '基準資産配分（設定）'!$A$2:$C$2001, 3, FALSE), ""))</f>
        <v/>
      </c>
      <c r="R473" t="str">
        <f>IF(B473="","", IFERROR(VLOOKUP(B473, '基準資産配分（設定）'!$A$2:$C$2001, 2, FALSE)/100, 0))</f>
        <v/>
      </c>
      <c r="S473" t="str">
        <f>IF(B473="","", IFERROR(SUMIFS(ベンチマークリターン!$C$2:$C$2001, ベンチマークリターン!$A$2:$A$2001, A473, ベンチマークリターン!$B$2:$B$2001, Q473) / 100, 0))</f>
        <v/>
      </c>
      <c r="T473" t="str">
        <f>IF(A473="","", SUMIFS($H$2:$H$2000, $A$2:$A$2000, A473))</f>
        <v/>
      </c>
      <c r="U473" t="str">
        <f t="shared" si="85"/>
        <v/>
      </c>
      <c r="V473" t="str">
        <f t="shared" si="86"/>
        <v/>
      </c>
      <c r="W473" t="str">
        <f t="shared" si="87"/>
        <v/>
      </c>
    </row>
    <row r="474" spans="1:23" x14ac:dyDescent="0.2">
      <c r="A474" s="4" t="str">
        <f>IF(ポートフォリオ実績!A475="","", ポートフォリオ実績!A475)</f>
        <v/>
      </c>
      <c r="B474" t="str">
        <f>IF(ポートフォリオ実績!B475="","", ポートフォリオ実績!B475)</f>
        <v/>
      </c>
      <c r="C474" s="10" t="str">
        <f>IF(ポートフォリオ実績!C475="","", ポートフォリオ実績!C475)</f>
        <v/>
      </c>
      <c r="D474" s="10" t="str">
        <f>IF(ポートフォリオ実績!D475="","", ポートフォリオ実績!D475)</f>
        <v/>
      </c>
      <c r="E474" s="10" t="str">
        <f>IF(ポートフォリオ実績!E475="","", ポートフォリオ実績!E475)</f>
        <v/>
      </c>
      <c r="F474" s="10" t="str">
        <f>IF(ポートフォリオ実績!F475="","", ポートフォリオ実績!F475)</f>
        <v/>
      </c>
      <c r="G474" t="str">
        <f t="shared" si="77"/>
        <v/>
      </c>
      <c r="H474">
        <f>IF(B474&lt;&gt;"", SUMIFS(ポートフォリオ実績!$D$2:$D$2001, ポートフォリオ実績!$B$2:$B$2001, B474, ポートフォリオ実績!$A$2:$A$2001, G474), 0)</f>
        <v>0</v>
      </c>
      <c r="I474">
        <f>IF(B474&lt;&gt;"", SUMIFS(ポートフォリオ実績!$C$2:$C$2001, ポートフォリオ実績!$B$2:$B$2001, B474, ポートフォリオ実績!$A$2:$A$2001, G474), 0)</f>
        <v>0</v>
      </c>
      <c r="J474">
        <f t="shared" si="78"/>
        <v>0</v>
      </c>
      <c r="K474">
        <f t="shared" si="79"/>
        <v>0</v>
      </c>
      <c r="L474">
        <f t="shared" si="80"/>
        <v>0</v>
      </c>
      <c r="M474">
        <f t="shared" si="81"/>
        <v>0</v>
      </c>
      <c r="N474">
        <f t="shared" si="82"/>
        <v>0</v>
      </c>
      <c r="O474">
        <f t="shared" si="83"/>
        <v>0</v>
      </c>
      <c r="P474" t="str">
        <f t="shared" si="84"/>
        <v/>
      </c>
      <c r="Q474" t="str">
        <f>IF(B474="","", IFERROR(VLOOKUP(B474, '基準資産配分（設定）'!$A$2:$C$2001, 3, FALSE), ""))</f>
        <v/>
      </c>
      <c r="R474" t="str">
        <f>IF(B474="","", IFERROR(VLOOKUP(B474, '基準資産配分（設定）'!$A$2:$C$2001, 2, FALSE)/100, 0))</f>
        <v/>
      </c>
      <c r="S474" t="str">
        <f>IF(B474="","", IFERROR(SUMIFS(ベンチマークリターン!$C$2:$C$2001, ベンチマークリターン!$A$2:$A$2001, A474, ベンチマークリターン!$B$2:$B$2001, Q474) / 100, 0))</f>
        <v/>
      </c>
      <c r="T474" t="str">
        <f>IF(A474="","", SUMIFS($H$2:$H$2000, $A$2:$A$2000, A474))</f>
        <v/>
      </c>
      <c r="U474" t="str">
        <f t="shared" si="85"/>
        <v/>
      </c>
      <c r="V474" t="str">
        <f t="shared" si="86"/>
        <v/>
      </c>
      <c r="W474" t="str">
        <f t="shared" si="87"/>
        <v/>
      </c>
    </row>
    <row r="475" spans="1:23" x14ac:dyDescent="0.2">
      <c r="A475" s="4" t="str">
        <f>IF(ポートフォリオ実績!A476="","", ポートフォリオ実績!A476)</f>
        <v/>
      </c>
      <c r="B475" t="str">
        <f>IF(ポートフォリオ実績!B476="","", ポートフォリオ実績!B476)</f>
        <v/>
      </c>
      <c r="C475" s="10" t="str">
        <f>IF(ポートフォリオ実績!C476="","", ポートフォリオ実績!C476)</f>
        <v/>
      </c>
      <c r="D475" s="10" t="str">
        <f>IF(ポートフォリオ実績!D476="","", ポートフォリオ実績!D476)</f>
        <v/>
      </c>
      <c r="E475" s="10" t="str">
        <f>IF(ポートフォリオ実績!E476="","", ポートフォリオ実績!E476)</f>
        <v/>
      </c>
      <c r="F475" s="10" t="str">
        <f>IF(ポートフォリオ実績!F476="","", ポートフォリオ実績!F476)</f>
        <v/>
      </c>
      <c r="G475" t="str">
        <f t="shared" si="77"/>
        <v/>
      </c>
      <c r="H475">
        <f>IF(B475&lt;&gt;"", SUMIFS(ポートフォリオ実績!$D$2:$D$2001, ポートフォリオ実績!$B$2:$B$2001, B475, ポートフォリオ実績!$A$2:$A$2001, G475), 0)</f>
        <v>0</v>
      </c>
      <c r="I475">
        <f>IF(B475&lt;&gt;"", SUMIFS(ポートフォリオ実績!$C$2:$C$2001, ポートフォリオ実績!$B$2:$B$2001, B475, ポートフォリオ実績!$A$2:$A$2001, G475), 0)</f>
        <v>0</v>
      </c>
      <c r="J475">
        <f t="shared" si="78"/>
        <v>0</v>
      </c>
      <c r="K475">
        <f t="shared" si="79"/>
        <v>0</v>
      </c>
      <c r="L475">
        <f t="shared" si="80"/>
        <v>0</v>
      </c>
      <c r="M475">
        <f t="shared" si="81"/>
        <v>0</v>
      </c>
      <c r="N475">
        <f t="shared" si="82"/>
        <v>0</v>
      </c>
      <c r="O475">
        <f t="shared" si="83"/>
        <v>0</v>
      </c>
      <c r="P475" t="str">
        <f t="shared" si="84"/>
        <v/>
      </c>
      <c r="Q475" t="str">
        <f>IF(B475="","", IFERROR(VLOOKUP(B475, '基準資産配分（設定）'!$A$2:$C$2001, 3, FALSE), ""))</f>
        <v/>
      </c>
      <c r="R475" t="str">
        <f>IF(B475="","", IFERROR(VLOOKUP(B475, '基準資産配分（設定）'!$A$2:$C$2001, 2, FALSE)/100, 0))</f>
        <v/>
      </c>
      <c r="S475" t="str">
        <f>IF(B475="","", IFERROR(SUMIFS(ベンチマークリターン!$C$2:$C$2001, ベンチマークリターン!$A$2:$A$2001, A475, ベンチマークリターン!$B$2:$B$2001, Q475) / 100, 0))</f>
        <v/>
      </c>
      <c r="T475" t="str">
        <f>IF(A475="","", SUMIFS($H$2:$H$2000, $A$2:$A$2000, A475))</f>
        <v/>
      </c>
      <c r="U475" t="str">
        <f t="shared" si="85"/>
        <v/>
      </c>
      <c r="V475" t="str">
        <f t="shared" si="86"/>
        <v/>
      </c>
      <c r="W475" t="str">
        <f t="shared" si="87"/>
        <v/>
      </c>
    </row>
    <row r="476" spans="1:23" x14ac:dyDescent="0.2">
      <c r="A476" s="4" t="str">
        <f>IF(ポートフォリオ実績!A477="","", ポートフォリオ実績!A477)</f>
        <v/>
      </c>
      <c r="B476" t="str">
        <f>IF(ポートフォリオ実績!B477="","", ポートフォリオ実績!B477)</f>
        <v/>
      </c>
      <c r="C476" s="10" t="str">
        <f>IF(ポートフォリオ実績!C477="","", ポートフォリオ実績!C477)</f>
        <v/>
      </c>
      <c r="D476" s="10" t="str">
        <f>IF(ポートフォリオ実績!D477="","", ポートフォリオ実績!D477)</f>
        <v/>
      </c>
      <c r="E476" s="10" t="str">
        <f>IF(ポートフォリオ実績!E477="","", ポートフォリオ実績!E477)</f>
        <v/>
      </c>
      <c r="F476" s="10" t="str">
        <f>IF(ポートフォリオ実績!F477="","", ポートフォリオ実績!F477)</f>
        <v/>
      </c>
      <c r="G476" t="str">
        <f t="shared" si="77"/>
        <v/>
      </c>
      <c r="H476">
        <f>IF(B476&lt;&gt;"", SUMIFS(ポートフォリオ実績!$D$2:$D$2001, ポートフォリオ実績!$B$2:$B$2001, B476, ポートフォリオ実績!$A$2:$A$2001, G476), 0)</f>
        <v>0</v>
      </c>
      <c r="I476">
        <f>IF(B476&lt;&gt;"", SUMIFS(ポートフォリオ実績!$C$2:$C$2001, ポートフォリオ実績!$B$2:$B$2001, B476, ポートフォリオ実績!$A$2:$A$2001, G476), 0)</f>
        <v>0</v>
      </c>
      <c r="J476">
        <f t="shared" si="78"/>
        <v>0</v>
      </c>
      <c r="K476">
        <f t="shared" si="79"/>
        <v>0</v>
      </c>
      <c r="L476">
        <f t="shared" si="80"/>
        <v>0</v>
      </c>
      <c r="M476">
        <f t="shared" si="81"/>
        <v>0</v>
      </c>
      <c r="N476">
        <f t="shared" si="82"/>
        <v>0</v>
      </c>
      <c r="O476">
        <f t="shared" si="83"/>
        <v>0</v>
      </c>
      <c r="P476" t="str">
        <f t="shared" si="84"/>
        <v/>
      </c>
      <c r="Q476" t="str">
        <f>IF(B476="","", IFERROR(VLOOKUP(B476, '基準資産配分（設定）'!$A$2:$C$2001, 3, FALSE), ""))</f>
        <v/>
      </c>
      <c r="R476" t="str">
        <f>IF(B476="","", IFERROR(VLOOKUP(B476, '基準資産配分（設定）'!$A$2:$C$2001, 2, FALSE)/100, 0))</f>
        <v/>
      </c>
      <c r="S476" t="str">
        <f>IF(B476="","", IFERROR(SUMIFS(ベンチマークリターン!$C$2:$C$2001, ベンチマークリターン!$A$2:$A$2001, A476, ベンチマークリターン!$B$2:$B$2001, Q476) / 100, 0))</f>
        <v/>
      </c>
      <c r="T476" t="str">
        <f>IF(A476="","", SUMIFS($H$2:$H$2000, $A$2:$A$2000, A476))</f>
        <v/>
      </c>
      <c r="U476" t="str">
        <f t="shared" si="85"/>
        <v/>
      </c>
      <c r="V476" t="str">
        <f t="shared" si="86"/>
        <v/>
      </c>
      <c r="W476" t="str">
        <f t="shared" si="87"/>
        <v/>
      </c>
    </row>
    <row r="477" spans="1:23" x14ac:dyDescent="0.2">
      <c r="A477" s="4" t="str">
        <f>IF(ポートフォリオ実績!A478="","", ポートフォリオ実績!A478)</f>
        <v/>
      </c>
      <c r="B477" t="str">
        <f>IF(ポートフォリオ実績!B478="","", ポートフォリオ実績!B478)</f>
        <v/>
      </c>
      <c r="C477" s="10" t="str">
        <f>IF(ポートフォリオ実績!C478="","", ポートフォリオ実績!C478)</f>
        <v/>
      </c>
      <c r="D477" s="10" t="str">
        <f>IF(ポートフォリオ実績!D478="","", ポートフォリオ実績!D478)</f>
        <v/>
      </c>
      <c r="E477" s="10" t="str">
        <f>IF(ポートフォリオ実績!E478="","", ポートフォリオ実績!E478)</f>
        <v/>
      </c>
      <c r="F477" s="10" t="str">
        <f>IF(ポートフォリオ実績!F478="","", ポートフォリオ実績!F478)</f>
        <v/>
      </c>
      <c r="G477" t="str">
        <f t="shared" si="77"/>
        <v/>
      </c>
      <c r="H477">
        <f>IF(B477&lt;&gt;"", SUMIFS(ポートフォリオ実績!$D$2:$D$2001, ポートフォリオ実績!$B$2:$B$2001, B477, ポートフォリオ実績!$A$2:$A$2001, G477), 0)</f>
        <v>0</v>
      </c>
      <c r="I477">
        <f>IF(B477&lt;&gt;"", SUMIFS(ポートフォリオ実績!$C$2:$C$2001, ポートフォリオ実績!$B$2:$B$2001, B477, ポートフォリオ実績!$A$2:$A$2001, G477), 0)</f>
        <v>0</v>
      </c>
      <c r="J477">
        <f t="shared" si="78"/>
        <v>0</v>
      </c>
      <c r="K477">
        <f t="shared" si="79"/>
        <v>0</v>
      </c>
      <c r="L477">
        <f t="shared" si="80"/>
        <v>0</v>
      </c>
      <c r="M477">
        <f t="shared" si="81"/>
        <v>0</v>
      </c>
      <c r="N477">
        <f t="shared" si="82"/>
        <v>0</v>
      </c>
      <c r="O477">
        <f t="shared" si="83"/>
        <v>0</v>
      </c>
      <c r="P477" t="str">
        <f t="shared" si="84"/>
        <v/>
      </c>
      <c r="Q477" t="str">
        <f>IF(B477="","", IFERROR(VLOOKUP(B477, '基準資産配分（設定）'!$A$2:$C$2001, 3, FALSE), ""))</f>
        <v/>
      </c>
      <c r="R477" t="str">
        <f>IF(B477="","", IFERROR(VLOOKUP(B477, '基準資産配分（設定）'!$A$2:$C$2001, 2, FALSE)/100, 0))</f>
        <v/>
      </c>
      <c r="S477" t="str">
        <f>IF(B477="","", IFERROR(SUMIFS(ベンチマークリターン!$C$2:$C$2001, ベンチマークリターン!$A$2:$A$2001, A477, ベンチマークリターン!$B$2:$B$2001, Q477) / 100, 0))</f>
        <v/>
      </c>
      <c r="T477" t="str">
        <f>IF(A477="","", SUMIFS($H$2:$H$2000, $A$2:$A$2000, A477))</f>
        <v/>
      </c>
      <c r="U477" t="str">
        <f t="shared" si="85"/>
        <v/>
      </c>
      <c r="V477" t="str">
        <f t="shared" si="86"/>
        <v/>
      </c>
      <c r="W477" t="str">
        <f t="shared" si="87"/>
        <v/>
      </c>
    </row>
    <row r="478" spans="1:23" x14ac:dyDescent="0.2">
      <c r="A478" s="4" t="str">
        <f>IF(ポートフォリオ実績!A479="","", ポートフォリオ実績!A479)</f>
        <v/>
      </c>
      <c r="B478" t="str">
        <f>IF(ポートフォリオ実績!B479="","", ポートフォリオ実績!B479)</f>
        <v/>
      </c>
      <c r="C478" s="10" t="str">
        <f>IF(ポートフォリオ実績!C479="","", ポートフォリオ実績!C479)</f>
        <v/>
      </c>
      <c r="D478" s="10" t="str">
        <f>IF(ポートフォリオ実績!D479="","", ポートフォリオ実績!D479)</f>
        <v/>
      </c>
      <c r="E478" s="10" t="str">
        <f>IF(ポートフォリオ実績!E479="","", ポートフォリオ実績!E479)</f>
        <v/>
      </c>
      <c r="F478" s="10" t="str">
        <f>IF(ポートフォリオ実績!F479="","", ポートフォリオ実績!F479)</f>
        <v/>
      </c>
      <c r="G478" t="str">
        <f t="shared" si="77"/>
        <v/>
      </c>
      <c r="H478">
        <f>IF(B478&lt;&gt;"", SUMIFS(ポートフォリオ実績!$D$2:$D$2001, ポートフォリオ実績!$B$2:$B$2001, B478, ポートフォリオ実績!$A$2:$A$2001, G478), 0)</f>
        <v>0</v>
      </c>
      <c r="I478">
        <f>IF(B478&lt;&gt;"", SUMIFS(ポートフォリオ実績!$C$2:$C$2001, ポートフォリオ実績!$B$2:$B$2001, B478, ポートフォリオ実績!$A$2:$A$2001, G478), 0)</f>
        <v>0</v>
      </c>
      <c r="J478">
        <f t="shared" si="78"/>
        <v>0</v>
      </c>
      <c r="K478">
        <f t="shared" si="79"/>
        <v>0</v>
      </c>
      <c r="L478">
        <f t="shared" si="80"/>
        <v>0</v>
      </c>
      <c r="M478">
        <f t="shared" si="81"/>
        <v>0</v>
      </c>
      <c r="N478">
        <f t="shared" si="82"/>
        <v>0</v>
      </c>
      <c r="O478">
        <f t="shared" si="83"/>
        <v>0</v>
      </c>
      <c r="P478" t="str">
        <f t="shared" si="84"/>
        <v/>
      </c>
      <c r="Q478" t="str">
        <f>IF(B478="","", IFERROR(VLOOKUP(B478, '基準資産配分（設定）'!$A$2:$C$2001, 3, FALSE), ""))</f>
        <v/>
      </c>
      <c r="R478" t="str">
        <f>IF(B478="","", IFERROR(VLOOKUP(B478, '基準資産配分（設定）'!$A$2:$C$2001, 2, FALSE)/100, 0))</f>
        <v/>
      </c>
      <c r="S478" t="str">
        <f>IF(B478="","", IFERROR(SUMIFS(ベンチマークリターン!$C$2:$C$2001, ベンチマークリターン!$A$2:$A$2001, A478, ベンチマークリターン!$B$2:$B$2001, Q478) / 100, 0))</f>
        <v/>
      </c>
      <c r="T478" t="str">
        <f>IF(A478="","", SUMIFS($H$2:$H$2000, $A$2:$A$2000, A478))</f>
        <v/>
      </c>
      <c r="U478" t="str">
        <f t="shared" si="85"/>
        <v/>
      </c>
      <c r="V478" t="str">
        <f t="shared" si="86"/>
        <v/>
      </c>
      <c r="W478" t="str">
        <f t="shared" si="87"/>
        <v/>
      </c>
    </row>
    <row r="479" spans="1:23" x14ac:dyDescent="0.2">
      <c r="A479" s="4" t="str">
        <f>IF(ポートフォリオ実績!A480="","", ポートフォリオ実績!A480)</f>
        <v/>
      </c>
      <c r="B479" t="str">
        <f>IF(ポートフォリオ実績!B480="","", ポートフォリオ実績!B480)</f>
        <v/>
      </c>
      <c r="C479" s="10" t="str">
        <f>IF(ポートフォリオ実績!C480="","", ポートフォリオ実績!C480)</f>
        <v/>
      </c>
      <c r="D479" s="10" t="str">
        <f>IF(ポートフォリオ実績!D480="","", ポートフォリオ実績!D480)</f>
        <v/>
      </c>
      <c r="E479" s="10" t="str">
        <f>IF(ポートフォリオ実績!E480="","", ポートフォリオ実績!E480)</f>
        <v/>
      </c>
      <c r="F479" s="10" t="str">
        <f>IF(ポートフォリオ実績!F480="","", ポートフォリオ実績!F480)</f>
        <v/>
      </c>
      <c r="G479" t="str">
        <f t="shared" si="77"/>
        <v/>
      </c>
      <c r="H479">
        <f>IF(B479&lt;&gt;"", SUMIFS(ポートフォリオ実績!$D$2:$D$2001, ポートフォリオ実績!$B$2:$B$2001, B479, ポートフォリオ実績!$A$2:$A$2001, G479), 0)</f>
        <v>0</v>
      </c>
      <c r="I479">
        <f>IF(B479&lt;&gt;"", SUMIFS(ポートフォリオ実績!$C$2:$C$2001, ポートフォリオ実績!$B$2:$B$2001, B479, ポートフォリオ実績!$A$2:$A$2001, G479), 0)</f>
        <v>0</v>
      </c>
      <c r="J479">
        <f t="shared" si="78"/>
        <v>0</v>
      </c>
      <c r="K479">
        <f t="shared" si="79"/>
        <v>0</v>
      </c>
      <c r="L479">
        <f t="shared" si="80"/>
        <v>0</v>
      </c>
      <c r="M479">
        <f t="shared" si="81"/>
        <v>0</v>
      </c>
      <c r="N479">
        <f t="shared" si="82"/>
        <v>0</v>
      </c>
      <c r="O479">
        <f t="shared" si="83"/>
        <v>0</v>
      </c>
      <c r="P479" t="str">
        <f t="shared" si="84"/>
        <v/>
      </c>
      <c r="Q479" t="str">
        <f>IF(B479="","", IFERROR(VLOOKUP(B479, '基準資産配分（設定）'!$A$2:$C$2001, 3, FALSE), ""))</f>
        <v/>
      </c>
      <c r="R479" t="str">
        <f>IF(B479="","", IFERROR(VLOOKUP(B479, '基準資産配分（設定）'!$A$2:$C$2001, 2, FALSE)/100, 0))</f>
        <v/>
      </c>
      <c r="S479" t="str">
        <f>IF(B479="","", IFERROR(SUMIFS(ベンチマークリターン!$C$2:$C$2001, ベンチマークリターン!$A$2:$A$2001, A479, ベンチマークリターン!$B$2:$B$2001, Q479) / 100, 0))</f>
        <v/>
      </c>
      <c r="T479" t="str">
        <f>IF(A479="","", SUMIFS($H$2:$H$2000, $A$2:$A$2000, A479))</f>
        <v/>
      </c>
      <c r="U479" t="str">
        <f t="shared" si="85"/>
        <v/>
      </c>
      <c r="V479" t="str">
        <f t="shared" si="86"/>
        <v/>
      </c>
      <c r="W479" t="str">
        <f t="shared" si="87"/>
        <v/>
      </c>
    </row>
    <row r="480" spans="1:23" x14ac:dyDescent="0.2">
      <c r="A480" s="4" t="str">
        <f>IF(ポートフォリオ実績!A481="","", ポートフォリオ実績!A481)</f>
        <v/>
      </c>
      <c r="B480" t="str">
        <f>IF(ポートフォリオ実績!B481="","", ポートフォリオ実績!B481)</f>
        <v/>
      </c>
      <c r="C480" s="10" t="str">
        <f>IF(ポートフォリオ実績!C481="","", ポートフォリオ実績!C481)</f>
        <v/>
      </c>
      <c r="D480" s="10" t="str">
        <f>IF(ポートフォリオ実績!D481="","", ポートフォリオ実績!D481)</f>
        <v/>
      </c>
      <c r="E480" s="10" t="str">
        <f>IF(ポートフォリオ実績!E481="","", ポートフォリオ実績!E481)</f>
        <v/>
      </c>
      <c r="F480" s="10" t="str">
        <f>IF(ポートフォリオ実績!F481="","", ポートフォリオ実績!F481)</f>
        <v/>
      </c>
      <c r="G480" t="str">
        <f t="shared" si="77"/>
        <v/>
      </c>
      <c r="H480">
        <f>IF(B480&lt;&gt;"", SUMIFS(ポートフォリオ実績!$D$2:$D$2001, ポートフォリオ実績!$B$2:$B$2001, B480, ポートフォリオ実績!$A$2:$A$2001, G480), 0)</f>
        <v>0</v>
      </c>
      <c r="I480">
        <f>IF(B480&lt;&gt;"", SUMIFS(ポートフォリオ実績!$C$2:$C$2001, ポートフォリオ実績!$B$2:$B$2001, B480, ポートフォリオ実績!$A$2:$A$2001, G480), 0)</f>
        <v>0</v>
      </c>
      <c r="J480">
        <f t="shared" si="78"/>
        <v>0</v>
      </c>
      <c r="K480">
        <f t="shared" si="79"/>
        <v>0</v>
      </c>
      <c r="L480">
        <f t="shared" si="80"/>
        <v>0</v>
      </c>
      <c r="M480">
        <f t="shared" si="81"/>
        <v>0</v>
      </c>
      <c r="N480">
        <f t="shared" si="82"/>
        <v>0</v>
      </c>
      <c r="O480">
        <f t="shared" si="83"/>
        <v>0</v>
      </c>
      <c r="P480" t="str">
        <f t="shared" si="84"/>
        <v/>
      </c>
      <c r="Q480" t="str">
        <f>IF(B480="","", IFERROR(VLOOKUP(B480, '基準資産配分（設定）'!$A$2:$C$2001, 3, FALSE), ""))</f>
        <v/>
      </c>
      <c r="R480" t="str">
        <f>IF(B480="","", IFERROR(VLOOKUP(B480, '基準資産配分（設定）'!$A$2:$C$2001, 2, FALSE)/100, 0))</f>
        <v/>
      </c>
      <c r="S480" t="str">
        <f>IF(B480="","", IFERROR(SUMIFS(ベンチマークリターン!$C$2:$C$2001, ベンチマークリターン!$A$2:$A$2001, A480, ベンチマークリターン!$B$2:$B$2001, Q480) / 100, 0))</f>
        <v/>
      </c>
      <c r="T480" t="str">
        <f>IF(A480="","", SUMIFS($H$2:$H$2000, $A$2:$A$2000, A480))</f>
        <v/>
      </c>
      <c r="U480" t="str">
        <f t="shared" si="85"/>
        <v/>
      </c>
      <c r="V480" t="str">
        <f t="shared" si="86"/>
        <v/>
      </c>
      <c r="W480" t="str">
        <f t="shared" si="87"/>
        <v/>
      </c>
    </row>
    <row r="481" spans="1:23" x14ac:dyDescent="0.2">
      <c r="A481" s="4" t="str">
        <f>IF(ポートフォリオ実績!A482="","", ポートフォリオ実績!A482)</f>
        <v/>
      </c>
      <c r="B481" t="str">
        <f>IF(ポートフォリオ実績!B482="","", ポートフォリオ実績!B482)</f>
        <v/>
      </c>
      <c r="C481" s="10" t="str">
        <f>IF(ポートフォリオ実績!C482="","", ポートフォリオ実績!C482)</f>
        <v/>
      </c>
      <c r="D481" s="10" t="str">
        <f>IF(ポートフォリオ実績!D482="","", ポートフォリオ実績!D482)</f>
        <v/>
      </c>
      <c r="E481" s="10" t="str">
        <f>IF(ポートフォリオ実績!E482="","", ポートフォリオ実績!E482)</f>
        <v/>
      </c>
      <c r="F481" s="10" t="str">
        <f>IF(ポートフォリオ実績!F482="","", ポートフォリオ実績!F482)</f>
        <v/>
      </c>
      <c r="G481" t="str">
        <f t="shared" si="77"/>
        <v/>
      </c>
      <c r="H481">
        <f>IF(B481&lt;&gt;"", SUMIFS(ポートフォリオ実績!$D$2:$D$2001, ポートフォリオ実績!$B$2:$B$2001, B481, ポートフォリオ実績!$A$2:$A$2001, G481), 0)</f>
        <v>0</v>
      </c>
      <c r="I481">
        <f>IF(B481&lt;&gt;"", SUMIFS(ポートフォリオ実績!$C$2:$C$2001, ポートフォリオ実績!$B$2:$B$2001, B481, ポートフォリオ実績!$A$2:$A$2001, G481), 0)</f>
        <v>0</v>
      </c>
      <c r="J481">
        <f t="shared" si="78"/>
        <v>0</v>
      </c>
      <c r="K481">
        <f t="shared" si="79"/>
        <v>0</v>
      </c>
      <c r="L481">
        <f t="shared" si="80"/>
        <v>0</v>
      </c>
      <c r="M481">
        <f t="shared" si="81"/>
        <v>0</v>
      </c>
      <c r="N481">
        <f t="shared" si="82"/>
        <v>0</v>
      </c>
      <c r="O481">
        <f t="shared" si="83"/>
        <v>0</v>
      </c>
      <c r="P481" t="str">
        <f t="shared" si="84"/>
        <v/>
      </c>
      <c r="Q481" t="str">
        <f>IF(B481="","", IFERROR(VLOOKUP(B481, '基準資産配分（設定）'!$A$2:$C$2001, 3, FALSE), ""))</f>
        <v/>
      </c>
      <c r="R481" t="str">
        <f>IF(B481="","", IFERROR(VLOOKUP(B481, '基準資産配分（設定）'!$A$2:$C$2001, 2, FALSE)/100, 0))</f>
        <v/>
      </c>
      <c r="S481" t="str">
        <f>IF(B481="","", IFERROR(SUMIFS(ベンチマークリターン!$C$2:$C$2001, ベンチマークリターン!$A$2:$A$2001, A481, ベンチマークリターン!$B$2:$B$2001, Q481) / 100, 0))</f>
        <v/>
      </c>
      <c r="T481" t="str">
        <f>IF(A481="","", SUMIFS($H$2:$H$2000, $A$2:$A$2000, A481))</f>
        <v/>
      </c>
      <c r="U481" t="str">
        <f t="shared" si="85"/>
        <v/>
      </c>
      <c r="V481" t="str">
        <f t="shared" si="86"/>
        <v/>
      </c>
      <c r="W481" t="str">
        <f t="shared" si="87"/>
        <v/>
      </c>
    </row>
    <row r="482" spans="1:23" x14ac:dyDescent="0.2">
      <c r="A482" s="4" t="str">
        <f>IF(ポートフォリオ実績!A483="","", ポートフォリオ実績!A483)</f>
        <v/>
      </c>
      <c r="B482" t="str">
        <f>IF(ポートフォリオ実績!B483="","", ポートフォリオ実績!B483)</f>
        <v/>
      </c>
      <c r="C482" s="10" t="str">
        <f>IF(ポートフォリオ実績!C483="","", ポートフォリオ実績!C483)</f>
        <v/>
      </c>
      <c r="D482" s="10" t="str">
        <f>IF(ポートフォリオ実績!D483="","", ポートフォリオ実績!D483)</f>
        <v/>
      </c>
      <c r="E482" s="10" t="str">
        <f>IF(ポートフォリオ実績!E483="","", ポートフォリオ実績!E483)</f>
        <v/>
      </c>
      <c r="F482" s="10" t="str">
        <f>IF(ポートフォリオ実績!F483="","", ポートフォリオ実績!F483)</f>
        <v/>
      </c>
      <c r="G482" t="str">
        <f t="shared" si="77"/>
        <v/>
      </c>
      <c r="H482">
        <f>IF(B482&lt;&gt;"", SUMIFS(ポートフォリオ実績!$D$2:$D$2001, ポートフォリオ実績!$B$2:$B$2001, B482, ポートフォリオ実績!$A$2:$A$2001, G482), 0)</f>
        <v>0</v>
      </c>
      <c r="I482">
        <f>IF(B482&lt;&gt;"", SUMIFS(ポートフォリオ実績!$C$2:$C$2001, ポートフォリオ実績!$B$2:$B$2001, B482, ポートフォリオ実績!$A$2:$A$2001, G482), 0)</f>
        <v>0</v>
      </c>
      <c r="J482">
        <f t="shared" si="78"/>
        <v>0</v>
      </c>
      <c r="K482">
        <f t="shared" si="79"/>
        <v>0</v>
      </c>
      <c r="L482">
        <f t="shared" si="80"/>
        <v>0</v>
      </c>
      <c r="M482">
        <f t="shared" si="81"/>
        <v>0</v>
      </c>
      <c r="N482">
        <f t="shared" si="82"/>
        <v>0</v>
      </c>
      <c r="O482">
        <f t="shared" si="83"/>
        <v>0</v>
      </c>
      <c r="P482" t="str">
        <f t="shared" si="84"/>
        <v/>
      </c>
      <c r="Q482" t="str">
        <f>IF(B482="","", IFERROR(VLOOKUP(B482, '基準資産配分（設定）'!$A$2:$C$2001, 3, FALSE), ""))</f>
        <v/>
      </c>
      <c r="R482" t="str">
        <f>IF(B482="","", IFERROR(VLOOKUP(B482, '基準資産配分（設定）'!$A$2:$C$2001, 2, FALSE)/100, 0))</f>
        <v/>
      </c>
      <c r="S482" t="str">
        <f>IF(B482="","", IFERROR(SUMIFS(ベンチマークリターン!$C$2:$C$2001, ベンチマークリターン!$A$2:$A$2001, A482, ベンチマークリターン!$B$2:$B$2001, Q482) / 100, 0))</f>
        <v/>
      </c>
      <c r="T482" t="str">
        <f>IF(A482="","", SUMIFS($H$2:$H$2000, $A$2:$A$2000, A482))</f>
        <v/>
      </c>
      <c r="U482" t="str">
        <f t="shared" si="85"/>
        <v/>
      </c>
      <c r="V482" t="str">
        <f t="shared" si="86"/>
        <v/>
      </c>
      <c r="W482" t="str">
        <f t="shared" si="87"/>
        <v/>
      </c>
    </row>
    <row r="483" spans="1:23" x14ac:dyDescent="0.2">
      <c r="A483" s="4" t="str">
        <f>IF(ポートフォリオ実績!A484="","", ポートフォリオ実績!A484)</f>
        <v/>
      </c>
      <c r="B483" t="str">
        <f>IF(ポートフォリオ実績!B484="","", ポートフォリオ実績!B484)</f>
        <v/>
      </c>
      <c r="C483" s="10" t="str">
        <f>IF(ポートフォリオ実績!C484="","", ポートフォリオ実績!C484)</f>
        <v/>
      </c>
      <c r="D483" s="10" t="str">
        <f>IF(ポートフォリオ実績!D484="","", ポートフォリオ実績!D484)</f>
        <v/>
      </c>
      <c r="E483" s="10" t="str">
        <f>IF(ポートフォリオ実績!E484="","", ポートフォリオ実績!E484)</f>
        <v/>
      </c>
      <c r="F483" s="10" t="str">
        <f>IF(ポートフォリオ実績!F484="","", ポートフォリオ実績!F484)</f>
        <v/>
      </c>
      <c r="G483" t="str">
        <f t="shared" si="77"/>
        <v/>
      </c>
      <c r="H483">
        <f>IF(B483&lt;&gt;"", SUMIFS(ポートフォリオ実績!$D$2:$D$2001, ポートフォリオ実績!$B$2:$B$2001, B483, ポートフォリオ実績!$A$2:$A$2001, G483), 0)</f>
        <v>0</v>
      </c>
      <c r="I483">
        <f>IF(B483&lt;&gt;"", SUMIFS(ポートフォリオ実績!$C$2:$C$2001, ポートフォリオ実績!$B$2:$B$2001, B483, ポートフォリオ実績!$A$2:$A$2001, G483), 0)</f>
        <v>0</v>
      </c>
      <c r="J483">
        <f t="shared" si="78"/>
        <v>0</v>
      </c>
      <c r="K483">
        <f t="shared" si="79"/>
        <v>0</v>
      </c>
      <c r="L483">
        <f t="shared" si="80"/>
        <v>0</v>
      </c>
      <c r="M483">
        <f t="shared" si="81"/>
        <v>0</v>
      </c>
      <c r="N483">
        <f t="shared" si="82"/>
        <v>0</v>
      </c>
      <c r="O483">
        <f t="shared" si="83"/>
        <v>0</v>
      </c>
      <c r="P483" t="str">
        <f t="shared" si="84"/>
        <v/>
      </c>
      <c r="Q483" t="str">
        <f>IF(B483="","", IFERROR(VLOOKUP(B483, '基準資産配分（設定）'!$A$2:$C$2001, 3, FALSE), ""))</f>
        <v/>
      </c>
      <c r="R483" t="str">
        <f>IF(B483="","", IFERROR(VLOOKUP(B483, '基準資産配分（設定）'!$A$2:$C$2001, 2, FALSE)/100, 0))</f>
        <v/>
      </c>
      <c r="S483" t="str">
        <f>IF(B483="","", IFERROR(SUMIFS(ベンチマークリターン!$C$2:$C$2001, ベンチマークリターン!$A$2:$A$2001, A483, ベンチマークリターン!$B$2:$B$2001, Q483) / 100, 0))</f>
        <v/>
      </c>
      <c r="T483" t="str">
        <f>IF(A483="","", SUMIFS($H$2:$H$2000, $A$2:$A$2000, A483))</f>
        <v/>
      </c>
      <c r="U483" t="str">
        <f t="shared" si="85"/>
        <v/>
      </c>
      <c r="V483" t="str">
        <f t="shared" si="86"/>
        <v/>
      </c>
      <c r="W483" t="str">
        <f t="shared" si="87"/>
        <v/>
      </c>
    </row>
    <row r="484" spans="1:23" x14ac:dyDescent="0.2">
      <c r="A484" s="4" t="str">
        <f>IF(ポートフォリオ実績!A485="","", ポートフォリオ実績!A485)</f>
        <v/>
      </c>
      <c r="B484" t="str">
        <f>IF(ポートフォリオ実績!B485="","", ポートフォリオ実績!B485)</f>
        <v/>
      </c>
      <c r="C484" s="10" t="str">
        <f>IF(ポートフォリオ実績!C485="","", ポートフォリオ実績!C485)</f>
        <v/>
      </c>
      <c r="D484" s="10" t="str">
        <f>IF(ポートフォリオ実績!D485="","", ポートフォリオ実績!D485)</f>
        <v/>
      </c>
      <c r="E484" s="10" t="str">
        <f>IF(ポートフォリオ実績!E485="","", ポートフォリオ実績!E485)</f>
        <v/>
      </c>
      <c r="F484" s="10" t="str">
        <f>IF(ポートフォリオ実績!F485="","", ポートフォリオ実績!F485)</f>
        <v/>
      </c>
      <c r="G484" t="str">
        <f t="shared" si="77"/>
        <v/>
      </c>
      <c r="H484">
        <f>IF(B484&lt;&gt;"", SUMIFS(ポートフォリオ実績!$D$2:$D$2001, ポートフォリオ実績!$B$2:$B$2001, B484, ポートフォリオ実績!$A$2:$A$2001, G484), 0)</f>
        <v>0</v>
      </c>
      <c r="I484">
        <f>IF(B484&lt;&gt;"", SUMIFS(ポートフォリオ実績!$C$2:$C$2001, ポートフォリオ実績!$B$2:$B$2001, B484, ポートフォリオ実績!$A$2:$A$2001, G484), 0)</f>
        <v>0</v>
      </c>
      <c r="J484">
        <f t="shared" si="78"/>
        <v>0</v>
      </c>
      <c r="K484">
        <f t="shared" si="79"/>
        <v>0</v>
      </c>
      <c r="L484">
        <f t="shared" si="80"/>
        <v>0</v>
      </c>
      <c r="M484">
        <f t="shared" si="81"/>
        <v>0</v>
      </c>
      <c r="N484">
        <f t="shared" si="82"/>
        <v>0</v>
      </c>
      <c r="O484">
        <f t="shared" si="83"/>
        <v>0</v>
      </c>
      <c r="P484" t="str">
        <f t="shared" si="84"/>
        <v/>
      </c>
      <c r="Q484" t="str">
        <f>IF(B484="","", IFERROR(VLOOKUP(B484, '基準資産配分（設定）'!$A$2:$C$2001, 3, FALSE), ""))</f>
        <v/>
      </c>
      <c r="R484" t="str">
        <f>IF(B484="","", IFERROR(VLOOKUP(B484, '基準資産配分（設定）'!$A$2:$C$2001, 2, FALSE)/100, 0))</f>
        <v/>
      </c>
      <c r="S484" t="str">
        <f>IF(B484="","", IFERROR(SUMIFS(ベンチマークリターン!$C$2:$C$2001, ベンチマークリターン!$A$2:$A$2001, A484, ベンチマークリターン!$B$2:$B$2001, Q484) / 100, 0))</f>
        <v/>
      </c>
      <c r="T484" t="str">
        <f>IF(A484="","", SUMIFS($H$2:$H$2000, $A$2:$A$2000, A484))</f>
        <v/>
      </c>
      <c r="U484" t="str">
        <f t="shared" si="85"/>
        <v/>
      </c>
      <c r="V484" t="str">
        <f t="shared" si="86"/>
        <v/>
      </c>
      <c r="W484" t="str">
        <f t="shared" si="87"/>
        <v/>
      </c>
    </row>
    <row r="485" spans="1:23" x14ac:dyDescent="0.2">
      <c r="A485" s="4" t="str">
        <f>IF(ポートフォリオ実績!A486="","", ポートフォリオ実績!A486)</f>
        <v/>
      </c>
      <c r="B485" t="str">
        <f>IF(ポートフォリオ実績!B486="","", ポートフォリオ実績!B486)</f>
        <v/>
      </c>
      <c r="C485" s="10" t="str">
        <f>IF(ポートフォリオ実績!C486="","", ポートフォリオ実績!C486)</f>
        <v/>
      </c>
      <c r="D485" s="10" t="str">
        <f>IF(ポートフォリオ実績!D486="","", ポートフォリオ実績!D486)</f>
        <v/>
      </c>
      <c r="E485" s="10" t="str">
        <f>IF(ポートフォリオ実績!E486="","", ポートフォリオ実績!E486)</f>
        <v/>
      </c>
      <c r="F485" s="10" t="str">
        <f>IF(ポートフォリオ実績!F486="","", ポートフォリオ実績!F486)</f>
        <v/>
      </c>
      <c r="G485" t="str">
        <f t="shared" si="77"/>
        <v/>
      </c>
      <c r="H485">
        <f>IF(B485&lt;&gt;"", SUMIFS(ポートフォリオ実績!$D$2:$D$2001, ポートフォリオ実績!$B$2:$B$2001, B485, ポートフォリオ実績!$A$2:$A$2001, G485), 0)</f>
        <v>0</v>
      </c>
      <c r="I485">
        <f>IF(B485&lt;&gt;"", SUMIFS(ポートフォリオ実績!$C$2:$C$2001, ポートフォリオ実績!$B$2:$B$2001, B485, ポートフォリオ実績!$A$2:$A$2001, G485), 0)</f>
        <v>0</v>
      </c>
      <c r="J485">
        <f t="shared" si="78"/>
        <v>0</v>
      </c>
      <c r="K485">
        <f t="shared" si="79"/>
        <v>0</v>
      </c>
      <c r="L485">
        <f t="shared" si="80"/>
        <v>0</v>
      </c>
      <c r="M485">
        <f t="shared" si="81"/>
        <v>0</v>
      </c>
      <c r="N485">
        <f t="shared" si="82"/>
        <v>0</v>
      </c>
      <c r="O485">
        <f t="shared" si="83"/>
        <v>0</v>
      </c>
      <c r="P485" t="str">
        <f t="shared" si="84"/>
        <v/>
      </c>
      <c r="Q485" t="str">
        <f>IF(B485="","", IFERROR(VLOOKUP(B485, '基準資産配分（設定）'!$A$2:$C$2001, 3, FALSE), ""))</f>
        <v/>
      </c>
      <c r="R485" t="str">
        <f>IF(B485="","", IFERROR(VLOOKUP(B485, '基準資産配分（設定）'!$A$2:$C$2001, 2, FALSE)/100, 0))</f>
        <v/>
      </c>
      <c r="S485" t="str">
        <f>IF(B485="","", IFERROR(SUMIFS(ベンチマークリターン!$C$2:$C$2001, ベンチマークリターン!$A$2:$A$2001, A485, ベンチマークリターン!$B$2:$B$2001, Q485) / 100, 0))</f>
        <v/>
      </c>
      <c r="T485" t="str">
        <f>IF(A485="","", SUMIFS($H$2:$H$2000, $A$2:$A$2000, A485))</f>
        <v/>
      </c>
      <c r="U485" t="str">
        <f t="shared" si="85"/>
        <v/>
      </c>
      <c r="V485" t="str">
        <f t="shared" si="86"/>
        <v/>
      </c>
      <c r="W485" t="str">
        <f t="shared" si="87"/>
        <v/>
      </c>
    </row>
    <row r="486" spans="1:23" x14ac:dyDescent="0.2">
      <c r="A486" s="4" t="str">
        <f>IF(ポートフォリオ実績!A487="","", ポートフォリオ実績!A487)</f>
        <v/>
      </c>
      <c r="B486" t="str">
        <f>IF(ポートフォリオ実績!B487="","", ポートフォリオ実績!B487)</f>
        <v/>
      </c>
      <c r="C486" s="10" t="str">
        <f>IF(ポートフォリオ実績!C487="","", ポートフォリオ実績!C487)</f>
        <v/>
      </c>
      <c r="D486" s="10" t="str">
        <f>IF(ポートフォリオ実績!D487="","", ポートフォリオ実績!D487)</f>
        <v/>
      </c>
      <c r="E486" s="10" t="str">
        <f>IF(ポートフォリオ実績!E487="","", ポートフォリオ実績!E487)</f>
        <v/>
      </c>
      <c r="F486" s="10" t="str">
        <f>IF(ポートフォリオ実績!F487="","", ポートフォリオ実績!F487)</f>
        <v/>
      </c>
      <c r="G486" t="str">
        <f t="shared" si="77"/>
        <v/>
      </c>
      <c r="H486">
        <f>IF(B486&lt;&gt;"", SUMIFS(ポートフォリオ実績!$D$2:$D$2001, ポートフォリオ実績!$B$2:$B$2001, B486, ポートフォリオ実績!$A$2:$A$2001, G486), 0)</f>
        <v>0</v>
      </c>
      <c r="I486">
        <f>IF(B486&lt;&gt;"", SUMIFS(ポートフォリオ実績!$C$2:$C$2001, ポートフォリオ実績!$B$2:$B$2001, B486, ポートフォリオ実績!$A$2:$A$2001, G486), 0)</f>
        <v>0</v>
      </c>
      <c r="J486">
        <f t="shared" si="78"/>
        <v>0</v>
      </c>
      <c r="K486">
        <f t="shared" si="79"/>
        <v>0</v>
      </c>
      <c r="L486">
        <f t="shared" si="80"/>
        <v>0</v>
      </c>
      <c r="M486">
        <f t="shared" si="81"/>
        <v>0</v>
      </c>
      <c r="N486">
        <f t="shared" si="82"/>
        <v>0</v>
      </c>
      <c r="O486">
        <f t="shared" si="83"/>
        <v>0</v>
      </c>
      <c r="P486" t="str">
        <f t="shared" si="84"/>
        <v/>
      </c>
      <c r="Q486" t="str">
        <f>IF(B486="","", IFERROR(VLOOKUP(B486, '基準資産配分（設定）'!$A$2:$C$2001, 3, FALSE), ""))</f>
        <v/>
      </c>
      <c r="R486" t="str">
        <f>IF(B486="","", IFERROR(VLOOKUP(B486, '基準資産配分（設定）'!$A$2:$C$2001, 2, FALSE)/100, 0))</f>
        <v/>
      </c>
      <c r="S486" t="str">
        <f>IF(B486="","", IFERROR(SUMIFS(ベンチマークリターン!$C$2:$C$2001, ベンチマークリターン!$A$2:$A$2001, A486, ベンチマークリターン!$B$2:$B$2001, Q486) / 100, 0))</f>
        <v/>
      </c>
      <c r="T486" t="str">
        <f>IF(A486="","", SUMIFS($H$2:$H$2000, $A$2:$A$2000, A486))</f>
        <v/>
      </c>
      <c r="U486" t="str">
        <f t="shared" si="85"/>
        <v/>
      </c>
      <c r="V486" t="str">
        <f t="shared" si="86"/>
        <v/>
      </c>
      <c r="W486" t="str">
        <f t="shared" si="87"/>
        <v/>
      </c>
    </row>
    <row r="487" spans="1:23" x14ac:dyDescent="0.2">
      <c r="A487" s="4" t="str">
        <f>IF(ポートフォリオ実績!A488="","", ポートフォリオ実績!A488)</f>
        <v/>
      </c>
      <c r="B487" t="str">
        <f>IF(ポートフォリオ実績!B488="","", ポートフォリオ実績!B488)</f>
        <v/>
      </c>
      <c r="C487" s="10" t="str">
        <f>IF(ポートフォリオ実績!C488="","", ポートフォリオ実績!C488)</f>
        <v/>
      </c>
      <c r="D487" s="10" t="str">
        <f>IF(ポートフォリオ実績!D488="","", ポートフォリオ実績!D488)</f>
        <v/>
      </c>
      <c r="E487" s="10" t="str">
        <f>IF(ポートフォリオ実績!E488="","", ポートフォリオ実績!E488)</f>
        <v/>
      </c>
      <c r="F487" s="10" t="str">
        <f>IF(ポートフォリオ実績!F488="","", ポートフォリオ実績!F488)</f>
        <v/>
      </c>
      <c r="G487" t="str">
        <f t="shared" si="77"/>
        <v/>
      </c>
      <c r="H487">
        <f>IF(B487&lt;&gt;"", SUMIFS(ポートフォリオ実績!$D$2:$D$2001, ポートフォリオ実績!$B$2:$B$2001, B487, ポートフォリオ実績!$A$2:$A$2001, G487), 0)</f>
        <v>0</v>
      </c>
      <c r="I487">
        <f>IF(B487&lt;&gt;"", SUMIFS(ポートフォリオ実績!$C$2:$C$2001, ポートフォリオ実績!$B$2:$B$2001, B487, ポートフォリオ実績!$A$2:$A$2001, G487), 0)</f>
        <v>0</v>
      </c>
      <c r="J487">
        <f t="shared" si="78"/>
        <v>0</v>
      </c>
      <c r="K487">
        <f t="shared" si="79"/>
        <v>0</v>
      </c>
      <c r="L487">
        <f t="shared" si="80"/>
        <v>0</v>
      </c>
      <c r="M487">
        <f t="shared" si="81"/>
        <v>0</v>
      </c>
      <c r="N487">
        <f t="shared" si="82"/>
        <v>0</v>
      </c>
      <c r="O487">
        <f t="shared" si="83"/>
        <v>0</v>
      </c>
      <c r="P487" t="str">
        <f t="shared" si="84"/>
        <v/>
      </c>
      <c r="Q487" t="str">
        <f>IF(B487="","", IFERROR(VLOOKUP(B487, '基準資産配分（設定）'!$A$2:$C$2001, 3, FALSE), ""))</f>
        <v/>
      </c>
      <c r="R487" t="str">
        <f>IF(B487="","", IFERROR(VLOOKUP(B487, '基準資産配分（設定）'!$A$2:$C$2001, 2, FALSE)/100, 0))</f>
        <v/>
      </c>
      <c r="S487" t="str">
        <f>IF(B487="","", IFERROR(SUMIFS(ベンチマークリターン!$C$2:$C$2001, ベンチマークリターン!$A$2:$A$2001, A487, ベンチマークリターン!$B$2:$B$2001, Q487) / 100, 0))</f>
        <v/>
      </c>
      <c r="T487" t="str">
        <f>IF(A487="","", SUMIFS($H$2:$H$2000, $A$2:$A$2000, A487))</f>
        <v/>
      </c>
      <c r="U487" t="str">
        <f t="shared" si="85"/>
        <v/>
      </c>
      <c r="V487" t="str">
        <f t="shared" si="86"/>
        <v/>
      </c>
      <c r="W487" t="str">
        <f t="shared" si="87"/>
        <v/>
      </c>
    </row>
    <row r="488" spans="1:23" x14ac:dyDescent="0.2">
      <c r="A488" s="4" t="str">
        <f>IF(ポートフォリオ実績!A489="","", ポートフォリオ実績!A489)</f>
        <v/>
      </c>
      <c r="B488" t="str">
        <f>IF(ポートフォリオ実績!B489="","", ポートフォリオ実績!B489)</f>
        <v/>
      </c>
      <c r="C488" s="10" t="str">
        <f>IF(ポートフォリオ実績!C489="","", ポートフォリオ実績!C489)</f>
        <v/>
      </c>
      <c r="D488" s="10" t="str">
        <f>IF(ポートフォリオ実績!D489="","", ポートフォリオ実績!D489)</f>
        <v/>
      </c>
      <c r="E488" s="10" t="str">
        <f>IF(ポートフォリオ実績!E489="","", ポートフォリオ実績!E489)</f>
        <v/>
      </c>
      <c r="F488" s="10" t="str">
        <f>IF(ポートフォリオ実績!F489="","", ポートフォリオ実績!F489)</f>
        <v/>
      </c>
      <c r="G488" t="str">
        <f t="shared" si="77"/>
        <v/>
      </c>
      <c r="H488">
        <f>IF(B488&lt;&gt;"", SUMIFS(ポートフォリオ実績!$D$2:$D$2001, ポートフォリオ実績!$B$2:$B$2001, B488, ポートフォリオ実績!$A$2:$A$2001, G488), 0)</f>
        <v>0</v>
      </c>
      <c r="I488">
        <f>IF(B488&lt;&gt;"", SUMIFS(ポートフォリオ実績!$C$2:$C$2001, ポートフォリオ実績!$B$2:$B$2001, B488, ポートフォリオ実績!$A$2:$A$2001, G488), 0)</f>
        <v>0</v>
      </c>
      <c r="J488">
        <f t="shared" si="78"/>
        <v>0</v>
      </c>
      <c r="K488">
        <f t="shared" si="79"/>
        <v>0</v>
      </c>
      <c r="L488">
        <f t="shared" si="80"/>
        <v>0</v>
      </c>
      <c r="M488">
        <f t="shared" si="81"/>
        <v>0</v>
      </c>
      <c r="N488">
        <f t="shared" si="82"/>
        <v>0</v>
      </c>
      <c r="O488">
        <f t="shared" si="83"/>
        <v>0</v>
      </c>
      <c r="P488" t="str">
        <f t="shared" si="84"/>
        <v/>
      </c>
      <c r="Q488" t="str">
        <f>IF(B488="","", IFERROR(VLOOKUP(B488, '基準資産配分（設定）'!$A$2:$C$2001, 3, FALSE), ""))</f>
        <v/>
      </c>
      <c r="R488" t="str">
        <f>IF(B488="","", IFERROR(VLOOKUP(B488, '基準資産配分（設定）'!$A$2:$C$2001, 2, FALSE)/100, 0))</f>
        <v/>
      </c>
      <c r="S488" t="str">
        <f>IF(B488="","", IFERROR(SUMIFS(ベンチマークリターン!$C$2:$C$2001, ベンチマークリターン!$A$2:$A$2001, A488, ベンチマークリターン!$B$2:$B$2001, Q488) / 100, 0))</f>
        <v/>
      </c>
      <c r="T488" t="str">
        <f>IF(A488="","", SUMIFS($H$2:$H$2000, $A$2:$A$2000, A488))</f>
        <v/>
      </c>
      <c r="U488" t="str">
        <f t="shared" si="85"/>
        <v/>
      </c>
      <c r="V488" t="str">
        <f t="shared" si="86"/>
        <v/>
      </c>
      <c r="W488" t="str">
        <f t="shared" si="87"/>
        <v/>
      </c>
    </row>
    <row r="489" spans="1:23" x14ac:dyDescent="0.2">
      <c r="A489" s="4" t="str">
        <f>IF(ポートフォリオ実績!A490="","", ポートフォリオ実績!A490)</f>
        <v/>
      </c>
      <c r="B489" t="str">
        <f>IF(ポートフォリオ実績!B490="","", ポートフォリオ実績!B490)</f>
        <v/>
      </c>
      <c r="C489" s="10" t="str">
        <f>IF(ポートフォリオ実績!C490="","", ポートフォリオ実績!C490)</f>
        <v/>
      </c>
      <c r="D489" s="10" t="str">
        <f>IF(ポートフォリオ実績!D490="","", ポートフォリオ実績!D490)</f>
        <v/>
      </c>
      <c r="E489" s="10" t="str">
        <f>IF(ポートフォリオ実績!E490="","", ポートフォリオ実績!E490)</f>
        <v/>
      </c>
      <c r="F489" s="10" t="str">
        <f>IF(ポートフォリオ実績!F490="","", ポートフォリオ実績!F490)</f>
        <v/>
      </c>
      <c r="G489" t="str">
        <f t="shared" si="77"/>
        <v/>
      </c>
      <c r="H489">
        <f>IF(B489&lt;&gt;"", SUMIFS(ポートフォリオ実績!$D$2:$D$2001, ポートフォリオ実績!$B$2:$B$2001, B489, ポートフォリオ実績!$A$2:$A$2001, G489), 0)</f>
        <v>0</v>
      </c>
      <c r="I489">
        <f>IF(B489&lt;&gt;"", SUMIFS(ポートフォリオ実績!$C$2:$C$2001, ポートフォリオ実績!$B$2:$B$2001, B489, ポートフォリオ実績!$A$2:$A$2001, G489), 0)</f>
        <v>0</v>
      </c>
      <c r="J489">
        <f t="shared" si="78"/>
        <v>0</v>
      </c>
      <c r="K489">
        <f t="shared" si="79"/>
        <v>0</v>
      </c>
      <c r="L489">
        <f t="shared" si="80"/>
        <v>0</v>
      </c>
      <c r="M489">
        <f t="shared" si="81"/>
        <v>0</v>
      </c>
      <c r="N489">
        <f t="shared" si="82"/>
        <v>0</v>
      </c>
      <c r="O489">
        <f t="shared" si="83"/>
        <v>0</v>
      </c>
      <c r="P489" t="str">
        <f t="shared" si="84"/>
        <v/>
      </c>
      <c r="Q489" t="str">
        <f>IF(B489="","", IFERROR(VLOOKUP(B489, '基準資産配分（設定）'!$A$2:$C$2001, 3, FALSE), ""))</f>
        <v/>
      </c>
      <c r="R489" t="str">
        <f>IF(B489="","", IFERROR(VLOOKUP(B489, '基準資産配分（設定）'!$A$2:$C$2001, 2, FALSE)/100, 0))</f>
        <v/>
      </c>
      <c r="S489" t="str">
        <f>IF(B489="","", IFERROR(SUMIFS(ベンチマークリターン!$C$2:$C$2001, ベンチマークリターン!$A$2:$A$2001, A489, ベンチマークリターン!$B$2:$B$2001, Q489) / 100, 0))</f>
        <v/>
      </c>
      <c r="T489" t="str">
        <f>IF(A489="","", SUMIFS($H$2:$H$2000, $A$2:$A$2000, A489))</f>
        <v/>
      </c>
      <c r="U489" t="str">
        <f t="shared" si="85"/>
        <v/>
      </c>
      <c r="V489" t="str">
        <f t="shared" si="86"/>
        <v/>
      </c>
      <c r="W489" t="str">
        <f t="shared" si="87"/>
        <v/>
      </c>
    </row>
    <row r="490" spans="1:23" x14ac:dyDescent="0.2">
      <c r="A490" s="4" t="str">
        <f>IF(ポートフォリオ実績!A491="","", ポートフォリオ実績!A491)</f>
        <v/>
      </c>
      <c r="B490" t="str">
        <f>IF(ポートフォリオ実績!B491="","", ポートフォリオ実績!B491)</f>
        <v/>
      </c>
      <c r="C490" s="10" t="str">
        <f>IF(ポートフォリオ実績!C491="","", ポートフォリオ実績!C491)</f>
        <v/>
      </c>
      <c r="D490" s="10" t="str">
        <f>IF(ポートフォリオ実績!D491="","", ポートフォリオ実績!D491)</f>
        <v/>
      </c>
      <c r="E490" s="10" t="str">
        <f>IF(ポートフォリオ実績!E491="","", ポートフォリオ実績!E491)</f>
        <v/>
      </c>
      <c r="F490" s="10" t="str">
        <f>IF(ポートフォリオ実績!F491="","", ポートフォリオ実績!F491)</f>
        <v/>
      </c>
      <c r="G490" t="str">
        <f t="shared" si="77"/>
        <v/>
      </c>
      <c r="H490">
        <f>IF(B490&lt;&gt;"", SUMIFS(ポートフォリオ実績!$D$2:$D$2001, ポートフォリオ実績!$B$2:$B$2001, B490, ポートフォリオ実績!$A$2:$A$2001, G490), 0)</f>
        <v>0</v>
      </c>
      <c r="I490">
        <f>IF(B490&lt;&gt;"", SUMIFS(ポートフォリオ実績!$C$2:$C$2001, ポートフォリオ実績!$B$2:$B$2001, B490, ポートフォリオ実績!$A$2:$A$2001, G490), 0)</f>
        <v>0</v>
      </c>
      <c r="J490">
        <f t="shared" si="78"/>
        <v>0</v>
      </c>
      <c r="K490">
        <f t="shared" si="79"/>
        <v>0</v>
      </c>
      <c r="L490">
        <f t="shared" si="80"/>
        <v>0</v>
      </c>
      <c r="M490">
        <f t="shared" si="81"/>
        <v>0</v>
      </c>
      <c r="N490">
        <f t="shared" si="82"/>
        <v>0</v>
      </c>
      <c r="O490">
        <f t="shared" si="83"/>
        <v>0</v>
      </c>
      <c r="P490" t="str">
        <f t="shared" si="84"/>
        <v/>
      </c>
      <c r="Q490" t="str">
        <f>IF(B490="","", IFERROR(VLOOKUP(B490, '基準資産配分（設定）'!$A$2:$C$2001, 3, FALSE), ""))</f>
        <v/>
      </c>
      <c r="R490" t="str">
        <f>IF(B490="","", IFERROR(VLOOKUP(B490, '基準資産配分（設定）'!$A$2:$C$2001, 2, FALSE)/100, 0))</f>
        <v/>
      </c>
      <c r="S490" t="str">
        <f>IF(B490="","", IFERROR(SUMIFS(ベンチマークリターン!$C$2:$C$2001, ベンチマークリターン!$A$2:$A$2001, A490, ベンチマークリターン!$B$2:$B$2001, Q490) / 100, 0))</f>
        <v/>
      </c>
      <c r="T490" t="str">
        <f>IF(A490="","", SUMIFS($H$2:$H$2000, $A$2:$A$2000, A490))</f>
        <v/>
      </c>
      <c r="U490" t="str">
        <f t="shared" si="85"/>
        <v/>
      </c>
      <c r="V490" t="str">
        <f t="shared" si="86"/>
        <v/>
      </c>
      <c r="W490" t="str">
        <f t="shared" si="87"/>
        <v/>
      </c>
    </row>
    <row r="491" spans="1:23" x14ac:dyDescent="0.2">
      <c r="A491" s="4" t="str">
        <f>IF(ポートフォリオ実績!A492="","", ポートフォリオ実績!A492)</f>
        <v/>
      </c>
      <c r="B491" t="str">
        <f>IF(ポートフォリオ実績!B492="","", ポートフォリオ実績!B492)</f>
        <v/>
      </c>
      <c r="C491" s="10" t="str">
        <f>IF(ポートフォリオ実績!C492="","", ポートフォリオ実績!C492)</f>
        <v/>
      </c>
      <c r="D491" s="10" t="str">
        <f>IF(ポートフォリオ実績!D492="","", ポートフォリオ実績!D492)</f>
        <v/>
      </c>
      <c r="E491" s="10" t="str">
        <f>IF(ポートフォリオ実績!E492="","", ポートフォリオ実績!E492)</f>
        <v/>
      </c>
      <c r="F491" s="10" t="str">
        <f>IF(ポートフォリオ実績!F492="","", ポートフォリオ実績!F492)</f>
        <v/>
      </c>
      <c r="G491" t="str">
        <f t="shared" si="77"/>
        <v/>
      </c>
      <c r="H491">
        <f>IF(B491&lt;&gt;"", SUMIFS(ポートフォリオ実績!$D$2:$D$2001, ポートフォリオ実績!$B$2:$B$2001, B491, ポートフォリオ実績!$A$2:$A$2001, G491), 0)</f>
        <v>0</v>
      </c>
      <c r="I491">
        <f>IF(B491&lt;&gt;"", SUMIFS(ポートフォリオ実績!$C$2:$C$2001, ポートフォリオ実績!$B$2:$B$2001, B491, ポートフォリオ実績!$A$2:$A$2001, G491), 0)</f>
        <v>0</v>
      </c>
      <c r="J491">
        <f t="shared" si="78"/>
        <v>0</v>
      </c>
      <c r="K491">
        <f t="shared" si="79"/>
        <v>0</v>
      </c>
      <c r="L491">
        <f t="shared" si="80"/>
        <v>0</v>
      </c>
      <c r="M491">
        <f t="shared" si="81"/>
        <v>0</v>
      </c>
      <c r="N491">
        <f t="shared" si="82"/>
        <v>0</v>
      </c>
      <c r="O491">
        <f t="shared" si="83"/>
        <v>0</v>
      </c>
      <c r="P491" t="str">
        <f t="shared" si="84"/>
        <v/>
      </c>
      <c r="Q491" t="str">
        <f>IF(B491="","", IFERROR(VLOOKUP(B491, '基準資産配分（設定）'!$A$2:$C$2001, 3, FALSE), ""))</f>
        <v/>
      </c>
      <c r="R491" t="str">
        <f>IF(B491="","", IFERROR(VLOOKUP(B491, '基準資産配分（設定）'!$A$2:$C$2001, 2, FALSE)/100, 0))</f>
        <v/>
      </c>
      <c r="S491" t="str">
        <f>IF(B491="","", IFERROR(SUMIFS(ベンチマークリターン!$C$2:$C$2001, ベンチマークリターン!$A$2:$A$2001, A491, ベンチマークリターン!$B$2:$B$2001, Q491) / 100, 0))</f>
        <v/>
      </c>
      <c r="T491" t="str">
        <f>IF(A491="","", SUMIFS($H$2:$H$2000, $A$2:$A$2000, A491))</f>
        <v/>
      </c>
      <c r="U491" t="str">
        <f t="shared" si="85"/>
        <v/>
      </c>
      <c r="V491" t="str">
        <f t="shared" si="86"/>
        <v/>
      </c>
      <c r="W491" t="str">
        <f t="shared" si="87"/>
        <v/>
      </c>
    </row>
    <row r="492" spans="1:23" x14ac:dyDescent="0.2">
      <c r="A492" s="4" t="str">
        <f>IF(ポートフォリオ実績!A493="","", ポートフォリオ実績!A493)</f>
        <v/>
      </c>
      <c r="B492" t="str">
        <f>IF(ポートフォリオ実績!B493="","", ポートフォリオ実績!B493)</f>
        <v/>
      </c>
      <c r="C492" s="10" t="str">
        <f>IF(ポートフォリオ実績!C493="","", ポートフォリオ実績!C493)</f>
        <v/>
      </c>
      <c r="D492" s="10" t="str">
        <f>IF(ポートフォリオ実績!D493="","", ポートフォリオ実績!D493)</f>
        <v/>
      </c>
      <c r="E492" s="10" t="str">
        <f>IF(ポートフォリオ実績!E493="","", ポートフォリオ実績!E493)</f>
        <v/>
      </c>
      <c r="F492" s="10" t="str">
        <f>IF(ポートフォリオ実績!F493="","", ポートフォリオ実績!F493)</f>
        <v/>
      </c>
      <c r="G492" t="str">
        <f t="shared" si="77"/>
        <v/>
      </c>
      <c r="H492">
        <f>IF(B492&lt;&gt;"", SUMIFS(ポートフォリオ実績!$D$2:$D$2001, ポートフォリオ実績!$B$2:$B$2001, B492, ポートフォリオ実績!$A$2:$A$2001, G492), 0)</f>
        <v>0</v>
      </c>
      <c r="I492">
        <f>IF(B492&lt;&gt;"", SUMIFS(ポートフォリオ実績!$C$2:$C$2001, ポートフォリオ実績!$B$2:$B$2001, B492, ポートフォリオ実績!$A$2:$A$2001, G492), 0)</f>
        <v>0</v>
      </c>
      <c r="J492">
        <f t="shared" si="78"/>
        <v>0</v>
      </c>
      <c r="K492">
        <f t="shared" si="79"/>
        <v>0</v>
      </c>
      <c r="L492">
        <f t="shared" si="80"/>
        <v>0</v>
      </c>
      <c r="M492">
        <f t="shared" si="81"/>
        <v>0</v>
      </c>
      <c r="N492">
        <f t="shared" si="82"/>
        <v>0</v>
      </c>
      <c r="O492">
        <f t="shared" si="83"/>
        <v>0</v>
      </c>
      <c r="P492" t="str">
        <f t="shared" si="84"/>
        <v/>
      </c>
      <c r="Q492" t="str">
        <f>IF(B492="","", IFERROR(VLOOKUP(B492, '基準資産配分（設定）'!$A$2:$C$2001, 3, FALSE), ""))</f>
        <v/>
      </c>
      <c r="R492" t="str">
        <f>IF(B492="","", IFERROR(VLOOKUP(B492, '基準資産配分（設定）'!$A$2:$C$2001, 2, FALSE)/100, 0))</f>
        <v/>
      </c>
      <c r="S492" t="str">
        <f>IF(B492="","", IFERROR(SUMIFS(ベンチマークリターン!$C$2:$C$2001, ベンチマークリターン!$A$2:$A$2001, A492, ベンチマークリターン!$B$2:$B$2001, Q492) / 100, 0))</f>
        <v/>
      </c>
      <c r="T492" t="str">
        <f>IF(A492="","", SUMIFS($H$2:$H$2000, $A$2:$A$2000, A492))</f>
        <v/>
      </c>
      <c r="U492" t="str">
        <f t="shared" si="85"/>
        <v/>
      </c>
      <c r="V492" t="str">
        <f t="shared" si="86"/>
        <v/>
      </c>
      <c r="W492" t="str">
        <f t="shared" si="87"/>
        <v/>
      </c>
    </row>
    <row r="493" spans="1:23" x14ac:dyDescent="0.2">
      <c r="A493" s="4" t="str">
        <f>IF(ポートフォリオ実績!A494="","", ポートフォリオ実績!A494)</f>
        <v/>
      </c>
      <c r="B493" t="str">
        <f>IF(ポートフォリオ実績!B494="","", ポートフォリオ実績!B494)</f>
        <v/>
      </c>
      <c r="C493" s="10" t="str">
        <f>IF(ポートフォリオ実績!C494="","", ポートフォリオ実績!C494)</f>
        <v/>
      </c>
      <c r="D493" s="10" t="str">
        <f>IF(ポートフォリオ実績!D494="","", ポートフォリオ実績!D494)</f>
        <v/>
      </c>
      <c r="E493" s="10" t="str">
        <f>IF(ポートフォリオ実績!E494="","", ポートフォリオ実績!E494)</f>
        <v/>
      </c>
      <c r="F493" s="10" t="str">
        <f>IF(ポートフォリオ実績!F494="","", ポートフォリオ実績!F494)</f>
        <v/>
      </c>
      <c r="G493" t="str">
        <f t="shared" si="77"/>
        <v/>
      </c>
      <c r="H493">
        <f>IF(B493&lt;&gt;"", SUMIFS(ポートフォリオ実績!$D$2:$D$2001, ポートフォリオ実績!$B$2:$B$2001, B493, ポートフォリオ実績!$A$2:$A$2001, G493), 0)</f>
        <v>0</v>
      </c>
      <c r="I493">
        <f>IF(B493&lt;&gt;"", SUMIFS(ポートフォリオ実績!$C$2:$C$2001, ポートフォリオ実績!$B$2:$B$2001, B493, ポートフォリオ実績!$A$2:$A$2001, G493), 0)</f>
        <v>0</v>
      </c>
      <c r="J493">
        <f t="shared" si="78"/>
        <v>0</v>
      </c>
      <c r="K493">
        <f t="shared" si="79"/>
        <v>0</v>
      </c>
      <c r="L493">
        <f t="shared" si="80"/>
        <v>0</v>
      </c>
      <c r="M493">
        <f t="shared" si="81"/>
        <v>0</v>
      </c>
      <c r="N493">
        <f t="shared" si="82"/>
        <v>0</v>
      </c>
      <c r="O493">
        <f t="shared" si="83"/>
        <v>0</v>
      </c>
      <c r="P493" t="str">
        <f t="shared" si="84"/>
        <v/>
      </c>
      <c r="Q493" t="str">
        <f>IF(B493="","", IFERROR(VLOOKUP(B493, '基準資産配分（設定）'!$A$2:$C$2001, 3, FALSE), ""))</f>
        <v/>
      </c>
      <c r="R493" t="str">
        <f>IF(B493="","", IFERROR(VLOOKUP(B493, '基準資産配分（設定）'!$A$2:$C$2001, 2, FALSE)/100, 0))</f>
        <v/>
      </c>
      <c r="S493" t="str">
        <f>IF(B493="","", IFERROR(SUMIFS(ベンチマークリターン!$C$2:$C$2001, ベンチマークリターン!$A$2:$A$2001, A493, ベンチマークリターン!$B$2:$B$2001, Q493) / 100, 0))</f>
        <v/>
      </c>
      <c r="T493" t="str">
        <f>IF(A493="","", SUMIFS($H$2:$H$2000, $A$2:$A$2000, A493))</f>
        <v/>
      </c>
      <c r="U493" t="str">
        <f t="shared" si="85"/>
        <v/>
      </c>
      <c r="V493" t="str">
        <f t="shared" si="86"/>
        <v/>
      </c>
      <c r="W493" t="str">
        <f t="shared" si="87"/>
        <v/>
      </c>
    </row>
    <row r="494" spans="1:23" x14ac:dyDescent="0.2">
      <c r="A494" s="4" t="str">
        <f>IF(ポートフォリオ実績!A495="","", ポートフォリオ実績!A495)</f>
        <v/>
      </c>
      <c r="B494" t="str">
        <f>IF(ポートフォリオ実績!B495="","", ポートフォリオ実績!B495)</f>
        <v/>
      </c>
      <c r="C494" s="10" t="str">
        <f>IF(ポートフォリオ実績!C495="","", ポートフォリオ実績!C495)</f>
        <v/>
      </c>
      <c r="D494" s="10" t="str">
        <f>IF(ポートフォリオ実績!D495="","", ポートフォリオ実績!D495)</f>
        <v/>
      </c>
      <c r="E494" s="10" t="str">
        <f>IF(ポートフォリオ実績!E495="","", ポートフォリオ実績!E495)</f>
        <v/>
      </c>
      <c r="F494" s="10" t="str">
        <f>IF(ポートフォリオ実績!F495="","", ポートフォリオ実績!F495)</f>
        <v/>
      </c>
      <c r="G494" t="str">
        <f t="shared" si="77"/>
        <v/>
      </c>
      <c r="H494">
        <f>IF(B494&lt;&gt;"", SUMIFS(ポートフォリオ実績!$D$2:$D$2001, ポートフォリオ実績!$B$2:$B$2001, B494, ポートフォリオ実績!$A$2:$A$2001, G494), 0)</f>
        <v>0</v>
      </c>
      <c r="I494">
        <f>IF(B494&lt;&gt;"", SUMIFS(ポートフォリオ実績!$C$2:$C$2001, ポートフォリオ実績!$B$2:$B$2001, B494, ポートフォリオ実績!$A$2:$A$2001, G494), 0)</f>
        <v>0</v>
      </c>
      <c r="J494">
        <f t="shared" si="78"/>
        <v>0</v>
      </c>
      <c r="K494">
        <f t="shared" si="79"/>
        <v>0</v>
      </c>
      <c r="L494">
        <f t="shared" si="80"/>
        <v>0</v>
      </c>
      <c r="M494">
        <f t="shared" si="81"/>
        <v>0</v>
      </c>
      <c r="N494">
        <f t="shared" si="82"/>
        <v>0</v>
      </c>
      <c r="O494">
        <f t="shared" si="83"/>
        <v>0</v>
      </c>
      <c r="P494" t="str">
        <f t="shared" si="84"/>
        <v/>
      </c>
      <c r="Q494" t="str">
        <f>IF(B494="","", IFERROR(VLOOKUP(B494, '基準資産配分（設定）'!$A$2:$C$2001, 3, FALSE), ""))</f>
        <v/>
      </c>
      <c r="R494" t="str">
        <f>IF(B494="","", IFERROR(VLOOKUP(B494, '基準資産配分（設定）'!$A$2:$C$2001, 2, FALSE)/100, 0))</f>
        <v/>
      </c>
      <c r="S494" t="str">
        <f>IF(B494="","", IFERROR(SUMIFS(ベンチマークリターン!$C$2:$C$2001, ベンチマークリターン!$A$2:$A$2001, A494, ベンチマークリターン!$B$2:$B$2001, Q494) / 100, 0))</f>
        <v/>
      </c>
      <c r="T494" t="str">
        <f>IF(A494="","", SUMIFS($H$2:$H$2000, $A$2:$A$2000, A494))</f>
        <v/>
      </c>
      <c r="U494" t="str">
        <f t="shared" si="85"/>
        <v/>
      </c>
      <c r="V494" t="str">
        <f t="shared" si="86"/>
        <v/>
      </c>
      <c r="W494" t="str">
        <f t="shared" si="87"/>
        <v/>
      </c>
    </row>
    <row r="495" spans="1:23" x14ac:dyDescent="0.2">
      <c r="A495" s="4" t="str">
        <f>IF(ポートフォリオ実績!A496="","", ポートフォリオ実績!A496)</f>
        <v/>
      </c>
      <c r="B495" t="str">
        <f>IF(ポートフォリオ実績!B496="","", ポートフォリオ実績!B496)</f>
        <v/>
      </c>
      <c r="C495" s="10" t="str">
        <f>IF(ポートフォリオ実績!C496="","", ポートフォリオ実績!C496)</f>
        <v/>
      </c>
      <c r="D495" s="10" t="str">
        <f>IF(ポートフォリオ実績!D496="","", ポートフォリオ実績!D496)</f>
        <v/>
      </c>
      <c r="E495" s="10" t="str">
        <f>IF(ポートフォリオ実績!E496="","", ポートフォリオ実績!E496)</f>
        <v/>
      </c>
      <c r="F495" s="10" t="str">
        <f>IF(ポートフォリオ実績!F496="","", ポートフォリオ実績!F496)</f>
        <v/>
      </c>
      <c r="G495" t="str">
        <f t="shared" si="77"/>
        <v/>
      </c>
      <c r="H495">
        <f>IF(B495&lt;&gt;"", SUMIFS(ポートフォリオ実績!$D$2:$D$2001, ポートフォリオ実績!$B$2:$B$2001, B495, ポートフォリオ実績!$A$2:$A$2001, G495), 0)</f>
        <v>0</v>
      </c>
      <c r="I495">
        <f>IF(B495&lt;&gt;"", SUMIFS(ポートフォリオ実績!$C$2:$C$2001, ポートフォリオ実績!$B$2:$B$2001, B495, ポートフォリオ実績!$A$2:$A$2001, G495), 0)</f>
        <v>0</v>
      </c>
      <c r="J495">
        <f t="shared" si="78"/>
        <v>0</v>
      </c>
      <c r="K495">
        <f t="shared" si="79"/>
        <v>0</v>
      </c>
      <c r="L495">
        <f t="shared" si="80"/>
        <v>0</v>
      </c>
      <c r="M495">
        <f t="shared" si="81"/>
        <v>0</v>
      </c>
      <c r="N495">
        <f t="shared" si="82"/>
        <v>0</v>
      </c>
      <c r="O495">
        <f t="shared" si="83"/>
        <v>0</v>
      </c>
      <c r="P495" t="str">
        <f t="shared" si="84"/>
        <v/>
      </c>
      <c r="Q495" t="str">
        <f>IF(B495="","", IFERROR(VLOOKUP(B495, '基準資産配分（設定）'!$A$2:$C$2001, 3, FALSE), ""))</f>
        <v/>
      </c>
      <c r="R495" t="str">
        <f>IF(B495="","", IFERROR(VLOOKUP(B495, '基準資産配分（設定）'!$A$2:$C$2001, 2, FALSE)/100, 0))</f>
        <v/>
      </c>
      <c r="S495" t="str">
        <f>IF(B495="","", IFERROR(SUMIFS(ベンチマークリターン!$C$2:$C$2001, ベンチマークリターン!$A$2:$A$2001, A495, ベンチマークリターン!$B$2:$B$2001, Q495) / 100, 0))</f>
        <v/>
      </c>
      <c r="T495" t="str">
        <f>IF(A495="","", SUMIFS($H$2:$H$2000, $A$2:$A$2000, A495))</f>
        <v/>
      </c>
      <c r="U495" t="str">
        <f t="shared" si="85"/>
        <v/>
      </c>
      <c r="V495" t="str">
        <f t="shared" si="86"/>
        <v/>
      </c>
      <c r="W495" t="str">
        <f t="shared" si="87"/>
        <v/>
      </c>
    </row>
    <row r="496" spans="1:23" x14ac:dyDescent="0.2">
      <c r="A496" s="4" t="str">
        <f>IF(ポートフォリオ実績!A497="","", ポートフォリオ実績!A497)</f>
        <v/>
      </c>
      <c r="B496" t="str">
        <f>IF(ポートフォリオ実績!B497="","", ポートフォリオ実績!B497)</f>
        <v/>
      </c>
      <c r="C496" s="10" t="str">
        <f>IF(ポートフォリオ実績!C497="","", ポートフォリオ実績!C497)</f>
        <v/>
      </c>
      <c r="D496" s="10" t="str">
        <f>IF(ポートフォリオ実績!D497="","", ポートフォリオ実績!D497)</f>
        <v/>
      </c>
      <c r="E496" s="10" t="str">
        <f>IF(ポートフォリオ実績!E497="","", ポートフォリオ実績!E497)</f>
        <v/>
      </c>
      <c r="F496" s="10" t="str">
        <f>IF(ポートフォリオ実績!F497="","", ポートフォリオ実績!F497)</f>
        <v/>
      </c>
      <c r="G496" t="str">
        <f t="shared" si="77"/>
        <v/>
      </c>
      <c r="H496">
        <f>IF(B496&lt;&gt;"", SUMIFS(ポートフォリオ実績!$D$2:$D$2001, ポートフォリオ実績!$B$2:$B$2001, B496, ポートフォリオ実績!$A$2:$A$2001, G496), 0)</f>
        <v>0</v>
      </c>
      <c r="I496">
        <f>IF(B496&lt;&gt;"", SUMIFS(ポートフォリオ実績!$C$2:$C$2001, ポートフォリオ実績!$B$2:$B$2001, B496, ポートフォリオ実績!$A$2:$A$2001, G496), 0)</f>
        <v>0</v>
      </c>
      <c r="J496">
        <f t="shared" si="78"/>
        <v>0</v>
      </c>
      <c r="K496">
        <f t="shared" si="79"/>
        <v>0</v>
      </c>
      <c r="L496">
        <f t="shared" si="80"/>
        <v>0</v>
      </c>
      <c r="M496">
        <f t="shared" si="81"/>
        <v>0</v>
      </c>
      <c r="N496">
        <f t="shared" si="82"/>
        <v>0</v>
      </c>
      <c r="O496">
        <f t="shared" si="83"/>
        <v>0</v>
      </c>
      <c r="P496" t="str">
        <f t="shared" si="84"/>
        <v/>
      </c>
      <c r="Q496" t="str">
        <f>IF(B496="","", IFERROR(VLOOKUP(B496, '基準資産配分（設定）'!$A$2:$C$2001, 3, FALSE), ""))</f>
        <v/>
      </c>
      <c r="R496" t="str">
        <f>IF(B496="","", IFERROR(VLOOKUP(B496, '基準資産配分（設定）'!$A$2:$C$2001, 2, FALSE)/100, 0))</f>
        <v/>
      </c>
      <c r="S496" t="str">
        <f>IF(B496="","", IFERROR(SUMIFS(ベンチマークリターン!$C$2:$C$2001, ベンチマークリターン!$A$2:$A$2001, A496, ベンチマークリターン!$B$2:$B$2001, Q496) / 100, 0))</f>
        <v/>
      </c>
      <c r="T496" t="str">
        <f>IF(A496="","", SUMIFS($H$2:$H$2000, $A$2:$A$2000, A496))</f>
        <v/>
      </c>
      <c r="U496" t="str">
        <f t="shared" si="85"/>
        <v/>
      </c>
      <c r="V496" t="str">
        <f t="shared" si="86"/>
        <v/>
      </c>
      <c r="W496" t="str">
        <f t="shared" si="87"/>
        <v/>
      </c>
    </row>
    <row r="497" spans="1:23" x14ac:dyDescent="0.2">
      <c r="A497" s="4" t="str">
        <f>IF(ポートフォリオ実績!A498="","", ポートフォリオ実績!A498)</f>
        <v/>
      </c>
      <c r="B497" t="str">
        <f>IF(ポートフォリオ実績!B498="","", ポートフォリオ実績!B498)</f>
        <v/>
      </c>
      <c r="C497" s="10" t="str">
        <f>IF(ポートフォリオ実績!C498="","", ポートフォリオ実績!C498)</f>
        <v/>
      </c>
      <c r="D497" s="10" t="str">
        <f>IF(ポートフォリオ実績!D498="","", ポートフォリオ実績!D498)</f>
        <v/>
      </c>
      <c r="E497" s="10" t="str">
        <f>IF(ポートフォリオ実績!E498="","", ポートフォリオ実績!E498)</f>
        <v/>
      </c>
      <c r="F497" s="10" t="str">
        <f>IF(ポートフォリオ実績!F498="","", ポートフォリオ実績!F498)</f>
        <v/>
      </c>
      <c r="G497" t="str">
        <f t="shared" si="77"/>
        <v/>
      </c>
      <c r="H497">
        <f>IF(B497&lt;&gt;"", SUMIFS(ポートフォリオ実績!$D$2:$D$2001, ポートフォリオ実績!$B$2:$B$2001, B497, ポートフォリオ実績!$A$2:$A$2001, G497), 0)</f>
        <v>0</v>
      </c>
      <c r="I497">
        <f>IF(B497&lt;&gt;"", SUMIFS(ポートフォリオ実績!$C$2:$C$2001, ポートフォリオ実績!$B$2:$B$2001, B497, ポートフォリオ実績!$A$2:$A$2001, G497), 0)</f>
        <v>0</v>
      </c>
      <c r="J497">
        <f t="shared" si="78"/>
        <v>0</v>
      </c>
      <c r="K497">
        <f t="shared" si="79"/>
        <v>0</v>
      </c>
      <c r="L497">
        <f t="shared" si="80"/>
        <v>0</v>
      </c>
      <c r="M497">
        <f t="shared" si="81"/>
        <v>0</v>
      </c>
      <c r="N497">
        <f t="shared" si="82"/>
        <v>0</v>
      </c>
      <c r="O497">
        <f t="shared" si="83"/>
        <v>0</v>
      </c>
      <c r="P497" t="str">
        <f t="shared" si="84"/>
        <v/>
      </c>
      <c r="Q497" t="str">
        <f>IF(B497="","", IFERROR(VLOOKUP(B497, '基準資産配分（設定）'!$A$2:$C$2001, 3, FALSE), ""))</f>
        <v/>
      </c>
      <c r="R497" t="str">
        <f>IF(B497="","", IFERROR(VLOOKUP(B497, '基準資産配分（設定）'!$A$2:$C$2001, 2, FALSE)/100, 0))</f>
        <v/>
      </c>
      <c r="S497" t="str">
        <f>IF(B497="","", IFERROR(SUMIFS(ベンチマークリターン!$C$2:$C$2001, ベンチマークリターン!$A$2:$A$2001, A497, ベンチマークリターン!$B$2:$B$2001, Q497) / 100, 0))</f>
        <v/>
      </c>
      <c r="T497" t="str">
        <f>IF(A497="","", SUMIFS($H$2:$H$2000, $A$2:$A$2000, A497))</f>
        <v/>
      </c>
      <c r="U497" t="str">
        <f t="shared" si="85"/>
        <v/>
      </c>
      <c r="V497" t="str">
        <f t="shared" si="86"/>
        <v/>
      </c>
      <c r="W497" t="str">
        <f t="shared" si="87"/>
        <v/>
      </c>
    </row>
    <row r="498" spans="1:23" x14ac:dyDescent="0.2">
      <c r="A498" s="4" t="str">
        <f>IF(ポートフォリオ実績!A499="","", ポートフォリオ実績!A499)</f>
        <v/>
      </c>
      <c r="B498" t="str">
        <f>IF(ポートフォリオ実績!B499="","", ポートフォリオ実績!B499)</f>
        <v/>
      </c>
      <c r="C498" s="10" t="str">
        <f>IF(ポートフォリオ実績!C499="","", ポートフォリオ実績!C499)</f>
        <v/>
      </c>
      <c r="D498" s="10" t="str">
        <f>IF(ポートフォリオ実績!D499="","", ポートフォリオ実績!D499)</f>
        <v/>
      </c>
      <c r="E498" s="10" t="str">
        <f>IF(ポートフォリオ実績!E499="","", ポートフォリオ実績!E499)</f>
        <v/>
      </c>
      <c r="F498" s="10" t="str">
        <f>IF(ポートフォリオ実績!F499="","", ポートフォリオ実績!F499)</f>
        <v/>
      </c>
      <c r="G498" t="str">
        <f t="shared" si="77"/>
        <v/>
      </c>
      <c r="H498">
        <f>IF(B498&lt;&gt;"", SUMIFS(ポートフォリオ実績!$D$2:$D$2001, ポートフォリオ実績!$B$2:$B$2001, B498, ポートフォリオ実績!$A$2:$A$2001, G498), 0)</f>
        <v>0</v>
      </c>
      <c r="I498">
        <f>IF(B498&lt;&gt;"", SUMIFS(ポートフォリオ実績!$C$2:$C$2001, ポートフォリオ実績!$B$2:$B$2001, B498, ポートフォリオ実績!$A$2:$A$2001, G498), 0)</f>
        <v>0</v>
      </c>
      <c r="J498">
        <f t="shared" si="78"/>
        <v>0</v>
      </c>
      <c r="K498">
        <f t="shared" si="79"/>
        <v>0</v>
      </c>
      <c r="L498">
        <f t="shared" si="80"/>
        <v>0</v>
      </c>
      <c r="M498">
        <f t="shared" si="81"/>
        <v>0</v>
      </c>
      <c r="N498">
        <f t="shared" si="82"/>
        <v>0</v>
      </c>
      <c r="O498">
        <f t="shared" si="83"/>
        <v>0</v>
      </c>
      <c r="P498" t="str">
        <f t="shared" si="84"/>
        <v/>
      </c>
      <c r="Q498" t="str">
        <f>IF(B498="","", IFERROR(VLOOKUP(B498, '基準資産配分（設定）'!$A$2:$C$2001, 3, FALSE), ""))</f>
        <v/>
      </c>
      <c r="R498" t="str">
        <f>IF(B498="","", IFERROR(VLOOKUP(B498, '基準資産配分（設定）'!$A$2:$C$2001, 2, FALSE)/100, 0))</f>
        <v/>
      </c>
      <c r="S498" t="str">
        <f>IF(B498="","", IFERROR(SUMIFS(ベンチマークリターン!$C$2:$C$2001, ベンチマークリターン!$A$2:$A$2001, A498, ベンチマークリターン!$B$2:$B$2001, Q498) / 100, 0))</f>
        <v/>
      </c>
      <c r="T498" t="str">
        <f>IF(A498="","", SUMIFS($H$2:$H$2000, $A$2:$A$2000, A498))</f>
        <v/>
      </c>
      <c r="U498" t="str">
        <f t="shared" si="85"/>
        <v/>
      </c>
      <c r="V498" t="str">
        <f t="shared" si="86"/>
        <v/>
      </c>
      <c r="W498" t="str">
        <f t="shared" si="87"/>
        <v/>
      </c>
    </row>
    <row r="499" spans="1:23" x14ac:dyDescent="0.2">
      <c r="A499" s="4" t="str">
        <f>IF(ポートフォリオ実績!A500="","", ポートフォリオ実績!A500)</f>
        <v/>
      </c>
      <c r="B499" t="str">
        <f>IF(ポートフォリオ実績!B500="","", ポートフォリオ実績!B500)</f>
        <v/>
      </c>
      <c r="C499" s="10" t="str">
        <f>IF(ポートフォリオ実績!C500="","", ポートフォリオ実績!C500)</f>
        <v/>
      </c>
      <c r="D499" s="10" t="str">
        <f>IF(ポートフォリオ実績!D500="","", ポートフォリオ実績!D500)</f>
        <v/>
      </c>
      <c r="E499" s="10" t="str">
        <f>IF(ポートフォリオ実績!E500="","", ポートフォリオ実績!E500)</f>
        <v/>
      </c>
      <c r="F499" s="10" t="str">
        <f>IF(ポートフォリオ実績!F500="","", ポートフォリオ実績!F500)</f>
        <v/>
      </c>
      <c r="G499" t="str">
        <f t="shared" si="77"/>
        <v/>
      </c>
      <c r="H499">
        <f>IF(B499&lt;&gt;"", SUMIFS(ポートフォリオ実績!$D$2:$D$2001, ポートフォリオ実績!$B$2:$B$2001, B499, ポートフォリオ実績!$A$2:$A$2001, G499), 0)</f>
        <v>0</v>
      </c>
      <c r="I499">
        <f>IF(B499&lt;&gt;"", SUMIFS(ポートフォリオ実績!$C$2:$C$2001, ポートフォリオ実績!$B$2:$B$2001, B499, ポートフォリオ実績!$A$2:$A$2001, G499), 0)</f>
        <v>0</v>
      </c>
      <c r="J499">
        <f t="shared" si="78"/>
        <v>0</v>
      </c>
      <c r="K499">
        <f t="shared" si="79"/>
        <v>0</v>
      </c>
      <c r="L499">
        <f t="shared" si="80"/>
        <v>0</v>
      </c>
      <c r="M499">
        <f t="shared" si="81"/>
        <v>0</v>
      </c>
      <c r="N499">
        <f t="shared" si="82"/>
        <v>0</v>
      </c>
      <c r="O499">
        <f t="shared" si="83"/>
        <v>0</v>
      </c>
      <c r="P499" t="str">
        <f t="shared" si="84"/>
        <v/>
      </c>
      <c r="Q499" t="str">
        <f>IF(B499="","", IFERROR(VLOOKUP(B499, '基準資産配分（設定）'!$A$2:$C$2001, 3, FALSE), ""))</f>
        <v/>
      </c>
      <c r="R499" t="str">
        <f>IF(B499="","", IFERROR(VLOOKUP(B499, '基準資産配分（設定）'!$A$2:$C$2001, 2, FALSE)/100, 0))</f>
        <v/>
      </c>
      <c r="S499" t="str">
        <f>IF(B499="","", IFERROR(SUMIFS(ベンチマークリターン!$C$2:$C$2001, ベンチマークリターン!$A$2:$A$2001, A499, ベンチマークリターン!$B$2:$B$2001, Q499) / 100, 0))</f>
        <v/>
      </c>
      <c r="T499" t="str">
        <f>IF(A499="","", SUMIFS($H$2:$H$2000, $A$2:$A$2000, A499))</f>
        <v/>
      </c>
      <c r="U499" t="str">
        <f t="shared" si="85"/>
        <v/>
      </c>
      <c r="V499" t="str">
        <f t="shared" si="86"/>
        <v/>
      </c>
      <c r="W499" t="str">
        <f t="shared" si="87"/>
        <v/>
      </c>
    </row>
    <row r="500" spans="1:23" x14ac:dyDescent="0.2">
      <c r="A500" s="4" t="str">
        <f>IF(ポートフォリオ実績!A501="","", ポートフォリオ実績!A501)</f>
        <v/>
      </c>
      <c r="B500" t="str">
        <f>IF(ポートフォリオ実績!B501="","", ポートフォリオ実績!B501)</f>
        <v/>
      </c>
      <c r="C500" s="10" t="str">
        <f>IF(ポートフォリオ実績!C501="","", ポートフォリオ実績!C501)</f>
        <v/>
      </c>
      <c r="D500" s="10" t="str">
        <f>IF(ポートフォリオ実績!D501="","", ポートフォリオ実績!D501)</f>
        <v/>
      </c>
      <c r="E500" s="10" t="str">
        <f>IF(ポートフォリオ実績!E501="","", ポートフォリオ実績!E501)</f>
        <v/>
      </c>
      <c r="F500" s="10" t="str">
        <f>IF(ポートフォリオ実績!F501="","", ポートフォリオ実績!F501)</f>
        <v/>
      </c>
      <c r="G500" t="str">
        <f t="shared" si="77"/>
        <v/>
      </c>
      <c r="H500">
        <f>IF(B500&lt;&gt;"", SUMIFS(ポートフォリオ実績!$D$2:$D$2001, ポートフォリオ実績!$B$2:$B$2001, B500, ポートフォリオ実績!$A$2:$A$2001, G500), 0)</f>
        <v>0</v>
      </c>
      <c r="I500">
        <f>IF(B500&lt;&gt;"", SUMIFS(ポートフォリオ実績!$C$2:$C$2001, ポートフォリオ実績!$B$2:$B$2001, B500, ポートフォリオ実績!$A$2:$A$2001, G500), 0)</f>
        <v>0</v>
      </c>
      <c r="J500">
        <f t="shared" si="78"/>
        <v>0</v>
      </c>
      <c r="K500">
        <f t="shared" si="79"/>
        <v>0</v>
      </c>
      <c r="L500">
        <f t="shared" si="80"/>
        <v>0</v>
      </c>
      <c r="M500">
        <f t="shared" si="81"/>
        <v>0</v>
      </c>
      <c r="N500">
        <f t="shared" si="82"/>
        <v>0</v>
      </c>
      <c r="O500">
        <f t="shared" si="83"/>
        <v>0</v>
      </c>
      <c r="P500" t="str">
        <f t="shared" si="84"/>
        <v/>
      </c>
      <c r="Q500" t="str">
        <f>IF(B500="","", IFERROR(VLOOKUP(B500, '基準資産配分（設定）'!$A$2:$C$2001, 3, FALSE), ""))</f>
        <v/>
      </c>
      <c r="R500" t="str">
        <f>IF(B500="","", IFERROR(VLOOKUP(B500, '基準資産配分（設定）'!$A$2:$C$2001, 2, FALSE)/100, 0))</f>
        <v/>
      </c>
      <c r="S500" t="str">
        <f>IF(B500="","", IFERROR(SUMIFS(ベンチマークリターン!$C$2:$C$2001, ベンチマークリターン!$A$2:$A$2001, A500, ベンチマークリターン!$B$2:$B$2001, Q500) / 100, 0))</f>
        <v/>
      </c>
      <c r="T500" t="str">
        <f>IF(A500="","", SUMIFS($H$2:$H$2000, $A$2:$A$2000, A500))</f>
        <v/>
      </c>
      <c r="U500" t="str">
        <f t="shared" si="85"/>
        <v/>
      </c>
      <c r="V500" t="str">
        <f t="shared" si="86"/>
        <v/>
      </c>
      <c r="W500" t="str">
        <f t="shared" si="87"/>
        <v/>
      </c>
    </row>
    <row r="501" spans="1:23" x14ac:dyDescent="0.2">
      <c r="A501" s="4" t="str">
        <f>IF(ポートフォリオ実績!A502="","", ポートフォリオ実績!A502)</f>
        <v/>
      </c>
      <c r="B501" t="str">
        <f>IF(ポートフォリオ実績!B502="","", ポートフォリオ実績!B502)</f>
        <v/>
      </c>
      <c r="C501" s="10" t="str">
        <f>IF(ポートフォリオ実績!C502="","", ポートフォリオ実績!C502)</f>
        <v/>
      </c>
      <c r="D501" s="10" t="str">
        <f>IF(ポートフォリオ実績!D502="","", ポートフォリオ実績!D502)</f>
        <v/>
      </c>
      <c r="E501" s="10" t="str">
        <f>IF(ポートフォリオ実績!E502="","", ポートフォリオ実績!E502)</f>
        <v/>
      </c>
      <c r="F501" s="10" t="str">
        <f>IF(ポートフォリオ実績!F502="","", ポートフォリオ実績!F502)</f>
        <v/>
      </c>
      <c r="G501" t="str">
        <f t="shared" si="77"/>
        <v/>
      </c>
      <c r="H501">
        <f>IF(B501&lt;&gt;"", SUMIFS(ポートフォリオ実績!$D$2:$D$2001, ポートフォリオ実績!$B$2:$B$2001, B501, ポートフォリオ実績!$A$2:$A$2001, G501), 0)</f>
        <v>0</v>
      </c>
      <c r="I501">
        <f>IF(B501&lt;&gt;"", SUMIFS(ポートフォリオ実績!$C$2:$C$2001, ポートフォリオ実績!$B$2:$B$2001, B501, ポートフォリオ実績!$A$2:$A$2001, G501), 0)</f>
        <v>0</v>
      </c>
      <c r="J501">
        <f t="shared" si="78"/>
        <v>0</v>
      </c>
      <c r="K501">
        <f t="shared" si="79"/>
        <v>0</v>
      </c>
      <c r="L501">
        <f t="shared" si="80"/>
        <v>0</v>
      </c>
      <c r="M501">
        <f t="shared" si="81"/>
        <v>0</v>
      </c>
      <c r="N501">
        <f t="shared" si="82"/>
        <v>0</v>
      </c>
      <c r="O501">
        <f t="shared" si="83"/>
        <v>0</v>
      </c>
      <c r="P501" t="str">
        <f t="shared" si="84"/>
        <v/>
      </c>
      <c r="Q501" t="str">
        <f>IF(B501="","", IFERROR(VLOOKUP(B501, '基準資産配分（設定）'!$A$2:$C$2001, 3, FALSE), ""))</f>
        <v/>
      </c>
      <c r="R501" t="str">
        <f>IF(B501="","", IFERROR(VLOOKUP(B501, '基準資産配分（設定）'!$A$2:$C$2001, 2, FALSE)/100, 0))</f>
        <v/>
      </c>
      <c r="S501" t="str">
        <f>IF(B501="","", IFERROR(SUMIFS(ベンチマークリターン!$C$2:$C$2001, ベンチマークリターン!$A$2:$A$2001, A501, ベンチマークリターン!$B$2:$B$2001, Q501) / 100, 0))</f>
        <v/>
      </c>
      <c r="T501" t="str">
        <f>IF(A501="","", SUMIFS($H$2:$H$2000, $A$2:$A$2000, A501))</f>
        <v/>
      </c>
      <c r="U501" t="str">
        <f t="shared" si="85"/>
        <v/>
      </c>
      <c r="V501" t="str">
        <f t="shared" si="86"/>
        <v/>
      </c>
      <c r="W501" t="str">
        <f t="shared" si="87"/>
        <v/>
      </c>
    </row>
    <row r="502" spans="1:23" x14ac:dyDescent="0.2">
      <c r="A502" s="4" t="str">
        <f>IF(ポートフォリオ実績!A503="","", ポートフォリオ実績!A503)</f>
        <v/>
      </c>
      <c r="B502" t="str">
        <f>IF(ポートフォリオ実績!B503="","", ポートフォリオ実績!B503)</f>
        <v/>
      </c>
      <c r="C502" s="10" t="str">
        <f>IF(ポートフォリオ実績!C503="","", ポートフォリオ実績!C503)</f>
        <v/>
      </c>
      <c r="D502" s="10" t="str">
        <f>IF(ポートフォリオ実績!D503="","", ポートフォリオ実績!D503)</f>
        <v/>
      </c>
      <c r="E502" s="10" t="str">
        <f>IF(ポートフォリオ実績!E503="","", ポートフォリオ実績!E503)</f>
        <v/>
      </c>
      <c r="F502" s="10" t="str">
        <f>IF(ポートフォリオ実績!F503="","", ポートフォリオ実績!F503)</f>
        <v/>
      </c>
      <c r="G502" t="str">
        <f t="shared" si="77"/>
        <v/>
      </c>
      <c r="H502">
        <f>IF(B502&lt;&gt;"", SUMIFS(ポートフォリオ実績!$D$2:$D$2001, ポートフォリオ実績!$B$2:$B$2001, B502, ポートフォリオ実績!$A$2:$A$2001, G502), 0)</f>
        <v>0</v>
      </c>
      <c r="I502">
        <f>IF(B502&lt;&gt;"", SUMIFS(ポートフォリオ実績!$C$2:$C$2001, ポートフォリオ実績!$B$2:$B$2001, B502, ポートフォリオ実績!$A$2:$A$2001, G502), 0)</f>
        <v>0</v>
      </c>
      <c r="J502">
        <f t="shared" si="78"/>
        <v>0</v>
      </c>
      <c r="K502">
        <f t="shared" si="79"/>
        <v>0</v>
      </c>
      <c r="L502">
        <f t="shared" si="80"/>
        <v>0</v>
      </c>
      <c r="M502">
        <f t="shared" si="81"/>
        <v>0</v>
      </c>
      <c r="N502">
        <f t="shared" si="82"/>
        <v>0</v>
      </c>
      <c r="O502">
        <f t="shared" si="83"/>
        <v>0</v>
      </c>
      <c r="P502" t="str">
        <f t="shared" si="84"/>
        <v/>
      </c>
      <c r="Q502" t="str">
        <f>IF(B502="","", IFERROR(VLOOKUP(B502, '基準資産配分（設定）'!$A$2:$C$2001, 3, FALSE), ""))</f>
        <v/>
      </c>
      <c r="R502" t="str">
        <f>IF(B502="","", IFERROR(VLOOKUP(B502, '基準資産配分（設定）'!$A$2:$C$2001, 2, FALSE)/100, 0))</f>
        <v/>
      </c>
      <c r="S502" t="str">
        <f>IF(B502="","", IFERROR(SUMIFS(ベンチマークリターン!$C$2:$C$2001, ベンチマークリターン!$A$2:$A$2001, A502, ベンチマークリターン!$B$2:$B$2001, Q502) / 100, 0))</f>
        <v/>
      </c>
      <c r="T502" t="str">
        <f>IF(A502="","", SUMIFS($H$2:$H$2000, $A$2:$A$2000, A502))</f>
        <v/>
      </c>
      <c r="U502" t="str">
        <f t="shared" si="85"/>
        <v/>
      </c>
      <c r="V502" t="str">
        <f t="shared" si="86"/>
        <v/>
      </c>
      <c r="W502" t="str">
        <f t="shared" si="87"/>
        <v/>
      </c>
    </row>
    <row r="503" spans="1:23" x14ac:dyDescent="0.2">
      <c r="A503" s="4" t="str">
        <f>IF(ポートフォリオ実績!A504="","", ポートフォリオ実績!A504)</f>
        <v/>
      </c>
      <c r="B503" t="str">
        <f>IF(ポートフォリオ実績!B504="","", ポートフォリオ実績!B504)</f>
        <v/>
      </c>
      <c r="C503" s="10" t="str">
        <f>IF(ポートフォリオ実績!C504="","", ポートフォリオ実績!C504)</f>
        <v/>
      </c>
      <c r="D503" s="10" t="str">
        <f>IF(ポートフォリオ実績!D504="","", ポートフォリオ実績!D504)</f>
        <v/>
      </c>
      <c r="E503" s="10" t="str">
        <f>IF(ポートフォリオ実績!E504="","", ポートフォリオ実績!E504)</f>
        <v/>
      </c>
      <c r="F503" s="10" t="str">
        <f>IF(ポートフォリオ実績!F504="","", ポートフォリオ実績!F504)</f>
        <v/>
      </c>
      <c r="G503" t="str">
        <f t="shared" si="77"/>
        <v/>
      </c>
      <c r="H503">
        <f>IF(B503&lt;&gt;"", SUMIFS(ポートフォリオ実績!$D$2:$D$2001, ポートフォリオ実績!$B$2:$B$2001, B503, ポートフォリオ実績!$A$2:$A$2001, G503), 0)</f>
        <v>0</v>
      </c>
      <c r="I503">
        <f>IF(B503&lt;&gt;"", SUMIFS(ポートフォリオ実績!$C$2:$C$2001, ポートフォリオ実績!$B$2:$B$2001, B503, ポートフォリオ実績!$A$2:$A$2001, G503), 0)</f>
        <v>0</v>
      </c>
      <c r="J503">
        <f t="shared" si="78"/>
        <v>0</v>
      </c>
      <c r="K503">
        <f t="shared" si="79"/>
        <v>0</v>
      </c>
      <c r="L503">
        <f t="shared" si="80"/>
        <v>0</v>
      </c>
      <c r="M503">
        <f t="shared" si="81"/>
        <v>0</v>
      </c>
      <c r="N503">
        <f t="shared" si="82"/>
        <v>0</v>
      </c>
      <c r="O503">
        <f t="shared" si="83"/>
        <v>0</v>
      </c>
      <c r="P503" t="str">
        <f t="shared" si="84"/>
        <v/>
      </c>
      <c r="Q503" t="str">
        <f>IF(B503="","", IFERROR(VLOOKUP(B503, '基準資産配分（設定）'!$A$2:$C$2001, 3, FALSE), ""))</f>
        <v/>
      </c>
      <c r="R503" t="str">
        <f>IF(B503="","", IFERROR(VLOOKUP(B503, '基準資産配分（設定）'!$A$2:$C$2001, 2, FALSE)/100, 0))</f>
        <v/>
      </c>
      <c r="S503" t="str">
        <f>IF(B503="","", IFERROR(SUMIFS(ベンチマークリターン!$C$2:$C$2001, ベンチマークリターン!$A$2:$A$2001, A503, ベンチマークリターン!$B$2:$B$2001, Q503) / 100, 0))</f>
        <v/>
      </c>
      <c r="T503" t="str">
        <f>IF(A503="","", SUMIFS($H$2:$H$2000, $A$2:$A$2000, A503))</f>
        <v/>
      </c>
      <c r="U503" t="str">
        <f t="shared" si="85"/>
        <v/>
      </c>
      <c r="V503" t="str">
        <f t="shared" si="86"/>
        <v/>
      </c>
      <c r="W503" t="str">
        <f t="shared" si="87"/>
        <v/>
      </c>
    </row>
    <row r="504" spans="1:23" x14ac:dyDescent="0.2">
      <c r="A504" s="4" t="str">
        <f>IF(ポートフォリオ実績!A505="","", ポートフォリオ実績!A505)</f>
        <v/>
      </c>
      <c r="B504" t="str">
        <f>IF(ポートフォリオ実績!B505="","", ポートフォリオ実績!B505)</f>
        <v/>
      </c>
      <c r="C504" s="10" t="str">
        <f>IF(ポートフォリオ実績!C505="","", ポートフォリオ実績!C505)</f>
        <v/>
      </c>
      <c r="D504" s="10" t="str">
        <f>IF(ポートフォリオ実績!D505="","", ポートフォリオ実績!D505)</f>
        <v/>
      </c>
      <c r="E504" s="10" t="str">
        <f>IF(ポートフォリオ実績!E505="","", ポートフォリオ実績!E505)</f>
        <v/>
      </c>
      <c r="F504" s="10" t="str">
        <f>IF(ポートフォリオ実績!F505="","", ポートフォリオ実績!F505)</f>
        <v/>
      </c>
      <c r="G504" t="str">
        <f t="shared" si="77"/>
        <v/>
      </c>
      <c r="H504">
        <f>IF(B504&lt;&gt;"", SUMIFS(ポートフォリオ実績!$D$2:$D$2001, ポートフォリオ実績!$B$2:$B$2001, B504, ポートフォリオ実績!$A$2:$A$2001, G504), 0)</f>
        <v>0</v>
      </c>
      <c r="I504">
        <f>IF(B504&lt;&gt;"", SUMIFS(ポートフォリオ実績!$C$2:$C$2001, ポートフォリオ実績!$B$2:$B$2001, B504, ポートフォリオ実績!$A$2:$A$2001, G504), 0)</f>
        <v>0</v>
      </c>
      <c r="J504">
        <f t="shared" si="78"/>
        <v>0</v>
      </c>
      <c r="K504">
        <f t="shared" si="79"/>
        <v>0</v>
      </c>
      <c r="L504">
        <f t="shared" si="80"/>
        <v>0</v>
      </c>
      <c r="M504">
        <f t="shared" si="81"/>
        <v>0</v>
      </c>
      <c r="N504">
        <f t="shared" si="82"/>
        <v>0</v>
      </c>
      <c r="O504">
        <f t="shared" si="83"/>
        <v>0</v>
      </c>
      <c r="P504" t="str">
        <f t="shared" si="84"/>
        <v/>
      </c>
      <c r="Q504" t="str">
        <f>IF(B504="","", IFERROR(VLOOKUP(B504, '基準資産配分（設定）'!$A$2:$C$2001, 3, FALSE), ""))</f>
        <v/>
      </c>
      <c r="R504" t="str">
        <f>IF(B504="","", IFERROR(VLOOKUP(B504, '基準資産配分（設定）'!$A$2:$C$2001, 2, FALSE)/100, 0))</f>
        <v/>
      </c>
      <c r="S504" t="str">
        <f>IF(B504="","", IFERROR(SUMIFS(ベンチマークリターン!$C$2:$C$2001, ベンチマークリターン!$A$2:$A$2001, A504, ベンチマークリターン!$B$2:$B$2001, Q504) / 100, 0))</f>
        <v/>
      </c>
      <c r="T504" t="str">
        <f>IF(A504="","", SUMIFS($H$2:$H$2000, $A$2:$A$2000, A504))</f>
        <v/>
      </c>
      <c r="U504" t="str">
        <f t="shared" si="85"/>
        <v/>
      </c>
      <c r="V504" t="str">
        <f t="shared" si="86"/>
        <v/>
      </c>
      <c r="W504" t="str">
        <f t="shared" si="87"/>
        <v/>
      </c>
    </row>
    <row r="505" spans="1:23" x14ac:dyDescent="0.2">
      <c r="A505" s="4" t="str">
        <f>IF(ポートフォリオ実績!A506="","", ポートフォリオ実績!A506)</f>
        <v/>
      </c>
      <c r="B505" t="str">
        <f>IF(ポートフォリオ実績!B506="","", ポートフォリオ実績!B506)</f>
        <v/>
      </c>
      <c r="C505" s="10" t="str">
        <f>IF(ポートフォリオ実績!C506="","", ポートフォリオ実績!C506)</f>
        <v/>
      </c>
      <c r="D505" s="10" t="str">
        <f>IF(ポートフォリオ実績!D506="","", ポートフォリオ実績!D506)</f>
        <v/>
      </c>
      <c r="E505" s="10" t="str">
        <f>IF(ポートフォリオ実績!E506="","", ポートフォリオ実績!E506)</f>
        <v/>
      </c>
      <c r="F505" s="10" t="str">
        <f>IF(ポートフォリオ実績!F506="","", ポートフォリオ実績!F506)</f>
        <v/>
      </c>
      <c r="G505" t="str">
        <f t="shared" si="77"/>
        <v/>
      </c>
      <c r="H505">
        <f>IF(B505&lt;&gt;"", SUMIFS(ポートフォリオ実績!$D$2:$D$2001, ポートフォリオ実績!$B$2:$B$2001, B505, ポートフォリオ実績!$A$2:$A$2001, G505), 0)</f>
        <v>0</v>
      </c>
      <c r="I505">
        <f>IF(B505&lt;&gt;"", SUMIFS(ポートフォリオ実績!$C$2:$C$2001, ポートフォリオ実績!$B$2:$B$2001, B505, ポートフォリオ実績!$A$2:$A$2001, G505), 0)</f>
        <v>0</v>
      </c>
      <c r="J505">
        <f t="shared" si="78"/>
        <v>0</v>
      </c>
      <c r="K505">
        <f t="shared" si="79"/>
        <v>0</v>
      </c>
      <c r="L505">
        <f t="shared" si="80"/>
        <v>0</v>
      </c>
      <c r="M505">
        <f t="shared" si="81"/>
        <v>0</v>
      </c>
      <c r="N505">
        <f t="shared" si="82"/>
        <v>0</v>
      </c>
      <c r="O505">
        <f t="shared" si="83"/>
        <v>0</v>
      </c>
      <c r="P505" t="str">
        <f t="shared" si="84"/>
        <v/>
      </c>
      <c r="Q505" t="str">
        <f>IF(B505="","", IFERROR(VLOOKUP(B505, '基準資産配分（設定）'!$A$2:$C$2001, 3, FALSE), ""))</f>
        <v/>
      </c>
      <c r="R505" t="str">
        <f>IF(B505="","", IFERROR(VLOOKUP(B505, '基準資産配分（設定）'!$A$2:$C$2001, 2, FALSE)/100, 0))</f>
        <v/>
      </c>
      <c r="S505" t="str">
        <f>IF(B505="","", IFERROR(SUMIFS(ベンチマークリターン!$C$2:$C$2001, ベンチマークリターン!$A$2:$A$2001, A505, ベンチマークリターン!$B$2:$B$2001, Q505) / 100, 0))</f>
        <v/>
      </c>
      <c r="T505" t="str">
        <f>IF(A505="","", SUMIFS($H$2:$H$2000, $A$2:$A$2000, A505))</f>
        <v/>
      </c>
      <c r="U505" t="str">
        <f t="shared" si="85"/>
        <v/>
      </c>
      <c r="V505" t="str">
        <f t="shared" si="86"/>
        <v/>
      </c>
      <c r="W505" t="str">
        <f t="shared" si="87"/>
        <v/>
      </c>
    </row>
    <row r="506" spans="1:23" x14ac:dyDescent="0.2">
      <c r="A506" s="4" t="str">
        <f>IF(ポートフォリオ実績!A507="","", ポートフォリオ実績!A507)</f>
        <v/>
      </c>
      <c r="B506" t="str">
        <f>IF(ポートフォリオ実績!B507="","", ポートフォリオ実績!B507)</f>
        <v/>
      </c>
      <c r="C506" s="10" t="str">
        <f>IF(ポートフォリオ実績!C507="","", ポートフォリオ実績!C507)</f>
        <v/>
      </c>
      <c r="D506" s="10" t="str">
        <f>IF(ポートフォリオ実績!D507="","", ポートフォリオ実績!D507)</f>
        <v/>
      </c>
      <c r="E506" s="10" t="str">
        <f>IF(ポートフォリオ実績!E507="","", ポートフォリオ実績!E507)</f>
        <v/>
      </c>
      <c r="F506" s="10" t="str">
        <f>IF(ポートフォリオ実績!F507="","", ポートフォリオ実績!F507)</f>
        <v/>
      </c>
      <c r="G506" t="str">
        <f t="shared" si="77"/>
        <v/>
      </c>
      <c r="H506">
        <f>IF(B506&lt;&gt;"", SUMIFS(ポートフォリオ実績!$D$2:$D$2001, ポートフォリオ実績!$B$2:$B$2001, B506, ポートフォリオ実績!$A$2:$A$2001, G506), 0)</f>
        <v>0</v>
      </c>
      <c r="I506">
        <f>IF(B506&lt;&gt;"", SUMIFS(ポートフォリオ実績!$C$2:$C$2001, ポートフォリオ実績!$B$2:$B$2001, B506, ポートフォリオ実績!$A$2:$A$2001, G506), 0)</f>
        <v>0</v>
      </c>
      <c r="J506">
        <f t="shared" si="78"/>
        <v>0</v>
      </c>
      <c r="K506">
        <f t="shared" si="79"/>
        <v>0</v>
      </c>
      <c r="L506">
        <f t="shared" si="80"/>
        <v>0</v>
      </c>
      <c r="M506">
        <f t="shared" si="81"/>
        <v>0</v>
      </c>
      <c r="N506">
        <f t="shared" si="82"/>
        <v>0</v>
      </c>
      <c r="O506">
        <f t="shared" si="83"/>
        <v>0</v>
      </c>
      <c r="P506" t="str">
        <f t="shared" si="84"/>
        <v/>
      </c>
      <c r="Q506" t="str">
        <f>IF(B506="","", IFERROR(VLOOKUP(B506, '基準資産配分（設定）'!$A$2:$C$2001, 3, FALSE), ""))</f>
        <v/>
      </c>
      <c r="R506" t="str">
        <f>IF(B506="","", IFERROR(VLOOKUP(B506, '基準資産配分（設定）'!$A$2:$C$2001, 2, FALSE)/100, 0))</f>
        <v/>
      </c>
      <c r="S506" t="str">
        <f>IF(B506="","", IFERROR(SUMIFS(ベンチマークリターン!$C$2:$C$2001, ベンチマークリターン!$A$2:$A$2001, A506, ベンチマークリターン!$B$2:$B$2001, Q506) / 100, 0))</f>
        <v/>
      </c>
      <c r="T506" t="str">
        <f>IF(A506="","", SUMIFS($H$2:$H$2000, $A$2:$A$2000, A506))</f>
        <v/>
      </c>
      <c r="U506" t="str">
        <f t="shared" si="85"/>
        <v/>
      </c>
      <c r="V506" t="str">
        <f t="shared" si="86"/>
        <v/>
      </c>
      <c r="W506" t="str">
        <f t="shared" si="87"/>
        <v/>
      </c>
    </row>
    <row r="507" spans="1:23" x14ac:dyDescent="0.2">
      <c r="A507" s="4" t="str">
        <f>IF(ポートフォリオ実績!A508="","", ポートフォリオ実績!A508)</f>
        <v/>
      </c>
      <c r="B507" t="str">
        <f>IF(ポートフォリオ実績!B508="","", ポートフォリオ実績!B508)</f>
        <v/>
      </c>
      <c r="C507" s="10" t="str">
        <f>IF(ポートフォリオ実績!C508="","", ポートフォリオ実績!C508)</f>
        <v/>
      </c>
      <c r="D507" s="10" t="str">
        <f>IF(ポートフォリオ実績!D508="","", ポートフォリオ実績!D508)</f>
        <v/>
      </c>
      <c r="E507" s="10" t="str">
        <f>IF(ポートフォリオ実績!E508="","", ポートフォリオ実績!E508)</f>
        <v/>
      </c>
      <c r="F507" s="10" t="str">
        <f>IF(ポートフォリオ実績!F508="","", ポートフォリオ実績!F508)</f>
        <v/>
      </c>
      <c r="G507" t="str">
        <f t="shared" si="77"/>
        <v/>
      </c>
      <c r="H507">
        <f>IF(B507&lt;&gt;"", SUMIFS(ポートフォリオ実績!$D$2:$D$2001, ポートフォリオ実績!$B$2:$B$2001, B507, ポートフォリオ実績!$A$2:$A$2001, G507), 0)</f>
        <v>0</v>
      </c>
      <c r="I507">
        <f>IF(B507&lt;&gt;"", SUMIFS(ポートフォリオ実績!$C$2:$C$2001, ポートフォリオ実績!$B$2:$B$2001, B507, ポートフォリオ実績!$A$2:$A$2001, G507), 0)</f>
        <v>0</v>
      </c>
      <c r="J507">
        <f t="shared" si="78"/>
        <v>0</v>
      </c>
      <c r="K507">
        <f t="shared" si="79"/>
        <v>0</v>
      </c>
      <c r="L507">
        <f t="shared" si="80"/>
        <v>0</v>
      </c>
      <c r="M507">
        <f t="shared" si="81"/>
        <v>0</v>
      </c>
      <c r="N507">
        <f t="shared" si="82"/>
        <v>0</v>
      </c>
      <c r="O507">
        <f t="shared" si="83"/>
        <v>0</v>
      </c>
      <c r="P507" t="str">
        <f t="shared" si="84"/>
        <v/>
      </c>
      <c r="Q507" t="str">
        <f>IF(B507="","", IFERROR(VLOOKUP(B507, '基準資産配分（設定）'!$A$2:$C$2001, 3, FALSE), ""))</f>
        <v/>
      </c>
      <c r="R507" t="str">
        <f>IF(B507="","", IFERROR(VLOOKUP(B507, '基準資産配分（設定）'!$A$2:$C$2001, 2, FALSE)/100, 0))</f>
        <v/>
      </c>
      <c r="S507" t="str">
        <f>IF(B507="","", IFERROR(SUMIFS(ベンチマークリターン!$C$2:$C$2001, ベンチマークリターン!$A$2:$A$2001, A507, ベンチマークリターン!$B$2:$B$2001, Q507) / 100, 0))</f>
        <v/>
      </c>
      <c r="T507" t="str">
        <f>IF(A507="","", SUMIFS($H$2:$H$2000, $A$2:$A$2000, A507))</f>
        <v/>
      </c>
      <c r="U507" t="str">
        <f t="shared" si="85"/>
        <v/>
      </c>
      <c r="V507" t="str">
        <f t="shared" si="86"/>
        <v/>
      </c>
      <c r="W507" t="str">
        <f t="shared" si="87"/>
        <v/>
      </c>
    </row>
    <row r="508" spans="1:23" x14ac:dyDescent="0.2">
      <c r="A508" s="4" t="str">
        <f>IF(ポートフォリオ実績!A509="","", ポートフォリオ実績!A509)</f>
        <v/>
      </c>
      <c r="B508" t="str">
        <f>IF(ポートフォリオ実績!B509="","", ポートフォリオ実績!B509)</f>
        <v/>
      </c>
      <c r="C508" s="10" t="str">
        <f>IF(ポートフォリオ実績!C509="","", ポートフォリオ実績!C509)</f>
        <v/>
      </c>
      <c r="D508" s="10" t="str">
        <f>IF(ポートフォリオ実績!D509="","", ポートフォリオ実績!D509)</f>
        <v/>
      </c>
      <c r="E508" s="10" t="str">
        <f>IF(ポートフォリオ実績!E509="","", ポートフォリオ実績!E509)</f>
        <v/>
      </c>
      <c r="F508" s="10" t="str">
        <f>IF(ポートフォリオ実績!F509="","", ポートフォリオ実績!F509)</f>
        <v/>
      </c>
      <c r="G508" t="str">
        <f t="shared" si="77"/>
        <v/>
      </c>
      <c r="H508">
        <f>IF(B508&lt;&gt;"", SUMIFS(ポートフォリオ実績!$D$2:$D$2001, ポートフォリオ実績!$B$2:$B$2001, B508, ポートフォリオ実績!$A$2:$A$2001, G508), 0)</f>
        <v>0</v>
      </c>
      <c r="I508">
        <f>IF(B508&lt;&gt;"", SUMIFS(ポートフォリオ実績!$C$2:$C$2001, ポートフォリオ実績!$B$2:$B$2001, B508, ポートフォリオ実績!$A$2:$A$2001, G508), 0)</f>
        <v>0</v>
      </c>
      <c r="J508">
        <f t="shared" si="78"/>
        <v>0</v>
      </c>
      <c r="K508">
        <f t="shared" si="79"/>
        <v>0</v>
      </c>
      <c r="L508">
        <f t="shared" si="80"/>
        <v>0</v>
      </c>
      <c r="M508">
        <f t="shared" si="81"/>
        <v>0</v>
      </c>
      <c r="N508">
        <f t="shared" si="82"/>
        <v>0</v>
      </c>
      <c r="O508">
        <f t="shared" si="83"/>
        <v>0</v>
      </c>
      <c r="P508" t="str">
        <f t="shared" si="84"/>
        <v/>
      </c>
      <c r="Q508" t="str">
        <f>IF(B508="","", IFERROR(VLOOKUP(B508, '基準資産配分（設定）'!$A$2:$C$2001, 3, FALSE), ""))</f>
        <v/>
      </c>
      <c r="R508" t="str">
        <f>IF(B508="","", IFERROR(VLOOKUP(B508, '基準資産配分（設定）'!$A$2:$C$2001, 2, FALSE)/100, 0))</f>
        <v/>
      </c>
      <c r="S508" t="str">
        <f>IF(B508="","", IFERROR(SUMIFS(ベンチマークリターン!$C$2:$C$2001, ベンチマークリターン!$A$2:$A$2001, A508, ベンチマークリターン!$B$2:$B$2001, Q508) / 100, 0))</f>
        <v/>
      </c>
      <c r="T508" t="str">
        <f>IF(A508="","", SUMIFS($H$2:$H$2000, $A$2:$A$2000, A508))</f>
        <v/>
      </c>
      <c r="U508" t="str">
        <f t="shared" si="85"/>
        <v/>
      </c>
      <c r="V508" t="str">
        <f t="shared" si="86"/>
        <v/>
      </c>
      <c r="W508" t="str">
        <f t="shared" si="87"/>
        <v/>
      </c>
    </row>
    <row r="509" spans="1:23" x14ac:dyDescent="0.2">
      <c r="A509" s="4" t="str">
        <f>IF(ポートフォリオ実績!A510="","", ポートフォリオ実績!A510)</f>
        <v/>
      </c>
      <c r="B509" t="str">
        <f>IF(ポートフォリオ実績!B510="","", ポートフォリオ実績!B510)</f>
        <v/>
      </c>
      <c r="C509" s="10" t="str">
        <f>IF(ポートフォリオ実績!C510="","", ポートフォリオ実績!C510)</f>
        <v/>
      </c>
      <c r="D509" s="10" t="str">
        <f>IF(ポートフォリオ実績!D510="","", ポートフォリオ実績!D510)</f>
        <v/>
      </c>
      <c r="E509" s="10" t="str">
        <f>IF(ポートフォリオ実績!E510="","", ポートフォリオ実績!E510)</f>
        <v/>
      </c>
      <c r="F509" s="10" t="str">
        <f>IF(ポートフォリオ実績!F510="","", ポートフォリオ実績!F510)</f>
        <v/>
      </c>
      <c r="G509" t="str">
        <f t="shared" si="77"/>
        <v/>
      </c>
      <c r="H509">
        <f>IF(B509&lt;&gt;"", SUMIFS(ポートフォリオ実績!$D$2:$D$2001, ポートフォリオ実績!$B$2:$B$2001, B509, ポートフォリオ実績!$A$2:$A$2001, G509), 0)</f>
        <v>0</v>
      </c>
      <c r="I509">
        <f>IF(B509&lt;&gt;"", SUMIFS(ポートフォリオ実績!$C$2:$C$2001, ポートフォリオ実績!$B$2:$B$2001, B509, ポートフォリオ実績!$A$2:$A$2001, G509), 0)</f>
        <v>0</v>
      </c>
      <c r="J509">
        <f t="shared" si="78"/>
        <v>0</v>
      </c>
      <c r="K509">
        <f t="shared" si="79"/>
        <v>0</v>
      </c>
      <c r="L509">
        <f t="shared" si="80"/>
        <v>0</v>
      </c>
      <c r="M509">
        <f t="shared" si="81"/>
        <v>0</v>
      </c>
      <c r="N509">
        <f t="shared" si="82"/>
        <v>0</v>
      </c>
      <c r="O509">
        <f t="shared" si="83"/>
        <v>0</v>
      </c>
      <c r="P509" t="str">
        <f t="shared" si="84"/>
        <v/>
      </c>
      <c r="Q509" t="str">
        <f>IF(B509="","", IFERROR(VLOOKUP(B509, '基準資産配分（設定）'!$A$2:$C$2001, 3, FALSE), ""))</f>
        <v/>
      </c>
      <c r="R509" t="str">
        <f>IF(B509="","", IFERROR(VLOOKUP(B509, '基準資産配分（設定）'!$A$2:$C$2001, 2, FALSE)/100, 0))</f>
        <v/>
      </c>
      <c r="S509" t="str">
        <f>IF(B509="","", IFERROR(SUMIFS(ベンチマークリターン!$C$2:$C$2001, ベンチマークリターン!$A$2:$A$2001, A509, ベンチマークリターン!$B$2:$B$2001, Q509) / 100, 0))</f>
        <v/>
      </c>
      <c r="T509" t="str">
        <f>IF(A509="","", SUMIFS($H$2:$H$2000, $A$2:$A$2000, A509))</f>
        <v/>
      </c>
      <c r="U509" t="str">
        <f t="shared" si="85"/>
        <v/>
      </c>
      <c r="V509" t="str">
        <f t="shared" si="86"/>
        <v/>
      </c>
      <c r="W509" t="str">
        <f t="shared" si="87"/>
        <v/>
      </c>
    </row>
    <row r="510" spans="1:23" x14ac:dyDescent="0.2">
      <c r="A510" s="4" t="str">
        <f>IF(ポートフォリオ実績!A511="","", ポートフォリオ実績!A511)</f>
        <v/>
      </c>
      <c r="B510" t="str">
        <f>IF(ポートフォリオ実績!B511="","", ポートフォリオ実績!B511)</f>
        <v/>
      </c>
      <c r="C510" s="10" t="str">
        <f>IF(ポートフォリオ実績!C511="","", ポートフォリオ実績!C511)</f>
        <v/>
      </c>
      <c r="D510" s="10" t="str">
        <f>IF(ポートフォリオ実績!D511="","", ポートフォリオ実績!D511)</f>
        <v/>
      </c>
      <c r="E510" s="10" t="str">
        <f>IF(ポートフォリオ実績!E511="","", ポートフォリオ実績!E511)</f>
        <v/>
      </c>
      <c r="F510" s="10" t="str">
        <f>IF(ポートフォリオ実績!F511="","", ポートフォリオ実績!F511)</f>
        <v/>
      </c>
      <c r="G510" t="str">
        <f t="shared" si="77"/>
        <v/>
      </c>
      <c r="H510">
        <f>IF(B510&lt;&gt;"", SUMIFS(ポートフォリオ実績!$D$2:$D$2001, ポートフォリオ実績!$B$2:$B$2001, B510, ポートフォリオ実績!$A$2:$A$2001, G510), 0)</f>
        <v>0</v>
      </c>
      <c r="I510">
        <f>IF(B510&lt;&gt;"", SUMIFS(ポートフォリオ実績!$C$2:$C$2001, ポートフォリオ実績!$B$2:$B$2001, B510, ポートフォリオ実績!$A$2:$A$2001, G510), 0)</f>
        <v>0</v>
      </c>
      <c r="J510">
        <f t="shared" si="78"/>
        <v>0</v>
      </c>
      <c r="K510">
        <f t="shared" si="79"/>
        <v>0</v>
      </c>
      <c r="L510">
        <f t="shared" si="80"/>
        <v>0</v>
      </c>
      <c r="M510">
        <f t="shared" si="81"/>
        <v>0</v>
      </c>
      <c r="N510">
        <f t="shared" si="82"/>
        <v>0</v>
      </c>
      <c r="O510">
        <f t="shared" si="83"/>
        <v>0</v>
      </c>
      <c r="P510" t="str">
        <f t="shared" si="84"/>
        <v/>
      </c>
      <c r="Q510" t="str">
        <f>IF(B510="","", IFERROR(VLOOKUP(B510, '基準資産配分（設定）'!$A$2:$C$2001, 3, FALSE), ""))</f>
        <v/>
      </c>
      <c r="R510" t="str">
        <f>IF(B510="","", IFERROR(VLOOKUP(B510, '基準資産配分（設定）'!$A$2:$C$2001, 2, FALSE)/100, 0))</f>
        <v/>
      </c>
      <c r="S510" t="str">
        <f>IF(B510="","", IFERROR(SUMIFS(ベンチマークリターン!$C$2:$C$2001, ベンチマークリターン!$A$2:$A$2001, A510, ベンチマークリターン!$B$2:$B$2001, Q510) / 100, 0))</f>
        <v/>
      </c>
      <c r="T510" t="str">
        <f>IF(A510="","", SUMIFS($H$2:$H$2000, $A$2:$A$2000, A510))</f>
        <v/>
      </c>
      <c r="U510" t="str">
        <f t="shared" si="85"/>
        <v/>
      </c>
      <c r="V510" t="str">
        <f t="shared" si="86"/>
        <v/>
      </c>
      <c r="W510" t="str">
        <f t="shared" si="87"/>
        <v/>
      </c>
    </row>
    <row r="511" spans="1:23" x14ac:dyDescent="0.2">
      <c r="A511" s="4" t="str">
        <f>IF(ポートフォリオ実績!A512="","", ポートフォリオ実績!A512)</f>
        <v/>
      </c>
      <c r="B511" t="str">
        <f>IF(ポートフォリオ実績!B512="","", ポートフォリオ実績!B512)</f>
        <v/>
      </c>
      <c r="C511" s="10" t="str">
        <f>IF(ポートフォリオ実績!C512="","", ポートフォリオ実績!C512)</f>
        <v/>
      </c>
      <c r="D511" s="10" t="str">
        <f>IF(ポートフォリオ実績!D512="","", ポートフォリオ実績!D512)</f>
        <v/>
      </c>
      <c r="E511" s="10" t="str">
        <f>IF(ポートフォリオ実績!E512="","", ポートフォリオ実績!E512)</f>
        <v/>
      </c>
      <c r="F511" s="10" t="str">
        <f>IF(ポートフォリオ実績!F512="","", ポートフォリオ実績!F512)</f>
        <v/>
      </c>
      <c r="G511" t="str">
        <f t="shared" si="77"/>
        <v/>
      </c>
      <c r="H511">
        <f>IF(B511&lt;&gt;"", SUMIFS(ポートフォリオ実績!$D$2:$D$2001, ポートフォリオ実績!$B$2:$B$2001, B511, ポートフォリオ実績!$A$2:$A$2001, G511), 0)</f>
        <v>0</v>
      </c>
      <c r="I511">
        <f>IF(B511&lt;&gt;"", SUMIFS(ポートフォリオ実績!$C$2:$C$2001, ポートフォリオ実績!$B$2:$B$2001, B511, ポートフォリオ実績!$A$2:$A$2001, G511), 0)</f>
        <v>0</v>
      </c>
      <c r="J511">
        <f t="shared" si="78"/>
        <v>0</v>
      </c>
      <c r="K511">
        <f t="shared" si="79"/>
        <v>0</v>
      </c>
      <c r="L511">
        <f t="shared" si="80"/>
        <v>0</v>
      </c>
      <c r="M511">
        <f t="shared" si="81"/>
        <v>0</v>
      </c>
      <c r="N511">
        <f t="shared" si="82"/>
        <v>0</v>
      </c>
      <c r="O511">
        <f t="shared" si="83"/>
        <v>0</v>
      </c>
      <c r="P511" t="str">
        <f t="shared" si="84"/>
        <v/>
      </c>
      <c r="Q511" t="str">
        <f>IF(B511="","", IFERROR(VLOOKUP(B511, '基準資産配分（設定）'!$A$2:$C$2001, 3, FALSE), ""))</f>
        <v/>
      </c>
      <c r="R511" t="str">
        <f>IF(B511="","", IFERROR(VLOOKUP(B511, '基準資産配分（設定）'!$A$2:$C$2001, 2, FALSE)/100, 0))</f>
        <v/>
      </c>
      <c r="S511" t="str">
        <f>IF(B511="","", IFERROR(SUMIFS(ベンチマークリターン!$C$2:$C$2001, ベンチマークリターン!$A$2:$A$2001, A511, ベンチマークリターン!$B$2:$B$2001, Q511) / 100, 0))</f>
        <v/>
      </c>
      <c r="T511" t="str">
        <f>IF(A511="","", SUMIFS($H$2:$H$2000, $A$2:$A$2000, A511))</f>
        <v/>
      </c>
      <c r="U511" t="str">
        <f t="shared" si="85"/>
        <v/>
      </c>
      <c r="V511" t="str">
        <f t="shared" si="86"/>
        <v/>
      </c>
      <c r="W511" t="str">
        <f t="shared" si="87"/>
        <v/>
      </c>
    </row>
    <row r="512" spans="1:23" x14ac:dyDescent="0.2">
      <c r="A512" s="4" t="str">
        <f>IF(ポートフォリオ実績!A513="","", ポートフォリオ実績!A513)</f>
        <v/>
      </c>
      <c r="B512" t="str">
        <f>IF(ポートフォリオ実績!B513="","", ポートフォリオ実績!B513)</f>
        <v/>
      </c>
      <c r="C512" s="10" t="str">
        <f>IF(ポートフォリオ実績!C513="","", ポートフォリオ実績!C513)</f>
        <v/>
      </c>
      <c r="D512" s="10" t="str">
        <f>IF(ポートフォリオ実績!D513="","", ポートフォリオ実績!D513)</f>
        <v/>
      </c>
      <c r="E512" s="10" t="str">
        <f>IF(ポートフォリオ実績!E513="","", ポートフォリオ実績!E513)</f>
        <v/>
      </c>
      <c r="F512" s="10" t="str">
        <f>IF(ポートフォリオ実績!F513="","", ポートフォリオ実績!F513)</f>
        <v/>
      </c>
      <c r="G512" t="str">
        <f t="shared" si="77"/>
        <v/>
      </c>
      <c r="H512">
        <f>IF(B512&lt;&gt;"", SUMIFS(ポートフォリオ実績!$D$2:$D$2001, ポートフォリオ実績!$B$2:$B$2001, B512, ポートフォリオ実績!$A$2:$A$2001, G512), 0)</f>
        <v>0</v>
      </c>
      <c r="I512">
        <f>IF(B512&lt;&gt;"", SUMIFS(ポートフォリオ実績!$C$2:$C$2001, ポートフォリオ実績!$B$2:$B$2001, B512, ポートフォリオ実績!$A$2:$A$2001, G512), 0)</f>
        <v>0</v>
      </c>
      <c r="J512">
        <f t="shared" si="78"/>
        <v>0</v>
      </c>
      <c r="K512">
        <f t="shared" si="79"/>
        <v>0</v>
      </c>
      <c r="L512">
        <f t="shared" si="80"/>
        <v>0</v>
      </c>
      <c r="M512">
        <f t="shared" si="81"/>
        <v>0</v>
      </c>
      <c r="N512">
        <f t="shared" si="82"/>
        <v>0</v>
      </c>
      <c r="O512">
        <f t="shared" si="83"/>
        <v>0</v>
      </c>
      <c r="P512" t="str">
        <f t="shared" si="84"/>
        <v/>
      </c>
      <c r="Q512" t="str">
        <f>IF(B512="","", IFERROR(VLOOKUP(B512, '基準資産配分（設定）'!$A$2:$C$2001, 3, FALSE), ""))</f>
        <v/>
      </c>
      <c r="R512" t="str">
        <f>IF(B512="","", IFERROR(VLOOKUP(B512, '基準資産配分（設定）'!$A$2:$C$2001, 2, FALSE)/100, 0))</f>
        <v/>
      </c>
      <c r="S512" t="str">
        <f>IF(B512="","", IFERROR(SUMIFS(ベンチマークリターン!$C$2:$C$2001, ベンチマークリターン!$A$2:$A$2001, A512, ベンチマークリターン!$B$2:$B$2001, Q512) / 100, 0))</f>
        <v/>
      </c>
      <c r="T512" t="str">
        <f>IF(A512="","", SUMIFS($H$2:$H$2000, $A$2:$A$2000, A512))</f>
        <v/>
      </c>
      <c r="U512" t="str">
        <f t="shared" si="85"/>
        <v/>
      </c>
      <c r="V512" t="str">
        <f t="shared" si="86"/>
        <v/>
      </c>
      <c r="W512" t="str">
        <f t="shared" si="87"/>
        <v/>
      </c>
    </row>
    <row r="513" spans="1:23" x14ac:dyDescent="0.2">
      <c r="A513" s="4" t="str">
        <f>IF(ポートフォリオ実績!A514="","", ポートフォリオ実績!A514)</f>
        <v/>
      </c>
      <c r="B513" t="str">
        <f>IF(ポートフォリオ実績!B514="","", ポートフォリオ実績!B514)</f>
        <v/>
      </c>
      <c r="C513" s="10" t="str">
        <f>IF(ポートフォリオ実績!C514="","", ポートフォリオ実績!C514)</f>
        <v/>
      </c>
      <c r="D513" s="10" t="str">
        <f>IF(ポートフォリオ実績!D514="","", ポートフォリオ実績!D514)</f>
        <v/>
      </c>
      <c r="E513" s="10" t="str">
        <f>IF(ポートフォリオ実績!E514="","", ポートフォリオ実績!E514)</f>
        <v/>
      </c>
      <c r="F513" s="10" t="str">
        <f>IF(ポートフォリオ実績!F514="","", ポートフォリオ実績!F514)</f>
        <v/>
      </c>
      <c r="G513" t="str">
        <f t="shared" ref="G513:G576" si="88">IF(A513&lt;&gt;"", EOMONTH(A513, -1), "")</f>
        <v/>
      </c>
      <c r="H513">
        <f>IF(B513&lt;&gt;"", SUMIFS(ポートフォリオ実績!$D$2:$D$2001, ポートフォリオ実績!$B$2:$B$2001, B513, ポートフォリオ実績!$A$2:$A$2001, G513), 0)</f>
        <v>0</v>
      </c>
      <c r="I513">
        <f>IF(B513&lt;&gt;"", SUMIFS(ポートフォリオ実績!$C$2:$C$2001, ポートフォリオ実績!$B$2:$B$2001, B513, ポートフォリオ実績!$A$2:$A$2001, G513), 0)</f>
        <v>0</v>
      </c>
      <c r="J513">
        <f t="shared" ref="J513:J576" si="89">IF(A513&lt;&gt;"", D513-C513, 0)</f>
        <v>0</v>
      </c>
      <c r="K513">
        <f t="shared" ref="K513:K576" si="90">IF(A513&lt;&gt;"", H513-I513, 0)</f>
        <v>0</v>
      </c>
      <c r="L513">
        <f t="shared" ref="L513:L576" si="91">IF(H513=0, 0, J513-K513)</f>
        <v>0</v>
      </c>
      <c r="M513">
        <f t="shared" ref="M513:M576" si="92">IF(A513&lt;&gt;"", E513+F513+L513, 0)</f>
        <v>0</v>
      </c>
      <c r="N513">
        <f t="shared" ref="N513:N576" si="93">IF(H513=0, 0, (D513-H513)-M513)</f>
        <v>0</v>
      </c>
      <c r="O513">
        <f t="shared" ref="O513:O576" si="94">IF(A513&lt;&gt;"", H513+N513*0.5, 0)</f>
        <v>0</v>
      </c>
      <c r="P513" t="str">
        <f t="shared" ref="P513:P576" si="95">IF(A513="","", IF(O513&gt;0.000001, M513/O513, IF(ABS(M513)&lt;0.000001, 0, 0)))</f>
        <v/>
      </c>
      <c r="Q513" t="str">
        <f>IF(B513="","", IFERROR(VLOOKUP(B513, '基準資産配分（設定）'!$A$2:$C$2001, 3, FALSE), ""))</f>
        <v/>
      </c>
      <c r="R513" t="str">
        <f>IF(B513="","", IFERROR(VLOOKUP(B513, '基準資産配分（設定）'!$A$2:$C$2001, 2, FALSE)/100, 0))</f>
        <v/>
      </c>
      <c r="S513" t="str">
        <f>IF(B513="","", IFERROR(SUMIFS(ベンチマークリターン!$C$2:$C$2001, ベンチマークリターン!$A$2:$A$2001, A513, ベンチマークリターン!$B$2:$B$2001, Q513) / 100, 0))</f>
        <v/>
      </c>
      <c r="T513" t="str">
        <f>IF(A513="","", SUMIFS($H$2:$H$2000, $A$2:$A$2000, A513))</f>
        <v/>
      </c>
      <c r="U513" t="str">
        <f t="shared" ref="U513:U576" si="96">IF(A513="","", IFERROR(H513/T513, 0))</f>
        <v/>
      </c>
      <c r="V513" t="str">
        <f t="shared" ref="V513:V576" si="97">IF(A513="","", U513*P513)</f>
        <v/>
      </c>
      <c r="W513" t="str">
        <f t="shared" ref="W513:W576" si="98">IF(A513="","", R513*S513)</f>
        <v/>
      </c>
    </row>
    <row r="514" spans="1:23" x14ac:dyDescent="0.2">
      <c r="A514" s="4" t="str">
        <f>IF(ポートフォリオ実績!A515="","", ポートフォリオ実績!A515)</f>
        <v/>
      </c>
      <c r="B514" t="str">
        <f>IF(ポートフォリオ実績!B515="","", ポートフォリオ実績!B515)</f>
        <v/>
      </c>
      <c r="C514" s="10" t="str">
        <f>IF(ポートフォリオ実績!C515="","", ポートフォリオ実績!C515)</f>
        <v/>
      </c>
      <c r="D514" s="10" t="str">
        <f>IF(ポートフォリオ実績!D515="","", ポートフォリオ実績!D515)</f>
        <v/>
      </c>
      <c r="E514" s="10" t="str">
        <f>IF(ポートフォリオ実績!E515="","", ポートフォリオ実績!E515)</f>
        <v/>
      </c>
      <c r="F514" s="10" t="str">
        <f>IF(ポートフォリオ実績!F515="","", ポートフォリオ実績!F515)</f>
        <v/>
      </c>
      <c r="G514" t="str">
        <f t="shared" si="88"/>
        <v/>
      </c>
      <c r="H514">
        <f>IF(B514&lt;&gt;"", SUMIFS(ポートフォリオ実績!$D$2:$D$2001, ポートフォリオ実績!$B$2:$B$2001, B514, ポートフォリオ実績!$A$2:$A$2001, G514), 0)</f>
        <v>0</v>
      </c>
      <c r="I514">
        <f>IF(B514&lt;&gt;"", SUMIFS(ポートフォリオ実績!$C$2:$C$2001, ポートフォリオ実績!$B$2:$B$2001, B514, ポートフォリオ実績!$A$2:$A$2001, G514), 0)</f>
        <v>0</v>
      </c>
      <c r="J514">
        <f t="shared" si="89"/>
        <v>0</v>
      </c>
      <c r="K514">
        <f t="shared" si="90"/>
        <v>0</v>
      </c>
      <c r="L514">
        <f t="shared" si="91"/>
        <v>0</v>
      </c>
      <c r="M514">
        <f t="shared" si="92"/>
        <v>0</v>
      </c>
      <c r="N514">
        <f t="shared" si="93"/>
        <v>0</v>
      </c>
      <c r="O514">
        <f t="shared" si="94"/>
        <v>0</v>
      </c>
      <c r="P514" t="str">
        <f t="shared" si="95"/>
        <v/>
      </c>
      <c r="Q514" t="str">
        <f>IF(B514="","", IFERROR(VLOOKUP(B514, '基準資産配分（設定）'!$A$2:$C$2001, 3, FALSE), ""))</f>
        <v/>
      </c>
      <c r="R514" t="str">
        <f>IF(B514="","", IFERROR(VLOOKUP(B514, '基準資産配分（設定）'!$A$2:$C$2001, 2, FALSE)/100, 0))</f>
        <v/>
      </c>
      <c r="S514" t="str">
        <f>IF(B514="","", IFERROR(SUMIFS(ベンチマークリターン!$C$2:$C$2001, ベンチマークリターン!$A$2:$A$2001, A514, ベンチマークリターン!$B$2:$B$2001, Q514) / 100, 0))</f>
        <v/>
      </c>
      <c r="T514" t="str">
        <f>IF(A514="","", SUMIFS($H$2:$H$2000, $A$2:$A$2000, A514))</f>
        <v/>
      </c>
      <c r="U514" t="str">
        <f t="shared" si="96"/>
        <v/>
      </c>
      <c r="V514" t="str">
        <f t="shared" si="97"/>
        <v/>
      </c>
      <c r="W514" t="str">
        <f t="shared" si="98"/>
        <v/>
      </c>
    </row>
    <row r="515" spans="1:23" x14ac:dyDescent="0.2">
      <c r="A515" s="4" t="str">
        <f>IF(ポートフォリオ実績!A516="","", ポートフォリオ実績!A516)</f>
        <v/>
      </c>
      <c r="B515" t="str">
        <f>IF(ポートフォリオ実績!B516="","", ポートフォリオ実績!B516)</f>
        <v/>
      </c>
      <c r="C515" s="10" t="str">
        <f>IF(ポートフォリオ実績!C516="","", ポートフォリオ実績!C516)</f>
        <v/>
      </c>
      <c r="D515" s="10" t="str">
        <f>IF(ポートフォリオ実績!D516="","", ポートフォリオ実績!D516)</f>
        <v/>
      </c>
      <c r="E515" s="10" t="str">
        <f>IF(ポートフォリオ実績!E516="","", ポートフォリオ実績!E516)</f>
        <v/>
      </c>
      <c r="F515" s="10" t="str">
        <f>IF(ポートフォリオ実績!F516="","", ポートフォリオ実績!F516)</f>
        <v/>
      </c>
      <c r="G515" t="str">
        <f t="shared" si="88"/>
        <v/>
      </c>
      <c r="H515">
        <f>IF(B515&lt;&gt;"", SUMIFS(ポートフォリオ実績!$D$2:$D$2001, ポートフォリオ実績!$B$2:$B$2001, B515, ポートフォリオ実績!$A$2:$A$2001, G515), 0)</f>
        <v>0</v>
      </c>
      <c r="I515">
        <f>IF(B515&lt;&gt;"", SUMIFS(ポートフォリオ実績!$C$2:$C$2001, ポートフォリオ実績!$B$2:$B$2001, B515, ポートフォリオ実績!$A$2:$A$2001, G515), 0)</f>
        <v>0</v>
      </c>
      <c r="J515">
        <f t="shared" si="89"/>
        <v>0</v>
      </c>
      <c r="K515">
        <f t="shared" si="90"/>
        <v>0</v>
      </c>
      <c r="L515">
        <f t="shared" si="91"/>
        <v>0</v>
      </c>
      <c r="M515">
        <f t="shared" si="92"/>
        <v>0</v>
      </c>
      <c r="N515">
        <f t="shared" si="93"/>
        <v>0</v>
      </c>
      <c r="O515">
        <f t="shared" si="94"/>
        <v>0</v>
      </c>
      <c r="P515" t="str">
        <f t="shared" si="95"/>
        <v/>
      </c>
      <c r="Q515" t="str">
        <f>IF(B515="","", IFERROR(VLOOKUP(B515, '基準資産配分（設定）'!$A$2:$C$2001, 3, FALSE), ""))</f>
        <v/>
      </c>
      <c r="R515" t="str">
        <f>IF(B515="","", IFERROR(VLOOKUP(B515, '基準資産配分（設定）'!$A$2:$C$2001, 2, FALSE)/100, 0))</f>
        <v/>
      </c>
      <c r="S515" t="str">
        <f>IF(B515="","", IFERROR(SUMIFS(ベンチマークリターン!$C$2:$C$2001, ベンチマークリターン!$A$2:$A$2001, A515, ベンチマークリターン!$B$2:$B$2001, Q515) / 100, 0))</f>
        <v/>
      </c>
      <c r="T515" t="str">
        <f>IF(A515="","", SUMIFS($H$2:$H$2000, $A$2:$A$2000, A515))</f>
        <v/>
      </c>
      <c r="U515" t="str">
        <f t="shared" si="96"/>
        <v/>
      </c>
      <c r="V515" t="str">
        <f t="shared" si="97"/>
        <v/>
      </c>
      <c r="W515" t="str">
        <f t="shared" si="98"/>
        <v/>
      </c>
    </row>
    <row r="516" spans="1:23" x14ac:dyDescent="0.2">
      <c r="A516" s="4" t="str">
        <f>IF(ポートフォリオ実績!A517="","", ポートフォリオ実績!A517)</f>
        <v/>
      </c>
      <c r="B516" t="str">
        <f>IF(ポートフォリオ実績!B517="","", ポートフォリオ実績!B517)</f>
        <v/>
      </c>
      <c r="C516" s="10" t="str">
        <f>IF(ポートフォリオ実績!C517="","", ポートフォリオ実績!C517)</f>
        <v/>
      </c>
      <c r="D516" s="10" t="str">
        <f>IF(ポートフォリオ実績!D517="","", ポートフォリオ実績!D517)</f>
        <v/>
      </c>
      <c r="E516" s="10" t="str">
        <f>IF(ポートフォリオ実績!E517="","", ポートフォリオ実績!E517)</f>
        <v/>
      </c>
      <c r="F516" s="10" t="str">
        <f>IF(ポートフォリオ実績!F517="","", ポートフォリオ実績!F517)</f>
        <v/>
      </c>
      <c r="G516" t="str">
        <f t="shared" si="88"/>
        <v/>
      </c>
      <c r="H516">
        <f>IF(B516&lt;&gt;"", SUMIFS(ポートフォリオ実績!$D$2:$D$2001, ポートフォリオ実績!$B$2:$B$2001, B516, ポートフォリオ実績!$A$2:$A$2001, G516), 0)</f>
        <v>0</v>
      </c>
      <c r="I516">
        <f>IF(B516&lt;&gt;"", SUMIFS(ポートフォリオ実績!$C$2:$C$2001, ポートフォリオ実績!$B$2:$B$2001, B516, ポートフォリオ実績!$A$2:$A$2001, G516), 0)</f>
        <v>0</v>
      </c>
      <c r="J516">
        <f t="shared" si="89"/>
        <v>0</v>
      </c>
      <c r="K516">
        <f t="shared" si="90"/>
        <v>0</v>
      </c>
      <c r="L516">
        <f t="shared" si="91"/>
        <v>0</v>
      </c>
      <c r="M516">
        <f t="shared" si="92"/>
        <v>0</v>
      </c>
      <c r="N516">
        <f t="shared" si="93"/>
        <v>0</v>
      </c>
      <c r="O516">
        <f t="shared" si="94"/>
        <v>0</v>
      </c>
      <c r="P516" t="str">
        <f t="shared" si="95"/>
        <v/>
      </c>
      <c r="Q516" t="str">
        <f>IF(B516="","", IFERROR(VLOOKUP(B516, '基準資産配分（設定）'!$A$2:$C$2001, 3, FALSE), ""))</f>
        <v/>
      </c>
      <c r="R516" t="str">
        <f>IF(B516="","", IFERROR(VLOOKUP(B516, '基準資産配分（設定）'!$A$2:$C$2001, 2, FALSE)/100, 0))</f>
        <v/>
      </c>
      <c r="S516" t="str">
        <f>IF(B516="","", IFERROR(SUMIFS(ベンチマークリターン!$C$2:$C$2001, ベンチマークリターン!$A$2:$A$2001, A516, ベンチマークリターン!$B$2:$B$2001, Q516) / 100, 0))</f>
        <v/>
      </c>
      <c r="T516" t="str">
        <f>IF(A516="","", SUMIFS($H$2:$H$2000, $A$2:$A$2000, A516))</f>
        <v/>
      </c>
      <c r="U516" t="str">
        <f t="shared" si="96"/>
        <v/>
      </c>
      <c r="V516" t="str">
        <f t="shared" si="97"/>
        <v/>
      </c>
      <c r="W516" t="str">
        <f t="shared" si="98"/>
        <v/>
      </c>
    </row>
    <row r="517" spans="1:23" x14ac:dyDescent="0.2">
      <c r="A517" s="4" t="str">
        <f>IF(ポートフォリオ実績!A518="","", ポートフォリオ実績!A518)</f>
        <v/>
      </c>
      <c r="B517" t="str">
        <f>IF(ポートフォリオ実績!B518="","", ポートフォリオ実績!B518)</f>
        <v/>
      </c>
      <c r="C517" s="10" t="str">
        <f>IF(ポートフォリオ実績!C518="","", ポートフォリオ実績!C518)</f>
        <v/>
      </c>
      <c r="D517" s="10" t="str">
        <f>IF(ポートフォリオ実績!D518="","", ポートフォリオ実績!D518)</f>
        <v/>
      </c>
      <c r="E517" s="10" t="str">
        <f>IF(ポートフォリオ実績!E518="","", ポートフォリオ実績!E518)</f>
        <v/>
      </c>
      <c r="F517" s="10" t="str">
        <f>IF(ポートフォリオ実績!F518="","", ポートフォリオ実績!F518)</f>
        <v/>
      </c>
      <c r="G517" t="str">
        <f t="shared" si="88"/>
        <v/>
      </c>
      <c r="H517">
        <f>IF(B517&lt;&gt;"", SUMIFS(ポートフォリオ実績!$D$2:$D$2001, ポートフォリオ実績!$B$2:$B$2001, B517, ポートフォリオ実績!$A$2:$A$2001, G517), 0)</f>
        <v>0</v>
      </c>
      <c r="I517">
        <f>IF(B517&lt;&gt;"", SUMIFS(ポートフォリオ実績!$C$2:$C$2001, ポートフォリオ実績!$B$2:$B$2001, B517, ポートフォリオ実績!$A$2:$A$2001, G517), 0)</f>
        <v>0</v>
      </c>
      <c r="J517">
        <f t="shared" si="89"/>
        <v>0</v>
      </c>
      <c r="K517">
        <f t="shared" si="90"/>
        <v>0</v>
      </c>
      <c r="L517">
        <f t="shared" si="91"/>
        <v>0</v>
      </c>
      <c r="M517">
        <f t="shared" si="92"/>
        <v>0</v>
      </c>
      <c r="N517">
        <f t="shared" si="93"/>
        <v>0</v>
      </c>
      <c r="O517">
        <f t="shared" si="94"/>
        <v>0</v>
      </c>
      <c r="P517" t="str">
        <f t="shared" si="95"/>
        <v/>
      </c>
      <c r="Q517" t="str">
        <f>IF(B517="","", IFERROR(VLOOKUP(B517, '基準資産配分（設定）'!$A$2:$C$2001, 3, FALSE), ""))</f>
        <v/>
      </c>
      <c r="R517" t="str">
        <f>IF(B517="","", IFERROR(VLOOKUP(B517, '基準資産配分（設定）'!$A$2:$C$2001, 2, FALSE)/100, 0))</f>
        <v/>
      </c>
      <c r="S517" t="str">
        <f>IF(B517="","", IFERROR(SUMIFS(ベンチマークリターン!$C$2:$C$2001, ベンチマークリターン!$A$2:$A$2001, A517, ベンチマークリターン!$B$2:$B$2001, Q517) / 100, 0))</f>
        <v/>
      </c>
      <c r="T517" t="str">
        <f>IF(A517="","", SUMIFS($H$2:$H$2000, $A$2:$A$2000, A517))</f>
        <v/>
      </c>
      <c r="U517" t="str">
        <f t="shared" si="96"/>
        <v/>
      </c>
      <c r="V517" t="str">
        <f t="shared" si="97"/>
        <v/>
      </c>
      <c r="W517" t="str">
        <f t="shared" si="98"/>
        <v/>
      </c>
    </row>
    <row r="518" spans="1:23" x14ac:dyDescent="0.2">
      <c r="A518" s="4" t="str">
        <f>IF(ポートフォリオ実績!A519="","", ポートフォリオ実績!A519)</f>
        <v/>
      </c>
      <c r="B518" t="str">
        <f>IF(ポートフォリオ実績!B519="","", ポートフォリオ実績!B519)</f>
        <v/>
      </c>
      <c r="C518" s="10" t="str">
        <f>IF(ポートフォリオ実績!C519="","", ポートフォリオ実績!C519)</f>
        <v/>
      </c>
      <c r="D518" s="10" t="str">
        <f>IF(ポートフォリオ実績!D519="","", ポートフォリオ実績!D519)</f>
        <v/>
      </c>
      <c r="E518" s="10" t="str">
        <f>IF(ポートフォリオ実績!E519="","", ポートフォリオ実績!E519)</f>
        <v/>
      </c>
      <c r="F518" s="10" t="str">
        <f>IF(ポートフォリオ実績!F519="","", ポートフォリオ実績!F519)</f>
        <v/>
      </c>
      <c r="G518" t="str">
        <f t="shared" si="88"/>
        <v/>
      </c>
      <c r="H518">
        <f>IF(B518&lt;&gt;"", SUMIFS(ポートフォリオ実績!$D$2:$D$2001, ポートフォリオ実績!$B$2:$B$2001, B518, ポートフォリオ実績!$A$2:$A$2001, G518), 0)</f>
        <v>0</v>
      </c>
      <c r="I518">
        <f>IF(B518&lt;&gt;"", SUMIFS(ポートフォリオ実績!$C$2:$C$2001, ポートフォリオ実績!$B$2:$B$2001, B518, ポートフォリオ実績!$A$2:$A$2001, G518), 0)</f>
        <v>0</v>
      </c>
      <c r="J518">
        <f t="shared" si="89"/>
        <v>0</v>
      </c>
      <c r="K518">
        <f t="shared" si="90"/>
        <v>0</v>
      </c>
      <c r="L518">
        <f t="shared" si="91"/>
        <v>0</v>
      </c>
      <c r="M518">
        <f t="shared" si="92"/>
        <v>0</v>
      </c>
      <c r="N518">
        <f t="shared" si="93"/>
        <v>0</v>
      </c>
      <c r="O518">
        <f t="shared" si="94"/>
        <v>0</v>
      </c>
      <c r="P518" t="str">
        <f t="shared" si="95"/>
        <v/>
      </c>
      <c r="Q518" t="str">
        <f>IF(B518="","", IFERROR(VLOOKUP(B518, '基準資産配分（設定）'!$A$2:$C$2001, 3, FALSE), ""))</f>
        <v/>
      </c>
      <c r="R518" t="str">
        <f>IF(B518="","", IFERROR(VLOOKUP(B518, '基準資産配分（設定）'!$A$2:$C$2001, 2, FALSE)/100, 0))</f>
        <v/>
      </c>
      <c r="S518" t="str">
        <f>IF(B518="","", IFERROR(SUMIFS(ベンチマークリターン!$C$2:$C$2001, ベンチマークリターン!$A$2:$A$2001, A518, ベンチマークリターン!$B$2:$B$2001, Q518) / 100, 0))</f>
        <v/>
      </c>
      <c r="T518" t="str">
        <f>IF(A518="","", SUMIFS($H$2:$H$2000, $A$2:$A$2000, A518))</f>
        <v/>
      </c>
      <c r="U518" t="str">
        <f t="shared" si="96"/>
        <v/>
      </c>
      <c r="V518" t="str">
        <f t="shared" si="97"/>
        <v/>
      </c>
      <c r="W518" t="str">
        <f t="shared" si="98"/>
        <v/>
      </c>
    </row>
    <row r="519" spans="1:23" x14ac:dyDescent="0.2">
      <c r="A519" s="4" t="str">
        <f>IF(ポートフォリオ実績!A520="","", ポートフォリオ実績!A520)</f>
        <v/>
      </c>
      <c r="B519" t="str">
        <f>IF(ポートフォリオ実績!B520="","", ポートフォリオ実績!B520)</f>
        <v/>
      </c>
      <c r="C519" s="10" t="str">
        <f>IF(ポートフォリオ実績!C520="","", ポートフォリオ実績!C520)</f>
        <v/>
      </c>
      <c r="D519" s="10" t="str">
        <f>IF(ポートフォリオ実績!D520="","", ポートフォリオ実績!D520)</f>
        <v/>
      </c>
      <c r="E519" s="10" t="str">
        <f>IF(ポートフォリオ実績!E520="","", ポートフォリオ実績!E520)</f>
        <v/>
      </c>
      <c r="F519" s="10" t="str">
        <f>IF(ポートフォリオ実績!F520="","", ポートフォリオ実績!F520)</f>
        <v/>
      </c>
      <c r="G519" t="str">
        <f t="shared" si="88"/>
        <v/>
      </c>
      <c r="H519">
        <f>IF(B519&lt;&gt;"", SUMIFS(ポートフォリオ実績!$D$2:$D$2001, ポートフォリオ実績!$B$2:$B$2001, B519, ポートフォリオ実績!$A$2:$A$2001, G519), 0)</f>
        <v>0</v>
      </c>
      <c r="I519">
        <f>IF(B519&lt;&gt;"", SUMIFS(ポートフォリオ実績!$C$2:$C$2001, ポートフォリオ実績!$B$2:$B$2001, B519, ポートフォリオ実績!$A$2:$A$2001, G519), 0)</f>
        <v>0</v>
      </c>
      <c r="J519">
        <f t="shared" si="89"/>
        <v>0</v>
      </c>
      <c r="K519">
        <f t="shared" si="90"/>
        <v>0</v>
      </c>
      <c r="L519">
        <f t="shared" si="91"/>
        <v>0</v>
      </c>
      <c r="M519">
        <f t="shared" si="92"/>
        <v>0</v>
      </c>
      <c r="N519">
        <f t="shared" si="93"/>
        <v>0</v>
      </c>
      <c r="O519">
        <f t="shared" si="94"/>
        <v>0</v>
      </c>
      <c r="P519" t="str">
        <f t="shared" si="95"/>
        <v/>
      </c>
      <c r="Q519" t="str">
        <f>IF(B519="","", IFERROR(VLOOKUP(B519, '基準資産配分（設定）'!$A$2:$C$2001, 3, FALSE), ""))</f>
        <v/>
      </c>
      <c r="R519" t="str">
        <f>IF(B519="","", IFERROR(VLOOKUP(B519, '基準資産配分（設定）'!$A$2:$C$2001, 2, FALSE)/100, 0))</f>
        <v/>
      </c>
      <c r="S519" t="str">
        <f>IF(B519="","", IFERROR(SUMIFS(ベンチマークリターン!$C$2:$C$2001, ベンチマークリターン!$A$2:$A$2001, A519, ベンチマークリターン!$B$2:$B$2001, Q519) / 100, 0))</f>
        <v/>
      </c>
      <c r="T519" t="str">
        <f>IF(A519="","", SUMIFS($H$2:$H$2000, $A$2:$A$2000, A519))</f>
        <v/>
      </c>
      <c r="U519" t="str">
        <f t="shared" si="96"/>
        <v/>
      </c>
      <c r="V519" t="str">
        <f t="shared" si="97"/>
        <v/>
      </c>
      <c r="W519" t="str">
        <f t="shared" si="98"/>
        <v/>
      </c>
    </row>
    <row r="520" spans="1:23" x14ac:dyDescent="0.2">
      <c r="A520" s="4" t="str">
        <f>IF(ポートフォリオ実績!A521="","", ポートフォリオ実績!A521)</f>
        <v/>
      </c>
      <c r="B520" t="str">
        <f>IF(ポートフォリオ実績!B521="","", ポートフォリオ実績!B521)</f>
        <v/>
      </c>
      <c r="C520" s="10" t="str">
        <f>IF(ポートフォリオ実績!C521="","", ポートフォリオ実績!C521)</f>
        <v/>
      </c>
      <c r="D520" s="10" t="str">
        <f>IF(ポートフォリオ実績!D521="","", ポートフォリオ実績!D521)</f>
        <v/>
      </c>
      <c r="E520" s="10" t="str">
        <f>IF(ポートフォリオ実績!E521="","", ポートフォリオ実績!E521)</f>
        <v/>
      </c>
      <c r="F520" s="10" t="str">
        <f>IF(ポートフォリオ実績!F521="","", ポートフォリオ実績!F521)</f>
        <v/>
      </c>
      <c r="G520" t="str">
        <f t="shared" si="88"/>
        <v/>
      </c>
      <c r="H520">
        <f>IF(B520&lt;&gt;"", SUMIFS(ポートフォリオ実績!$D$2:$D$2001, ポートフォリオ実績!$B$2:$B$2001, B520, ポートフォリオ実績!$A$2:$A$2001, G520), 0)</f>
        <v>0</v>
      </c>
      <c r="I520">
        <f>IF(B520&lt;&gt;"", SUMIFS(ポートフォリオ実績!$C$2:$C$2001, ポートフォリオ実績!$B$2:$B$2001, B520, ポートフォリオ実績!$A$2:$A$2001, G520), 0)</f>
        <v>0</v>
      </c>
      <c r="J520">
        <f t="shared" si="89"/>
        <v>0</v>
      </c>
      <c r="K520">
        <f t="shared" si="90"/>
        <v>0</v>
      </c>
      <c r="L520">
        <f t="shared" si="91"/>
        <v>0</v>
      </c>
      <c r="M520">
        <f t="shared" si="92"/>
        <v>0</v>
      </c>
      <c r="N520">
        <f t="shared" si="93"/>
        <v>0</v>
      </c>
      <c r="O520">
        <f t="shared" si="94"/>
        <v>0</v>
      </c>
      <c r="P520" t="str">
        <f t="shared" si="95"/>
        <v/>
      </c>
      <c r="Q520" t="str">
        <f>IF(B520="","", IFERROR(VLOOKUP(B520, '基準資産配分（設定）'!$A$2:$C$2001, 3, FALSE), ""))</f>
        <v/>
      </c>
      <c r="R520" t="str">
        <f>IF(B520="","", IFERROR(VLOOKUP(B520, '基準資産配分（設定）'!$A$2:$C$2001, 2, FALSE)/100, 0))</f>
        <v/>
      </c>
      <c r="S520" t="str">
        <f>IF(B520="","", IFERROR(SUMIFS(ベンチマークリターン!$C$2:$C$2001, ベンチマークリターン!$A$2:$A$2001, A520, ベンチマークリターン!$B$2:$B$2001, Q520) / 100, 0))</f>
        <v/>
      </c>
      <c r="T520" t="str">
        <f>IF(A520="","", SUMIFS($H$2:$H$2000, $A$2:$A$2000, A520))</f>
        <v/>
      </c>
      <c r="U520" t="str">
        <f t="shared" si="96"/>
        <v/>
      </c>
      <c r="V520" t="str">
        <f t="shared" si="97"/>
        <v/>
      </c>
      <c r="W520" t="str">
        <f t="shared" si="98"/>
        <v/>
      </c>
    </row>
    <row r="521" spans="1:23" x14ac:dyDescent="0.2">
      <c r="A521" s="4" t="str">
        <f>IF(ポートフォリオ実績!A522="","", ポートフォリオ実績!A522)</f>
        <v/>
      </c>
      <c r="B521" t="str">
        <f>IF(ポートフォリオ実績!B522="","", ポートフォリオ実績!B522)</f>
        <v/>
      </c>
      <c r="C521" s="10" t="str">
        <f>IF(ポートフォリオ実績!C522="","", ポートフォリオ実績!C522)</f>
        <v/>
      </c>
      <c r="D521" s="10" t="str">
        <f>IF(ポートフォリオ実績!D522="","", ポートフォリオ実績!D522)</f>
        <v/>
      </c>
      <c r="E521" s="10" t="str">
        <f>IF(ポートフォリオ実績!E522="","", ポートフォリオ実績!E522)</f>
        <v/>
      </c>
      <c r="F521" s="10" t="str">
        <f>IF(ポートフォリオ実績!F522="","", ポートフォリオ実績!F522)</f>
        <v/>
      </c>
      <c r="G521" t="str">
        <f t="shared" si="88"/>
        <v/>
      </c>
      <c r="H521">
        <f>IF(B521&lt;&gt;"", SUMIFS(ポートフォリオ実績!$D$2:$D$2001, ポートフォリオ実績!$B$2:$B$2001, B521, ポートフォリオ実績!$A$2:$A$2001, G521), 0)</f>
        <v>0</v>
      </c>
      <c r="I521">
        <f>IF(B521&lt;&gt;"", SUMIFS(ポートフォリオ実績!$C$2:$C$2001, ポートフォリオ実績!$B$2:$B$2001, B521, ポートフォリオ実績!$A$2:$A$2001, G521), 0)</f>
        <v>0</v>
      </c>
      <c r="J521">
        <f t="shared" si="89"/>
        <v>0</v>
      </c>
      <c r="K521">
        <f t="shared" si="90"/>
        <v>0</v>
      </c>
      <c r="L521">
        <f t="shared" si="91"/>
        <v>0</v>
      </c>
      <c r="M521">
        <f t="shared" si="92"/>
        <v>0</v>
      </c>
      <c r="N521">
        <f t="shared" si="93"/>
        <v>0</v>
      </c>
      <c r="O521">
        <f t="shared" si="94"/>
        <v>0</v>
      </c>
      <c r="P521" t="str">
        <f t="shared" si="95"/>
        <v/>
      </c>
      <c r="Q521" t="str">
        <f>IF(B521="","", IFERROR(VLOOKUP(B521, '基準資産配分（設定）'!$A$2:$C$2001, 3, FALSE), ""))</f>
        <v/>
      </c>
      <c r="R521" t="str">
        <f>IF(B521="","", IFERROR(VLOOKUP(B521, '基準資産配分（設定）'!$A$2:$C$2001, 2, FALSE)/100, 0))</f>
        <v/>
      </c>
      <c r="S521" t="str">
        <f>IF(B521="","", IFERROR(SUMIFS(ベンチマークリターン!$C$2:$C$2001, ベンチマークリターン!$A$2:$A$2001, A521, ベンチマークリターン!$B$2:$B$2001, Q521) / 100, 0))</f>
        <v/>
      </c>
      <c r="T521" t="str">
        <f>IF(A521="","", SUMIFS($H$2:$H$2000, $A$2:$A$2000, A521))</f>
        <v/>
      </c>
      <c r="U521" t="str">
        <f t="shared" si="96"/>
        <v/>
      </c>
      <c r="V521" t="str">
        <f t="shared" si="97"/>
        <v/>
      </c>
      <c r="W521" t="str">
        <f t="shared" si="98"/>
        <v/>
      </c>
    </row>
    <row r="522" spans="1:23" x14ac:dyDescent="0.2">
      <c r="A522" s="4" t="str">
        <f>IF(ポートフォリオ実績!A523="","", ポートフォリオ実績!A523)</f>
        <v/>
      </c>
      <c r="B522" t="str">
        <f>IF(ポートフォリオ実績!B523="","", ポートフォリオ実績!B523)</f>
        <v/>
      </c>
      <c r="C522" s="10" t="str">
        <f>IF(ポートフォリオ実績!C523="","", ポートフォリオ実績!C523)</f>
        <v/>
      </c>
      <c r="D522" s="10" t="str">
        <f>IF(ポートフォリオ実績!D523="","", ポートフォリオ実績!D523)</f>
        <v/>
      </c>
      <c r="E522" s="10" t="str">
        <f>IF(ポートフォリオ実績!E523="","", ポートフォリオ実績!E523)</f>
        <v/>
      </c>
      <c r="F522" s="10" t="str">
        <f>IF(ポートフォリオ実績!F523="","", ポートフォリオ実績!F523)</f>
        <v/>
      </c>
      <c r="G522" t="str">
        <f t="shared" si="88"/>
        <v/>
      </c>
      <c r="H522">
        <f>IF(B522&lt;&gt;"", SUMIFS(ポートフォリオ実績!$D$2:$D$2001, ポートフォリオ実績!$B$2:$B$2001, B522, ポートフォリオ実績!$A$2:$A$2001, G522), 0)</f>
        <v>0</v>
      </c>
      <c r="I522">
        <f>IF(B522&lt;&gt;"", SUMIFS(ポートフォリオ実績!$C$2:$C$2001, ポートフォリオ実績!$B$2:$B$2001, B522, ポートフォリオ実績!$A$2:$A$2001, G522), 0)</f>
        <v>0</v>
      </c>
      <c r="J522">
        <f t="shared" si="89"/>
        <v>0</v>
      </c>
      <c r="K522">
        <f t="shared" si="90"/>
        <v>0</v>
      </c>
      <c r="L522">
        <f t="shared" si="91"/>
        <v>0</v>
      </c>
      <c r="M522">
        <f t="shared" si="92"/>
        <v>0</v>
      </c>
      <c r="N522">
        <f t="shared" si="93"/>
        <v>0</v>
      </c>
      <c r="O522">
        <f t="shared" si="94"/>
        <v>0</v>
      </c>
      <c r="P522" t="str">
        <f t="shared" si="95"/>
        <v/>
      </c>
      <c r="Q522" t="str">
        <f>IF(B522="","", IFERROR(VLOOKUP(B522, '基準資産配分（設定）'!$A$2:$C$2001, 3, FALSE), ""))</f>
        <v/>
      </c>
      <c r="R522" t="str">
        <f>IF(B522="","", IFERROR(VLOOKUP(B522, '基準資産配分（設定）'!$A$2:$C$2001, 2, FALSE)/100, 0))</f>
        <v/>
      </c>
      <c r="S522" t="str">
        <f>IF(B522="","", IFERROR(SUMIFS(ベンチマークリターン!$C$2:$C$2001, ベンチマークリターン!$A$2:$A$2001, A522, ベンチマークリターン!$B$2:$B$2001, Q522) / 100, 0))</f>
        <v/>
      </c>
      <c r="T522" t="str">
        <f>IF(A522="","", SUMIFS($H$2:$H$2000, $A$2:$A$2000, A522))</f>
        <v/>
      </c>
      <c r="U522" t="str">
        <f t="shared" si="96"/>
        <v/>
      </c>
      <c r="V522" t="str">
        <f t="shared" si="97"/>
        <v/>
      </c>
      <c r="W522" t="str">
        <f t="shared" si="98"/>
        <v/>
      </c>
    </row>
    <row r="523" spans="1:23" x14ac:dyDescent="0.2">
      <c r="A523" s="4" t="str">
        <f>IF(ポートフォリオ実績!A524="","", ポートフォリオ実績!A524)</f>
        <v/>
      </c>
      <c r="B523" t="str">
        <f>IF(ポートフォリオ実績!B524="","", ポートフォリオ実績!B524)</f>
        <v/>
      </c>
      <c r="C523" s="10" t="str">
        <f>IF(ポートフォリオ実績!C524="","", ポートフォリオ実績!C524)</f>
        <v/>
      </c>
      <c r="D523" s="10" t="str">
        <f>IF(ポートフォリオ実績!D524="","", ポートフォリオ実績!D524)</f>
        <v/>
      </c>
      <c r="E523" s="10" t="str">
        <f>IF(ポートフォリオ実績!E524="","", ポートフォリオ実績!E524)</f>
        <v/>
      </c>
      <c r="F523" s="10" t="str">
        <f>IF(ポートフォリオ実績!F524="","", ポートフォリオ実績!F524)</f>
        <v/>
      </c>
      <c r="G523" t="str">
        <f t="shared" si="88"/>
        <v/>
      </c>
      <c r="H523">
        <f>IF(B523&lt;&gt;"", SUMIFS(ポートフォリオ実績!$D$2:$D$2001, ポートフォリオ実績!$B$2:$B$2001, B523, ポートフォリオ実績!$A$2:$A$2001, G523), 0)</f>
        <v>0</v>
      </c>
      <c r="I523">
        <f>IF(B523&lt;&gt;"", SUMIFS(ポートフォリオ実績!$C$2:$C$2001, ポートフォリオ実績!$B$2:$B$2001, B523, ポートフォリオ実績!$A$2:$A$2001, G523), 0)</f>
        <v>0</v>
      </c>
      <c r="J523">
        <f t="shared" si="89"/>
        <v>0</v>
      </c>
      <c r="K523">
        <f t="shared" si="90"/>
        <v>0</v>
      </c>
      <c r="L523">
        <f t="shared" si="91"/>
        <v>0</v>
      </c>
      <c r="M523">
        <f t="shared" si="92"/>
        <v>0</v>
      </c>
      <c r="N523">
        <f t="shared" si="93"/>
        <v>0</v>
      </c>
      <c r="O523">
        <f t="shared" si="94"/>
        <v>0</v>
      </c>
      <c r="P523" t="str">
        <f t="shared" si="95"/>
        <v/>
      </c>
      <c r="Q523" t="str">
        <f>IF(B523="","", IFERROR(VLOOKUP(B523, '基準資産配分（設定）'!$A$2:$C$2001, 3, FALSE), ""))</f>
        <v/>
      </c>
      <c r="R523" t="str">
        <f>IF(B523="","", IFERROR(VLOOKUP(B523, '基準資産配分（設定）'!$A$2:$C$2001, 2, FALSE)/100, 0))</f>
        <v/>
      </c>
      <c r="S523" t="str">
        <f>IF(B523="","", IFERROR(SUMIFS(ベンチマークリターン!$C$2:$C$2001, ベンチマークリターン!$A$2:$A$2001, A523, ベンチマークリターン!$B$2:$B$2001, Q523) / 100, 0))</f>
        <v/>
      </c>
      <c r="T523" t="str">
        <f>IF(A523="","", SUMIFS($H$2:$H$2000, $A$2:$A$2000, A523))</f>
        <v/>
      </c>
      <c r="U523" t="str">
        <f t="shared" si="96"/>
        <v/>
      </c>
      <c r="V523" t="str">
        <f t="shared" si="97"/>
        <v/>
      </c>
      <c r="W523" t="str">
        <f t="shared" si="98"/>
        <v/>
      </c>
    </row>
    <row r="524" spans="1:23" x14ac:dyDescent="0.2">
      <c r="A524" s="4" t="str">
        <f>IF(ポートフォリオ実績!A525="","", ポートフォリオ実績!A525)</f>
        <v/>
      </c>
      <c r="B524" t="str">
        <f>IF(ポートフォリオ実績!B525="","", ポートフォリオ実績!B525)</f>
        <v/>
      </c>
      <c r="C524" s="10" t="str">
        <f>IF(ポートフォリオ実績!C525="","", ポートフォリオ実績!C525)</f>
        <v/>
      </c>
      <c r="D524" s="10" t="str">
        <f>IF(ポートフォリオ実績!D525="","", ポートフォリオ実績!D525)</f>
        <v/>
      </c>
      <c r="E524" s="10" t="str">
        <f>IF(ポートフォリオ実績!E525="","", ポートフォリオ実績!E525)</f>
        <v/>
      </c>
      <c r="F524" s="10" t="str">
        <f>IF(ポートフォリオ実績!F525="","", ポートフォリオ実績!F525)</f>
        <v/>
      </c>
      <c r="G524" t="str">
        <f t="shared" si="88"/>
        <v/>
      </c>
      <c r="H524">
        <f>IF(B524&lt;&gt;"", SUMIFS(ポートフォリオ実績!$D$2:$D$2001, ポートフォリオ実績!$B$2:$B$2001, B524, ポートフォリオ実績!$A$2:$A$2001, G524), 0)</f>
        <v>0</v>
      </c>
      <c r="I524">
        <f>IF(B524&lt;&gt;"", SUMIFS(ポートフォリオ実績!$C$2:$C$2001, ポートフォリオ実績!$B$2:$B$2001, B524, ポートフォリオ実績!$A$2:$A$2001, G524), 0)</f>
        <v>0</v>
      </c>
      <c r="J524">
        <f t="shared" si="89"/>
        <v>0</v>
      </c>
      <c r="K524">
        <f t="shared" si="90"/>
        <v>0</v>
      </c>
      <c r="L524">
        <f t="shared" si="91"/>
        <v>0</v>
      </c>
      <c r="M524">
        <f t="shared" si="92"/>
        <v>0</v>
      </c>
      <c r="N524">
        <f t="shared" si="93"/>
        <v>0</v>
      </c>
      <c r="O524">
        <f t="shared" si="94"/>
        <v>0</v>
      </c>
      <c r="P524" t="str">
        <f t="shared" si="95"/>
        <v/>
      </c>
      <c r="Q524" t="str">
        <f>IF(B524="","", IFERROR(VLOOKUP(B524, '基準資産配分（設定）'!$A$2:$C$2001, 3, FALSE), ""))</f>
        <v/>
      </c>
      <c r="R524" t="str">
        <f>IF(B524="","", IFERROR(VLOOKUP(B524, '基準資産配分（設定）'!$A$2:$C$2001, 2, FALSE)/100, 0))</f>
        <v/>
      </c>
      <c r="S524" t="str">
        <f>IF(B524="","", IFERROR(SUMIFS(ベンチマークリターン!$C$2:$C$2001, ベンチマークリターン!$A$2:$A$2001, A524, ベンチマークリターン!$B$2:$B$2001, Q524) / 100, 0))</f>
        <v/>
      </c>
      <c r="T524" t="str">
        <f>IF(A524="","", SUMIFS($H$2:$H$2000, $A$2:$A$2000, A524))</f>
        <v/>
      </c>
      <c r="U524" t="str">
        <f t="shared" si="96"/>
        <v/>
      </c>
      <c r="V524" t="str">
        <f t="shared" si="97"/>
        <v/>
      </c>
      <c r="W524" t="str">
        <f t="shared" si="98"/>
        <v/>
      </c>
    </row>
    <row r="525" spans="1:23" x14ac:dyDescent="0.2">
      <c r="A525" s="4" t="str">
        <f>IF(ポートフォリオ実績!A526="","", ポートフォリオ実績!A526)</f>
        <v/>
      </c>
      <c r="B525" t="str">
        <f>IF(ポートフォリオ実績!B526="","", ポートフォリオ実績!B526)</f>
        <v/>
      </c>
      <c r="C525" s="10" t="str">
        <f>IF(ポートフォリオ実績!C526="","", ポートフォリオ実績!C526)</f>
        <v/>
      </c>
      <c r="D525" s="10" t="str">
        <f>IF(ポートフォリオ実績!D526="","", ポートフォリオ実績!D526)</f>
        <v/>
      </c>
      <c r="E525" s="10" t="str">
        <f>IF(ポートフォリオ実績!E526="","", ポートフォリオ実績!E526)</f>
        <v/>
      </c>
      <c r="F525" s="10" t="str">
        <f>IF(ポートフォリオ実績!F526="","", ポートフォリオ実績!F526)</f>
        <v/>
      </c>
      <c r="G525" t="str">
        <f t="shared" si="88"/>
        <v/>
      </c>
      <c r="H525">
        <f>IF(B525&lt;&gt;"", SUMIFS(ポートフォリオ実績!$D$2:$D$2001, ポートフォリオ実績!$B$2:$B$2001, B525, ポートフォリオ実績!$A$2:$A$2001, G525), 0)</f>
        <v>0</v>
      </c>
      <c r="I525">
        <f>IF(B525&lt;&gt;"", SUMIFS(ポートフォリオ実績!$C$2:$C$2001, ポートフォリオ実績!$B$2:$B$2001, B525, ポートフォリオ実績!$A$2:$A$2001, G525), 0)</f>
        <v>0</v>
      </c>
      <c r="J525">
        <f t="shared" si="89"/>
        <v>0</v>
      </c>
      <c r="K525">
        <f t="shared" si="90"/>
        <v>0</v>
      </c>
      <c r="L525">
        <f t="shared" si="91"/>
        <v>0</v>
      </c>
      <c r="M525">
        <f t="shared" si="92"/>
        <v>0</v>
      </c>
      <c r="N525">
        <f t="shared" si="93"/>
        <v>0</v>
      </c>
      <c r="O525">
        <f t="shared" si="94"/>
        <v>0</v>
      </c>
      <c r="P525" t="str">
        <f t="shared" si="95"/>
        <v/>
      </c>
      <c r="Q525" t="str">
        <f>IF(B525="","", IFERROR(VLOOKUP(B525, '基準資産配分（設定）'!$A$2:$C$2001, 3, FALSE), ""))</f>
        <v/>
      </c>
      <c r="R525" t="str">
        <f>IF(B525="","", IFERROR(VLOOKUP(B525, '基準資産配分（設定）'!$A$2:$C$2001, 2, FALSE)/100, 0))</f>
        <v/>
      </c>
      <c r="S525" t="str">
        <f>IF(B525="","", IFERROR(SUMIFS(ベンチマークリターン!$C$2:$C$2001, ベンチマークリターン!$A$2:$A$2001, A525, ベンチマークリターン!$B$2:$B$2001, Q525) / 100, 0))</f>
        <v/>
      </c>
      <c r="T525" t="str">
        <f>IF(A525="","", SUMIFS($H$2:$H$2000, $A$2:$A$2000, A525))</f>
        <v/>
      </c>
      <c r="U525" t="str">
        <f t="shared" si="96"/>
        <v/>
      </c>
      <c r="V525" t="str">
        <f t="shared" si="97"/>
        <v/>
      </c>
      <c r="W525" t="str">
        <f t="shared" si="98"/>
        <v/>
      </c>
    </row>
    <row r="526" spans="1:23" x14ac:dyDescent="0.2">
      <c r="A526" s="4" t="str">
        <f>IF(ポートフォリオ実績!A527="","", ポートフォリオ実績!A527)</f>
        <v/>
      </c>
      <c r="B526" t="str">
        <f>IF(ポートフォリオ実績!B527="","", ポートフォリオ実績!B527)</f>
        <v/>
      </c>
      <c r="C526" s="10" t="str">
        <f>IF(ポートフォリオ実績!C527="","", ポートフォリオ実績!C527)</f>
        <v/>
      </c>
      <c r="D526" s="10" t="str">
        <f>IF(ポートフォリオ実績!D527="","", ポートフォリオ実績!D527)</f>
        <v/>
      </c>
      <c r="E526" s="10" t="str">
        <f>IF(ポートフォリオ実績!E527="","", ポートフォリオ実績!E527)</f>
        <v/>
      </c>
      <c r="F526" s="10" t="str">
        <f>IF(ポートフォリオ実績!F527="","", ポートフォリオ実績!F527)</f>
        <v/>
      </c>
      <c r="G526" t="str">
        <f t="shared" si="88"/>
        <v/>
      </c>
      <c r="H526">
        <f>IF(B526&lt;&gt;"", SUMIFS(ポートフォリオ実績!$D$2:$D$2001, ポートフォリオ実績!$B$2:$B$2001, B526, ポートフォリオ実績!$A$2:$A$2001, G526), 0)</f>
        <v>0</v>
      </c>
      <c r="I526">
        <f>IF(B526&lt;&gt;"", SUMIFS(ポートフォリオ実績!$C$2:$C$2001, ポートフォリオ実績!$B$2:$B$2001, B526, ポートフォリオ実績!$A$2:$A$2001, G526), 0)</f>
        <v>0</v>
      </c>
      <c r="J526">
        <f t="shared" si="89"/>
        <v>0</v>
      </c>
      <c r="K526">
        <f t="shared" si="90"/>
        <v>0</v>
      </c>
      <c r="L526">
        <f t="shared" si="91"/>
        <v>0</v>
      </c>
      <c r="M526">
        <f t="shared" si="92"/>
        <v>0</v>
      </c>
      <c r="N526">
        <f t="shared" si="93"/>
        <v>0</v>
      </c>
      <c r="O526">
        <f t="shared" si="94"/>
        <v>0</v>
      </c>
      <c r="P526" t="str">
        <f t="shared" si="95"/>
        <v/>
      </c>
      <c r="Q526" t="str">
        <f>IF(B526="","", IFERROR(VLOOKUP(B526, '基準資産配分（設定）'!$A$2:$C$2001, 3, FALSE), ""))</f>
        <v/>
      </c>
      <c r="R526" t="str">
        <f>IF(B526="","", IFERROR(VLOOKUP(B526, '基準資産配分（設定）'!$A$2:$C$2001, 2, FALSE)/100, 0))</f>
        <v/>
      </c>
      <c r="S526" t="str">
        <f>IF(B526="","", IFERROR(SUMIFS(ベンチマークリターン!$C$2:$C$2001, ベンチマークリターン!$A$2:$A$2001, A526, ベンチマークリターン!$B$2:$B$2001, Q526) / 100, 0))</f>
        <v/>
      </c>
      <c r="T526" t="str">
        <f>IF(A526="","", SUMIFS($H$2:$H$2000, $A$2:$A$2000, A526))</f>
        <v/>
      </c>
      <c r="U526" t="str">
        <f t="shared" si="96"/>
        <v/>
      </c>
      <c r="V526" t="str">
        <f t="shared" si="97"/>
        <v/>
      </c>
      <c r="W526" t="str">
        <f t="shared" si="98"/>
        <v/>
      </c>
    </row>
    <row r="527" spans="1:23" x14ac:dyDescent="0.2">
      <c r="A527" s="4" t="str">
        <f>IF(ポートフォリオ実績!A528="","", ポートフォリオ実績!A528)</f>
        <v/>
      </c>
      <c r="B527" t="str">
        <f>IF(ポートフォリオ実績!B528="","", ポートフォリオ実績!B528)</f>
        <v/>
      </c>
      <c r="C527" s="10" t="str">
        <f>IF(ポートフォリオ実績!C528="","", ポートフォリオ実績!C528)</f>
        <v/>
      </c>
      <c r="D527" s="10" t="str">
        <f>IF(ポートフォリオ実績!D528="","", ポートフォリオ実績!D528)</f>
        <v/>
      </c>
      <c r="E527" s="10" t="str">
        <f>IF(ポートフォリオ実績!E528="","", ポートフォリオ実績!E528)</f>
        <v/>
      </c>
      <c r="F527" s="10" t="str">
        <f>IF(ポートフォリオ実績!F528="","", ポートフォリオ実績!F528)</f>
        <v/>
      </c>
      <c r="G527" t="str">
        <f t="shared" si="88"/>
        <v/>
      </c>
      <c r="H527">
        <f>IF(B527&lt;&gt;"", SUMIFS(ポートフォリオ実績!$D$2:$D$2001, ポートフォリオ実績!$B$2:$B$2001, B527, ポートフォリオ実績!$A$2:$A$2001, G527), 0)</f>
        <v>0</v>
      </c>
      <c r="I527">
        <f>IF(B527&lt;&gt;"", SUMIFS(ポートフォリオ実績!$C$2:$C$2001, ポートフォリオ実績!$B$2:$B$2001, B527, ポートフォリオ実績!$A$2:$A$2001, G527), 0)</f>
        <v>0</v>
      </c>
      <c r="J527">
        <f t="shared" si="89"/>
        <v>0</v>
      </c>
      <c r="K527">
        <f t="shared" si="90"/>
        <v>0</v>
      </c>
      <c r="L527">
        <f t="shared" si="91"/>
        <v>0</v>
      </c>
      <c r="M527">
        <f t="shared" si="92"/>
        <v>0</v>
      </c>
      <c r="N527">
        <f t="shared" si="93"/>
        <v>0</v>
      </c>
      <c r="O527">
        <f t="shared" si="94"/>
        <v>0</v>
      </c>
      <c r="P527" t="str">
        <f t="shared" si="95"/>
        <v/>
      </c>
      <c r="Q527" t="str">
        <f>IF(B527="","", IFERROR(VLOOKUP(B527, '基準資産配分（設定）'!$A$2:$C$2001, 3, FALSE), ""))</f>
        <v/>
      </c>
      <c r="R527" t="str">
        <f>IF(B527="","", IFERROR(VLOOKUP(B527, '基準資産配分（設定）'!$A$2:$C$2001, 2, FALSE)/100, 0))</f>
        <v/>
      </c>
      <c r="S527" t="str">
        <f>IF(B527="","", IFERROR(SUMIFS(ベンチマークリターン!$C$2:$C$2001, ベンチマークリターン!$A$2:$A$2001, A527, ベンチマークリターン!$B$2:$B$2001, Q527) / 100, 0))</f>
        <v/>
      </c>
      <c r="T527" t="str">
        <f>IF(A527="","", SUMIFS($H$2:$H$2000, $A$2:$A$2000, A527))</f>
        <v/>
      </c>
      <c r="U527" t="str">
        <f t="shared" si="96"/>
        <v/>
      </c>
      <c r="V527" t="str">
        <f t="shared" si="97"/>
        <v/>
      </c>
      <c r="W527" t="str">
        <f t="shared" si="98"/>
        <v/>
      </c>
    </row>
    <row r="528" spans="1:23" x14ac:dyDescent="0.2">
      <c r="A528" s="4" t="str">
        <f>IF(ポートフォリオ実績!A529="","", ポートフォリオ実績!A529)</f>
        <v/>
      </c>
      <c r="B528" t="str">
        <f>IF(ポートフォリオ実績!B529="","", ポートフォリオ実績!B529)</f>
        <v/>
      </c>
      <c r="C528" s="10" t="str">
        <f>IF(ポートフォリオ実績!C529="","", ポートフォリオ実績!C529)</f>
        <v/>
      </c>
      <c r="D528" s="10" t="str">
        <f>IF(ポートフォリオ実績!D529="","", ポートフォリオ実績!D529)</f>
        <v/>
      </c>
      <c r="E528" s="10" t="str">
        <f>IF(ポートフォリオ実績!E529="","", ポートフォリオ実績!E529)</f>
        <v/>
      </c>
      <c r="F528" s="10" t="str">
        <f>IF(ポートフォリオ実績!F529="","", ポートフォリオ実績!F529)</f>
        <v/>
      </c>
      <c r="G528" t="str">
        <f t="shared" si="88"/>
        <v/>
      </c>
      <c r="H528">
        <f>IF(B528&lt;&gt;"", SUMIFS(ポートフォリオ実績!$D$2:$D$2001, ポートフォリオ実績!$B$2:$B$2001, B528, ポートフォリオ実績!$A$2:$A$2001, G528), 0)</f>
        <v>0</v>
      </c>
      <c r="I528">
        <f>IF(B528&lt;&gt;"", SUMIFS(ポートフォリオ実績!$C$2:$C$2001, ポートフォリオ実績!$B$2:$B$2001, B528, ポートフォリオ実績!$A$2:$A$2001, G528), 0)</f>
        <v>0</v>
      </c>
      <c r="J528">
        <f t="shared" si="89"/>
        <v>0</v>
      </c>
      <c r="K528">
        <f t="shared" si="90"/>
        <v>0</v>
      </c>
      <c r="L528">
        <f t="shared" si="91"/>
        <v>0</v>
      </c>
      <c r="M528">
        <f t="shared" si="92"/>
        <v>0</v>
      </c>
      <c r="N528">
        <f t="shared" si="93"/>
        <v>0</v>
      </c>
      <c r="O528">
        <f t="shared" si="94"/>
        <v>0</v>
      </c>
      <c r="P528" t="str">
        <f t="shared" si="95"/>
        <v/>
      </c>
      <c r="Q528" t="str">
        <f>IF(B528="","", IFERROR(VLOOKUP(B528, '基準資産配分（設定）'!$A$2:$C$2001, 3, FALSE), ""))</f>
        <v/>
      </c>
      <c r="R528" t="str">
        <f>IF(B528="","", IFERROR(VLOOKUP(B528, '基準資産配分（設定）'!$A$2:$C$2001, 2, FALSE)/100, 0))</f>
        <v/>
      </c>
      <c r="S528" t="str">
        <f>IF(B528="","", IFERROR(SUMIFS(ベンチマークリターン!$C$2:$C$2001, ベンチマークリターン!$A$2:$A$2001, A528, ベンチマークリターン!$B$2:$B$2001, Q528) / 100, 0))</f>
        <v/>
      </c>
      <c r="T528" t="str">
        <f>IF(A528="","", SUMIFS($H$2:$H$2000, $A$2:$A$2000, A528))</f>
        <v/>
      </c>
      <c r="U528" t="str">
        <f t="shared" si="96"/>
        <v/>
      </c>
      <c r="V528" t="str">
        <f t="shared" si="97"/>
        <v/>
      </c>
      <c r="W528" t="str">
        <f t="shared" si="98"/>
        <v/>
      </c>
    </row>
    <row r="529" spans="1:23" x14ac:dyDescent="0.2">
      <c r="A529" s="4" t="str">
        <f>IF(ポートフォリオ実績!A530="","", ポートフォリオ実績!A530)</f>
        <v/>
      </c>
      <c r="B529" t="str">
        <f>IF(ポートフォリオ実績!B530="","", ポートフォリオ実績!B530)</f>
        <v/>
      </c>
      <c r="C529" s="10" t="str">
        <f>IF(ポートフォリオ実績!C530="","", ポートフォリオ実績!C530)</f>
        <v/>
      </c>
      <c r="D529" s="10" t="str">
        <f>IF(ポートフォリオ実績!D530="","", ポートフォリオ実績!D530)</f>
        <v/>
      </c>
      <c r="E529" s="10" t="str">
        <f>IF(ポートフォリオ実績!E530="","", ポートフォリオ実績!E530)</f>
        <v/>
      </c>
      <c r="F529" s="10" t="str">
        <f>IF(ポートフォリオ実績!F530="","", ポートフォリオ実績!F530)</f>
        <v/>
      </c>
      <c r="G529" t="str">
        <f t="shared" si="88"/>
        <v/>
      </c>
      <c r="H529">
        <f>IF(B529&lt;&gt;"", SUMIFS(ポートフォリオ実績!$D$2:$D$2001, ポートフォリオ実績!$B$2:$B$2001, B529, ポートフォリオ実績!$A$2:$A$2001, G529), 0)</f>
        <v>0</v>
      </c>
      <c r="I529">
        <f>IF(B529&lt;&gt;"", SUMIFS(ポートフォリオ実績!$C$2:$C$2001, ポートフォリオ実績!$B$2:$B$2001, B529, ポートフォリオ実績!$A$2:$A$2001, G529), 0)</f>
        <v>0</v>
      </c>
      <c r="J529">
        <f t="shared" si="89"/>
        <v>0</v>
      </c>
      <c r="K529">
        <f t="shared" si="90"/>
        <v>0</v>
      </c>
      <c r="L529">
        <f t="shared" si="91"/>
        <v>0</v>
      </c>
      <c r="M529">
        <f t="shared" si="92"/>
        <v>0</v>
      </c>
      <c r="N529">
        <f t="shared" si="93"/>
        <v>0</v>
      </c>
      <c r="O529">
        <f t="shared" si="94"/>
        <v>0</v>
      </c>
      <c r="P529" t="str">
        <f t="shared" si="95"/>
        <v/>
      </c>
      <c r="Q529" t="str">
        <f>IF(B529="","", IFERROR(VLOOKUP(B529, '基準資産配分（設定）'!$A$2:$C$2001, 3, FALSE), ""))</f>
        <v/>
      </c>
      <c r="R529" t="str">
        <f>IF(B529="","", IFERROR(VLOOKUP(B529, '基準資産配分（設定）'!$A$2:$C$2001, 2, FALSE)/100, 0))</f>
        <v/>
      </c>
      <c r="S529" t="str">
        <f>IF(B529="","", IFERROR(SUMIFS(ベンチマークリターン!$C$2:$C$2001, ベンチマークリターン!$A$2:$A$2001, A529, ベンチマークリターン!$B$2:$B$2001, Q529) / 100, 0))</f>
        <v/>
      </c>
      <c r="T529" t="str">
        <f>IF(A529="","", SUMIFS($H$2:$H$2000, $A$2:$A$2000, A529))</f>
        <v/>
      </c>
      <c r="U529" t="str">
        <f t="shared" si="96"/>
        <v/>
      </c>
      <c r="V529" t="str">
        <f t="shared" si="97"/>
        <v/>
      </c>
      <c r="W529" t="str">
        <f t="shared" si="98"/>
        <v/>
      </c>
    </row>
    <row r="530" spans="1:23" x14ac:dyDescent="0.2">
      <c r="A530" s="4" t="str">
        <f>IF(ポートフォリオ実績!A531="","", ポートフォリオ実績!A531)</f>
        <v/>
      </c>
      <c r="B530" t="str">
        <f>IF(ポートフォリオ実績!B531="","", ポートフォリオ実績!B531)</f>
        <v/>
      </c>
      <c r="C530" s="10" t="str">
        <f>IF(ポートフォリオ実績!C531="","", ポートフォリオ実績!C531)</f>
        <v/>
      </c>
      <c r="D530" s="10" t="str">
        <f>IF(ポートフォリオ実績!D531="","", ポートフォリオ実績!D531)</f>
        <v/>
      </c>
      <c r="E530" s="10" t="str">
        <f>IF(ポートフォリオ実績!E531="","", ポートフォリオ実績!E531)</f>
        <v/>
      </c>
      <c r="F530" s="10" t="str">
        <f>IF(ポートフォリオ実績!F531="","", ポートフォリオ実績!F531)</f>
        <v/>
      </c>
      <c r="G530" t="str">
        <f t="shared" si="88"/>
        <v/>
      </c>
      <c r="H530">
        <f>IF(B530&lt;&gt;"", SUMIFS(ポートフォリオ実績!$D$2:$D$2001, ポートフォリオ実績!$B$2:$B$2001, B530, ポートフォリオ実績!$A$2:$A$2001, G530), 0)</f>
        <v>0</v>
      </c>
      <c r="I530">
        <f>IF(B530&lt;&gt;"", SUMIFS(ポートフォリオ実績!$C$2:$C$2001, ポートフォリオ実績!$B$2:$B$2001, B530, ポートフォリオ実績!$A$2:$A$2001, G530), 0)</f>
        <v>0</v>
      </c>
      <c r="J530">
        <f t="shared" si="89"/>
        <v>0</v>
      </c>
      <c r="K530">
        <f t="shared" si="90"/>
        <v>0</v>
      </c>
      <c r="L530">
        <f t="shared" si="91"/>
        <v>0</v>
      </c>
      <c r="M530">
        <f t="shared" si="92"/>
        <v>0</v>
      </c>
      <c r="N530">
        <f t="shared" si="93"/>
        <v>0</v>
      </c>
      <c r="O530">
        <f t="shared" si="94"/>
        <v>0</v>
      </c>
      <c r="P530" t="str">
        <f t="shared" si="95"/>
        <v/>
      </c>
      <c r="Q530" t="str">
        <f>IF(B530="","", IFERROR(VLOOKUP(B530, '基準資産配分（設定）'!$A$2:$C$2001, 3, FALSE), ""))</f>
        <v/>
      </c>
      <c r="R530" t="str">
        <f>IF(B530="","", IFERROR(VLOOKUP(B530, '基準資産配分（設定）'!$A$2:$C$2001, 2, FALSE)/100, 0))</f>
        <v/>
      </c>
      <c r="S530" t="str">
        <f>IF(B530="","", IFERROR(SUMIFS(ベンチマークリターン!$C$2:$C$2001, ベンチマークリターン!$A$2:$A$2001, A530, ベンチマークリターン!$B$2:$B$2001, Q530) / 100, 0))</f>
        <v/>
      </c>
      <c r="T530" t="str">
        <f>IF(A530="","", SUMIFS($H$2:$H$2000, $A$2:$A$2000, A530))</f>
        <v/>
      </c>
      <c r="U530" t="str">
        <f t="shared" si="96"/>
        <v/>
      </c>
      <c r="V530" t="str">
        <f t="shared" si="97"/>
        <v/>
      </c>
      <c r="W530" t="str">
        <f t="shared" si="98"/>
        <v/>
      </c>
    </row>
    <row r="531" spans="1:23" x14ac:dyDescent="0.2">
      <c r="A531" s="4" t="str">
        <f>IF(ポートフォリオ実績!A532="","", ポートフォリオ実績!A532)</f>
        <v/>
      </c>
      <c r="B531" t="str">
        <f>IF(ポートフォリオ実績!B532="","", ポートフォリオ実績!B532)</f>
        <v/>
      </c>
      <c r="C531" s="10" t="str">
        <f>IF(ポートフォリオ実績!C532="","", ポートフォリオ実績!C532)</f>
        <v/>
      </c>
      <c r="D531" s="10" t="str">
        <f>IF(ポートフォリオ実績!D532="","", ポートフォリオ実績!D532)</f>
        <v/>
      </c>
      <c r="E531" s="10" t="str">
        <f>IF(ポートフォリオ実績!E532="","", ポートフォリオ実績!E532)</f>
        <v/>
      </c>
      <c r="F531" s="10" t="str">
        <f>IF(ポートフォリオ実績!F532="","", ポートフォリオ実績!F532)</f>
        <v/>
      </c>
      <c r="G531" t="str">
        <f t="shared" si="88"/>
        <v/>
      </c>
      <c r="H531">
        <f>IF(B531&lt;&gt;"", SUMIFS(ポートフォリオ実績!$D$2:$D$2001, ポートフォリオ実績!$B$2:$B$2001, B531, ポートフォリオ実績!$A$2:$A$2001, G531), 0)</f>
        <v>0</v>
      </c>
      <c r="I531">
        <f>IF(B531&lt;&gt;"", SUMIFS(ポートフォリオ実績!$C$2:$C$2001, ポートフォリオ実績!$B$2:$B$2001, B531, ポートフォリオ実績!$A$2:$A$2001, G531), 0)</f>
        <v>0</v>
      </c>
      <c r="J531">
        <f t="shared" si="89"/>
        <v>0</v>
      </c>
      <c r="K531">
        <f t="shared" si="90"/>
        <v>0</v>
      </c>
      <c r="L531">
        <f t="shared" si="91"/>
        <v>0</v>
      </c>
      <c r="M531">
        <f t="shared" si="92"/>
        <v>0</v>
      </c>
      <c r="N531">
        <f t="shared" si="93"/>
        <v>0</v>
      </c>
      <c r="O531">
        <f t="shared" si="94"/>
        <v>0</v>
      </c>
      <c r="P531" t="str">
        <f t="shared" si="95"/>
        <v/>
      </c>
      <c r="Q531" t="str">
        <f>IF(B531="","", IFERROR(VLOOKUP(B531, '基準資産配分（設定）'!$A$2:$C$2001, 3, FALSE), ""))</f>
        <v/>
      </c>
      <c r="R531" t="str">
        <f>IF(B531="","", IFERROR(VLOOKUP(B531, '基準資産配分（設定）'!$A$2:$C$2001, 2, FALSE)/100, 0))</f>
        <v/>
      </c>
      <c r="S531" t="str">
        <f>IF(B531="","", IFERROR(SUMIFS(ベンチマークリターン!$C$2:$C$2001, ベンチマークリターン!$A$2:$A$2001, A531, ベンチマークリターン!$B$2:$B$2001, Q531) / 100, 0))</f>
        <v/>
      </c>
      <c r="T531" t="str">
        <f>IF(A531="","", SUMIFS($H$2:$H$2000, $A$2:$A$2000, A531))</f>
        <v/>
      </c>
      <c r="U531" t="str">
        <f t="shared" si="96"/>
        <v/>
      </c>
      <c r="V531" t="str">
        <f t="shared" si="97"/>
        <v/>
      </c>
      <c r="W531" t="str">
        <f t="shared" si="98"/>
        <v/>
      </c>
    </row>
    <row r="532" spans="1:23" x14ac:dyDescent="0.2">
      <c r="A532" s="4" t="str">
        <f>IF(ポートフォリオ実績!A533="","", ポートフォリオ実績!A533)</f>
        <v/>
      </c>
      <c r="B532" t="str">
        <f>IF(ポートフォリオ実績!B533="","", ポートフォリオ実績!B533)</f>
        <v/>
      </c>
      <c r="C532" s="10" t="str">
        <f>IF(ポートフォリオ実績!C533="","", ポートフォリオ実績!C533)</f>
        <v/>
      </c>
      <c r="D532" s="10" t="str">
        <f>IF(ポートフォリオ実績!D533="","", ポートフォリオ実績!D533)</f>
        <v/>
      </c>
      <c r="E532" s="10" t="str">
        <f>IF(ポートフォリオ実績!E533="","", ポートフォリオ実績!E533)</f>
        <v/>
      </c>
      <c r="F532" s="10" t="str">
        <f>IF(ポートフォリオ実績!F533="","", ポートフォリオ実績!F533)</f>
        <v/>
      </c>
      <c r="G532" t="str">
        <f t="shared" si="88"/>
        <v/>
      </c>
      <c r="H532">
        <f>IF(B532&lt;&gt;"", SUMIFS(ポートフォリオ実績!$D$2:$D$2001, ポートフォリオ実績!$B$2:$B$2001, B532, ポートフォリオ実績!$A$2:$A$2001, G532), 0)</f>
        <v>0</v>
      </c>
      <c r="I532">
        <f>IF(B532&lt;&gt;"", SUMIFS(ポートフォリオ実績!$C$2:$C$2001, ポートフォリオ実績!$B$2:$B$2001, B532, ポートフォリオ実績!$A$2:$A$2001, G532), 0)</f>
        <v>0</v>
      </c>
      <c r="J532">
        <f t="shared" si="89"/>
        <v>0</v>
      </c>
      <c r="K532">
        <f t="shared" si="90"/>
        <v>0</v>
      </c>
      <c r="L532">
        <f t="shared" si="91"/>
        <v>0</v>
      </c>
      <c r="M532">
        <f t="shared" si="92"/>
        <v>0</v>
      </c>
      <c r="N532">
        <f t="shared" si="93"/>
        <v>0</v>
      </c>
      <c r="O532">
        <f t="shared" si="94"/>
        <v>0</v>
      </c>
      <c r="P532" t="str">
        <f t="shared" si="95"/>
        <v/>
      </c>
      <c r="Q532" t="str">
        <f>IF(B532="","", IFERROR(VLOOKUP(B532, '基準資産配分（設定）'!$A$2:$C$2001, 3, FALSE), ""))</f>
        <v/>
      </c>
      <c r="R532" t="str">
        <f>IF(B532="","", IFERROR(VLOOKUP(B532, '基準資産配分（設定）'!$A$2:$C$2001, 2, FALSE)/100, 0))</f>
        <v/>
      </c>
      <c r="S532" t="str">
        <f>IF(B532="","", IFERROR(SUMIFS(ベンチマークリターン!$C$2:$C$2001, ベンチマークリターン!$A$2:$A$2001, A532, ベンチマークリターン!$B$2:$B$2001, Q532) / 100, 0))</f>
        <v/>
      </c>
      <c r="T532" t="str">
        <f>IF(A532="","", SUMIFS($H$2:$H$2000, $A$2:$A$2000, A532))</f>
        <v/>
      </c>
      <c r="U532" t="str">
        <f t="shared" si="96"/>
        <v/>
      </c>
      <c r="V532" t="str">
        <f t="shared" si="97"/>
        <v/>
      </c>
      <c r="W532" t="str">
        <f t="shared" si="98"/>
        <v/>
      </c>
    </row>
    <row r="533" spans="1:23" x14ac:dyDescent="0.2">
      <c r="A533" s="4" t="str">
        <f>IF(ポートフォリオ実績!A534="","", ポートフォリオ実績!A534)</f>
        <v/>
      </c>
      <c r="B533" t="str">
        <f>IF(ポートフォリオ実績!B534="","", ポートフォリオ実績!B534)</f>
        <v/>
      </c>
      <c r="C533" s="10" t="str">
        <f>IF(ポートフォリオ実績!C534="","", ポートフォリオ実績!C534)</f>
        <v/>
      </c>
      <c r="D533" s="10" t="str">
        <f>IF(ポートフォリオ実績!D534="","", ポートフォリオ実績!D534)</f>
        <v/>
      </c>
      <c r="E533" s="10" t="str">
        <f>IF(ポートフォリオ実績!E534="","", ポートフォリオ実績!E534)</f>
        <v/>
      </c>
      <c r="F533" s="10" t="str">
        <f>IF(ポートフォリオ実績!F534="","", ポートフォリオ実績!F534)</f>
        <v/>
      </c>
      <c r="G533" t="str">
        <f t="shared" si="88"/>
        <v/>
      </c>
      <c r="H533">
        <f>IF(B533&lt;&gt;"", SUMIFS(ポートフォリオ実績!$D$2:$D$2001, ポートフォリオ実績!$B$2:$B$2001, B533, ポートフォリオ実績!$A$2:$A$2001, G533), 0)</f>
        <v>0</v>
      </c>
      <c r="I533">
        <f>IF(B533&lt;&gt;"", SUMIFS(ポートフォリオ実績!$C$2:$C$2001, ポートフォリオ実績!$B$2:$B$2001, B533, ポートフォリオ実績!$A$2:$A$2001, G533), 0)</f>
        <v>0</v>
      </c>
      <c r="J533">
        <f t="shared" si="89"/>
        <v>0</v>
      </c>
      <c r="K533">
        <f t="shared" si="90"/>
        <v>0</v>
      </c>
      <c r="L533">
        <f t="shared" si="91"/>
        <v>0</v>
      </c>
      <c r="M533">
        <f t="shared" si="92"/>
        <v>0</v>
      </c>
      <c r="N533">
        <f t="shared" si="93"/>
        <v>0</v>
      </c>
      <c r="O533">
        <f t="shared" si="94"/>
        <v>0</v>
      </c>
      <c r="P533" t="str">
        <f t="shared" si="95"/>
        <v/>
      </c>
      <c r="Q533" t="str">
        <f>IF(B533="","", IFERROR(VLOOKUP(B533, '基準資産配分（設定）'!$A$2:$C$2001, 3, FALSE), ""))</f>
        <v/>
      </c>
      <c r="R533" t="str">
        <f>IF(B533="","", IFERROR(VLOOKUP(B533, '基準資産配分（設定）'!$A$2:$C$2001, 2, FALSE)/100, 0))</f>
        <v/>
      </c>
      <c r="S533" t="str">
        <f>IF(B533="","", IFERROR(SUMIFS(ベンチマークリターン!$C$2:$C$2001, ベンチマークリターン!$A$2:$A$2001, A533, ベンチマークリターン!$B$2:$B$2001, Q533) / 100, 0))</f>
        <v/>
      </c>
      <c r="T533" t="str">
        <f>IF(A533="","", SUMIFS($H$2:$H$2000, $A$2:$A$2000, A533))</f>
        <v/>
      </c>
      <c r="U533" t="str">
        <f t="shared" si="96"/>
        <v/>
      </c>
      <c r="V533" t="str">
        <f t="shared" si="97"/>
        <v/>
      </c>
      <c r="W533" t="str">
        <f t="shared" si="98"/>
        <v/>
      </c>
    </row>
    <row r="534" spans="1:23" x14ac:dyDescent="0.2">
      <c r="A534" s="4" t="str">
        <f>IF(ポートフォリオ実績!A535="","", ポートフォリオ実績!A535)</f>
        <v/>
      </c>
      <c r="B534" t="str">
        <f>IF(ポートフォリオ実績!B535="","", ポートフォリオ実績!B535)</f>
        <v/>
      </c>
      <c r="C534" s="10" t="str">
        <f>IF(ポートフォリオ実績!C535="","", ポートフォリオ実績!C535)</f>
        <v/>
      </c>
      <c r="D534" s="10" t="str">
        <f>IF(ポートフォリオ実績!D535="","", ポートフォリオ実績!D535)</f>
        <v/>
      </c>
      <c r="E534" s="10" t="str">
        <f>IF(ポートフォリオ実績!E535="","", ポートフォリオ実績!E535)</f>
        <v/>
      </c>
      <c r="F534" s="10" t="str">
        <f>IF(ポートフォリオ実績!F535="","", ポートフォリオ実績!F535)</f>
        <v/>
      </c>
      <c r="G534" t="str">
        <f t="shared" si="88"/>
        <v/>
      </c>
      <c r="H534">
        <f>IF(B534&lt;&gt;"", SUMIFS(ポートフォリオ実績!$D$2:$D$2001, ポートフォリオ実績!$B$2:$B$2001, B534, ポートフォリオ実績!$A$2:$A$2001, G534), 0)</f>
        <v>0</v>
      </c>
      <c r="I534">
        <f>IF(B534&lt;&gt;"", SUMIFS(ポートフォリオ実績!$C$2:$C$2001, ポートフォリオ実績!$B$2:$B$2001, B534, ポートフォリオ実績!$A$2:$A$2001, G534), 0)</f>
        <v>0</v>
      </c>
      <c r="J534">
        <f t="shared" si="89"/>
        <v>0</v>
      </c>
      <c r="K534">
        <f t="shared" si="90"/>
        <v>0</v>
      </c>
      <c r="L534">
        <f t="shared" si="91"/>
        <v>0</v>
      </c>
      <c r="M534">
        <f t="shared" si="92"/>
        <v>0</v>
      </c>
      <c r="N534">
        <f t="shared" si="93"/>
        <v>0</v>
      </c>
      <c r="O534">
        <f t="shared" si="94"/>
        <v>0</v>
      </c>
      <c r="P534" t="str">
        <f t="shared" si="95"/>
        <v/>
      </c>
      <c r="Q534" t="str">
        <f>IF(B534="","", IFERROR(VLOOKUP(B534, '基準資産配分（設定）'!$A$2:$C$2001, 3, FALSE), ""))</f>
        <v/>
      </c>
      <c r="R534" t="str">
        <f>IF(B534="","", IFERROR(VLOOKUP(B534, '基準資産配分（設定）'!$A$2:$C$2001, 2, FALSE)/100, 0))</f>
        <v/>
      </c>
      <c r="S534" t="str">
        <f>IF(B534="","", IFERROR(SUMIFS(ベンチマークリターン!$C$2:$C$2001, ベンチマークリターン!$A$2:$A$2001, A534, ベンチマークリターン!$B$2:$B$2001, Q534) / 100, 0))</f>
        <v/>
      </c>
      <c r="T534" t="str">
        <f>IF(A534="","", SUMIFS($H$2:$H$2000, $A$2:$A$2000, A534))</f>
        <v/>
      </c>
      <c r="U534" t="str">
        <f t="shared" si="96"/>
        <v/>
      </c>
      <c r="V534" t="str">
        <f t="shared" si="97"/>
        <v/>
      </c>
      <c r="W534" t="str">
        <f t="shared" si="98"/>
        <v/>
      </c>
    </row>
    <row r="535" spans="1:23" x14ac:dyDescent="0.2">
      <c r="A535" s="4" t="str">
        <f>IF(ポートフォリオ実績!A536="","", ポートフォリオ実績!A536)</f>
        <v/>
      </c>
      <c r="B535" t="str">
        <f>IF(ポートフォリオ実績!B536="","", ポートフォリオ実績!B536)</f>
        <v/>
      </c>
      <c r="C535" s="10" t="str">
        <f>IF(ポートフォリオ実績!C536="","", ポートフォリオ実績!C536)</f>
        <v/>
      </c>
      <c r="D535" s="10" t="str">
        <f>IF(ポートフォリオ実績!D536="","", ポートフォリオ実績!D536)</f>
        <v/>
      </c>
      <c r="E535" s="10" t="str">
        <f>IF(ポートフォリオ実績!E536="","", ポートフォリオ実績!E536)</f>
        <v/>
      </c>
      <c r="F535" s="10" t="str">
        <f>IF(ポートフォリオ実績!F536="","", ポートフォリオ実績!F536)</f>
        <v/>
      </c>
      <c r="G535" t="str">
        <f t="shared" si="88"/>
        <v/>
      </c>
      <c r="H535">
        <f>IF(B535&lt;&gt;"", SUMIFS(ポートフォリオ実績!$D$2:$D$2001, ポートフォリオ実績!$B$2:$B$2001, B535, ポートフォリオ実績!$A$2:$A$2001, G535), 0)</f>
        <v>0</v>
      </c>
      <c r="I535">
        <f>IF(B535&lt;&gt;"", SUMIFS(ポートフォリオ実績!$C$2:$C$2001, ポートフォリオ実績!$B$2:$B$2001, B535, ポートフォリオ実績!$A$2:$A$2001, G535), 0)</f>
        <v>0</v>
      </c>
      <c r="J535">
        <f t="shared" si="89"/>
        <v>0</v>
      </c>
      <c r="K535">
        <f t="shared" si="90"/>
        <v>0</v>
      </c>
      <c r="L535">
        <f t="shared" si="91"/>
        <v>0</v>
      </c>
      <c r="M535">
        <f t="shared" si="92"/>
        <v>0</v>
      </c>
      <c r="N535">
        <f t="shared" si="93"/>
        <v>0</v>
      </c>
      <c r="O535">
        <f t="shared" si="94"/>
        <v>0</v>
      </c>
      <c r="P535" t="str">
        <f t="shared" si="95"/>
        <v/>
      </c>
      <c r="Q535" t="str">
        <f>IF(B535="","", IFERROR(VLOOKUP(B535, '基準資産配分（設定）'!$A$2:$C$2001, 3, FALSE), ""))</f>
        <v/>
      </c>
      <c r="R535" t="str">
        <f>IF(B535="","", IFERROR(VLOOKUP(B535, '基準資産配分（設定）'!$A$2:$C$2001, 2, FALSE)/100, 0))</f>
        <v/>
      </c>
      <c r="S535" t="str">
        <f>IF(B535="","", IFERROR(SUMIFS(ベンチマークリターン!$C$2:$C$2001, ベンチマークリターン!$A$2:$A$2001, A535, ベンチマークリターン!$B$2:$B$2001, Q535) / 100, 0))</f>
        <v/>
      </c>
      <c r="T535" t="str">
        <f>IF(A535="","", SUMIFS($H$2:$H$2000, $A$2:$A$2000, A535))</f>
        <v/>
      </c>
      <c r="U535" t="str">
        <f t="shared" si="96"/>
        <v/>
      </c>
      <c r="V535" t="str">
        <f t="shared" si="97"/>
        <v/>
      </c>
      <c r="W535" t="str">
        <f t="shared" si="98"/>
        <v/>
      </c>
    </row>
    <row r="536" spans="1:23" x14ac:dyDescent="0.2">
      <c r="A536" s="4" t="str">
        <f>IF(ポートフォリオ実績!A537="","", ポートフォリオ実績!A537)</f>
        <v/>
      </c>
      <c r="B536" t="str">
        <f>IF(ポートフォリオ実績!B537="","", ポートフォリオ実績!B537)</f>
        <v/>
      </c>
      <c r="C536" s="10" t="str">
        <f>IF(ポートフォリオ実績!C537="","", ポートフォリオ実績!C537)</f>
        <v/>
      </c>
      <c r="D536" s="10" t="str">
        <f>IF(ポートフォリオ実績!D537="","", ポートフォリオ実績!D537)</f>
        <v/>
      </c>
      <c r="E536" s="10" t="str">
        <f>IF(ポートフォリオ実績!E537="","", ポートフォリオ実績!E537)</f>
        <v/>
      </c>
      <c r="F536" s="10" t="str">
        <f>IF(ポートフォリオ実績!F537="","", ポートフォリオ実績!F537)</f>
        <v/>
      </c>
      <c r="G536" t="str">
        <f t="shared" si="88"/>
        <v/>
      </c>
      <c r="H536">
        <f>IF(B536&lt;&gt;"", SUMIFS(ポートフォリオ実績!$D$2:$D$2001, ポートフォリオ実績!$B$2:$B$2001, B536, ポートフォリオ実績!$A$2:$A$2001, G536), 0)</f>
        <v>0</v>
      </c>
      <c r="I536">
        <f>IF(B536&lt;&gt;"", SUMIFS(ポートフォリオ実績!$C$2:$C$2001, ポートフォリオ実績!$B$2:$B$2001, B536, ポートフォリオ実績!$A$2:$A$2001, G536), 0)</f>
        <v>0</v>
      </c>
      <c r="J536">
        <f t="shared" si="89"/>
        <v>0</v>
      </c>
      <c r="K536">
        <f t="shared" si="90"/>
        <v>0</v>
      </c>
      <c r="L536">
        <f t="shared" si="91"/>
        <v>0</v>
      </c>
      <c r="M536">
        <f t="shared" si="92"/>
        <v>0</v>
      </c>
      <c r="N536">
        <f t="shared" si="93"/>
        <v>0</v>
      </c>
      <c r="O536">
        <f t="shared" si="94"/>
        <v>0</v>
      </c>
      <c r="P536" t="str">
        <f t="shared" si="95"/>
        <v/>
      </c>
      <c r="Q536" t="str">
        <f>IF(B536="","", IFERROR(VLOOKUP(B536, '基準資産配分（設定）'!$A$2:$C$2001, 3, FALSE), ""))</f>
        <v/>
      </c>
      <c r="R536" t="str">
        <f>IF(B536="","", IFERROR(VLOOKUP(B536, '基準資産配分（設定）'!$A$2:$C$2001, 2, FALSE)/100, 0))</f>
        <v/>
      </c>
      <c r="S536" t="str">
        <f>IF(B536="","", IFERROR(SUMIFS(ベンチマークリターン!$C$2:$C$2001, ベンチマークリターン!$A$2:$A$2001, A536, ベンチマークリターン!$B$2:$B$2001, Q536) / 100, 0))</f>
        <v/>
      </c>
      <c r="T536" t="str">
        <f>IF(A536="","", SUMIFS($H$2:$H$2000, $A$2:$A$2000, A536))</f>
        <v/>
      </c>
      <c r="U536" t="str">
        <f t="shared" si="96"/>
        <v/>
      </c>
      <c r="V536" t="str">
        <f t="shared" si="97"/>
        <v/>
      </c>
      <c r="W536" t="str">
        <f t="shared" si="98"/>
        <v/>
      </c>
    </row>
    <row r="537" spans="1:23" x14ac:dyDescent="0.2">
      <c r="A537" s="4" t="str">
        <f>IF(ポートフォリオ実績!A538="","", ポートフォリオ実績!A538)</f>
        <v/>
      </c>
      <c r="B537" t="str">
        <f>IF(ポートフォリオ実績!B538="","", ポートフォリオ実績!B538)</f>
        <v/>
      </c>
      <c r="C537" s="10" t="str">
        <f>IF(ポートフォリオ実績!C538="","", ポートフォリオ実績!C538)</f>
        <v/>
      </c>
      <c r="D537" s="10" t="str">
        <f>IF(ポートフォリオ実績!D538="","", ポートフォリオ実績!D538)</f>
        <v/>
      </c>
      <c r="E537" s="10" t="str">
        <f>IF(ポートフォリオ実績!E538="","", ポートフォリオ実績!E538)</f>
        <v/>
      </c>
      <c r="F537" s="10" t="str">
        <f>IF(ポートフォリオ実績!F538="","", ポートフォリオ実績!F538)</f>
        <v/>
      </c>
      <c r="G537" t="str">
        <f t="shared" si="88"/>
        <v/>
      </c>
      <c r="H537">
        <f>IF(B537&lt;&gt;"", SUMIFS(ポートフォリオ実績!$D$2:$D$2001, ポートフォリオ実績!$B$2:$B$2001, B537, ポートフォリオ実績!$A$2:$A$2001, G537), 0)</f>
        <v>0</v>
      </c>
      <c r="I537">
        <f>IF(B537&lt;&gt;"", SUMIFS(ポートフォリオ実績!$C$2:$C$2001, ポートフォリオ実績!$B$2:$B$2001, B537, ポートフォリオ実績!$A$2:$A$2001, G537), 0)</f>
        <v>0</v>
      </c>
      <c r="J537">
        <f t="shared" si="89"/>
        <v>0</v>
      </c>
      <c r="K537">
        <f t="shared" si="90"/>
        <v>0</v>
      </c>
      <c r="L537">
        <f t="shared" si="91"/>
        <v>0</v>
      </c>
      <c r="M537">
        <f t="shared" si="92"/>
        <v>0</v>
      </c>
      <c r="N537">
        <f t="shared" si="93"/>
        <v>0</v>
      </c>
      <c r="O537">
        <f t="shared" si="94"/>
        <v>0</v>
      </c>
      <c r="P537" t="str">
        <f t="shared" si="95"/>
        <v/>
      </c>
      <c r="Q537" t="str">
        <f>IF(B537="","", IFERROR(VLOOKUP(B537, '基準資産配分（設定）'!$A$2:$C$2001, 3, FALSE), ""))</f>
        <v/>
      </c>
      <c r="R537" t="str">
        <f>IF(B537="","", IFERROR(VLOOKUP(B537, '基準資産配分（設定）'!$A$2:$C$2001, 2, FALSE)/100, 0))</f>
        <v/>
      </c>
      <c r="S537" t="str">
        <f>IF(B537="","", IFERROR(SUMIFS(ベンチマークリターン!$C$2:$C$2001, ベンチマークリターン!$A$2:$A$2001, A537, ベンチマークリターン!$B$2:$B$2001, Q537) / 100, 0))</f>
        <v/>
      </c>
      <c r="T537" t="str">
        <f>IF(A537="","", SUMIFS($H$2:$H$2000, $A$2:$A$2000, A537))</f>
        <v/>
      </c>
      <c r="U537" t="str">
        <f t="shared" si="96"/>
        <v/>
      </c>
      <c r="V537" t="str">
        <f t="shared" si="97"/>
        <v/>
      </c>
      <c r="W537" t="str">
        <f t="shared" si="98"/>
        <v/>
      </c>
    </row>
    <row r="538" spans="1:23" x14ac:dyDescent="0.2">
      <c r="A538" s="4" t="str">
        <f>IF(ポートフォリオ実績!A539="","", ポートフォリオ実績!A539)</f>
        <v/>
      </c>
      <c r="B538" t="str">
        <f>IF(ポートフォリオ実績!B539="","", ポートフォリオ実績!B539)</f>
        <v/>
      </c>
      <c r="C538" s="10" t="str">
        <f>IF(ポートフォリオ実績!C539="","", ポートフォリオ実績!C539)</f>
        <v/>
      </c>
      <c r="D538" s="10" t="str">
        <f>IF(ポートフォリオ実績!D539="","", ポートフォリオ実績!D539)</f>
        <v/>
      </c>
      <c r="E538" s="10" t="str">
        <f>IF(ポートフォリオ実績!E539="","", ポートフォリオ実績!E539)</f>
        <v/>
      </c>
      <c r="F538" s="10" t="str">
        <f>IF(ポートフォリオ実績!F539="","", ポートフォリオ実績!F539)</f>
        <v/>
      </c>
      <c r="G538" t="str">
        <f t="shared" si="88"/>
        <v/>
      </c>
      <c r="H538">
        <f>IF(B538&lt;&gt;"", SUMIFS(ポートフォリオ実績!$D$2:$D$2001, ポートフォリオ実績!$B$2:$B$2001, B538, ポートフォリオ実績!$A$2:$A$2001, G538), 0)</f>
        <v>0</v>
      </c>
      <c r="I538">
        <f>IF(B538&lt;&gt;"", SUMIFS(ポートフォリオ実績!$C$2:$C$2001, ポートフォリオ実績!$B$2:$B$2001, B538, ポートフォリオ実績!$A$2:$A$2001, G538), 0)</f>
        <v>0</v>
      </c>
      <c r="J538">
        <f t="shared" si="89"/>
        <v>0</v>
      </c>
      <c r="K538">
        <f t="shared" si="90"/>
        <v>0</v>
      </c>
      <c r="L538">
        <f t="shared" si="91"/>
        <v>0</v>
      </c>
      <c r="M538">
        <f t="shared" si="92"/>
        <v>0</v>
      </c>
      <c r="N538">
        <f t="shared" si="93"/>
        <v>0</v>
      </c>
      <c r="O538">
        <f t="shared" si="94"/>
        <v>0</v>
      </c>
      <c r="P538" t="str">
        <f t="shared" si="95"/>
        <v/>
      </c>
      <c r="Q538" t="str">
        <f>IF(B538="","", IFERROR(VLOOKUP(B538, '基準資産配分（設定）'!$A$2:$C$2001, 3, FALSE), ""))</f>
        <v/>
      </c>
      <c r="R538" t="str">
        <f>IF(B538="","", IFERROR(VLOOKUP(B538, '基準資産配分（設定）'!$A$2:$C$2001, 2, FALSE)/100, 0))</f>
        <v/>
      </c>
      <c r="S538" t="str">
        <f>IF(B538="","", IFERROR(SUMIFS(ベンチマークリターン!$C$2:$C$2001, ベンチマークリターン!$A$2:$A$2001, A538, ベンチマークリターン!$B$2:$B$2001, Q538) / 100, 0))</f>
        <v/>
      </c>
      <c r="T538" t="str">
        <f>IF(A538="","", SUMIFS($H$2:$H$2000, $A$2:$A$2000, A538))</f>
        <v/>
      </c>
      <c r="U538" t="str">
        <f t="shared" si="96"/>
        <v/>
      </c>
      <c r="V538" t="str">
        <f t="shared" si="97"/>
        <v/>
      </c>
      <c r="W538" t="str">
        <f t="shared" si="98"/>
        <v/>
      </c>
    </row>
    <row r="539" spans="1:23" x14ac:dyDescent="0.2">
      <c r="A539" s="4" t="str">
        <f>IF(ポートフォリオ実績!A540="","", ポートフォリオ実績!A540)</f>
        <v/>
      </c>
      <c r="B539" t="str">
        <f>IF(ポートフォリオ実績!B540="","", ポートフォリオ実績!B540)</f>
        <v/>
      </c>
      <c r="C539" s="10" t="str">
        <f>IF(ポートフォリオ実績!C540="","", ポートフォリオ実績!C540)</f>
        <v/>
      </c>
      <c r="D539" s="10" t="str">
        <f>IF(ポートフォリオ実績!D540="","", ポートフォリオ実績!D540)</f>
        <v/>
      </c>
      <c r="E539" s="10" t="str">
        <f>IF(ポートフォリオ実績!E540="","", ポートフォリオ実績!E540)</f>
        <v/>
      </c>
      <c r="F539" s="10" t="str">
        <f>IF(ポートフォリオ実績!F540="","", ポートフォリオ実績!F540)</f>
        <v/>
      </c>
      <c r="G539" t="str">
        <f t="shared" si="88"/>
        <v/>
      </c>
      <c r="H539">
        <f>IF(B539&lt;&gt;"", SUMIFS(ポートフォリオ実績!$D$2:$D$2001, ポートフォリオ実績!$B$2:$B$2001, B539, ポートフォリオ実績!$A$2:$A$2001, G539), 0)</f>
        <v>0</v>
      </c>
      <c r="I539">
        <f>IF(B539&lt;&gt;"", SUMIFS(ポートフォリオ実績!$C$2:$C$2001, ポートフォリオ実績!$B$2:$B$2001, B539, ポートフォリオ実績!$A$2:$A$2001, G539), 0)</f>
        <v>0</v>
      </c>
      <c r="J539">
        <f t="shared" si="89"/>
        <v>0</v>
      </c>
      <c r="K539">
        <f t="shared" si="90"/>
        <v>0</v>
      </c>
      <c r="L539">
        <f t="shared" si="91"/>
        <v>0</v>
      </c>
      <c r="M539">
        <f t="shared" si="92"/>
        <v>0</v>
      </c>
      <c r="N539">
        <f t="shared" si="93"/>
        <v>0</v>
      </c>
      <c r="O539">
        <f t="shared" si="94"/>
        <v>0</v>
      </c>
      <c r="P539" t="str">
        <f t="shared" si="95"/>
        <v/>
      </c>
      <c r="Q539" t="str">
        <f>IF(B539="","", IFERROR(VLOOKUP(B539, '基準資産配分（設定）'!$A$2:$C$2001, 3, FALSE), ""))</f>
        <v/>
      </c>
      <c r="R539" t="str">
        <f>IF(B539="","", IFERROR(VLOOKUP(B539, '基準資産配分（設定）'!$A$2:$C$2001, 2, FALSE)/100, 0))</f>
        <v/>
      </c>
      <c r="S539" t="str">
        <f>IF(B539="","", IFERROR(SUMIFS(ベンチマークリターン!$C$2:$C$2001, ベンチマークリターン!$A$2:$A$2001, A539, ベンチマークリターン!$B$2:$B$2001, Q539) / 100, 0))</f>
        <v/>
      </c>
      <c r="T539" t="str">
        <f>IF(A539="","", SUMIFS($H$2:$H$2000, $A$2:$A$2000, A539))</f>
        <v/>
      </c>
      <c r="U539" t="str">
        <f t="shared" si="96"/>
        <v/>
      </c>
      <c r="V539" t="str">
        <f t="shared" si="97"/>
        <v/>
      </c>
      <c r="W539" t="str">
        <f t="shared" si="98"/>
        <v/>
      </c>
    </row>
    <row r="540" spans="1:23" x14ac:dyDescent="0.2">
      <c r="A540" s="4" t="str">
        <f>IF(ポートフォリオ実績!A541="","", ポートフォリオ実績!A541)</f>
        <v/>
      </c>
      <c r="B540" t="str">
        <f>IF(ポートフォリオ実績!B541="","", ポートフォリオ実績!B541)</f>
        <v/>
      </c>
      <c r="C540" s="10" t="str">
        <f>IF(ポートフォリオ実績!C541="","", ポートフォリオ実績!C541)</f>
        <v/>
      </c>
      <c r="D540" s="10" t="str">
        <f>IF(ポートフォリオ実績!D541="","", ポートフォリオ実績!D541)</f>
        <v/>
      </c>
      <c r="E540" s="10" t="str">
        <f>IF(ポートフォリオ実績!E541="","", ポートフォリオ実績!E541)</f>
        <v/>
      </c>
      <c r="F540" s="10" t="str">
        <f>IF(ポートフォリオ実績!F541="","", ポートフォリオ実績!F541)</f>
        <v/>
      </c>
      <c r="G540" t="str">
        <f t="shared" si="88"/>
        <v/>
      </c>
      <c r="H540">
        <f>IF(B540&lt;&gt;"", SUMIFS(ポートフォリオ実績!$D$2:$D$2001, ポートフォリオ実績!$B$2:$B$2001, B540, ポートフォリオ実績!$A$2:$A$2001, G540), 0)</f>
        <v>0</v>
      </c>
      <c r="I540">
        <f>IF(B540&lt;&gt;"", SUMIFS(ポートフォリオ実績!$C$2:$C$2001, ポートフォリオ実績!$B$2:$B$2001, B540, ポートフォリオ実績!$A$2:$A$2001, G540), 0)</f>
        <v>0</v>
      </c>
      <c r="J540">
        <f t="shared" si="89"/>
        <v>0</v>
      </c>
      <c r="K540">
        <f t="shared" si="90"/>
        <v>0</v>
      </c>
      <c r="L540">
        <f t="shared" si="91"/>
        <v>0</v>
      </c>
      <c r="M540">
        <f t="shared" si="92"/>
        <v>0</v>
      </c>
      <c r="N540">
        <f t="shared" si="93"/>
        <v>0</v>
      </c>
      <c r="O540">
        <f t="shared" si="94"/>
        <v>0</v>
      </c>
      <c r="P540" t="str">
        <f t="shared" si="95"/>
        <v/>
      </c>
      <c r="Q540" t="str">
        <f>IF(B540="","", IFERROR(VLOOKUP(B540, '基準資産配分（設定）'!$A$2:$C$2001, 3, FALSE), ""))</f>
        <v/>
      </c>
      <c r="R540" t="str">
        <f>IF(B540="","", IFERROR(VLOOKUP(B540, '基準資産配分（設定）'!$A$2:$C$2001, 2, FALSE)/100, 0))</f>
        <v/>
      </c>
      <c r="S540" t="str">
        <f>IF(B540="","", IFERROR(SUMIFS(ベンチマークリターン!$C$2:$C$2001, ベンチマークリターン!$A$2:$A$2001, A540, ベンチマークリターン!$B$2:$B$2001, Q540) / 100, 0))</f>
        <v/>
      </c>
      <c r="T540" t="str">
        <f>IF(A540="","", SUMIFS($H$2:$H$2000, $A$2:$A$2000, A540))</f>
        <v/>
      </c>
      <c r="U540" t="str">
        <f t="shared" si="96"/>
        <v/>
      </c>
      <c r="V540" t="str">
        <f t="shared" si="97"/>
        <v/>
      </c>
      <c r="W540" t="str">
        <f t="shared" si="98"/>
        <v/>
      </c>
    </row>
    <row r="541" spans="1:23" x14ac:dyDescent="0.2">
      <c r="A541" s="4" t="str">
        <f>IF(ポートフォリオ実績!A542="","", ポートフォリオ実績!A542)</f>
        <v/>
      </c>
      <c r="B541" t="str">
        <f>IF(ポートフォリオ実績!B542="","", ポートフォリオ実績!B542)</f>
        <v/>
      </c>
      <c r="C541" s="10" t="str">
        <f>IF(ポートフォリオ実績!C542="","", ポートフォリオ実績!C542)</f>
        <v/>
      </c>
      <c r="D541" s="10" t="str">
        <f>IF(ポートフォリオ実績!D542="","", ポートフォリオ実績!D542)</f>
        <v/>
      </c>
      <c r="E541" s="10" t="str">
        <f>IF(ポートフォリオ実績!E542="","", ポートフォリオ実績!E542)</f>
        <v/>
      </c>
      <c r="F541" s="10" t="str">
        <f>IF(ポートフォリオ実績!F542="","", ポートフォリオ実績!F542)</f>
        <v/>
      </c>
      <c r="G541" t="str">
        <f t="shared" si="88"/>
        <v/>
      </c>
      <c r="H541">
        <f>IF(B541&lt;&gt;"", SUMIFS(ポートフォリオ実績!$D$2:$D$2001, ポートフォリオ実績!$B$2:$B$2001, B541, ポートフォリオ実績!$A$2:$A$2001, G541), 0)</f>
        <v>0</v>
      </c>
      <c r="I541">
        <f>IF(B541&lt;&gt;"", SUMIFS(ポートフォリオ実績!$C$2:$C$2001, ポートフォリオ実績!$B$2:$B$2001, B541, ポートフォリオ実績!$A$2:$A$2001, G541), 0)</f>
        <v>0</v>
      </c>
      <c r="J541">
        <f t="shared" si="89"/>
        <v>0</v>
      </c>
      <c r="K541">
        <f t="shared" si="90"/>
        <v>0</v>
      </c>
      <c r="L541">
        <f t="shared" si="91"/>
        <v>0</v>
      </c>
      <c r="M541">
        <f t="shared" si="92"/>
        <v>0</v>
      </c>
      <c r="N541">
        <f t="shared" si="93"/>
        <v>0</v>
      </c>
      <c r="O541">
        <f t="shared" si="94"/>
        <v>0</v>
      </c>
      <c r="P541" t="str">
        <f t="shared" si="95"/>
        <v/>
      </c>
      <c r="Q541" t="str">
        <f>IF(B541="","", IFERROR(VLOOKUP(B541, '基準資産配分（設定）'!$A$2:$C$2001, 3, FALSE), ""))</f>
        <v/>
      </c>
      <c r="R541" t="str">
        <f>IF(B541="","", IFERROR(VLOOKUP(B541, '基準資産配分（設定）'!$A$2:$C$2001, 2, FALSE)/100, 0))</f>
        <v/>
      </c>
      <c r="S541" t="str">
        <f>IF(B541="","", IFERROR(SUMIFS(ベンチマークリターン!$C$2:$C$2001, ベンチマークリターン!$A$2:$A$2001, A541, ベンチマークリターン!$B$2:$B$2001, Q541) / 100, 0))</f>
        <v/>
      </c>
      <c r="T541" t="str">
        <f>IF(A541="","", SUMIFS($H$2:$H$2000, $A$2:$A$2000, A541))</f>
        <v/>
      </c>
      <c r="U541" t="str">
        <f t="shared" si="96"/>
        <v/>
      </c>
      <c r="V541" t="str">
        <f t="shared" si="97"/>
        <v/>
      </c>
      <c r="W541" t="str">
        <f t="shared" si="98"/>
        <v/>
      </c>
    </row>
    <row r="542" spans="1:23" x14ac:dyDescent="0.2">
      <c r="A542" s="4" t="str">
        <f>IF(ポートフォリオ実績!A543="","", ポートフォリオ実績!A543)</f>
        <v/>
      </c>
      <c r="B542" t="str">
        <f>IF(ポートフォリオ実績!B543="","", ポートフォリオ実績!B543)</f>
        <v/>
      </c>
      <c r="C542" s="10" t="str">
        <f>IF(ポートフォリオ実績!C543="","", ポートフォリオ実績!C543)</f>
        <v/>
      </c>
      <c r="D542" s="10" t="str">
        <f>IF(ポートフォリオ実績!D543="","", ポートフォリオ実績!D543)</f>
        <v/>
      </c>
      <c r="E542" s="10" t="str">
        <f>IF(ポートフォリオ実績!E543="","", ポートフォリオ実績!E543)</f>
        <v/>
      </c>
      <c r="F542" s="10" t="str">
        <f>IF(ポートフォリオ実績!F543="","", ポートフォリオ実績!F543)</f>
        <v/>
      </c>
      <c r="G542" t="str">
        <f t="shared" si="88"/>
        <v/>
      </c>
      <c r="H542">
        <f>IF(B542&lt;&gt;"", SUMIFS(ポートフォリオ実績!$D$2:$D$2001, ポートフォリオ実績!$B$2:$B$2001, B542, ポートフォリオ実績!$A$2:$A$2001, G542), 0)</f>
        <v>0</v>
      </c>
      <c r="I542">
        <f>IF(B542&lt;&gt;"", SUMIFS(ポートフォリオ実績!$C$2:$C$2001, ポートフォリオ実績!$B$2:$B$2001, B542, ポートフォリオ実績!$A$2:$A$2001, G542), 0)</f>
        <v>0</v>
      </c>
      <c r="J542">
        <f t="shared" si="89"/>
        <v>0</v>
      </c>
      <c r="K542">
        <f t="shared" si="90"/>
        <v>0</v>
      </c>
      <c r="L542">
        <f t="shared" si="91"/>
        <v>0</v>
      </c>
      <c r="M542">
        <f t="shared" si="92"/>
        <v>0</v>
      </c>
      <c r="N542">
        <f t="shared" si="93"/>
        <v>0</v>
      </c>
      <c r="O542">
        <f t="shared" si="94"/>
        <v>0</v>
      </c>
      <c r="P542" t="str">
        <f t="shared" si="95"/>
        <v/>
      </c>
      <c r="Q542" t="str">
        <f>IF(B542="","", IFERROR(VLOOKUP(B542, '基準資産配分（設定）'!$A$2:$C$2001, 3, FALSE), ""))</f>
        <v/>
      </c>
      <c r="R542" t="str">
        <f>IF(B542="","", IFERROR(VLOOKUP(B542, '基準資産配分（設定）'!$A$2:$C$2001, 2, FALSE)/100, 0))</f>
        <v/>
      </c>
      <c r="S542" t="str">
        <f>IF(B542="","", IFERROR(SUMIFS(ベンチマークリターン!$C$2:$C$2001, ベンチマークリターン!$A$2:$A$2001, A542, ベンチマークリターン!$B$2:$B$2001, Q542) / 100, 0))</f>
        <v/>
      </c>
      <c r="T542" t="str">
        <f>IF(A542="","", SUMIFS($H$2:$H$2000, $A$2:$A$2000, A542))</f>
        <v/>
      </c>
      <c r="U542" t="str">
        <f t="shared" si="96"/>
        <v/>
      </c>
      <c r="V542" t="str">
        <f t="shared" si="97"/>
        <v/>
      </c>
      <c r="W542" t="str">
        <f t="shared" si="98"/>
        <v/>
      </c>
    </row>
    <row r="543" spans="1:23" x14ac:dyDescent="0.2">
      <c r="A543" s="4" t="str">
        <f>IF(ポートフォリオ実績!A544="","", ポートフォリオ実績!A544)</f>
        <v/>
      </c>
      <c r="B543" t="str">
        <f>IF(ポートフォリオ実績!B544="","", ポートフォリオ実績!B544)</f>
        <v/>
      </c>
      <c r="C543" s="10" t="str">
        <f>IF(ポートフォリオ実績!C544="","", ポートフォリオ実績!C544)</f>
        <v/>
      </c>
      <c r="D543" s="10" t="str">
        <f>IF(ポートフォリオ実績!D544="","", ポートフォリオ実績!D544)</f>
        <v/>
      </c>
      <c r="E543" s="10" t="str">
        <f>IF(ポートフォリオ実績!E544="","", ポートフォリオ実績!E544)</f>
        <v/>
      </c>
      <c r="F543" s="10" t="str">
        <f>IF(ポートフォリオ実績!F544="","", ポートフォリオ実績!F544)</f>
        <v/>
      </c>
      <c r="G543" t="str">
        <f t="shared" si="88"/>
        <v/>
      </c>
      <c r="H543">
        <f>IF(B543&lt;&gt;"", SUMIFS(ポートフォリオ実績!$D$2:$D$2001, ポートフォリオ実績!$B$2:$B$2001, B543, ポートフォリオ実績!$A$2:$A$2001, G543), 0)</f>
        <v>0</v>
      </c>
      <c r="I543">
        <f>IF(B543&lt;&gt;"", SUMIFS(ポートフォリオ実績!$C$2:$C$2001, ポートフォリオ実績!$B$2:$B$2001, B543, ポートフォリオ実績!$A$2:$A$2001, G543), 0)</f>
        <v>0</v>
      </c>
      <c r="J543">
        <f t="shared" si="89"/>
        <v>0</v>
      </c>
      <c r="K543">
        <f t="shared" si="90"/>
        <v>0</v>
      </c>
      <c r="L543">
        <f t="shared" si="91"/>
        <v>0</v>
      </c>
      <c r="M543">
        <f t="shared" si="92"/>
        <v>0</v>
      </c>
      <c r="N543">
        <f t="shared" si="93"/>
        <v>0</v>
      </c>
      <c r="O543">
        <f t="shared" si="94"/>
        <v>0</v>
      </c>
      <c r="P543" t="str">
        <f t="shared" si="95"/>
        <v/>
      </c>
      <c r="Q543" t="str">
        <f>IF(B543="","", IFERROR(VLOOKUP(B543, '基準資産配分（設定）'!$A$2:$C$2001, 3, FALSE), ""))</f>
        <v/>
      </c>
      <c r="R543" t="str">
        <f>IF(B543="","", IFERROR(VLOOKUP(B543, '基準資産配分（設定）'!$A$2:$C$2001, 2, FALSE)/100, 0))</f>
        <v/>
      </c>
      <c r="S543" t="str">
        <f>IF(B543="","", IFERROR(SUMIFS(ベンチマークリターン!$C$2:$C$2001, ベンチマークリターン!$A$2:$A$2001, A543, ベンチマークリターン!$B$2:$B$2001, Q543) / 100, 0))</f>
        <v/>
      </c>
      <c r="T543" t="str">
        <f>IF(A543="","", SUMIFS($H$2:$H$2000, $A$2:$A$2000, A543))</f>
        <v/>
      </c>
      <c r="U543" t="str">
        <f t="shared" si="96"/>
        <v/>
      </c>
      <c r="V543" t="str">
        <f t="shared" si="97"/>
        <v/>
      </c>
      <c r="W543" t="str">
        <f t="shared" si="98"/>
        <v/>
      </c>
    </row>
    <row r="544" spans="1:23" x14ac:dyDescent="0.2">
      <c r="A544" s="4" t="str">
        <f>IF(ポートフォリオ実績!A545="","", ポートフォリオ実績!A545)</f>
        <v/>
      </c>
      <c r="B544" t="str">
        <f>IF(ポートフォリオ実績!B545="","", ポートフォリオ実績!B545)</f>
        <v/>
      </c>
      <c r="C544" s="10" t="str">
        <f>IF(ポートフォリオ実績!C545="","", ポートフォリオ実績!C545)</f>
        <v/>
      </c>
      <c r="D544" s="10" t="str">
        <f>IF(ポートフォリオ実績!D545="","", ポートフォリオ実績!D545)</f>
        <v/>
      </c>
      <c r="E544" s="10" t="str">
        <f>IF(ポートフォリオ実績!E545="","", ポートフォリオ実績!E545)</f>
        <v/>
      </c>
      <c r="F544" s="10" t="str">
        <f>IF(ポートフォリオ実績!F545="","", ポートフォリオ実績!F545)</f>
        <v/>
      </c>
      <c r="G544" t="str">
        <f t="shared" si="88"/>
        <v/>
      </c>
      <c r="H544">
        <f>IF(B544&lt;&gt;"", SUMIFS(ポートフォリオ実績!$D$2:$D$2001, ポートフォリオ実績!$B$2:$B$2001, B544, ポートフォリオ実績!$A$2:$A$2001, G544), 0)</f>
        <v>0</v>
      </c>
      <c r="I544">
        <f>IF(B544&lt;&gt;"", SUMIFS(ポートフォリオ実績!$C$2:$C$2001, ポートフォリオ実績!$B$2:$B$2001, B544, ポートフォリオ実績!$A$2:$A$2001, G544), 0)</f>
        <v>0</v>
      </c>
      <c r="J544">
        <f t="shared" si="89"/>
        <v>0</v>
      </c>
      <c r="K544">
        <f t="shared" si="90"/>
        <v>0</v>
      </c>
      <c r="L544">
        <f t="shared" si="91"/>
        <v>0</v>
      </c>
      <c r="M544">
        <f t="shared" si="92"/>
        <v>0</v>
      </c>
      <c r="N544">
        <f t="shared" si="93"/>
        <v>0</v>
      </c>
      <c r="O544">
        <f t="shared" si="94"/>
        <v>0</v>
      </c>
      <c r="P544" t="str">
        <f t="shared" si="95"/>
        <v/>
      </c>
      <c r="Q544" t="str">
        <f>IF(B544="","", IFERROR(VLOOKUP(B544, '基準資産配分（設定）'!$A$2:$C$2001, 3, FALSE), ""))</f>
        <v/>
      </c>
      <c r="R544" t="str">
        <f>IF(B544="","", IFERROR(VLOOKUP(B544, '基準資産配分（設定）'!$A$2:$C$2001, 2, FALSE)/100, 0))</f>
        <v/>
      </c>
      <c r="S544" t="str">
        <f>IF(B544="","", IFERROR(SUMIFS(ベンチマークリターン!$C$2:$C$2001, ベンチマークリターン!$A$2:$A$2001, A544, ベンチマークリターン!$B$2:$B$2001, Q544) / 100, 0))</f>
        <v/>
      </c>
      <c r="T544" t="str">
        <f>IF(A544="","", SUMIFS($H$2:$H$2000, $A$2:$A$2000, A544))</f>
        <v/>
      </c>
      <c r="U544" t="str">
        <f t="shared" si="96"/>
        <v/>
      </c>
      <c r="V544" t="str">
        <f t="shared" si="97"/>
        <v/>
      </c>
      <c r="W544" t="str">
        <f t="shared" si="98"/>
        <v/>
      </c>
    </row>
    <row r="545" spans="1:23" x14ac:dyDescent="0.2">
      <c r="A545" s="4" t="str">
        <f>IF(ポートフォリオ実績!A546="","", ポートフォリオ実績!A546)</f>
        <v/>
      </c>
      <c r="B545" t="str">
        <f>IF(ポートフォリオ実績!B546="","", ポートフォリオ実績!B546)</f>
        <v/>
      </c>
      <c r="C545" s="10" t="str">
        <f>IF(ポートフォリオ実績!C546="","", ポートフォリオ実績!C546)</f>
        <v/>
      </c>
      <c r="D545" s="10" t="str">
        <f>IF(ポートフォリオ実績!D546="","", ポートフォリオ実績!D546)</f>
        <v/>
      </c>
      <c r="E545" s="10" t="str">
        <f>IF(ポートフォリオ実績!E546="","", ポートフォリオ実績!E546)</f>
        <v/>
      </c>
      <c r="F545" s="10" t="str">
        <f>IF(ポートフォリオ実績!F546="","", ポートフォリオ実績!F546)</f>
        <v/>
      </c>
      <c r="G545" t="str">
        <f t="shared" si="88"/>
        <v/>
      </c>
      <c r="H545">
        <f>IF(B545&lt;&gt;"", SUMIFS(ポートフォリオ実績!$D$2:$D$2001, ポートフォリオ実績!$B$2:$B$2001, B545, ポートフォリオ実績!$A$2:$A$2001, G545), 0)</f>
        <v>0</v>
      </c>
      <c r="I545">
        <f>IF(B545&lt;&gt;"", SUMIFS(ポートフォリオ実績!$C$2:$C$2001, ポートフォリオ実績!$B$2:$B$2001, B545, ポートフォリオ実績!$A$2:$A$2001, G545), 0)</f>
        <v>0</v>
      </c>
      <c r="J545">
        <f t="shared" si="89"/>
        <v>0</v>
      </c>
      <c r="K545">
        <f t="shared" si="90"/>
        <v>0</v>
      </c>
      <c r="L545">
        <f t="shared" si="91"/>
        <v>0</v>
      </c>
      <c r="M545">
        <f t="shared" si="92"/>
        <v>0</v>
      </c>
      <c r="N545">
        <f t="shared" si="93"/>
        <v>0</v>
      </c>
      <c r="O545">
        <f t="shared" si="94"/>
        <v>0</v>
      </c>
      <c r="P545" t="str">
        <f t="shared" si="95"/>
        <v/>
      </c>
      <c r="Q545" t="str">
        <f>IF(B545="","", IFERROR(VLOOKUP(B545, '基準資産配分（設定）'!$A$2:$C$2001, 3, FALSE), ""))</f>
        <v/>
      </c>
      <c r="R545" t="str">
        <f>IF(B545="","", IFERROR(VLOOKUP(B545, '基準資産配分（設定）'!$A$2:$C$2001, 2, FALSE)/100, 0))</f>
        <v/>
      </c>
      <c r="S545" t="str">
        <f>IF(B545="","", IFERROR(SUMIFS(ベンチマークリターン!$C$2:$C$2001, ベンチマークリターン!$A$2:$A$2001, A545, ベンチマークリターン!$B$2:$B$2001, Q545) / 100, 0))</f>
        <v/>
      </c>
      <c r="T545" t="str">
        <f>IF(A545="","", SUMIFS($H$2:$H$2000, $A$2:$A$2000, A545))</f>
        <v/>
      </c>
      <c r="U545" t="str">
        <f t="shared" si="96"/>
        <v/>
      </c>
      <c r="V545" t="str">
        <f t="shared" si="97"/>
        <v/>
      </c>
      <c r="W545" t="str">
        <f t="shared" si="98"/>
        <v/>
      </c>
    </row>
    <row r="546" spans="1:23" x14ac:dyDescent="0.2">
      <c r="A546" s="4" t="str">
        <f>IF(ポートフォリオ実績!A547="","", ポートフォリオ実績!A547)</f>
        <v/>
      </c>
      <c r="B546" t="str">
        <f>IF(ポートフォリオ実績!B547="","", ポートフォリオ実績!B547)</f>
        <v/>
      </c>
      <c r="C546" s="10" t="str">
        <f>IF(ポートフォリオ実績!C547="","", ポートフォリオ実績!C547)</f>
        <v/>
      </c>
      <c r="D546" s="10" t="str">
        <f>IF(ポートフォリオ実績!D547="","", ポートフォリオ実績!D547)</f>
        <v/>
      </c>
      <c r="E546" s="10" t="str">
        <f>IF(ポートフォリオ実績!E547="","", ポートフォリオ実績!E547)</f>
        <v/>
      </c>
      <c r="F546" s="10" t="str">
        <f>IF(ポートフォリオ実績!F547="","", ポートフォリオ実績!F547)</f>
        <v/>
      </c>
      <c r="G546" t="str">
        <f t="shared" si="88"/>
        <v/>
      </c>
      <c r="H546">
        <f>IF(B546&lt;&gt;"", SUMIFS(ポートフォリオ実績!$D$2:$D$2001, ポートフォリオ実績!$B$2:$B$2001, B546, ポートフォリオ実績!$A$2:$A$2001, G546), 0)</f>
        <v>0</v>
      </c>
      <c r="I546">
        <f>IF(B546&lt;&gt;"", SUMIFS(ポートフォリオ実績!$C$2:$C$2001, ポートフォリオ実績!$B$2:$B$2001, B546, ポートフォリオ実績!$A$2:$A$2001, G546), 0)</f>
        <v>0</v>
      </c>
      <c r="J546">
        <f t="shared" si="89"/>
        <v>0</v>
      </c>
      <c r="K546">
        <f t="shared" si="90"/>
        <v>0</v>
      </c>
      <c r="L546">
        <f t="shared" si="91"/>
        <v>0</v>
      </c>
      <c r="M546">
        <f t="shared" si="92"/>
        <v>0</v>
      </c>
      <c r="N546">
        <f t="shared" si="93"/>
        <v>0</v>
      </c>
      <c r="O546">
        <f t="shared" si="94"/>
        <v>0</v>
      </c>
      <c r="P546" t="str">
        <f t="shared" si="95"/>
        <v/>
      </c>
      <c r="Q546" t="str">
        <f>IF(B546="","", IFERROR(VLOOKUP(B546, '基準資産配分（設定）'!$A$2:$C$2001, 3, FALSE), ""))</f>
        <v/>
      </c>
      <c r="R546" t="str">
        <f>IF(B546="","", IFERROR(VLOOKUP(B546, '基準資産配分（設定）'!$A$2:$C$2001, 2, FALSE)/100, 0))</f>
        <v/>
      </c>
      <c r="S546" t="str">
        <f>IF(B546="","", IFERROR(SUMIFS(ベンチマークリターン!$C$2:$C$2001, ベンチマークリターン!$A$2:$A$2001, A546, ベンチマークリターン!$B$2:$B$2001, Q546) / 100, 0))</f>
        <v/>
      </c>
      <c r="T546" t="str">
        <f>IF(A546="","", SUMIFS($H$2:$H$2000, $A$2:$A$2000, A546))</f>
        <v/>
      </c>
      <c r="U546" t="str">
        <f t="shared" si="96"/>
        <v/>
      </c>
      <c r="V546" t="str">
        <f t="shared" si="97"/>
        <v/>
      </c>
      <c r="W546" t="str">
        <f t="shared" si="98"/>
        <v/>
      </c>
    </row>
    <row r="547" spans="1:23" x14ac:dyDescent="0.2">
      <c r="A547" s="4" t="str">
        <f>IF(ポートフォリオ実績!A548="","", ポートフォリオ実績!A548)</f>
        <v/>
      </c>
      <c r="B547" t="str">
        <f>IF(ポートフォリオ実績!B548="","", ポートフォリオ実績!B548)</f>
        <v/>
      </c>
      <c r="C547" s="10" t="str">
        <f>IF(ポートフォリオ実績!C548="","", ポートフォリオ実績!C548)</f>
        <v/>
      </c>
      <c r="D547" s="10" t="str">
        <f>IF(ポートフォリオ実績!D548="","", ポートフォリオ実績!D548)</f>
        <v/>
      </c>
      <c r="E547" s="10" t="str">
        <f>IF(ポートフォリオ実績!E548="","", ポートフォリオ実績!E548)</f>
        <v/>
      </c>
      <c r="F547" s="10" t="str">
        <f>IF(ポートフォリオ実績!F548="","", ポートフォリオ実績!F548)</f>
        <v/>
      </c>
      <c r="G547" t="str">
        <f t="shared" si="88"/>
        <v/>
      </c>
      <c r="H547">
        <f>IF(B547&lt;&gt;"", SUMIFS(ポートフォリオ実績!$D$2:$D$2001, ポートフォリオ実績!$B$2:$B$2001, B547, ポートフォリオ実績!$A$2:$A$2001, G547), 0)</f>
        <v>0</v>
      </c>
      <c r="I547">
        <f>IF(B547&lt;&gt;"", SUMIFS(ポートフォリオ実績!$C$2:$C$2001, ポートフォリオ実績!$B$2:$B$2001, B547, ポートフォリオ実績!$A$2:$A$2001, G547), 0)</f>
        <v>0</v>
      </c>
      <c r="J547">
        <f t="shared" si="89"/>
        <v>0</v>
      </c>
      <c r="K547">
        <f t="shared" si="90"/>
        <v>0</v>
      </c>
      <c r="L547">
        <f t="shared" si="91"/>
        <v>0</v>
      </c>
      <c r="M547">
        <f t="shared" si="92"/>
        <v>0</v>
      </c>
      <c r="N547">
        <f t="shared" si="93"/>
        <v>0</v>
      </c>
      <c r="O547">
        <f t="shared" si="94"/>
        <v>0</v>
      </c>
      <c r="P547" t="str">
        <f t="shared" si="95"/>
        <v/>
      </c>
      <c r="Q547" t="str">
        <f>IF(B547="","", IFERROR(VLOOKUP(B547, '基準資産配分（設定）'!$A$2:$C$2001, 3, FALSE), ""))</f>
        <v/>
      </c>
      <c r="R547" t="str">
        <f>IF(B547="","", IFERROR(VLOOKUP(B547, '基準資産配分（設定）'!$A$2:$C$2001, 2, FALSE)/100, 0))</f>
        <v/>
      </c>
      <c r="S547" t="str">
        <f>IF(B547="","", IFERROR(SUMIFS(ベンチマークリターン!$C$2:$C$2001, ベンチマークリターン!$A$2:$A$2001, A547, ベンチマークリターン!$B$2:$B$2001, Q547) / 100, 0))</f>
        <v/>
      </c>
      <c r="T547" t="str">
        <f>IF(A547="","", SUMIFS($H$2:$H$2000, $A$2:$A$2000, A547))</f>
        <v/>
      </c>
      <c r="U547" t="str">
        <f t="shared" si="96"/>
        <v/>
      </c>
      <c r="V547" t="str">
        <f t="shared" si="97"/>
        <v/>
      </c>
      <c r="W547" t="str">
        <f t="shared" si="98"/>
        <v/>
      </c>
    </row>
    <row r="548" spans="1:23" x14ac:dyDescent="0.2">
      <c r="A548" s="4" t="str">
        <f>IF(ポートフォリオ実績!A549="","", ポートフォリオ実績!A549)</f>
        <v/>
      </c>
      <c r="B548" t="str">
        <f>IF(ポートフォリオ実績!B549="","", ポートフォリオ実績!B549)</f>
        <v/>
      </c>
      <c r="C548" s="10" t="str">
        <f>IF(ポートフォリオ実績!C549="","", ポートフォリオ実績!C549)</f>
        <v/>
      </c>
      <c r="D548" s="10" t="str">
        <f>IF(ポートフォリオ実績!D549="","", ポートフォリオ実績!D549)</f>
        <v/>
      </c>
      <c r="E548" s="10" t="str">
        <f>IF(ポートフォリオ実績!E549="","", ポートフォリオ実績!E549)</f>
        <v/>
      </c>
      <c r="F548" s="10" t="str">
        <f>IF(ポートフォリオ実績!F549="","", ポートフォリオ実績!F549)</f>
        <v/>
      </c>
      <c r="G548" t="str">
        <f t="shared" si="88"/>
        <v/>
      </c>
      <c r="H548">
        <f>IF(B548&lt;&gt;"", SUMIFS(ポートフォリオ実績!$D$2:$D$2001, ポートフォリオ実績!$B$2:$B$2001, B548, ポートフォリオ実績!$A$2:$A$2001, G548), 0)</f>
        <v>0</v>
      </c>
      <c r="I548">
        <f>IF(B548&lt;&gt;"", SUMIFS(ポートフォリオ実績!$C$2:$C$2001, ポートフォリオ実績!$B$2:$B$2001, B548, ポートフォリオ実績!$A$2:$A$2001, G548), 0)</f>
        <v>0</v>
      </c>
      <c r="J548">
        <f t="shared" si="89"/>
        <v>0</v>
      </c>
      <c r="K548">
        <f t="shared" si="90"/>
        <v>0</v>
      </c>
      <c r="L548">
        <f t="shared" si="91"/>
        <v>0</v>
      </c>
      <c r="M548">
        <f t="shared" si="92"/>
        <v>0</v>
      </c>
      <c r="N548">
        <f t="shared" si="93"/>
        <v>0</v>
      </c>
      <c r="O548">
        <f t="shared" si="94"/>
        <v>0</v>
      </c>
      <c r="P548" t="str">
        <f t="shared" si="95"/>
        <v/>
      </c>
      <c r="Q548" t="str">
        <f>IF(B548="","", IFERROR(VLOOKUP(B548, '基準資産配分（設定）'!$A$2:$C$2001, 3, FALSE), ""))</f>
        <v/>
      </c>
      <c r="R548" t="str">
        <f>IF(B548="","", IFERROR(VLOOKUP(B548, '基準資産配分（設定）'!$A$2:$C$2001, 2, FALSE)/100, 0))</f>
        <v/>
      </c>
      <c r="S548" t="str">
        <f>IF(B548="","", IFERROR(SUMIFS(ベンチマークリターン!$C$2:$C$2001, ベンチマークリターン!$A$2:$A$2001, A548, ベンチマークリターン!$B$2:$B$2001, Q548) / 100, 0))</f>
        <v/>
      </c>
      <c r="T548" t="str">
        <f>IF(A548="","", SUMIFS($H$2:$H$2000, $A$2:$A$2000, A548))</f>
        <v/>
      </c>
      <c r="U548" t="str">
        <f t="shared" si="96"/>
        <v/>
      </c>
      <c r="V548" t="str">
        <f t="shared" si="97"/>
        <v/>
      </c>
      <c r="W548" t="str">
        <f t="shared" si="98"/>
        <v/>
      </c>
    </row>
    <row r="549" spans="1:23" x14ac:dyDescent="0.2">
      <c r="A549" s="4" t="str">
        <f>IF(ポートフォリオ実績!A550="","", ポートフォリオ実績!A550)</f>
        <v/>
      </c>
      <c r="B549" t="str">
        <f>IF(ポートフォリオ実績!B550="","", ポートフォリオ実績!B550)</f>
        <v/>
      </c>
      <c r="C549" s="10" t="str">
        <f>IF(ポートフォリオ実績!C550="","", ポートフォリオ実績!C550)</f>
        <v/>
      </c>
      <c r="D549" s="10" t="str">
        <f>IF(ポートフォリオ実績!D550="","", ポートフォリオ実績!D550)</f>
        <v/>
      </c>
      <c r="E549" s="10" t="str">
        <f>IF(ポートフォリオ実績!E550="","", ポートフォリオ実績!E550)</f>
        <v/>
      </c>
      <c r="F549" s="10" t="str">
        <f>IF(ポートフォリオ実績!F550="","", ポートフォリオ実績!F550)</f>
        <v/>
      </c>
      <c r="G549" t="str">
        <f t="shared" si="88"/>
        <v/>
      </c>
      <c r="H549">
        <f>IF(B549&lt;&gt;"", SUMIFS(ポートフォリオ実績!$D$2:$D$2001, ポートフォリオ実績!$B$2:$B$2001, B549, ポートフォリオ実績!$A$2:$A$2001, G549), 0)</f>
        <v>0</v>
      </c>
      <c r="I549">
        <f>IF(B549&lt;&gt;"", SUMIFS(ポートフォリオ実績!$C$2:$C$2001, ポートフォリオ実績!$B$2:$B$2001, B549, ポートフォリオ実績!$A$2:$A$2001, G549), 0)</f>
        <v>0</v>
      </c>
      <c r="J549">
        <f t="shared" si="89"/>
        <v>0</v>
      </c>
      <c r="K549">
        <f t="shared" si="90"/>
        <v>0</v>
      </c>
      <c r="L549">
        <f t="shared" si="91"/>
        <v>0</v>
      </c>
      <c r="M549">
        <f t="shared" si="92"/>
        <v>0</v>
      </c>
      <c r="N549">
        <f t="shared" si="93"/>
        <v>0</v>
      </c>
      <c r="O549">
        <f t="shared" si="94"/>
        <v>0</v>
      </c>
      <c r="P549" t="str">
        <f t="shared" si="95"/>
        <v/>
      </c>
      <c r="Q549" t="str">
        <f>IF(B549="","", IFERROR(VLOOKUP(B549, '基準資産配分（設定）'!$A$2:$C$2001, 3, FALSE), ""))</f>
        <v/>
      </c>
      <c r="R549" t="str">
        <f>IF(B549="","", IFERROR(VLOOKUP(B549, '基準資産配分（設定）'!$A$2:$C$2001, 2, FALSE)/100, 0))</f>
        <v/>
      </c>
      <c r="S549" t="str">
        <f>IF(B549="","", IFERROR(SUMIFS(ベンチマークリターン!$C$2:$C$2001, ベンチマークリターン!$A$2:$A$2001, A549, ベンチマークリターン!$B$2:$B$2001, Q549) / 100, 0))</f>
        <v/>
      </c>
      <c r="T549" t="str">
        <f>IF(A549="","", SUMIFS($H$2:$H$2000, $A$2:$A$2000, A549))</f>
        <v/>
      </c>
      <c r="U549" t="str">
        <f t="shared" si="96"/>
        <v/>
      </c>
      <c r="V549" t="str">
        <f t="shared" si="97"/>
        <v/>
      </c>
      <c r="W549" t="str">
        <f t="shared" si="98"/>
        <v/>
      </c>
    </row>
    <row r="550" spans="1:23" x14ac:dyDescent="0.2">
      <c r="A550" s="4" t="str">
        <f>IF(ポートフォリオ実績!A551="","", ポートフォリオ実績!A551)</f>
        <v/>
      </c>
      <c r="B550" t="str">
        <f>IF(ポートフォリオ実績!B551="","", ポートフォリオ実績!B551)</f>
        <v/>
      </c>
      <c r="C550" s="10" t="str">
        <f>IF(ポートフォリオ実績!C551="","", ポートフォリオ実績!C551)</f>
        <v/>
      </c>
      <c r="D550" s="10" t="str">
        <f>IF(ポートフォリオ実績!D551="","", ポートフォリオ実績!D551)</f>
        <v/>
      </c>
      <c r="E550" s="10" t="str">
        <f>IF(ポートフォリオ実績!E551="","", ポートフォリオ実績!E551)</f>
        <v/>
      </c>
      <c r="F550" s="10" t="str">
        <f>IF(ポートフォリオ実績!F551="","", ポートフォリオ実績!F551)</f>
        <v/>
      </c>
      <c r="G550" t="str">
        <f t="shared" si="88"/>
        <v/>
      </c>
      <c r="H550">
        <f>IF(B550&lt;&gt;"", SUMIFS(ポートフォリオ実績!$D$2:$D$2001, ポートフォリオ実績!$B$2:$B$2001, B550, ポートフォリオ実績!$A$2:$A$2001, G550), 0)</f>
        <v>0</v>
      </c>
      <c r="I550">
        <f>IF(B550&lt;&gt;"", SUMIFS(ポートフォリオ実績!$C$2:$C$2001, ポートフォリオ実績!$B$2:$B$2001, B550, ポートフォリオ実績!$A$2:$A$2001, G550), 0)</f>
        <v>0</v>
      </c>
      <c r="J550">
        <f t="shared" si="89"/>
        <v>0</v>
      </c>
      <c r="K550">
        <f t="shared" si="90"/>
        <v>0</v>
      </c>
      <c r="L550">
        <f t="shared" si="91"/>
        <v>0</v>
      </c>
      <c r="M550">
        <f t="shared" si="92"/>
        <v>0</v>
      </c>
      <c r="N550">
        <f t="shared" si="93"/>
        <v>0</v>
      </c>
      <c r="O550">
        <f t="shared" si="94"/>
        <v>0</v>
      </c>
      <c r="P550" t="str">
        <f t="shared" si="95"/>
        <v/>
      </c>
      <c r="Q550" t="str">
        <f>IF(B550="","", IFERROR(VLOOKUP(B550, '基準資産配分（設定）'!$A$2:$C$2001, 3, FALSE), ""))</f>
        <v/>
      </c>
      <c r="R550" t="str">
        <f>IF(B550="","", IFERROR(VLOOKUP(B550, '基準資産配分（設定）'!$A$2:$C$2001, 2, FALSE)/100, 0))</f>
        <v/>
      </c>
      <c r="S550" t="str">
        <f>IF(B550="","", IFERROR(SUMIFS(ベンチマークリターン!$C$2:$C$2001, ベンチマークリターン!$A$2:$A$2001, A550, ベンチマークリターン!$B$2:$B$2001, Q550) / 100, 0))</f>
        <v/>
      </c>
      <c r="T550" t="str">
        <f>IF(A550="","", SUMIFS($H$2:$H$2000, $A$2:$A$2000, A550))</f>
        <v/>
      </c>
      <c r="U550" t="str">
        <f t="shared" si="96"/>
        <v/>
      </c>
      <c r="V550" t="str">
        <f t="shared" si="97"/>
        <v/>
      </c>
      <c r="W550" t="str">
        <f t="shared" si="98"/>
        <v/>
      </c>
    </row>
    <row r="551" spans="1:23" x14ac:dyDescent="0.2">
      <c r="A551" s="4" t="str">
        <f>IF(ポートフォリオ実績!A552="","", ポートフォリオ実績!A552)</f>
        <v/>
      </c>
      <c r="B551" t="str">
        <f>IF(ポートフォリオ実績!B552="","", ポートフォリオ実績!B552)</f>
        <v/>
      </c>
      <c r="C551" s="10" t="str">
        <f>IF(ポートフォリオ実績!C552="","", ポートフォリオ実績!C552)</f>
        <v/>
      </c>
      <c r="D551" s="10" t="str">
        <f>IF(ポートフォリオ実績!D552="","", ポートフォリオ実績!D552)</f>
        <v/>
      </c>
      <c r="E551" s="10" t="str">
        <f>IF(ポートフォリオ実績!E552="","", ポートフォリオ実績!E552)</f>
        <v/>
      </c>
      <c r="F551" s="10" t="str">
        <f>IF(ポートフォリオ実績!F552="","", ポートフォリオ実績!F552)</f>
        <v/>
      </c>
      <c r="G551" t="str">
        <f t="shared" si="88"/>
        <v/>
      </c>
      <c r="H551">
        <f>IF(B551&lt;&gt;"", SUMIFS(ポートフォリオ実績!$D$2:$D$2001, ポートフォリオ実績!$B$2:$B$2001, B551, ポートフォリオ実績!$A$2:$A$2001, G551), 0)</f>
        <v>0</v>
      </c>
      <c r="I551">
        <f>IF(B551&lt;&gt;"", SUMIFS(ポートフォリオ実績!$C$2:$C$2001, ポートフォリオ実績!$B$2:$B$2001, B551, ポートフォリオ実績!$A$2:$A$2001, G551), 0)</f>
        <v>0</v>
      </c>
      <c r="J551">
        <f t="shared" si="89"/>
        <v>0</v>
      </c>
      <c r="K551">
        <f t="shared" si="90"/>
        <v>0</v>
      </c>
      <c r="L551">
        <f t="shared" si="91"/>
        <v>0</v>
      </c>
      <c r="M551">
        <f t="shared" si="92"/>
        <v>0</v>
      </c>
      <c r="N551">
        <f t="shared" si="93"/>
        <v>0</v>
      </c>
      <c r="O551">
        <f t="shared" si="94"/>
        <v>0</v>
      </c>
      <c r="P551" t="str">
        <f t="shared" si="95"/>
        <v/>
      </c>
      <c r="Q551" t="str">
        <f>IF(B551="","", IFERROR(VLOOKUP(B551, '基準資産配分（設定）'!$A$2:$C$2001, 3, FALSE), ""))</f>
        <v/>
      </c>
      <c r="R551" t="str">
        <f>IF(B551="","", IFERROR(VLOOKUP(B551, '基準資産配分（設定）'!$A$2:$C$2001, 2, FALSE)/100, 0))</f>
        <v/>
      </c>
      <c r="S551" t="str">
        <f>IF(B551="","", IFERROR(SUMIFS(ベンチマークリターン!$C$2:$C$2001, ベンチマークリターン!$A$2:$A$2001, A551, ベンチマークリターン!$B$2:$B$2001, Q551) / 100, 0))</f>
        <v/>
      </c>
      <c r="T551" t="str">
        <f>IF(A551="","", SUMIFS($H$2:$H$2000, $A$2:$A$2000, A551))</f>
        <v/>
      </c>
      <c r="U551" t="str">
        <f t="shared" si="96"/>
        <v/>
      </c>
      <c r="V551" t="str">
        <f t="shared" si="97"/>
        <v/>
      </c>
      <c r="W551" t="str">
        <f t="shared" si="98"/>
        <v/>
      </c>
    </row>
    <row r="552" spans="1:23" x14ac:dyDescent="0.2">
      <c r="A552" s="4" t="str">
        <f>IF(ポートフォリオ実績!A553="","", ポートフォリオ実績!A553)</f>
        <v/>
      </c>
      <c r="B552" t="str">
        <f>IF(ポートフォリオ実績!B553="","", ポートフォリオ実績!B553)</f>
        <v/>
      </c>
      <c r="C552" s="10" t="str">
        <f>IF(ポートフォリオ実績!C553="","", ポートフォリオ実績!C553)</f>
        <v/>
      </c>
      <c r="D552" s="10" t="str">
        <f>IF(ポートフォリオ実績!D553="","", ポートフォリオ実績!D553)</f>
        <v/>
      </c>
      <c r="E552" s="10" t="str">
        <f>IF(ポートフォリオ実績!E553="","", ポートフォリオ実績!E553)</f>
        <v/>
      </c>
      <c r="F552" s="10" t="str">
        <f>IF(ポートフォリオ実績!F553="","", ポートフォリオ実績!F553)</f>
        <v/>
      </c>
      <c r="G552" t="str">
        <f t="shared" si="88"/>
        <v/>
      </c>
      <c r="H552">
        <f>IF(B552&lt;&gt;"", SUMIFS(ポートフォリオ実績!$D$2:$D$2001, ポートフォリオ実績!$B$2:$B$2001, B552, ポートフォリオ実績!$A$2:$A$2001, G552), 0)</f>
        <v>0</v>
      </c>
      <c r="I552">
        <f>IF(B552&lt;&gt;"", SUMIFS(ポートフォリオ実績!$C$2:$C$2001, ポートフォリオ実績!$B$2:$B$2001, B552, ポートフォリオ実績!$A$2:$A$2001, G552), 0)</f>
        <v>0</v>
      </c>
      <c r="J552">
        <f t="shared" si="89"/>
        <v>0</v>
      </c>
      <c r="K552">
        <f t="shared" si="90"/>
        <v>0</v>
      </c>
      <c r="L552">
        <f t="shared" si="91"/>
        <v>0</v>
      </c>
      <c r="M552">
        <f t="shared" si="92"/>
        <v>0</v>
      </c>
      <c r="N552">
        <f t="shared" si="93"/>
        <v>0</v>
      </c>
      <c r="O552">
        <f t="shared" si="94"/>
        <v>0</v>
      </c>
      <c r="P552" t="str">
        <f t="shared" si="95"/>
        <v/>
      </c>
      <c r="Q552" t="str">
        <f>IF(B552="","", IFERROR(VLOOKUP(B552, '基準資産配分（設定）'!$A$2:$C$2001, 3, FALSE), ""))</f>
        <v/>
      </c>
      <c r="R552" t="str">
        <f>IF(B552="","", IFERROR(VLOOKUP(B552, '基準資産配分（設定）'!$A$2:$C$2001, 2, FALSE)/100, 0))</f>
        <v/>
      </c>
      <c r="S552" t="str">
        <f>IF(B552="","", IFERROR(SUMIFS(ベンチマークリターン!$C$2:$C$2001, ベンチマークリターン!$A$2:$A$2001, A552, ベンチマークリターン!$B$2:$B$2001, Q552) / 100, 0))</f>
        <v/>
      </c>
      <c r="T552" t="str">
        <f>IF(A552="","", SUMIFS($H$2:$H$2000, $A$2:$A$2000, A552))</f>
        <v/>
      </c>
      <c r="U552" t="str">
        <f t="shared" si="96"/>
        <v/>
      </c>
      <c r="V552" t="str">
        <f t="shared" si="97"/>
        <v/>
      </c>
      <c r="W552" t="str">
        <f t="shared" si="98"/>
        <v/>
      </c>
    </row>
    <row r="553" spans="1:23" x14ac:dyDescent="0.2">
      <c r="A553" s="4" t="str">
        <f>IF(ポートフォリオ実績!A554="","", ポートフォリオ実績!A554)</f>
        <v/>
      </c>
      <c r="B553" t="str">
        <f>IF(ポートフォリオ実績!B554="","", ポートフォリオ実績!B554)</f>
        <v/>
      </c>
      <c r="C553" s="10" t="str">
        <f>IF(ポートフォリオ実績!C554="","", ポートフォリオ実績!C554)</f>
        <v/>
      </c>
      <c r="D553" s="10" t="str">
        <f>IF(ポートフォリオ実績!D554="","", ポートフォリオ実績!D554)</f>
        <v/>
      </c>
      <c r="E553" s="10" t="str">
        <f>IF(ポートフォリオ実績!E554="","", ポートフォリオ実績!E554)</f>
        <v/>
      </c>
      <c r="F553" s="10" t="str">
        <f>IF(ポートフォリオ実績!F554="","", ポートフォリオ実績!F554)</f>
        <v/>
      </c>
      <c r="G553" t="str">
        <f t="shared" si="88"/>
        <v/>
      </c>
      <c r="H553">
        <f>IF(B553&lt;&gt;"", SUMIFS(ポートフォリオ実績!$D$2:$D$2001, ポートフォリオ実績!$B$2:$B$2001, B553, ポートフォリオ実績!$A$2:$A$2001, G553), 0)</f>
        <v>0</v>
      </c>
      <c r="I553">
        <f>IF(B553&lt;&gt;"", SUMIFS(ポートフォリオ実績!$C$2:$C$2001, ポートフォリオ実績!$B$2:$B$2001, B553, ポートフォリオ実績!$A$2:$A$2001, G553), 0)</f>
        <v>0</v>
      </c>
      <c r="J553">
        <f t="shared" si="89"/>
        <v>0</v>
      </c>
      <c r="K553">
        <f t="shared" si="90"/>
        <v>0</v>
      </c>
      <c r="L553">
        <f t="shared" si="91"/>
        <v>0</v>
      </c>
      <c r="M553">
        <f t="shared" si="92"/>
        <v>0</v>
      </c>
      <c r="N553">
        <f t="shared" si="93"/>
        <v>0</v>
      </c>
      <c r="O553">
        <f t="shared" si="94"/>
        <v>0</v>
      </c>
      <c r="P553" t="str">
        <f t="shared" si="95"/>
        <v/>
      </c>
      <c r="Q553" t="str">
        <f>IF(B553="","", IFERROR(VLOOKUP(B553, '基準資産配分（設定）'!$A$2:$C$2001, 3, FALSE), ""))</f>
        <v/>
      </c>
      <c r="R553" t="str">
        <f>IF(B553="","", IFERROR(VLOOKUP(B553, '基準資産配分（設定）'!$A$2:$C$2001, 2, FALSE)/100, 0))</f>
        <v/>
      </c>
      <c r="S553" t="str">
        <f>IF(B553="","", IFERROR(SUMIFS(ベンチマークリターン!$C$2:$C$2001, ベンチマークリターン!$A$2:$A$2001, A553, ベンチマークリターン!$B$2:$B$2001, Q553) / 100, 0))</f>
        <v/>
      </c>
      <c r="T553" t="str">
        <f>IF(A553="","", SUMIFS($H$2:$H$2000, $A$2:$A$2000, A553))</f>
        <v/>
      </c>
      <c r="U553" t="str">
        <f t="shared" si="96"/>
        <v/>
      </c>
      <c r="V553" t="str">
        <f t="shared" si="97"/>
        <v/>
      </c>
      <c r="W553" t="str">
        <f t="shared" si="98"/>
        <v/>
      </c>
    </row>
    <row r="554" spans="1:23" x14ac:dyDescent="0.2">
      <c r="A554" s="4" t="str">
        <f>IF(ポートフォリオ実績!A555="","", ポートフォリオ実績!A555)</f>
        <v/>
      </c>
      <c r="B554" t="str">
        <f>IF(ポートフォリオ実績!B555="","", ポートフォリオ実績!B555)</f>
        <v/>
      </c>
      <c r="C554" s="10" t="str">
        <f>IF(ポートフォリオ実績!C555="","", ポートフォリオ実績!C555)</f>
        <v/>
      </c>
      <c r="D554" s="10" t="str">
        <f>IF(ポートフォリオ実績!D555="","", ポートフォリオ実績!D555)</f>
        <v/>
      </c>
      <c r="E554" s="10" t="str">
        <f>IF(ポートフォリオ実績!E555="","", ポートフォリオ実績!E555)</f>
        <v/>
      </c>
      <c r="F554" s="10" t="str">
        <f>IF(ポートフォリオ実績!F555="","", ポートフォリオ実績!F555)</f>
        <v/>
      </c>
      <c r="G554" t="str">
        <f t="shared" si="88"/>
        <v/>
      </c>
      <c r="H554">
        <f>IF(B554&lt;&gt;"", SUMIFS(ポートフォリオ実績!$D$2:$D$2001, ポートフォリオ実績!$B$2:$B$2001, B554, ポートフォリオ実績!$A$2:$A$2001, G554), 0)</f>
        <v>0</v>
      </c>
      <c r="I554">
        <f>IF(B554&lt;&gt;"", SUMIFS(ポートフォリオ実績!$C$2:$C$2001, ポートフォリオ実績!$B$2:$B$2001, B554, ポートフォリオ実績!$A$2:$A$2001, G554), 0)</f>
        <v>0</v>
      </c>
      <c r="J554">
        <f t="shared" si="89"/>
        <v>0</v>
      </c>
      <c r="K554">
        <f t="shared" si="90"/>
        <v>0</v>
      </c>
      <c r="L554">
        <f t="shared" si="91"/>
        <v>0</v>
      </c>
      <c r="M554">
        <f t="shared" si="92"/>
        <v>0</v>
      </c>
      <c r="N554">
        <f t="shared" si="93"/>
        <v>0</v>
      </c>
      <c r="O554">
        <f t="shared" si="94"/>
        <v>0</v>
      </c>
      <c r="P554" t="str">
        <f t="shared" si="95"/>
        <v/>
      </c>
      <c r="Q554" t="str">
        <f>IF(B554="","", IFERROR(VLOOKUP(B554, '基準資産配分（設定）'!$A$2:$C$2001, 3, FALSE), ""))</f>
        <v/>
      </c>
      <c r="R554" t="str">
        <f>IF(B554="","", IFERROR(VLOOKUP(B554, '基準資産配分（設定）'!$A$2:$C$2001, 2, FALSE)/100, 0))</f>
        <v/>
      </c>
      <c r="S554" t="str">
        <f>IF(B554="","", IFERROR(SUMIFS(ベンチマークリターン!$C$2:$C$2001, ベンチマークリターン!$A$2:$A$2001, A554, ベンチマークリターン!$B$2:$B$2001, Q554) / 100, 0))</f>
        <v/>
      </c>
      <c r="T554" t="str">
        <f>IF(A554="","", SUMIFS($H$2:$H$2000, $A$2:$A$2000, A554))</f>
        <v/>
      </c>
      <c r="U554" t="str">
        <f t="shared" si="96"/>
        <v/>
      </c>
      <c r="V554" t="str">
        <f t="shared" si="97"/>
        <v/>
      </c>
      <c r="W554" t="str">
        <f t="shared" si="98"/>
        <v/>
      </c>
    </row>
    <row r="555" spans="1:23" x14ac:dyDescent="0.2">
      <c r="A555" s="4" t="str">
        <f>IF(ポートフォリオ実績!A556="","", ポートフォリオ実績!A556)</f>
        <v/>
      </c>
      <c r="B555" t="str">
        <f>IF(ポートフォリオ実績!B556="","", ポートフォリオ実績!B556)</f>
        <v/>
      </c>
      <c r="C555" s="10" t="str">
        <f>IF(ポートフォリオ実績!C556="","", ポートフォリオ実績!C556)</f>
        <v/>
      </c>
      <c r="D555" s="10" t="str">
        <f>IF(ポートフォリオ実績!D556="","", ポートフォリオ実績!D556)</f>
        <v/>
      </c>
      <c r="E555" s="10" t="str">
        <f>IF(ポートフォリオ実績!E556="","", ポートフォリオ実績!E556)</f>
        <v/>
      </c>
      <c r="F555" s="10" t="str">
        <f>IF(ポートフォリオ実績!F556="","", ポートフォリオ実績!F556)</f>
        <v/>
      </c>
      <c r="G555" t="str">
        <f t="shared" si="88"/>
        <v/>
      </c>
      <c r="H555">
        <f>IF(B555&lt;&gt;"", SUMIFS(ポートフォリオ実績!$D$2:$D$2001, ポートフォリオ実績!$B$2:$B$2001, B555, ポートフォリオ実績!$A$2:$A$2001, G555), 0)</f>
        <v>0</v>
      </c>
      <c r="I555">
        <f>IF(B555&lt;&gt;"", SUMIFS(ポートフォリオ実績!$C$2:$C$2001, ポートフォリオ実績!$B$2:$B$2001, B555, ポートフォリオ実績!$A$2:$A$2001, G555), 0)</f>
        <v>0</v>
      </c>
      <c r="J555">
        <f t="shared" si="89"/>
        <v>0</v>
      </c>
      <c r="K555">
        <f t="shared" si="90"/>
        <v>0</v>
      </c>
      <c r="L555">
        <f t="shared" si="91"/>
        <v>0</v>
      </c>
      <c r="M555">
        <f t="shared" si="92"/>
        <v>0</v>
      </c>
      <c r="N555">
        <f t="shared" si="93"/>
        <v>0</v>
      </c>
      <c r="O555">
        <f t="shared" si="94"/>
        <v>0</v>
      </c>
      <c r="P555" t="str">
        <f t="shared" si="95"/>
        <v/>
      </c>
      <c r="Q555" t="str">
        <f>IF(B555="","", IFERROR(VLOOKUP(B555, '基準資産配分（設定）'!$A$2:$C$2001, 3, FALSE), ""))</f>
        <v/>
      </c>
      <c r="R555" t="str">
        <f>IF(B555="","", IFERROR(VLOOKUP(B555, '基準資産配分（設定）'!$A$2:$C$2001, 2, FALSE)/100, 0))</f>
        <v/>
      </c>
      <c r="S555" t="str">
        <f>IF(B555="","", IFERROR(SUMIFS(ベンチマークリターン!$C$2:$C$2001, ベンチマークリターン!$A$2:$A$2001, A555, ベンチマークリターン!$B$2:$B$2001, Q555) / 100, 0))</f>
        <v/>
      </c>
      <c r="T555" t="str">
        <f>IF(A555="","", SUMIFS($H$2:$H$2000, $A$2:$A$2000, A555))</f>
        <v/>
      </c>
      <c r="U555" t="str">
        <f t="shared" si="96"/>
        <v/>
      </c>
      <c r="V555" t="str">
        <f t="shared" si="97"/>
        <v/>
      </c>
      <c r="W555" t="str">
        <f t="shared" si="98"/>
        <v/>
      </c>
    </row>
    <row r="556" spans="1:23" x14ac:dyDescent="0.2">
      <c r="A556" s="4" t="str">
        <f>IF(ポートフォリオ実績!A557="","", ポートフォリオ実績!A557)</f>
        <v/>
      </c>
      <c r="B556" t="str">
        <f>IF(ポートフォリオ実績!B557="","", ポートフォリオ実績!B557)</f>
        <v/>
      </c>
      <c r="C556" s="10" t="str">
        <f>IF(ポートフォリオ実績!C557="","", ポートフォリオ実績!C557)</f>
        <v/>
      </c>
      <c r="D556" s="10" t="str">
        <f>IF(ポートフォリオ実績!D557="","", ポートフォリオ実績!D557)</f>
        <v/>
      </c>
      <c r="E556" s="10" t="str">
        <f>IF(ポートフォリオ実績!E557="","", ポートフォリオ実績!E557)</f>
        <v/>
      </c>
      <c r="F556" s="10" t="str">
        <f>IF(ポートフォリオ実績!F557="","", ポートフォリオ実績!F557)</f>
        <v/>
      </c>
      <c r="G556" t="str">
        <f t="shared" si="88"/>
        <v/>
      </c>
      <c r="H556">
        <f>IF(B556&lt;&gt;"", SUMIFS(ポートフォリオ実績!$D$2:$D$2001, ポートフォリオ実績!$B$2:$B$2001, B556, ポートフォリオ実績!$A$2:$A$2001, G556), 0)</f>
        <v>0</v>
      </c>
      <c r="I556">
        <f>IF(B556&lt;&gt;"", SUMIFS(ポートフォリオ実績!$C$2:$C$2001, ポートフォリオ実績!$B$2:$B$2001, B556, ポートフォリオ実績!$A$2:$A$2001, G556), 0)</f>
        <v>0</v>
      </c>
      <c r="J556">
        <f t="shared" si="89"/>
        <v>0</v>
      </c>
      <c r="K556">
        <f t="shared" si="90"/>
        <v>0</v>
      </c>
      <c r="L556">
        <f t="shared" si="91"/>
        <v>0</v>
      </c>
      <c r="M556">
        <f t="shared" si="92"/>
        <v>0</v>
      </c>
      <c r="N556">
        <f t="shared" si="93"/>
        <v>0</v>
      </c>
      <c r="O556">
        <f t="shared" si="94"/>
        <v>0</v>
      </c>
      <c r="P556" t="str">
        <f t="shared" si="95"/>
        <v/>
      </c>
      <c r="Q556" t="str">
        <f>IF(B556="","", IFERROR(VLOOKUP(B556, '基準資産配分（設定）'!$A$2:$C$2001, 3, FALSE), ""))</f>
        <v/>
      </c>
      <c r="R556" t="str">
        <f>IF(B556="","", IFERROR(VLOOKUP(B556, '基準資産配分（設定）'!$A$2:$C$2001, 2, FALSE)/100, 0))</f>
        <v/>
      </c>
      <c r="S556" t="str">
        <f>IF(B556="","", IFERROR(SUMIFS(ベンチマークリターン!$C$2:$C$2001, ベンチマークリターン!$A$2:$A$2001, A556, ベンチマークリターン!$B$2:$B$2001, Q556) / 100, 0))</f>
        <v/>
      </c>
      <c r="T556" t="str">
        <f>IF(A556="","", SUMIFS($H$2:$H$2000, $A$2:$A$2000, A556))</f>
        <v/>
      </c>
      <c r="U556" t="str">
        <f t="shared" si="96"/>
        <v/>
      </c>
      <c r="V556" t="str">
        <f t="shared" si="97"/>
        <v/>
      </c>
      <c r="W556" t="str">
        <f t="shared" si="98"/>
        <v/>
      </c>
    </row>
    <row r="557" spans="1:23" x14ac:dyDescent="0.2">
      <c r="A557" s="4" t="str">
        <f>IF(ポートフォリオ実績!A558="","", ポートフォリオ実績!A558)</f>
        <v/>
      </c>
      <c r="B557" t="str">
        <f>IF(ポートフォリオ実績!B558="","", ポートフォリオ実績!B558)</f>
        <v/>
      </c>
      <c r="C557" s="10" t="str">
        <f>IF(ポートフォリオ実績!C558="","", ポートフォリオ実績!C558)</f>
        <v/>
      </c>
      <c r="D557" s="10" t="str">
        <f>IF(ポートフォリオ実績!D558="","", ポートフォリオ実績!D558)</f>
        <v/>
      </c>
      <c r="E557" s="10" t="str">
        <f>IF(ポートフォリオ実績!E558="","", ポートフォリオ実績!E558)</f>
        <v/>
      </c>
      <c r="F557" s="10" t="str">
        <f>IF(ポートフォリオ実績!F558="","", ポートフォリオ実績!F558)</f>
        <v/>
      </c>
      <c r="G557" t="str">
        <f t="shared" si="88"/>
        <v/>
      </c>
      <c r="H557">
        <f>IF(B557&lt;&gt;"", SUMIFS(ポートフォリオ実績!$D$2:$D$2001, ポートフォリオ実績!$B$2:$B$2001, B557, ポートフォリオ実績!$A$2:$A$2001, G557), 0)</f>
        <v>0</v>
      </c>
      <c r="I557">
        <f>IF(B557&lt;&gt;"", SUMIFS(ポートフォリオ実績!$C$2:$C$2001, ポートフォリオ実績!$B$2:$B$2001, B557, ポートフォリオ実績!$A$2:$A$2001, G557), 0)</f>
        <v>0</v>
      </c>
      <c r="J557">
        <f t="shared" si="89"/>
        <v>0</v>
      </c>
      <c r="K557">
        <f t="shared" si="90"/>
        <v>0</v>
      </c>
      <c r="L557">
        <f t="shared" si="91"/>
        <v>0</v>
      </c>
      <c r="M557">
        <f t="shared" si="92"/>
        <v>0</v>
      </c>
      <c r="N557">
        <f t="shared" si="93"/>
        <v>0</v>
      </c>
      <c r="O557">
        <f t="shared" si="94"/>
        <v>0</v>
      </c>
      <c r="P557" t="str">
        <f t="shared" si="95"/>
        <v/>
      </c>
      <c r="Q557" t="str">
        <f>IF(B557="","", IFERROR(VLOOKUP(B557, '基準資産配分（設定）'!$A$2:$C$2001, 3, FALSE), ""))</f>
        <v/>
      </c>
      <c r="R557" t="str">
        <f>IF(B557="","", IFERROR(VLOOKUP(B557, '基準資産配分（設定）'!$A$2:$C$2001, 2, FALSE)/100, 0))</f>
        <v/>
      </c>
      <c r="S557" t="str">
        <f>IF(B557="","", IFERROR(SUMIFS(ベンチマークリターン!$C$2:$C$2001, ベンチマークリターン!$A$2:$A$2001, A557, ベンチマークリターン!$B$2:$B$2001, Q557) / 100, 0))</f>
        <v/>
      </c>
      <c r="T557" t="str">
        <f>IF(A557="","", SUMIFS($H$2:$H$2000, $A$2:$A$2000, A557))</f>
        <v/>
      </c>
      <c r="U557" t="str">
        <f t="shared" si="96"/>
        <v/>
      </c>
      <c r="V557" t="str">
        <f t="shared" si="97"/>
        <v/>
      </c>
      <c r="W557" t="str">
        <f t="shared" si="98"/>
        <v/>
      </c>
    </row>
    <row r="558" spans="1:23" x14ac:dyDescent="0.2">
      <c r="A558" s="4" t="str">
        <f>IF(ポートフォリオ実績!A559="","", ポートフォリオ実績!A559)</f>
        <v/>
      </c>
      <c r="B558" t="str">
        <f>IF(ポートフォリオ実績!B559="","", ポートフォリオ実績!B559)</f>
        <v/>
      </c>
      <c r="C558" s="10" t="str">
        <f>IF(ポートフォリオ実績!C559="","", ポートフォリオ実績!C559)</f>
        <v/>
      </c>
      <c r="D558" s="10" t="str">
        <f>IF(ポートフォリオ実績!D559="","", ポートフォリオ実績!D559)</f>
        <v/>
      </c>
      <c r="E558" s="10" t="str">
        <f>IF(ポートフォリオ実績!E559="","", ポートフォリオ実績!E559)</f>
        <v/>
      </c>
      <c r="F558" s="10" t="str">
        <f>IF(ポートフォリオ実績!F559="","", ポートフォリオ実績!F559)</f>
        <v/>
      </c>
      <c r="G558" t="str">
        <f t="shared" si="88"/>
        <v/>
      </c>
      <c r="H558">
        <f>IF(B558&lt;&gt;"", SUMIFS(ポートフォリオ実績!$D$2:$D$2001, ポートフォリオ実績!$B$2:$B$2001, B558, ポートフォリオ実績!$A$2:$A$2001, G558), 0)</f>
        <v>0</v>
      </c>
      <c r="I558">
        <f>IF(B558&lt;&gt;"", SUMIFS(ポートフォリオ実績!$C$2:$C$2001, ポートフォリオ実績!$B$2:$B$2001, B558, ポートフォリオ実績!$A$2:$A$2001, G558), 0)</f>
        <v>0</v>
      </c>
      <c r="J558">
        <f t="shared" si="89"/>
        <v>0</v>
      </c>
      <c r="K558">
        <f t="shared" si="90"/>
        <v>0</v>
      </c>
      <c r="L558">
        <f t="shared" si="91"/>
        <v>0</v>
      </c>
      <c r="M558">
        <f t="shared" si="92"/>
        <v>0</v>
      </c>
      <c r="N558">
        <f t="shared" si="93"/>
        <v>0</v>
      </c>
      <c r="O558">
        <f t="shared" si="94"/>
        <v>0</v>
      </c>
      <c r="P558" t="str">
        <f t="shared" si="95"/>
        <v/>
      </c>
      <c r="Q558" t="str">
        <f>IF(B558="","", IFERROR(VLOOKUP(B558, '基準資産配分（設定）'!$A$2:$C$2001, 3, FALSE), ""))</f>
        <v/>
      </c>
      <c r="R558" t="str">
        <f>IF(B558="","", IFERROR(VLOOKUP(B558, '基準資産配分（設定）'!$A$2:$C$2001, 2, FALSE)/100, 0))</f>
        <v/>
      </c>
      <c r="S558" t="str">
        <f>IF(B558="","", IFERROR(SUMIFS(ベンチマークリターン!$C$2:$C$2001, ベンチマークリターン!$A$2:$A$2001, A558, ベンチマークリターン!$B$2:$B$2001, Q558) / 100, 0))</f>
        <v/>
      </c>
      <c r="T558" t="str">
        <f>IF(A558="","", SUMIFS($H$2:$H$2000, $A$2:$A$2000, A558))</f>
        <v/>
      </c>
      <c r="U558" t="str">
        <f t="shared" si="96"/>
        <v/>
      </c>
      <c r="V558" t="str">
        <f t="shared" si="97"/>
        <v/>
      </c>
      <c r="W558" t="str">
        <f t="shared" si="98"/>
        <v/>
      </c>
    </row>
    <row r="559" spans="1:23" x14ac:dyDescent="0.2">
      <c r="A559" s="4" t="str">
        <f>IF(ポートフォリオ実績!A560="","", ポートフォリオ実績!A560)</f>
        <v/>
      </c>
      <c r="B559" t="str">
        <f>IF(ポートフォリオ実績!B560="","", ポートフォリオ実績!B560)</f>
        <v/>
      </c>
      <c r="C559" s="10" t="str">
        <f>IF(ポートフォリオ実績!C560="","", ポートフォリオ実績!C560)</f>
        <v/>
      </c>
      <c r="D559" s="10" t="str">
        <f>IF(ポートフォリオ実績!D560="","", ポートフォリオ実績!D560)</f>
        <v/>
      </c>
      <c r="E559" s="10" t="str">
        <f>IF(ポートフォリオ実績!E560="","", ポートフォリオ実績!E560)</f>
        <v/>
      </c>
      <c r="F559" s="10" t="str">
        <f>IF(ポートフォリオ実績!F560="","", ポートフォリオ実績!F560)</f>
        <v/>
      </c>
      <c r="G559" t="str">
        <f t="shared" si="88"/>
        <v/>
      </c>
      <c r="H559">
        <f>IF(B559&lt;&gt;"", SUMIFS(ポートフォリオ実績!$D$2:$D$2001, ポートフォリオ実績!$B$2:$B$2001, B559, ポートフォリオ実績!$A$2:$A$2001, G559), 0)</f>
        <v>0</v>
      </c>
      <c r="I559">
        <f>IF(B559&lt;&gt;"", SUMIFS(ポートフォリオ実績!$C$2:$C$2001, ポートフォリオ実績!$B$2:$B$2001, B559, ポートフォリオ実績!$A$2:$A$2001, G559), 0)</f>
        <v>0</v>
      </c>
      <c r="J559">
        <f t="shared" si="89"/>
        <v>0</v>
      </c>
      <c r="K559">
        <f t="shared" si="90"/>
        <v>0</v>
      </c>
      <c r="L559">
        <f t="shared" si="91"/>
        <v>0</v>
      </c>
      <c r="M559">
        <f t="shared" si="92"/>
        <v>0</v>
      </c>
      <c r="N559">
        <f t="shared" si="93"/>
        <v>0</v>
      </c>
      <c r="O559">
        <f t="shared" si="94"/>
        <v>0</v>
      </c>
      <c r="P559" t="str">
        <f t="shared" si="95"/>
        <v/>
      </c>
      <c r="Q559" t="str">
        <f>IF(B559="","", IFERROR(VLOOKUP(B559, '基準資産配分（設定）'!$A$2:$C$2001, 3, FALSE), ""))</f>
        <v/>
      </c>
      <c r="R559" t="str">
        <f>IF(B559="","", IFERROR(VLOOKUP(B559, '基準資産配分（設定）'!$A$2:$C$2001, 2, FALSE)/100, 0))</f>
        <v/>
      </c>
      <c r="S559" t="str">
        <f>IF(B559="","", IFERROR(SUMIFS(ベンチマークリターン!$C$2:$C$2001, ベンチマークリターン!$A$2:$A$2001, A559, ベンチマークリターン!$B$2:$B$2001, Q559) / 100, 0))</f>
        <v/>
      </c>
      <c r="T559" t="str">
        <f>IF(A559="","", SUMIFS($H$2:$H$2000, $A$2:$A$2000, A559))</f>
        <v/>
      </c>
      <c r="U559" t="str">
        <f t="shared" si="96"/>
        <v/>
      </c>
      <c r="V559" t="str">
        <f t="shared" si="97"/>
        <v/>
      </c>
      <c r="W559" t="str">
        <f t="shared" si="98"/>
        <v/>
      </c>
    </row>
    <row r="560" spans="1:23" x14ac:dyDescent="0.2">
      <c r="A560" s="4" t="str">
        <f>IF(ポートフォリオ実績!A561="","", ポートフォリオ実績!A561)</f>
        <v/>
      </c>
      <c r="B560" t="str">
        <f>IF(ポートフォリオ実績!B561="","", ポートフォリオ実績!B561)</f>
        <v/>
      </c>
      <c r="C560" s="10" t="str">
        <f>IF(ポートフォリオ実績!C561="","", ポートフォリオ実績!C561)</f>
        <v/>
      </c>
      <c r="D560" s="10" t="str">
        <f>IF(ポートフォリオ実績!D561="","", ポートフォリオ実績!D561)</f>
        <v/>
      </c>
      <c r="E560" s="10" t="str">
        <f>IF(ポートフォリオ実績!E561="","", ポートフォリオ実績!E561)</f>
        <v/>
      </c>
      <c r="F560" s="10" t="str">
        <f>IF(ポートフォリオ実績!F561="","", ポートフォリオ実績!F561)</f>
        <v/>
      </c>
      <c r="G560" t="str">
        <f t="shared" si="88"/>
        <v/>
      </c>
      <c r="H560">
        <f>IF(B560&lt;&gt;"", SUMIFS(ポートフォリオ実績!$D$2:$D$2001, ポートフォリオ実績!$B$2:$B$2001, B560, ポートフォリオ実績!$A$2:$A$2001, G560), 0)</f>
        <v>0</v>
      </c>
      <c r="I560">
        <f>IF(B560&lt;&gt;"", SUMIFS(ポートフォリオ実績!$C$2:$C$2001, ポートフォリオ実績!$B$2:$B$2001, B560, ポートフォリオ実績!$A$2:$A$2001, G560), 0)</f>
        <v>0</v>
      </c>
      <c r="J560">
        <f t="shared" si="89"/>
        <v>0</v>
      </c>
      <c r="K560">
        <f t="shared" si="90"/>
        <v>0</v>
      </c>
      <c r="L560">
        <f t="shared" si="91"/>
        <v>0</v>
      </c>
      <c r="M560">
        <f t="shared" si="92"/>
        <v>0</v>
      </c>
      <c r="N560">
        <f t="shared" si="93"/>
        <v>0</v>
      </c>
      <c r="O560">
        <f t="shared" si="94"/>
        <v>0</v>
      </c>
      <c r="P560" t="str">
        <f t="shared" si="95"/>
        <v/>
      </c>
      <c r="Q560" t="str">
        <f>IF(B560="","", IFERROR(VLOOKUP(B560, '基準資産配分（設定）'!$A$2:$C$2001, 3, FALSE), ""))</f>
        <v/>
      </c>
      <c r="R560" t="str">
        <f>IF(B560="","", IFERROR(VLOOKUP(B560, '基準資産配分（設定）'!$A$2:$C$2001, 2, FALSE)/100, 0))</f>
        <v/>
      </c>
      <c r="S560" t="str">
        <f>IF(B560="","", IFERROR(SUMIFS(ベンチマークリターン!$C$2:$C$2001, ベンチマークリターン!$A$2:$A$2001, A560, ベンチマークリターン!$B$2:$B$2001, Q560) / 100, 0))</f>
        <v/>
      </c>
      <c r="T560" t="str">
        <f>IF(A560="","", SUMIFS($H$2:$H$2000, $A$2:$A$2000, A560))</f>
        <v/>
      </c>
      <c r="U560" t="str">
        <f t="shared" si="96"/>
        <v/>
      </c>
      <c r="V560" t="str">
        <f t="shared" si="97"/>
        <v/>
      </c>
      <c r="W560" t="str">
        <f t="shared" si="98"/>
        <v/>
      </c>
    </row>
    <row r="561" spans="1:23" x14ac:dyDescent="0.2">
      <c r="A561" s="4" t="str">
        <f>IF(ポートフォリオ実績!A562="","", ポートフォリオ実績!A562)</f>
        <v/>
      </c>
      <c r="B561" t="str">
        <f>IF(ポートフォリオ実績!B562="","", ポートフォリオ実績!B562)</f>
        <v/>
      </c>
      <c r="C561" s="10" t="str">
        <f>IF(ポートフォリオ実績!C562="","", ポートフォリオ実績!C562)</f>
        <v/>
      </c>
      <c r="D561" s="10" t="str">
        <f>IF(ポートフォリオ実績!D562="","", ポートフォリオ実績!D562)</f>
        <v/>
      </c>
      <c r="E561" s="10" t="str">
        <f>IF(ポートフォリオ実績!E562="","", ポートフォリオ実績!E562)</f>
        <v/>
      </c>
      <c r="F561" s="10" t="str">
        <f>IF(ポートフォリオ実績!F562="","", ポートフォリオ実績!F562)</f>
        <v/>
      </c>
      <c r="G561" t="str">
        <f t="shared" si="88"/>
        <v/>
      </c>
      <c r="H561">
        <f>IF(B561&lt;&gt;"", SUMIFS(ポートフォリオ実績!$D$2:$D$2001, ポートフォリオ実績!$B$2:$B$2001, B561, ポートフォリオ実績!$A$2:$A$2001, G561), 0)</f>
        <v>0</v>
      </c>
      <c r="I561">
        <f>IF(B561&lt;&gt;"", SUMIFS(ポートフォリオ実績!$C$2:$C$2001, ポートフォリオ実績!$B$2:$B$2001, B561, ポートフォリオ実績!$A$2:$A$2001, G561), 0)</f>
        <v>0</v>
      </c>
      <c r="J561">
        <f t="shared" si="89"/>
        <v>0</v>
      </c>
      <c r="K561">
        <f t="shared" si="90"/>
        <v>0</v>
      </c>
      <c r="L561">
        <f t="shared" si="91"/>
        <v>0</v>
      </c>
      <c r="M561">
        <f t="shared" si="92"/>
        <v>0</v>
      </c>
      <c r="N561">
        <f t="shared" si="93"/>
        <v>0</v>
      </c>
      <c r="O561">
        <f t="shared" si="94"/>
        <v>0</v>
      </c>
      <c r="P561" t="str">
        <f t="shared" si="95"/>
        <v/>
      </c>
      <c r="Q561" t="str">
        <f>IF(B561="","", IFERROR(VLOOKUP(B561, '基準資産配分（設定）'!$A$2:$C$2001, 3, FALSE), ""))</f>
        <v/>
      </c>
      <c r="R561" t="str">
        <f>IF(B561="","", IFERROR(VLOOKUP(B561, '基準資産配分（設定）'!$A$2:$C$2001, 2, FALSE)/100, 0))</f>
        <v/>
      </c>
      <c r="S561" t="str">
        <f>IF(B561="","", IFERROR(SUMIFS(ベンチマークリターン!$C$2:$C$2001, ベンチマークリターン!$A$2:$A$2001, A561, ベンチマークリターン!$B$2:$B$2001, Q561) / 100, 0))</f>
        <v/>
      </c>
      <c r="T561" t="str">
        <f>IF(A561="","", SUMIFS($H$2:$H$2000, $A$2:$A$2000, A561))</f>
        <v/>
      </c>
      <c r="U561" t="str">
        <f t="shared" si="96"/>
        <v/>
      </c>
      <c r="V561" t="str">
        <f t="shared" si="97"/>
        <v/>
      </c>
      <c r="W561" t="str">
        <f t="shared" si="98"/>
        <v/>
      </c>
    </row>
    <row r="562" spans="1:23" x14ac:dyDescent="0.2">
      <c r="A562" s="4" t="str">
        <f>IF(ポートフォリオ実績!A563="","", ポートフォリオ実績!A563)</f>
        <v/>
      </c>
      <c r="B562" t="str">
        <f>IF(ポートフォリオ実績!B563="","", ポートフォリオ実績!B563)</f>
        <v/>
      </c>
      <c r="C562" s="10" t="str">
        <f>IF(ポートフォリオ実績!C563="","", ポートフォリオ実績!C563)</f>
        <v/>
      </c>
      <c r="D562" s="10" t="str">
        <f>IF(ポートフォリオ実績!D563="","", ポートフォリオ実績!D563)</f>
        <v/>
      </c>
      <c r="E562" s="10" t="str">
        <f>IF(ポートフォリオ実績!E563="","", ポートフォリオ実績!E563)</f>
        <v/>
      </c>
      <c r="F562" s="10" t="str">
        <f>IF(ポートフォリオ実績!F563="","", ポートフォリオ実績!F563)</f>
        <v/>
      </c>
      <c r="G562" t="str">
        <f t="shared" si="88"/>
        <v/>
      </c>
      <c r="H562">
        <f>IF(B562&lt;&gt;"", SUMIFS(ポートフォリオ実績!$D$2:$D$2001, ポートフォリオ実績!$B$2:$B$2001, B562, ポートフォリオ実績!$A$2:$A$2001, G562), 0)</f>
        <v>0</v>
      </c>
      <c r="I562">
        <f>IF(B562&lt;&gt;"", SUMIFS(ポートフォリオ実績!$C$2:$C$2001, ポートフォリオ実績!$B$2:$B$2001, B562, ポートフォリオ実績!$A$2:$A$2001, G562), 0)</f>
        <v>0</v>
      </c>
      <c r="J562">
        <f t="shared" si="89"/>
        <v>0</v>
      </c>
      <c r="K562">
        <f t="shared" si="90"/>
        <v>0</v>
      </c>
      <c r="L562">
        <f t="shared" si="91"/>
        <v>0</v>
      </c>
      <c r="M562">
        <f t="shared" si="92"/>
        <v>0</v>
      </c>
      <c r="N562">
        <f t="shared" si="93"/>
        <v>0</v>
      </c>
      <c r="O562">
        <f t="shared" si="94"/>
        <v>0</v>
      </c>
      <c r="P562" t="str">
        <f t="shared" si="95"/>
        <v/>
      </c>
      <c r="Q562" t="str">
        <f>IF(B562="","", IFERROR(VLOOKUP(B562, '基準資産配分（設定）'!$A$2:$C$2001, 3, FALSE), ""))</f>
        <v/>
      </c>
      <c r="R562" t="str">
        <f>IF(B562="","", IFERROR(VLOOKUP(B562, '基準資産配分（設定）'!$A$2:$C$2001, 2, FALSE)/100, 0))</f>
        <v/>
      </c>
      <c r="S562" t="str">
        <f>IF(B562="","", IFERROR(SUMIFS(ベンチマークリターン!$C$2:$C$2001, ベンチマークリターン!$A$2:$A$2001, A562, ベンチマークリターン!$B$2:$B$2001, Q562) / 100, 0))</f>
        <v/>
      </c>
      <c r="T562" t="str">
        <f>IF(A562="","", SUMIFS($H$2:$H$2000, $A$2:$A$2000, A562))</f>
        <v/>
      </c>
      <c r="U562" t="str">
        <f t="shared" si="96"/>
        <v/>
      </c>
      <c r="V562" t="str">
        <f t="shared" si="97"/>
        <v/>
      </c>
      <c r="W562" t="str">
        <f t="shared" si="98"/>
        <v/>
      </c>
    </row>
    <row r="563" spans="1:23" x14ac:dyDescent="0.2">
      <c r="A563" s="4" t="str">
        <f>IF(ポートフォリオ実績!A564="","", ポートフォリオ実績!A564)</f>
        <v/>
      </c>
      <c r="B563" t="str">
        <f>IF(ポートフォリオ実績!B564="","", ポートフォリオ実績!B564)</f>
        <v/>
      </c>
      <c r="C563" s="10" t="str">
        <f>IF(ポートフォリオ実績!C564="","", ポートフォリオ実績!C564)</f>
        <v/>
      </c>
      <c r="D563" s="10" t="str">
        <f>IF(ポートフォリオ実績!D564="","", ポートフォリオ実績!D564)</f>
        <v/>
      </c>
      <c r="E563" s="10" t="str">
        <f>IF(ポートフォリオ実績!E564="","", ポートフォリオ実績!E564)</f>
        <v/>
      </c>
      <c r="F563" s="10" t="str">
        <f>IF(ポートフォリオ実績!F564="","", ポートフォリオ実績!F564)</f>
        <v/>
      </c>
      <c r="G563" t="str">
        <f t="shared" si="88"/>
        <v/>
      </c>
      <c r="H563">
        <f>IF(B563&lt;&gt;"", SUMIFS(ポートフォリオ実績!$D$2:$D$2001, ポートフォリオ実績!$B$2:$B$2001, B563, ポートフォリオ実績!$A$2:$A$2001, G563), 0)</f>
        <v>0</v>
      </c>
      <c r="I563">
        <f>IF(B563&lt;&gt;"", SUMIFS(ポートフォリオ実績!$C$2:$C$2001, ポートフォリオ実績!$B$2:$B$2001, B563, ポートフォリオ実績!$A$2:$A$2001, G563), 0)</f>
        <v>0</v>
      </c>
      <c r="J563">
        <f t="shared" si="89"/>
        <v>0</v>
      </c>
      <c r="K563">
        <f t="shared" si="90"/>
        <v>0</v>
      </c>
      <c r="L563">
        <f t="shared" si="91"/>
        <v>0</v>
      </c>
      <c r="M563">
        <f t="shared" si="92"/>
        <v>0</v>
      </c>
      <c r="N563">
        <f t="shared" si="93"/>
        <v>0</v>
      </c>
      <c r="O563">
        <f t="shared" si="94"/>
        <v>0</v>
      </c>
      <c r="P563" t="str">
        <f t="shared" si="95"/>
        <v/>
      </c>
      <c r="Q563" t="str">
        <f>IF(B563="","", IFERROR(VLOOKUP(B563, '基準資産配分（設定）'!$A$2:$C$2001, 3, FALSE), ""))</f>
        <v/>
      </c>
      <c r="R563" t="str">
        <f>IF(B563="","", IFERROR(VLOOKUP(B563, '基準資産配分（設定）'!$A$2:$C$2001, 2, FALSE)/100, 0))</f>
        <v/>
      </c>
      <c r="S563" t="str">
        <f>IF(B563="","", IFERROR(SUMIFS(ベンチマークリターン!$C$2:$C$2001, ベンチマークリターン!$A$2:$A$2001, A563, ベンチマークリターン!$B$2:$B$2001, Q563) / 100, 0))</f>
        <v/>
      </c>
      <c r="T563" t="str">
        <f>IF(A563="","", SUMIFS($H$2:$H$2000, $A$2:$A$2000, A563))</f>
        <v/>
      </c>
      <c r="U563" t="str">
        <f t="shared" si="96"/>
        <v/>
      </c>
      <c r="V563" t="str">
        <f t="shared" si="97"/>
        <v/>
      </c>
      <c r="W563" t="str">
        <f t="shared" si="98"/>
        <v/>
      </c>
    </row>
    <row r="564" spans="1:23" x14ac:dyDescent="0.2">
      <c r="A564" s="4" t="str">
        <f>IF(ポートフォリオ実績!A565="","", ポートフォリオ実績!A565)</f>
        <v/>
      </c>
      <c r="B564" t="str">
        <f>IF(ポートフォリオ実績!B565="","", ポートフォリオ実績!B565)</f>
        <v/>
      </c>
      <c r="C564" s="10" t="str">
        <f>IF(ポートフォリオ実績!C565="","", ポートフォリオ実績!C565)</f>
        <v/>
      </c>
      <c r="D564" s="10" t="str">
        <f>IF(ポートフォリオ実績!D565="","", ポートフォリオ実績!D565)</f>
        <v/>
      </c>
      <c r="E564" s="10" t="str">
        <f>IF(ポートフォリオ実績!E565="","", ポートフォリオ実績!E565)</f>
        <v/>
      </c>
      <c r="F564" s="10" t="str">
        <f>IF(ポートフォリオ実績!F565="","", ポートフォリオ実績!F565)</f>
        <v/>
      </c>
      <c r="G564" t="str">
        <f t="shared" si="88"/>
        <v/>
      </c>
      <c r="H564">
        <f>IF(B564&lt;&gt;"", SUMIFS(ポートフォリオ実績!$D$2:$D$2001, ポートフォリオ実績!$B$2:$B$2001, B564, ポートフォリオ実績!$A$2:$A$2001, G564), 0)</f>
        <v>0</v>
      </c>
      <c r="I564">
        <f>IF(B564&lt;&gt;"", SUMIFS(ポートフォリオ実績!$C$2:$C$2001, ポートフォリオ実績!$B$2:$B$2001, B564, ポートフォリオ実績!$A$2:$A$2001, G564), 0)</f>
        <v>0</v>
      </c>
      <c r="J564">
        <f t="shared" si="89"/>
        <v>0</v>
      </c>
      <c r="K564">
        <f t="shared" si="90"/>
        <v>0</v>
      </c>
      <c r="L564">
        <f t="shared" si="91"/>
        <v>0</v>
      </c>
      <c r="M564">
        <f t="shared" si="92"/>
        <v>0</v>
      </c>
      <c r="N564">
        <f t="shared" si="93"/>
        <v>0</v>
      </c>
      <c r="O564">
        <f t="shared" si="94"/>
        <v>0</v>
      </c>
      <c r="P564" t="str">
        <f t="shared" si="95"/>
        <v/>
      </c>
      <c r="Q564" t="str">
        <f>IF(B564="","", IFERROR(VLOOKUP(B564, '基準資産配分（設定）'!$A$2:$C$2001, 3, FALSE), ""))</f>
        <v/>
      </c>
      <c r="R564" t="str">
        <f>IF(B564="","", IFERROR(VLOOKUP(B564, '基準資産配分（設定）'!$A$2:$C$2001, 2, FALSE)/100, 0))</f>
        <v/>
      </c>
      <c r="S564" t="str">
        <f>IF(B564="","", IFERROR(SUMIFS(ベンチマークリターン!$C$2:$C$2001, ベンチマークリターン!$A$2:$A$2001, A564, ベンチマークリターン!$B$2:$B$2001, Q564) / 100, 0))</f>
        <v/>
      </c>
      <c r="T564" t="str">
        <f>IF(A564="","", SUMIFS($H$2:$H$2000, $A$2:$A$2000, A564))</f>
        <v/>
      </c>
      <c r="U564" t="str">
        <f t="shared" si="96"/>
        <v/>
      </c>
      <c r="V564" t="str">
        <f t="shared" si="97"/>
        <v/>
      </c>
      <c r="W564" t="str">
        <f t="shared" si="98"/>
        <v/>
      </c>
    </row>
    <row r="565" spans="1:23" x14ac:dyDescent="0.2">
      <c r="A565" s="4" t="str">
        <f>IF(ポートフォリオ実績!A566="","", ポートフォリオ実績!A566)</f>
        <v/>
      </c>
      <c r="B565" t="str">
        <f>IF(ポートフォリオ実績!B566="","", ポートフォリオ実績!B566)</f>
        <v/>
      </c>
      <c r="C565" s="10" t="str">
        <f>IF(ポートフォリオ実績!C566="","", ポートフォリオ実績!C566)</f>
        <v/>
      </c>
      <c r="D565" s="10" t="str">
        <f>IF(ポートフォリオ実績!D566="","", ポートフォリオ実績!D566)</f>
        <v/>
      </c>
      <c r="E565" s="10" t="str">
        <f>IF(ポートフォリオ実績!E566="","", ポートフォリオ実績!E566)</f>
        <v/>
      </c>
      <c r="F565" s="10" t="str">
        <f>IF(ポートフォリオ実績!F566="","", ポートフォリオ実績!F566)</f>
        <v/>
      </c>
      <c r="G565" t="str">
        <f t="shared" si="88"/>
        <v/>
      </c>
      <c r="H565">
        <f>IF(B565&lt;&gt;"", SUMIFS(ポートフォリオ実績!$D$2:$D$2001, ポートフォリオ実績!$B$2:$B$2001, B565, ポートフォリオ実績!$A$2:$A$2001, G565), 0)</f>
        <v>0</v>
      </c>
      <c r="I565">
        <f>IF(B565&lt;&gt;"", SUMIFS(ポートフォリオ実績!$C$2:$C$2001, ポートフォリオ実績!$B$2:$B$2001, B565, ポートフォリオ実績!$A$2:$A$2001, G565), 0)</f>
        <v>0</v>
      </c>
      <c r="J565">
        <f t="shared" si="89"/>
        <v>0</v>
      </c>
      <c r="K565">
        <f t="shared" si="90"/>
        <v>0</v>
      </c>
      <c r="L565">
        <f t="shared" si="91"/>
        <v>0</v>
      </c>
      <c r="M565">
        <f t="shared" si="92"/>
        <v>0</v>
      </c>
      <c r="N565">
        <f t="shared" si="93"/>
        <v>0</v>
      </c>
      <c r="O565">
        <f t="shared" si="94"/>
        <v>0</v>
      </c>
      <c r="P565" t="str">
        <f t="shared" si="95"/>
        <v/>
      </c>
      <c r="Q565" t="str">
        <f>IF(B565="","", IFERROR(VLOOKUP(B565, '基準資産配分（設定）'!$A$2:$C$2001, 3, FALSE), ""))</f>
        <v/>
      </c>
      <c r="R565" t="str">
        <f>IF(B565="","", IFERROR(VLOOKUP(B565, '基準資産配分（設定）'!$A$2:$C$2001, 2, FALSE)/100, 0))</f>
        <v/>
      </c>
      <c r="S565" t="str">
        <f>IF(B565="","", IFERROR(SUMIFS(ベンチマークリターン!$C$2:$C$2001, ベンチマークリターン!$A$2:$A$2001, A565, ベンチマークリターン!$B$2:$B$2001, Q565) / 100, 0))</f>
        <v/>
      </c>
      <c r="T565" t="str">
        <f>IF(A565="","", SUMIFS($H$2:$H$2000, $A$2:$A$2000, A565))</f>
        <v/>
      </c>
      <c r="U565" t="str">
        <f t="shared" si="96"/>
        <v/>
      </c>
      <c r="V565" t="str">
        <f t="shared" si="97"/>
        <v/>
      </c>
      <c r="W565" t="str">
        <f t="shared" si="98"/>
        <v/>
      </c>
    </row>
    <row r="566" spans="1:23" x14ac:dyDescent="0.2">
      <c r="A566" s="4" t="str">
        <f>IF(ポートフォリオ実績!A567="","", ポートフォリオ実績!A567)</f>
        <v/>
      </c>
      <c r="B566" t="str">
        <f>IF(ポートフォリオ実績!B567="","", ポートフォリオ実績!B567)</f>
        <v/>
      </c>
      <c r="C566" s="10" t="str">
        <f>IF(ポートフォリオ実績!C567="","", ポートフォリオ実績!C567)</f>
        <v/>
      </c>
      <c r="D566" s="10" t="str">
        <f>IF(ポートフォリオ実績!D567="","", ポートフォリオ実績!D567)</f>
        <v/>
      </c>
      <c r="E566" s="10" t="str">
        <f>IF(ポートフォリオ実績!E567="","", ポートフォリオ実績!E567)</f>
        <v/>
      </c>
      <c r="F566" s="10" t="str">
        <f>IF(ポートフォリオ実績!F567="","", ポートフォリオ実績!F567)</f>
        <v/>
      </c>
      <c r="G566" t="str">
        <f t="shared" si="88"/>
        <v/>
      </c>
      <c r="H566">
        <f>IF(B566&lt;&gt;"", SUMIFS(ポートフォリオ実績!$D$2:$D$2001, ポートフォリオ実績!$B$2:$B$2001, B566, ポートフォリオ実績!$A$2:$A$2001, G566), 0)</f>
        <v>0</v>
      </c>
      <c r="I566">
        <f>IF(B566&lt;&gt;"", SUMIFS(ポートフォリオ実績!$C$2:$C$2001, ポートフォリオ実績!$B$2:$B$2001, B566, ポートフォリオ実績!$A$2:$A$2001, G566), 0)</f>
        <v>0</v>
      </c>
      <c r="J566">
        <f t="shared" si="89"/>
        <v>0</v>
      </c>
      <c r="K566">
        <f t="shared" si="90"/>
        <v>0</v>
      </c>
      <c r="L566">
        <f t="shared" si="91"/>
        <v>0</v>
      </c>
      <c r="M566">
        <f t="shared" si="92"/>
        <v>0</v>
      </c>
      <c r="N566">
        <f t="shared" si="93"/>
        <v>0</v>
      </c>
      <c r="O566">
        <f t="shared" si="94"/>
        <v>0</v>
      </c>
      <c r="P566" t="str">
        <f t="shared" si="95"/>
        <v/>
      </c>
      <c r="Q566" t="str">
        <f>IF(B566="","", IFERROR(VLOOKUP(B566, '基準資産配分（設定）'!$A$2:$C$2001, 3, FALSE), ""))</f>
        <v/>
      </c>
      <c r="R566" t="str">
        <f>IF(B566="","", IFERROR(VLOOKUP(B566, '基準資産配分（設定）'!$A$2:$C$2001, 2, FALSE)/100, 0))</f>
        <v/>
      </c>
      <c r="S566" t="str">
        <f>IF(B566="","", IFERROR(SUMIFS(ベンチマークリターン!$C$2:$C$2001, ベンチマークリターン!$A$2:$A$2001, A566, ベンチマークリターン!$B$2:$B$2001, Q566) / 100, 0))</f>
        <v/>
      </c>
      <c r="T566" t="str">
        <f>IF(A566="","", SUMIFS($H$2:$H$2000, $A$2:$A$2000, A566))</f>
        <v/>
      </c>
      <c r="U566" t="str">
        <f t="shared" si="96"/>
        <v/>
      </c>
      <c r="V566" t="str">
        <f t="shared" si="97"/>
        <v/>
      </c>
      <c r="W566" t="str">
        <f t="shared" si="98"/>
        <v/>
      </c>
    </row>
    <row r="567" spans="1:23" x14ac:dyDescent="0.2">
      <c r="A567" s="4" t="str">
        <f>IF(ポートフォリオ実績!A568="","", ポートフォリオ実績!A568)</f>
        <v/>
      </c>
      <c r="B567" t="str">
        <f>IF(ポートフォリオ実績!B568="","", ポートフォリオ実績!B568)</f>
        <v/>
      </c>
      <c r="C567" s="10" t="str">
        <f>IF(ポートフォリオ実績!C568="","", ポートフォリオ実績!C568)</f>
        <v/>
      </c>
      <c r="D567" s="10" t="str">
        <f>IF(ポートフォリオ実績!D568="","", ポートフォリオ実績!D568)</f>
        <v/>
      </c>
      <c r="E567" s="10" t="str">
        <f>IF(ポートフォリオ実績!E568="","", ポートフォリオ実績!E568)</f>
        <v/>
      </c>
      <c r="F567" s="10" t="str">
        <f>IF(ポートフォリオ実績!F568="","", ポートフォリオ実績!F568)</f>
        <v/>
      </c>
      <c r="G567" t="str">
        <f t="shared" si="88"/>
        <v/>
      </c>
      <c r="H567">
        <f>IF(B567&lt;&gt;"", SUMIFS(ポートフォリオ実績!$D$2:$D$2001, ポートフォリオ実績!$B$2:$B$2001, B567, ポートフォリオ実績!$A$2:$A$2001, G567), 0)</f>
        <v>0</v>
      </c>
      <c r="I567">
        <f>IF(B567&lt;&gt;"", SUMIFS(ポートフォリオ実績!$C$2:$C$2001, ポートフォリオ実績!$B$2:$B$2001, B567, ポートフォリオ実績!$A$2:$A$2001, G567), 0)</f>
        <v>0</v>
      </c>
      <c r="J567">
        <f t="shared" si="89"/>
        <v>0</v>
      </c>
      <c r="K567">
        <f t="shared" si="90"/>
        <v>0</v>
      </c>
      <c r="L567">
        <f t="shared" si="91"/>
        <v>0</v>
      </c>
      <c r="M567">
        <f t="shared" si="92"/>
        <v>0</v>
      </c>
      <c r="N567">
        <f t="shared" si="93"/>
        <v>0</v>
      </c>
      <c r="O567">
        <f t="shared" si="94"/>
        <v>0</v>
      </c>
      <c r="P567" t="str">
        <f t="shared" si="95"/>
        <v/>
      </c>
      <c r="Q567" t="str">
        <f>IF(B567="","", IFERROR(VLOOKUP(B567, '基準資産配分（設定）'!$A$2:$C$2001, 3, FALSE), ""))</f>
        <v/>
      </c>
      <c r="R567" t="str">
        <f>IF(B567="","", IFERROR(VLOOKUP(B567, '基準資産配分（設定）'!$A$2:$C$2001, 2, FALSE)/100, 0))</f>
        <v/>
      </c>
      <c r="S567" t="str">
        <f>IF(B567="","", IFERROR(SUMIFS(ベンチマークリターン!$C$2:$C$2001, ベンチマークリターン!$A$2:$A$2001, A567, ベンチマークリターン!$B$2:$B$2001, Q567) / 100, 0))</f>
        <v/>
      </c>
      <c r="T567" t="str">
        <f>IF(A567="","", SUMIFS($H$2:$H$2000, $A$2:$A$2000, A567))</f>
        <v/>
      </c>
      <c r="U567" t="str">
        <f t="shared" si="96"/>
        <v/>
      </c>
      <c r="V567" t="str">
        <f t="shared" si="97"/>
        <v/>
      </c>
      <c r="W567" t="str">
        <f t="shared" si="98"/>
        <v/>
      </c>
    </row>
    <row r="568" spans="1:23" x14ac:dyDescent="0.2">
      <c r="A568" s="4" t="str">
        <f>IF(ポートフォリオ実績!A569="","", ポートフォリオ実績!A569)</f>
        <v/>
      </c>
      <c r="B568" t="str">
        <f>IF(ポートフォリオ実績!B569="","", ポートフォリオ実績!B569)</f>
        <v/>
      </c>
      <c r="C568" s="10" t="str">
        <f>IF(ポートフォリオ実績!C569="","", ポートフォリオ実績!C569)</f>
        <v/>
      </c>
      <c r="D568" s="10" t="str">
        <f>IF(ポートフォリオ実績!D569="","", ポートフォリオ実績!D569)</f>
        <v/>
      </c>
      <c r="E568" s="10" t="str">
        <f>IF(ポートフォリオ実績!E569="","", ポートフォリオ実績!E569)</f>
        <v/>
      </c>
      <c r="F568" s="10" t="str">
        <f>IF(ポートフォリオ実績!F569="","", ポートフォリオ実績!F569)</f>
        <v/>
      </c>
      <c r="G568" t="str">
        <f t="shared" si="88"/>
        <v/>
      </c>
      <c r="H568">
        <f>IF(B568&lt;&gt;"", SUMIFS(ポートフォリオ実績!$D$2:$D$2001, ポートフォリオ実績!$B$2:$B$2001, B568, ポートフォリオ実績!$A$2:$A$2001, G568), 0)</f>
        <v>0</v>
      </c>
      <c r="I568">
        <f>IF(B568&lt;&gt;"", SUMIFS(ポートフォリオ実績!$C$2:$C$2001, ポートフォリオ実績!$B$2:$B$2001, B568, ポートフォリオ実績!$A$2:$A$2001, G568), 0)</f>
        <v>0</v>
      </c>
      <c r="J568">
        <f t="shared" si="89"/>
        <v>0</v>
      </c>
      <c r="K568">
        <f t="shared" si="90"/>
        <v>0</v>
      </c>
      <c r="L568">
        <f t="shared" si="91"/>
        <v>0</v>
      </c>
      <c r="M568">
        <f t="shared" si="92"/>
        <v>0</v>
      </c>
      <c r="N568">
        <f t="shared" si="93"/>
        <v>0</v>
      </c>
      <c r="O568">
        <f t="shared" si="94"/>
        <v>0</v>
      </c>
      <c r="P568" t="str">
        <f t="shared" si="95"/>
        <v/>
      </c>
      <c r="Q568" t="str">
        <f>IF(B568="","", IFERROR(VLOOKUP(B568, '基準資産配分（設定）'!$A$2:$C$2001, 3, FALSE), ""))</f>
        <v/>
      </c>
      <c r="R568" t="str">
        <f>IF(B568="","", IFERROR(VLOOKUP(B568, '基準資産配分（設定）'!$A$2:$C$2001, 2, FALSE)/100, 0))</f>
        <v/>
      </c>
      <c r="S568" t="str">
        <f>IF(B568="","", IFERROR(SUMIFS(ベンチマークリターン!$C$2:$C$2001, ベンチマークリターン!$A$2:$A$2001, A568, ベンチマークリターン!$B$2:$B$2001, Q568) / 100, 0))</f>
        <v/>
      </c>
      <c r="T568" t="str">
        <f>IF(A568="","", SUMIFS($H$2:$H$2000, $A$2:$A$2000, A568))</f>
        <v/>
      </c>
      <c r="U568" t="str">
        <f t="shared" si="96"/>
        <v/>
      </c>
      <c r="V568" t="str">
        <f t="shared" si="97"/>
        <v/>
      </c>
      <c r="W568" t="str">
        <f t="shared" si="98"/>
        <v/>
      </c>
    </row>
    <row r="569" spans="1:23" x14ac:dyDescent="0.2">
      <c r="A569" s="4" t="str">
        <f>IF(ポートフォリオ実績!A570="","", ポートフォリオ実績!A570)</f>
        <v/>
      </c>
      <c r="B569" t="str">
        <f>IF(ポートフォリオ実績!B570="","", ポートフォリオ実績!B570)</f>
        <v/>
      </c>
      <c r="C569" s="10" t="str">
        <f>IF(ポートフォリオ実績!C570="","", ポートフォリオ実績!C570)</f>
        <v/>
      </c>
      <c r="D569" s="10" t="str">
        <f>IF(ポートフォリオ実績!D570="","", ポートフォリオ実績!D570)</f>
        <v/>
      </c>
      <c r="E569" s="10" t="str">
        <f>IF(ポートフォリオ実績!E570="","", ポートフォリオ実績!E570)</f>
        <v/>
      </c>
      <c r="F569" s="10" t="str">
        <f>IF(ポートフォリオ実績!F570="","", ポートフォリオ実績!F570)</f>
        <v/>
      </c>
      <c r="G569" t="str">
        <f t="shared" si="88"/>
        <v/>
      </c>
      <c r="H569">
        <f>IF(B569&lt;&gt;"", SUMIFS(ポートフォリオ実績!$D$2:$D$2001, ポートフォリオ実績!$B$2:$B$2001, B569, ポートフォリオ実績!$A$2:$A$2001, G569), 0)</f>
        <v>0</v>
      </c>
      <c r="I569">
        <f>IF(B569&lt;&gt;"", SUMIFS(ポートフォリオ実績!$C$2:$C$2001, ポートフォリオ実績!$B$2:$B$2001, B569, ポートフォリオ実績!$A$2:$A$2001, G569), 0)</f>
        <v>0</v>
      </c>
      <c r="J569">
        <f t="shared" si="89"/>
        <v>0</v>
      </c>
      <c r="K569">
        <f t="shared" si="90"/>
        <v>0</v>
      </c>
      <c r="L569">
        <f t="shared" si="91"/>
        <v>0</v>
      </c>
      <c r="M569">
        <f t="shared" si="92"/>
        <v>0</v>
      </c>
      <c r="N569">
        <f t="shared" si="93"/>
        <v>0</v>
      </c>
      <c r="O569">
        <f t="shared" si="94"/>
        <v>0</v>
      </c>
      <c r="P569" t="str">
        <f t="shared" si="95"/>
        <v/>
      </c>
      <c r="Q569" t="str">
        <f>IF(B569="","", IFERROR(VLOOKUP(B569, '基準資産配分（設定）'!$A$2:$C$2001, 3, FALSE), ""))</f>
        <v/>
      </c>
      <c r="R569" t="str">
        <f>IF(B569="","", IFERROR(VLOOKUP(B569, '基準資産配分（設定）'!$A$2:$C$2001, 2, FALSE)/100, 0))</f>
        <v/>
      </c>
      <c r="S569" t="str">
        <f>IF(B569="","", IFERROR(SUMIFS(ベンチマークリターン!$C$2:$C$2001, ベンチマークリターン!$A$2:$A$2001, A569, ベンチマークリターン!$B$2:$B$2001, Q569) / 100, 0))</f>
        <v/>
      </c>
      <c r="T569" t="str">
        <f>IF(A569="","", SUMIFS($H$2:$H$2000, $A$2:$A$2000, A569))</f>
        <v/>
      </c>
      <c r="U569" t="str">
        <f t="shared" si="96"/>
        <v/>
      </c>
      <c r="V569" t="str">
        <f t="shared" si="97"/>
        <v/>
      </c>
      <c r="W569" t="str">
        <f t="shared" si="98"/>
        <v/>
      </c>
    </row>
    <row r="570" spans="1:23" x14ac:dyDescent="0.2">
      <c r="A570" s="4" t="str">
        <f>IF(ポートフォリオ実績!A571="","", ポートフォリオ実績!A571)</f>
        <v/>
      </c>
      <c r="B570" t="str">
        <f>IF(ポートフォリオ実績!B571="","", ポートフォリオ実績!B571)</f>
        <v/>
      </c>
      <c r="C570" s="10" t="str">
        <f>IF(ポートフォリオ実績!C571="","", ポートフォリオ実績!C571)</f>
        <v/>
      </c>
      <c r="D570" s="10" t="str">
        <f>IF(ポートフォリオ実績!D571="","", ポートフォリオ実績!D571)</f>
        <v/>
      </c>
      <c r="E570" s="10" t="str">
        <f>IF(ポートフォリオ実績!E571="","", ポートフォリオ実績!E571)</f>
        <v/>
      </c>
      <c r="F570" s="10" t="str">
        <f>IF(ポートフォリオ実績!F571="","", ポートフォリオ実績!F571)</f>
        <v/>
      </c>
      <c r="G570" t="str">
        <f t="shared" si="88"/>
        <v/>
      </c>
      <c r="H570">
        <f>IF(B570&lt;&gt;"", SUMIFS(ポートフォリオ実績!$D$2:$D$2001, ポートフォリオ実績!$B$2:$B$2001, B570, ポートフォリオ実績!$A$2:$A$2001, G570), 0)</f>
        <v>0</v>
      </c>
      <c r="I570">
        <f>IF(B570&lt;&gt;"", SUMIFS(ポートフォリオ実績!$C$2:$C$2001, ポートフォリオ実績!$B$2:$B$2001, B570, ポートフォリオ実績!$A$2:$A$2001, G570), 0)</f>
        <v>0</v>
      </c>
      <c r="J570">
        <f t="shared" si="89"/>
        <v>0</v>
      </c>
      <c r="K570">
        <f t="shared" si="90"/>
        <v>0</v>
      </c>
      <c r="L570">
        <f t="shared" si="91"/>
        <v>0</v>
      </c>
      <c r="M570">
        <f t="shared" si="92"/>
        <v>0</v>
      </c>
      <c r="N570">
        <f t="shared" si="93"/>
        <v>0</v>
      </c>
      <c r="O570">
        <f t="shared" si="94"/>
        <v>0</v>
      </c>
      <c r="P570" t="str">
        <f t="shared" si="95"/>
        <v/>
      </c>
      <c r="Q570" t="str">
        <f>IF(B570="","", IFERROR(VLOOKUP(B570, '基準資産配分（設定）'!$A$2:$C$2001, 3, FALSE), ""))</f>
        <v/>
      </c>
      <c r="R570" t="str">
        <f>IF(B570="","", IFERROR(VLOOKUP(B570, '基準資産配分（設定）'!$A$2:$C$2001, 2, FALSE)/100, 0))</f>
        <v/>
      </c>
      <c r="S570" t="str">
        <f>IF(B570="","", IFERROR(SUMIFS(ベンチマークリターン!$C$2:$C$2001, ベンチマークリターン!$A$2:$A$2001, A570, ベンチマークリターン!$B$2:$B$2001, Q570) / 100, 0))</f>
        <v/>
      </c>
      <c r="T570" t="str">
        <f>IF(A570="","", SUMIFS($H$2:$H$2000, $A$2:$A$2000, A570))</f>
        <v/>
      </c>
      <c r="U570" t="str">
        <f t="shared" si="96"/>
        <v/>
      </c>
      <c r="V570" t="str">
        <f t="shared" si="97"/>
        <v/>
      </c>
      <c r="W570" t="str">
        <f t="shared" si="98"/>
        <v/>
      </c>
    </row>
    <row r="571" spans="1:23" x14ac:dyDescent="0.2">
      <c r="A571" s="4" t="str">
        <f>IF(ポートフォリオ実績!A572="","", ポートフォリオ実績!A572)</f>
        <v/>
      </c>
      <c r="B571" t="str">
        <f>IF(ポートフォリオ実績!B572="","", ポートフォリオ実績!B572)</f>
        <v/>
      </c>
      <c r="C571" s="10" t="str">
        <f>IF(ポートフォリオ実績!C572="","", ポートフォリオ実績!C572)</f>
        <v/>
      </c>
      <c r="D571" s="10" t="str">
        <f>IF(ポートフォリオ実績!D572="","", ポートフォリオ実績!D572)</f>
        <v/>
      </c>
      <c r="E571" s="10" t="str">
        <f>IF(ポートフォリオ実績!E572="","", ポートフォリオ実績!E572)</f>
        <v/>
      </c>
      <c r="F571" s="10" t="str">
        <f>IF(ポートフォリオ実績!F572="","", ポートフォリオ実績!F572)</f>
        <v/>
      </c>
      <c r="G571" t="str">
        <f t="shared" si="88"/>
        <v/>
      </c>
      <c r="H571">
        <f>IF(B571&lt;&gt;"", SUMIFS(ポートフォリオ実績!$D$2:$D$2001, ポートフォリオ実績!$B$2:$B$2001, B571, ポートフォリオ実績!$A$2:$A$2001, G571), 0)</f>
        <v>0</v>
      </c>
      <c r="I571">
        <f>IF(B571&lt;&gt;"", SUMIFS(ポートフォリオ実績!$C$2:$C$2001, ポートフォリオ実績!$B$2:$B$2001, B571, ポートフォリオ実績!$A$2:$A$2001, G571), 0)</f>
        <v>0</v>
      </c>
      <c r="J571">
        <f t="shared" si="89"/>
        <v>0</v>
      </c>
      <c r="K571">
        <f t="shared" si="90"/>
        <v>0</v>
      </c>
      <c r="L571">
        <f t="shared" si="91"/>
        <v>0</v>
      </c>
      <c r="M571">
        <f t="shared" si="92"/>
        <v>0</v>
      </c>
      <c r="N571">
        <f t="shared" si="93"/>
        <v>0</v>
      </c>
      <c r="O571">
        <f t="shared" si="94"/>
        <v>0</v>
      </c>
      <c r="P571" t="str">
        <f t="shared" si="95"/>
        <v/>
      </c>
      <c r="Q571" t="str">
        <f>IF(B571="","", IFERROR(VLOOKUP(B571, '基準資産配分（設定）'!$A$2:$C$2001, 3, FALSE), ""))</f>
        <v/>
      </c>
      <c r="R571" t="str">
        <f>IF(B571="","", IFERROR(VLOOKUP(B571, '基準資産配分（設定）'!$A$2:$C$2001, 2, FALSE)/100, 0))</f>
        <v/>
      </c>
      <c r="S571" t="str">
        <f>IF(B571="","", IFERROR(SUMIFS(ベンチマークリターン!$C$2:$C$2001, ベンチマークリターン!$A$2:$A$2001, A571, ベンチマークリターン!$B$2:$B$2001, Q571) / 100, 0))</f>
        <v/>
      </c>
      <c r="T571" t="str">
        <f>IF(A571="","", SUMIFS($H$2:$H$2000, $A$2:$A$2000, A571))</f>
        <v/>
      </c>
      <c r="U571" t="str">
        <f t="shared" si="96"/>
        <v/>
      </c>
      <c r="V571" t="str">
        <f t="shared" si="97"/>
        <v/>
      </c>
      <c r="W571" t="str">
        <f t="shared" si="98"/>
        <v/>
      </c>
    </row>
    <row r="572" spans="1:23" x14ac:dyDescent="0.2">
      <c r="A572" s="4" t="str">
        <f>IF(ポートフォリオ実績!A573="","", ポートフォリオ実績!A573)</f>
        <v/>
      </c>
      <c r="B572" t="str">
        <f>IF(ポートフォリオ実績!B573="","", ポートフォリオ実績!B573)</f>
        <v/>
      </c>
      <c r="C572" s="10" t="str">
        <f>IF(ポートフォリオ実績!C573="","", ポートフォリオ実績!C573)</f>
        <v/>
      </c>
      <c r="D572" s="10" t="str">
        <f>IF(ポートフォリオ実績!D573="","", ポートフォリオ実績!D573)</f>
        <v/>
      </c>
      <c r="E572" s="10" t="str">
        <f>IF(ポートフォリオ実績!E573="","", ポートフォリオ実績!E573)</f>
        <v/>
      </c>
      <c r="F572" s="10" t="str">
        <f>IF(ポートフォリオ実績!F573="","", ポートフォリオ実績!F573)</f>
        <v/>
      </c>
      <c r="G572" t="str">
        <f t="shared" si="88"/>
        <v/>
      </c>
      <c r="H572">
        <f>IF(B572&lt;&gt;"", SUMIFS(ポートフォリオ実績!$D$2:$D$2001, ポートフォリオ実績!$B$2:$B$2001, B572, ポートフォリオ実績!$A$2:$A$2001, G572), 0)</f>
        <v>0</v>
      </c>
      <c r="I572">
        <f>IF(B572&lt;&gt;"", SUMIFS(ポートフォリオ実績!$C$2:$C$2001, ポートフォリオ実績!$B$2:$B$2001, B572, ポートフォリオ実績!$A$2:$A$2001, G572), 0)</f>
        <v>0</v>
      </c>
      <c r="J572">
        <f t="shared" si="89"/>
        <v>0</v>
      </c>
      <c r="K572">
        <f t="shared" si="90"/>
        <v>0</v>
      </c>
      <c r="L572">
        <f t="shared" si="91"/>
        <v>0</v>
      </c>
      <c r="M572">
        <f t="shared" si="92"/>
        <v>0</v>
      </c>
      <c r="N572">
        <f t="shared" si="93"/>
        <v>0</v>
      </c>
      <c r="O572">
        <f t="shared" si="94"/>
        <v>0</v>
      </c>
      <c r="P572" t="str">
        <f t="shared" si="95"/>
        <v/>
      </c>
      <c r="Q572" t="str">
        <f>IF(B572="","", IFERROR(VLOOKUP(B572, '基準資産配分（設定）'!$A$2:$C$2001, 3, FALSE), ""))</f>
        <v/>
      </c>
      <c r="R572" t="str">
        <f>IF(B572="","", IFERROR(VLOOKUP(B572, '基準資産配分（設定）'!$A$2:$C$2001, 2, FALSE)/100, 0))</f>
        <v/>
      </c>
      <c r="S572" t="str">
        <f>IF(B572="","", IFERROR(SUMIFS(ベンチマークリターン!$C$2:$C$2001, ベンチマークリターン!$A$2:$A$2001, A572, ベンチマークリターン!$B$2:$B$2001, Q572) / 100, 0))</f>
        <v/>
      </c>
      <c r="T572" t="str">
        <f>IF(A572="","", SUMIFS($H$2:$H$2000, $A$2:$A$2000, A572))</f>
        <v/>
      </c>
      <c r="U572" t="str">
        <f t="shared" si="96"/>
        <v/>
      </c>
      <c r="V572" t="str">
        <f t="shared" si="97"/>
        <v/>
      </c>
      <c r="W572" t="str">
        <f t="shared" si="98"/>
        <v/>
      </c>
    </row>
    <row r="573" spans="1:23" x14ac:dyDescent="0.2">
      <c r="A573" s="4" t="str">
        <f>IF(ポートフォリオ実績!A574="","", ポートフォリオ実績!A574)</f>
        <v/>
      </c>
      <c r="B573" t="str">
        <f>IF(ポートフォリオ実績!B574="","", ポートフォリオ実績!B574)</f>
        <v/>
      </c>
      <c r="C573" s="10" t="str">
        <f>IF(ポートフォリオ実績!C574="","", ポートフォリオ実績!C574)</f>
        <v/>
      </c>
      <c r="D573" s="10" t="str">
        <f>IF(ポートフォリオ実績!D574="","", ポートフォリオ実績!D574)</f>
        <v/>
      </c>
      <c r="E573" s="10" t="str">
        <f>IF(ポートフォリオ実績!E574="","", ポートフォリオ実績!E574)</f>
        <v/>
      </c>
      <c r="F573" s="10" t="str">
        <f>IF(ポートフォリオ実績!F574="","", ポートフォリオ実績!F574)</f>
        <v/>
      </c>
      <c r="G573" t="str">
        <f t="shared" si="88"/>
        <v/>
      </c>
      <c r="H573">
        <f>IF(B573&lt;&gt;"", SUMIFS(ポートフォリオ実績!$D$2:$D$2001, ポートフォリオ実績!$B$2:$B$2001, B573, ポートフォリオ実績!$A$2:$A$2001, G573), 0)</f>
        <v>0</v>
      </c>
      <c r="I573">
        <f>IF(B573&lt;&gt;"", SUMIFS(ポートフォリオ実績!$C$2:$C$2001, ポートフォリオ実績!$B$2:$B$2001, B573, ポートフォリオ実績!$A$2:$A$2001, G573), 0)</f>
        <v>0</v>
      </c>
      <c r="J573">
        <f t="shared" si="89"/>
        <v>0</v>
      </c>
      <c r="K573">
        <f t="shared" si="90"/>
        <v>0</v>
      </c>
      <c r="L573">
        <f t="shared" si="91"/>
        <v>0</v>
      </c>
      <c r="M573">
        <f t="shared" si="92"/>
        <v>0</v>
      </c>
      <c r="N573">
        <f t="shared" si="93"/>
        <v>0</v>
      </c>
      <c r="O573">
        <f t="shared" si="94"/>
        <v>0</v>
      </c>
      <c r="P573" t="str">
        <f t="shared" si="95"/>
        <v/>
      </c>
      <c r="Q573" t="str">
        <f>IF(B573="","", IFERROR(VLOOKUP(B573, '基準資産配分（設定）'!$A$2:$C$2001, 3, FALSE), ""))</f>
        <v/>
      </c>
      <c r="R573" t="str">
        <f>IF(B573="","", IFERROR(VLOOKUP(B573, '基準資産配分（設定）'!$A$2:$C$2001, 2, FALSE)/100, 0))</f>
        <v/>
      </c>
      <c r="S573" t="str">
        <f>IF(B573="","", IFERROR(SUMIFS(ベンチマークリターン!$C$2:$C$2001, ベンチマークリターン!$A$2:$A$2001, A573, ベンチマークリターン!$B$2:$B$2001, Q573) / 100, 0))</f>
        <v/>
      </c>
      <c r="T573" t="str">
        <f>IF(A573="","", SUMIFS($H$2:$H$2000, $A$2:$A$2000, A573))</f>
        <v/>
      </c>
      <c r="U573" t="str">
        <f t="shared" si="96"/>
        <v/>
      </c>
      <c r="V573" t="str">
        <f t="shared" si="97"/>
        <v/>
      </c>
      <c r="W573" t="str">
        <f t="shared" si="98"/>
        <v/>
      </c>
    </row>
    <row r="574" spans="1:23" x14ac:dyDescent="0.2">
      <c r="A574" s="4" t="str">
        <f>IF(ポートフォリオ実績!A575="","", ポートフォリオ実績!A575)</f>
        <v/>
      </c>
      <c r="B574" t="str">
        <f>IF(ポートフォリオ実績!B575="","", ポートフォリオ実績!B575)</f>
        <v/>
      </c>
      <c r="C574" s="10" t="str">
        <f>IF(ポートフォリオ実績!C575="","", ポートフォリオ実績!C575)</f>
        <v/>
      </c>
      <c r="D574" s="10" t="str">
        <f>IF(ポートフォリオ実績!D575="","", ポートフォリオ実績!D575)</f>
        <v/>
      </c>
      <c r="E574" s="10" t="str">
        <f>IF(ポートフォリオ実績!E575="","", ポートフォリオ実績!E575)</f>
        <v/>
      </c>
      <c r="F574" s="10" t="str">
        <f>IF(ポートフォリオ実績!F575="","", ポートフォリオ実績!F575)</f>
        <v/>
      </c>
      <c r="G574" t="str">
        <f t="shared" si="88"/>
        <v/>
      </c>
      <c r="H574">
        <f>IF(B574&lt;&gt;"", SUMIFS(ポートフォリオ実績!$D$2:$D$2001, ポートフォリオ実績!$B$2:$B$2001, B574, ポートフォリオ実績!$A$2:$A$2001, G574), 0)</f>
        <v>0</v>
      </c>
      <c r="I574">
        <f>IF(B574&lt;&gt;"", SUMIFS(ポートフォリオ実績!$C$2:$C$2001, ポートフォリオ実績!$B$2:$B$2001, B574, ポートフォリオ実績!$A$2:$A$2001, G574), 0)</f>
        <v>0</v>
      </c>
      <c r="J574">
        <f t="shared" si="89"/>
        <v>0</v>
      </c>
      <c r="K574">
        <f t="shared" si="90"/>
        <v>0</v>
      </c>
      <c r="L574">
        <f t="shared" si="91"/>
        <v>0</v>
      </c>
      <c r="M574">
        <f t="shared" si="92"/>
        <v>0</v>
      </c>
      <c r="N574">
        <f t="shared" si="93"/>
        <v>0</v>
      </c>
      <c r="O574">
        <f t="shared" si="94"/>
        <v>0</v>
      </c>
      <c r="P574" t="str">
        <f t="shared" si="95"/>
        <v/>
      </c>
      <c r="Q574" t="str">
        <f>IF(B574="","", IFERROR(VLOOKUP(B574, '基準資産配分（設定）'!$A$2:$C$2001, 3, FALSE), ""))</f>
        <v/>
      </c>
      <c r="R574" t="str">
        <f>IF(B574="","", IFERROR(VLOOKUP(B574, '基準資産配分（設定）'!$A$2:$C$2001, 2, FALSE)/100, 0))</f>
        <v/>
      </c>
      <c r="S574" t="str">
        <f>IF(B574="","", IFERROR(SUMIFS(ベンチマークリターン!$C$2:$C$2001, ベンチマークリターン!$A$2:$A$2001, A574, ベンチマークリターン!$B$2:$B$2001, Q574) / 100, 0))</f>
        <v/>
      </c>
      <c r="T574" t="str">
        <f>IF(A574="","", SUMIFS($H$2:$H$2000, $A$2:$A$2000, A574))</f>
        <v/>
      </c>
      <c r="U574" t="str">
        <f t="shared" si="96"/>
        <v/>
      </c>
      <c r="V574" t="str">
        <f t="shared" si="97"/>
        <v/>
      </c>
      <c r="W574" t="str">
        <f t="shared" si="98"/>
        <v/>
      </c>
    </row>
    <row r="575" spans="1:23" x14ac:dyDescent="0.2">
      <c r="A575" s="4" t="str">
        <f>IF(ポートフォリオ実績!A576="","", ポートフォリオ実績!A576)</f>
        <v/>
      </c>
      <c r="B575" t="str">
        <f>IF(ポートフォリオ実績!B576="","", ポートフォリオ実績!B576)</f>
        <v/>
      </c>
      <c r="C575" s="10" t="str">
        <f>IF(ポートフォリオ実績!C576="","", ポートフォリオ実績!C576)</f>
        <v/>
      </c>
      <c r="D575" s="10" t="str">
        <f>IF(ポートフォリオ実績!D576="","", ポートフォリオ実績!D576)</f>
        <v/>
      </c>
      <c r="E575" s="10" t="str">
        <f>IF(ポートフォリオ実績!E576="","", ポートフォリオ実績!E576)</f>
        <v/>
      </c>
      <c r="F575" s="10" t="str">
        <f>IF(ポートフォリオ実績!F576="","", ポートフォリオ実績!F576)</f>
        <v/>
      </c>
      <c r="G575" t="str">
        <f t="shared" si="88"/>
        <v/>
      </c>
      <c r="H575">
        <f>IF(B575&lt;&gt;"", SUMIFS(ポートフォリオ実績!$D$2:$D$2001, ポートフォリオ実績!$B$2:$B$2001, B575, ポートフォリオ実績!$A$2:$A$2001, G575), 0)</f>
        <v>0</v>
      </c>
      <c r="I575">
        <f>IF(B575&lt;&gt;"", SUMIFS(ポートフォリオ実績!$C$2:$C$2001, ポートフォリオ実績!$B$2:$B$2001, B575, ポートフォリオ実績!$A$2:$A$2001, G575), 0)</f>
        <v>0</v>
      </c>
      <c r="J575">
        <f t="shared" si="89"/>
        <v>0</v>
      </c>
      <c r="K575">
        <f t="shared" si="90"/>
        <v>0</v>
      </c>
      <c r="L575">
        <f t="shared" si="91"/>
        <v>0</v>
      </c>
      <c r="M575">
        <f t="shared" si="92"/>
        <v>0</v>
      </c>
      <c r="N575">
        <f t="shared" si="93"/>
        <v>0</v>
      </c>
      <c r="O575">
        <f t="shared" si="94"/>
        <v>0</v>
      </c>
      <c r="P575" t="str">
        <f t="shared" si="95"/>
        <v/>
      </c>
      <c r="Q575" t="str">
        <f>IF(B575="","", IFERROR(VLOOKUP(B575, '基準資産配分（設定）'!$A$2:$C$2001, 3, FALSE), ""))</f>
        <v/>
      </c>
      <c r="R575" t="str">
        <f>IF(B575="","", IFERROR(VLOOKUP(B575, '基準資産配分（設定）'!$A$2:$C$2001, 2, FALSE)/100, 0))</f>
        <v/>
      </c>
      <c r="S575" t="str">
        <f>IF(B575="","", IFERROR(SUMIFS(ベンチマークリターン!$C$2:$C$2001, ベンチマークリターン!$A$2:$A$2001, A575, ベンチマークリターン!$B$2:$B$2001, Q575) / 100, 0))</f>
        <v/>
      </c>
      <c r="T575" t="str">
        <f>IF(A575="","", SUMIFS($H$2:$H$2000, $A$2:$A$2000, A575))</f>
        <v/>
      </c>
      <c r="U575" t="str">
        <f t="shared" si="96"/>
        <v/>
      </c>
      <c r="V575" t="str">
        <f t="shared" si="97"/>
        <v/>
      </c>
      <c r="W575" t="str">
        <f t="shared" si="98"/>
        <v/>
      </c>
    </row>
    <row r="576" spans="1:23" x14ac:dyDescent="0.2">
      <c r="A576" s="4" t="str">
        <f>IF(ポートフォリオ実績!A577="","", ポートフォリオ実績!A577)</f>
        <v/>
      </c>
      <c r="B576" t="str">
        <f>IF(ポートフォリオ実績!B577="","", ポートフォリオ実績!B577)</f>
        <v/>
      </c>
      <c r="C576" s="10" t="str">
        <f>IF(ポートフォリオ実績!C577="","", ポートフォリオ実績!C577)</f>
        <v/>
      </c>
      <c r="D576" s="10" t="str">
        <f>IF(ポートフォリオ実績!D577="","", ポートフォリオ実績!D577)</f>
        <v/>
      </c>
      <c r="E576" s="10" t="str">
        <f>IF(ポートフォリオ実績!E577="","", ポートフォリオ実績!E577)</f>
        <v/>
      </c>
      <c r="F576" s="10" t="str">
        <f>IF(ポートフォリオ実績!F577="","", ポートフォリオ実績!F577)</f>
        <v/>
      </c>
      <c r="G576" t="str">
        <f t="shared" si="88"/>
        <v/>
      </c>
      <c r="H576">
        <f>IF(B576&lt;&gt;"", SUMIFS(ポートフォリオ実績!$D$2:$D$2001, ポートフォリオ実績!$B$2:$B$2001, B576, ポートフォリオ実績!$A$2:$A$2001, G576), 0)</f>
        <v>0</v>
      </c>
      <c r="I576">
        <f>IF(B576&lt;&gt;"", SUMIFS(ポートフォリオ実績!$C$2:$C$2001, ポートフォリオ実績!$B$2:$B$2001, B576, ポートフォリオ実績!$A$2:$A$2001, G576), 0)</f>
        <v>0</v>
      </c>
      <c r="J576">
        <f t="shared" si="89"/>
        <v>0</v>
      </c>
      <c r="K576">
        <f t="shared" si="90"/>
        <v>0</v>
      </c>
      <c r="L576">
        <f t="shared" si="91"/>
        <v>0</v>
      </c>
      <c r="M576">
        <f t="shared" si="92"/>
        <v>0</v>
      </c>
      <c r="N576">
        <f t="shared" si="93"/>
        <v>0</v>
      </c>
      <c r="O576">
        <f t="shared" si="94"/>
        <v>0</v>
      </c>
      <c r="P576" t="str">
        <f t="shared" si="95"/>
        <v/>
      </c>
      <c r="Q576" t="str">
        <f>IF(B576="","", IFERROR(VLOOKUP(B576, '基準資産配分（設定）'!$A$2:$C$2001, 3, FALSE), ""))</f>
        <v/>
      </c>
      <c r="R576" t="str">
        <f>IF(B576="","", IFERROR(VLOOKUP(B576, '基準資産配分（設定）'!$A$2:$C$2001, 2, FALSE)/100, 0))</f>
        <v/>
      </c>
      <c r="S576" t="str">
        <f>IF(B576="","", IFERROR(SUMIFS(ベンチマークリターン!$C$2:$C$2001, ベンチマークリターン!$A$2:$A$2001, A576, ベンチマークリターン!$B$2:$B$2001, Q576) / 100, 0))</f>
        <v/>
      </c>
      <c r="T576" t="str">
        <f>IF(A576="","", SUMIFS($H$2:$H$2000, $A$2:$A$2000, A576))</f>
        <v/>
      </c>
      <c r="U576" t="str">
        <f t="shared" si="96"/>
        <v/>
      </c>
      <c r="V576" t="str">
        <f t="shared" si="97"/>
        <v/>
      </c>
      <c r="W576" t="str">
        <f t="shared" si="98"/>
        <v/>
      </c>
    </row>
    <row r="577" spans="1:23" x14ac:dyDescent="0.2">
      <c r="A577" s="4" t="str">
        <f>IF(ポートフォリオ実績!A578="","", ポートフォリオ実績!A578)</f>
        <v/>
      </c>
      <c r="B577" t="str">
        <f>IF(ポートフォリオ実績!B578="","", ポートフォリオ実績!B578)</f>
        <v/>
      </c>
      <c r="C577" s="10" t="str">
        <f>IF(ポートフォリオ実績!C578="","", ポートフォリオ実績!C578)</f>
        <v/>
      </c>
      <c r="D577" s="10" t="str">
        <f>IF(ポートフォリオ実績!D578="","", ポートフォリオ実績!D578)</f>
        <v/>
      </c>
      <c r="E577" s="10" t="str">
        <f>IF(ポートフォリオ実績!E578="","", ポートフォリオ実績!E578)</f>
        <v/>
      </c>
      <c r="F577" s="10" t="str">
        <f>IF(ポートフォリオ実績!F578="","", ポートフォリオ実績!F578)</f>
        <v/>
      </c>
      <c r="G577" t="str">
        <f t="shared" ref="G577:G640" si="99">IF(A577&lt;&gt;"", EOMONTH(A577, -1), "")</f>
        <v/>
      </c>
      <c r="H577">
        <f>IF(B577&lt;&gt;"", SUMIFS(ポートフォリオ実績!$D$2:$D$2001, ポートフォリオ実績!$B$2:$B$2001, B577, ポートフォリオ実績!$A$2:$A$2001, G577), 0)</f>
        <v>0</v>
      </c>
      <c r="I577">
        <f>IF(B577&lt;&gt;"", SUMIFS(ポートフォリオ実績!$C$2:$C$2001, ポートフォリオ実績!$B$2:$B$2001, B577, ポートフォリオ実績!$A$2:$A$2001, G577), 0)</f>
        <v>0</v>
      </c>
      <c r="J577">
        <f t="shared" ref="J577:J640" si="100">IF(A577&lt;&gt;"", D577-C577, 0)</f>
        <v>0</v>
      </c>
      <c r="K577">
        <f t="shared" ref="K577:K640" si="101">IF(A577&lt;&gt;"", H577-I577, 0)</f>
        <v>0</v>
      </c>
      <c r="L577">
        <f t="shared" ref="L577:L640" si="102">IF(H577=0, 0, J577-K577)</f>
        <v>0</v>
      </c>
      <c r="M577">
        <f t="shared" ref="M577:M640" si="103">IF(A577&lt;&gt;"", E577+F577+L577, 0)</f>
        <v>0</v>
      </c>
      <c r="N577">
        <f t="shared" ref="N577:N640" si="104">IF(H577=0, 0, (D577-H577)-M577)</f>
        <v>0</v>
      </c>
      <c r="O577">
        <f t="shared" ref="O577:O640" si="105">IF(A577&lt;&gt;"", H577+N577*0.5, 0)</f>
        <v>0</v>
      </c>
      <c r="P577" t="str">
        <f t="shared" ref="P577:P640" si="106">IF(A577="","", IF(O577&gt;0.000001, M577/O577, IF(ABS(M577)&lt;0.000001, 0, 0)))</f>
        <v/>
      </c>
      <c r="Q577" t="str">
        <f>IF(B577="","", IFERROR(VLOOKUP(B577, '基準資産配分（設定）'!$A$2:$C$2001, 3, FALSE), ""))</f>
        <v/>
      </c>
      <c r="R577" t="str">
        <f>IF(B577="","", IFERROR(VLOOKUP(B577, '基準資産配分（設定）'!$A$2:$C$2001, 2, FALSE)/100, 0))</f>
        <v/>
      </c>
      <c r="S577" t="str">
        <f>IF(B577="","", IFERROR(SUMIFS(ベンチマークリターン!$C$2:$C$2001, ベンチマークリターン!$A$2:$A$2001, A577, ベンチマークリターン!$B$2:$B$2001, Q577) / 100, 0))</f>
        <v/>
      </c>
      <c r="T577" t="str">
        <f>IF(A577="","", SUMIFS($H$2:$H$2000, $A$2:$A$2000, A577))</f>
        <v/>
      </c>
      <c r="U577" t="str">
        <f t="shared" ref="U577:U640" si="107">IF(A577="","", IFERROR(H577/T577, 0))</f>
        <v/>
      </c>
      <c r="V577" t="str">
        <f t="shared" ref="V577:V640" si="108">IF(A577="","", U577*P577)</f>
        <v/>
      </c>
      <c r="W577" t="str">
        <f t="shared" ref="W577:W640" si="109">IF(A577="","", R577*S577)</f>
        <v/>
      </c>
    </row>
    <row r="578" spans="1:23" x14ac:dyDescent="0.2">
      <c r="A578" s="4" t="str">
        <f>IF(ポートフォリオ実績!A579="","", ポートフォリオ実績!A579)</f>
        <v/>
      </c>
      <c r="B578" t="str">
        <f>IF(ポートフォリオ実績!B579="","", ポートフォリオ実績!B579)</f>
        <v/>
      </c>
      <c r="C578" s="10" t="str">
        <f>IF(ポートフォリオ実績!C579="","", ポートフォリオ実績!C579)</f>
        <v/>
      </c>
      <c r="D578" s="10" t="str">
        <f>IF(ポートフォリオ実績!D579="","", ポートフォリオ実績!D579)</f>
        <v/>
      </c>
      <c r="E578" s="10" t="str">
        <f>IF(ポートフォリオ実績!E579="","", ポートフォリオ実績!E579)</f>
        <v/>
      </c>
      <c r="F578" s="10" t="str">
        <f>IF(ポートフォリオ実績!F579="","", ポートフォリオ実績!F579)</f>
        <v/>
      </c>
      <c r="G578" t="str">
        <f t="shared" si="99"/>
        <v/>
      </c>
      <c r="H578">
        <f>IF(B578&lt;&gt;"", SUMIFS(ポートフォリオ実績!$D$2:$D$2001, ポートフォリオ実績!$B$2:$B$2001, B578, ポートフォリオ実績!$A$2:$A$2001, G578), 0)</f>
        <v>0</v>
      </c>
      <c r="I578">
        <f>IF(B578&lt;&gt;"", SUMIFS(ポートフォリオ実績!$C$2:$C$2001, ポートフォリオ実績!$B$2:$B$2001, B578, ポートフォリオ実績!$A$2:$A$2001, G578), 0)</f>
        <v>0</v>
      </c>
      <c r="J578">
        <f t="shared" si="100"/>
        <v>0</v>
      </c>
      <c r="K578">
        <f t="shared" si="101"/>
        <v>0</v>
      </c>
      <c r="L578">
        <f t="shared" si="102"/>
        <v>0</v>
      </c>
      <c r="M578">
        <f t="shared" si="103"/>
        <v>0</v>
      </c>
      <c r="N578">
        <f t="shared" si="104"/>
        <v>0</v>
      </c>
      <c r="O578">
        <f t="shared" si="105"/>
        <v>0</v>
      </c>
      <c r="P578" t="str">
        <f t="shared" si="106"/>
        <v/>
      </c>
      <c r="Q578" t="str">
        <f>IF(B578="","", IFERROR(VLOOKUP(B578, '基準資産配分（設定）'!$A$2:$C$2001, 3, FALSE), ""))</f>
        <v/>
      </c>
      <c r="R578" t="str">
        <f>IF(B578="","", IFERROR(VLOOKUP(B578, '基準資産配分（設定）'!$A$2:$C$2001, 2, FALSE)/100, 0))</f>
        <v/>
      </c>
      <c r="S578" t="str">
        <f>IF(B578="","", IFERROR(SUMIFS(ベンチマークリターン!$C$2:$C$2001, ベンチマークリターン!$A$2:$A$2001, A578, ベンチマークリターン!$B$2:$B$2001, Q578) / 100, 0))</f>
        <v/>
      </c>
      <c r="T578" t="str">
        <f>IF(A578="","", SUMIFS($H$2:$H$2000, $A$2:$A$2000, A578))</f>
        <v/>
      </c>
      <c r="U578" t="str">
        <f t="shared" si="107"/>
        <v/>
      </c>
      <c r="V578" t="str">
        <f t="shared" si="108"/>
        <v/>
      </c>
      <c r="W578" t="str">
        <f t="shared" si="109"/>
        <v/>
      </c>
    </row>
    <row r="579" spans="1:23" x14ac:dyDescent="0.2">
      <c r="A579" s="4" t="str">
        <f>IF(ポートフォリオ実績!A580="","", ポートフォリオ実績!A580)</f>
        <v/>
      </c>
      <c r="B579" t="str">
        <f>IF(ポートフォリオ実績!B580="","", ポートフォリオ実績!B580)</f>
        <v/>
      </c>
      <c r="C579" s="10" t="str">
        <f>IF(ポートフォリオ実績!C580="","", ポートフォリオ実績!C580)</f>
        <v/>
      </c>
      <c r="D579" s="10" t="str">
        <f>IF(ポートフォリオ実績!D580="","", ポートフォリオ実績!D580)</f>
        <v/>
      </c>
      <c r="E579" s="10" t="str">
        <f>IF(ポートフォリオ実績!E580="","", ポートフォリオ実績!E580)</f>
        <v/>
      </c>
      <c r="F579" s="10" t="str">
        <f>IF(ポートフォリオ実績!F580="","", ポートフォリオ実績!F580)</f>
        <v/>
      </c>
      <c r="G579" t="str">
        <f t="shared" si="99"/>
        <v/>
      </c>
      <c r="H579">
        <f>IF(B579&lt;&gt;"", SUMIFS(ポートフォリオ実績!$D$2:$D$2001, ポートフォリオ実績!$B$2:$B$2001, B579, ポートフォリオ実績!$A$2:$A$2001, G579), 0)</f>
        <v>0</v>
      </c>
      <c r="I579">
        <f>IF(B579&lt;&gt;"", SUMIFS(ポートフォリオ実績!$C$2:$C$2001, ポートフォリオ実績!$B$2:$B$2001, B579, ポートフォリオ実績!$A$2:$A$2001, G579), 0)</f>
        <v>0</v>
      </c>
      <c r="J579">
        <f t="shared" si="100"/>
        <v>0</v>
      </c>
      <c r="K579">
        <f t="shared" si="101"/>
        <v>0</v>
      </c>
      <c r="L579">
        <f t="shared" si="102"/>
        <v>0</v>
      </c>
      <c r="M579">
        <f t="shared" si="103"/>
        <v>0</v>
      </c>
      <c r="N579">
        <f t="shared" si="104"/>
        <v>0</v>
      </c>
      <c r="O579">
        <f t="shared" si="105"/>
        <v>0</v>
      </c>
      <c r="P579" t="str">
        <f t="shared" si="106"/>
        <v/>
      </c>
      <c r="Q579" t="str">
        <f>IF(B579="","", IFERROR(VLOOKUP(B579, '基準資産配分（設定）'!$A$2:$C$2001, 3, FALSE), ""))</f>
        <v/>
      </c>
      <c r="R579" t="str">
        <f>IF(B579="","", IFERROR(VLOOKUP(B579, '基準資産配分（設定）'!$A$2:$C$2001, 2, FALSE)/100, 0))</f>
        <v/>
      </c>
      <c r="S579" t="str">
        <f>IF(B579="","", IFERROR(SUMIFS(ベンチマークリターン!$C$2:$C$2001, ベンチマークリターン!$A$2:$A$2001, A579, ベンチマークリターン!$B$2:$B$2001, Q579) / 100, 0))</f>
        <v/>
      </c>
      <c r="T579" t="str">
        <f>IF(A579="","", SUMIFS($H$2:$H$2000, $A$2:$A$2000, A579))</f>
        <v/>
      </c>
      <c r="U579" t="str">
        <f t="shared" si="107"/>
        <v/>
      </c>
      <c r="V579" t="str">
        <f t="shared" si="108"/>
        <v/>
      </c>
      <c r="W579" t="str">
        <f t="shared" si="109"/>
        <v/>
      </c>
    </row>
    <row r="580" spans="1:23" x14ac:dyDescent="0.2">
      <c r="A580" s="4" t="str">
        <f>IF(ポートフォリオ実績!A581="","", ポートフォリオ実績!A581)</f>
        <v/>
      </c>
      <c r="B580" t="str">
        <f>IF(ポートフォリオ実績!B581="","", ポートフォリオ実績!B581)</f>
        <v/>
      </c>
      <c r="C580" s="10" t="str">
        <f>IF(ポートフォリオ実績!C581="","", ポートフォリオ実績!C581)</f>
        <v/>
      </c>
      <c r="D580" s="10" t="str">
        <f>IF(ポートフォリオ実績!D581="","", ポートフォリオ実績!D581)</f>
        <v/>
      </c>
      <c r="E580" s="10" t="str">
        <f>IF(ポートフォリオ実績!E581="","", ポートフォリオ実績!E581)</f>
        <v/>
      </c>
      <c r="F580" s="10" t="str">
        <f>IF(ポートフォリオ実績!F581="","", ポートフォリオ実績!F581)</f>
        <v/>
      </c>
      <c r="G580" t="str">
        <f t="shared" si="99"/>
        <v/>
      </c>
      <c r="H580">
        <f>IF(B580&lt;&gt;"", SUMIFS(ポートフォリオ実績!$D$2:$D$2001, ポートフォリオ実績!$B$2:$B$2001, B580, ポートフォリオ実績!$A$2:$A$2001, G580), 0)</f>
        <v>0</v>
      </c>
      <c r="I580">
        <f>IF(B580&lt;&gt;"", SUMIFS(ポートフォリオ実績!$C$2:$C$2001, ポートフォリオ実績!$B$2:$B$2001, B580, ポートフォリオ実績!$A$2:$A$2001, G580), 0)</f>
        <v>0</v>
      </c>
      <c r="J580">
        <f t="shared" si="100"/>
        <v>0</v>
      </c>
      <c r="K580">
        <f t="shared" si="101"/>
        <v>0</v>
      </c>
      <c r="L580">
        <f t="shared" si="102"/>
        <v>0</v>
      </c>
      <c r="M580">
        <f t="shared" si="103"/>
        <v>0</v>
      </c>
      <c r="N580">
        <f t="shared" si="104"/>
        <v>0</v>
      </c>
      <c r="O580">
        <f t="shared" si="105"/>
        <v>0</v>
      </c>
      <c r="P580" t="str">
        <f t="shared" si="106"/>
        <v/>
      </c>
      <c r="Q580" t="str">
        <f>IF(B580="","", IFERROR(VLOOKUP(B580, '基準資産配分（設定）'!$A$2:$C$2001, 3, FALSE), ""))</f>
        <v/>
      </c>
      <c r="R580" t="str">
        <f>IF(B580="","", IFERROR(VLOOKUP(B580, '基準資産配分（設定）'!$A$2:$C$2001, 2, FALSE)/100, 0))</f>
        <v/>
      </c>
      <c r="S580" t="str">
        <f>IF(B580="","", IFERROR(SUMIFS(ベンチマークリターン!$C$2:$C$2001, ベンチマークリターン!$A$2:$A$2001, A580, ベンチマークリターン!$B$2:$B$2001, Q580) / 100, 0))</f>
        <v/>
      </c>
      <c r="T580" t="str">
        <f>IF(A580="","", SUMIFS($H$2:$H$2000, $A$2:$A$2000, A580))</f>
        <v/>
      </c>
      <c r="U580" t="str">
        <f t="shared" si="107"/>
        <v/>
      </c>
      <c r="V580" t="str">
        <f t="shared" si="108"/>
        <v/>
      </c>
      <c r="W580" t="str">
        <f t="shared" si="109"/>
        <v/>
      </c>
    </row>
    <row r="581" spans="1:23" x14ac:dyDescent="0.2">
      <c r="A581" s="4" t="str">
        <f>IF(ポートフォリオ実績!A582="","", ポートフォリオ実績!A582)</f>
        <v/>
      </c>
      <c r="B581" t="str">
        <f>IF(ポートフォリオ実績!B582="","", ポートフォリオ実績!B582)</f>
        <v/>
      </c>
      <c r="C581" s="10" t="str">
        <f>IF(ポートフォリオ実績!C582="","", ポートフォリオ実績!C582)</f>
        <v/>
      </c>
      <c r="D581" s="10" t="str">
        <f>IF(ポートフォリオ実績!D582="","", ポートフォリオ実績!D582)</f>
        <v/>
      </c>
      <c r="E581" s="10" t="str">
        <f>IF(ポートフォリオ実績!E582="","", ポートフォリオ実績!E582)</f>
        <v/>
      </c>
      <c r="F581" s="10" t="str">
        <f>IF(ポートフォリオ実績!F582="","", ポートフォリオ実績!F582)</f>
        <v/>
      </c>
      <c r="G581" t="str">
        <f t="shared" si="99"/>
        <v/>
      </c>
      <c r="H581">
        <f>IF(B581&lt;&gt;"", SUMIFS(ポートフォリオ実績!$D$2:$D$2001, ポートフォリオ実績!$B$2:$B$2001, B581, ポートフォリオ実績!$A$2:$A$2001, G581), 0)</f>
        <v>0</v>
      </c>
      <c r="I581">
        <f>IF(B581&lt;&gt;"", SUMIFS(ポートフォリオ実績!$C$2:$C$2001, ポートフォリオ実績!$B$2:$B$2001, B581, ポートフォリオ実績!$A$2:$A$2001, G581), 0)</f>
        <v>0</v>
      </c>
      <c r="J581">
        <f t="shared" si="100"/>
        <v>0</v>
      </c>
      <c r="K581">
        <f t="shared" si="101"/>
        <v>0</v>
      </c>
      <c r="L581">
        <f t="shared" si="102"/>
        <v>0</v>
      </c>
      <c r="M581">
        <f t="shared" si="103"/>
        <v>0</v>
      </c>
      <c r="N581">
        <f t="shared" si="104"/>
        <v>0</v>
      </c>
      <c r="O581">
        <f t="shared" si="105"/>
        <v>0</v>
      </c>
      <c r="P581" t="str">
        <f t="shared" si="106"/>
        <v/>
      </c>
      <c r="Q581" t="str">
        <f>IF(B581="","", IFERROR(VLOOKUP(B581, '基準資産配分（設定）'!$A$2:$C$2001, 3, FALSE), ""))</f>
        <v/>
      </c>
      <c r="R581" t="str">
        <f>IF(B581="","", IFERROR(VLOOKUP(B581, '基準資産配分（設定）'!$A$2:$C$2001, 2, FALSE)/100, 0))</f>
        <v/>
      </c>
      <c r="S581" t="str">
        <f>IF(B581="","", IFERROR(SUMIFS(ベンチマークリターン!$C$2:$C$2001, ベンチマークリターン!$A$2:$A$2001, A581, ベンチマークリターン!$B$2:$B$2001, Q581) / 100, 0))</f>
        <v/>
      </c>
      <c r="T581" t="str">
        <f>IF(A581="","", SUMIFS($H$2:$H$2000, $A$2:$A$2000, A581))</f>
        <v/>
      </c>
      <c r="U581" t="str">
        <f t="shared" si="107"/>
        <v/>
      </c>
      <c r="V581" t="str">
        <f t="shared" si="108"/>
        <v/>
      </c>
      <c r="W581" t="str">
        <f t="shared" si="109"/>
        <v/>
      </c>
    </row>
    <row r="582" spans="1:23" x14ac:dyDescent="0.2">
      <c r="A582" s="4" t="str">
        <f>IF(ポートフォリオ実績!A583="","", ポートフォリオ実績!A583)</f>
        <v/>
      </c>
      <c r="B582" t="str">
        <f>IF(ポートフォリオ実績!B583="","", ポートフォリオ実績!B583)</f>
        <v/>
      </c>
      <c r="C582" s="10" t="str">
        <f>IF(ポートフォリオ実績!C583="","", ポートフォリオ実績!C583)</f>
        <v/>
      </c>
      <c r="D582" s="10" t="str">
        <f>IF(ポートフォリオ実績!D583="","", ポートフォリオ実績!D583)</f>
        <v/>
      </c>
      <c r="E582" s="10" t="str">
        <f>IF(ポートフォリオ実績!E583="","", ポートフォリオ実績!E583)</f>
        <v/>
      </c>
      <c r="F582" s="10" t="str">
        <f>IF(ポートフォリオ実績!F583="","", ポートフォリオ実績!F583)</f>
        <v/>
      </c>
      <c r="G582" t="str">
        <f t="shared" si="99"/>
        <v/>
      </c>
      <c r="H582">
        <f>IF(B582&lt;&gt;"", SUMIFS(ポートフォリオ実績!$D$2:$D$2001, ポートフォリオ実績!$B$2:$B$2001, B582, ポートフォリオ実績!$A$2:$A$2001, G582), 0)</f>
        <v>0</v>
      </c>
      <c r="I582">
        <f>IF(B582&lt;&gt;"", SUMIFS(ポートフォリオ実績!$C$2:$C$2001, ポートフォリオ実績!$B$2:$B$2001, B582, ポートフォリオ実績!$A$2:$A$2001, G582), 0)</f>
        <v>0</v>
      </c>
      <c r="J582">
        <f t="shared" si="100"/>
        <v>0</v>
      </c>
      <c r="K582">
        <f t="shared" si="101"/>
        <v>0</v>
      </c>
      <c r="L582">
        <f t="shared" si="102"/>
        <v>0</v>
      </c>
      <c r="M582">
        <f t="shared" si="103"/>
        <v>0</v>
      </c>
      <c r="N582">
        <f t="shared" si="104"/>
        <v>0</v>
      </c>
      <c r="O582">
        <f t="shared" si="105"/>
        <v>0</v>
      </c>
      <c r="P582" t="str">
        <f t="shared" si="106"/>
        <v/>
      </c>
      <c r="Q582" t="str">
        <f>IF(B582="","", IFERROR(VLOOKUP(B582, '基準資産配分（設定）'!$A$2:$C$2001, 3, FALSE), ""))</f>
        <v/>
      </c>
      <c r="R582" t="str">
        <f>IF(B582="","", IFERROR(VLOOKUP(B582, '基準資産配分（設定）'!$A$2:$C$2001, 2, FALSE)/100, 0))</f>
        <v/>
      </c>
      <c r="S582" t="str">
        <f>IF(B582="","", IFERROR(SUMIFS(ベンチマークリターン!$C$2:$C$2001, ベンチマークリターン!$A$2:$A$2001, A582, ベンチマークリターン!$B$2:$B$2001, Q582) / 100, 0))</f>
        <v/>
      </c>
      <c r="T582" t="str">
        <f>IF(A582="","", SUMIFS($H$2:$H$2000, $A$2:$A$2000, A582))</f>
        <v/>
      </c>
      <c r="U582" t="str">
        <f t="shared" si="107"/>
        <v/>
      </c>
      <c r="V582" t="str">
        <f t="shared" si="108"/>
        <v/>
      </c>
      <c r="W582" t="str">
        <f t="shared" si="109"/>
        <v/>
      </c>
    </row>
    <row r="583" spans="1:23" x14ac:dyDescent="0.2">
      <c r="A583" s="4" t="str">
        <f>IF(ポートフォリオ実績!A584="","", ポートフォリオ実績!A584)</f>
        <v/>
      </c>
      <c r="B583" t="str">
        <f>IF(ポートフォリオ実績!B584="","", ポートフォリオ実績!B584)</f>
        <v/>
      </c>
      <c r="C583" s="10" t="str">
        <f>IF(ポートフォリオ実績!C584="","", ポートフォリオ実績!C584)</f>
        <v/>
      </c>
      <c r="D583" s="10" t="str">
        <f>IF(ポートフォリオ実績!D584="","", ポートフォリオ実績!D584)</f>
        <v/>
      </c>
      <c r="E583" s="10" t="str">
        <f>IF(ポートフォリオ実績!E584="","", ポートフォリオ実績!E584)</f>
        <v/>
      </c>
      <c r="F583" s="10" t="str">
        <f>IF(ポートフォリオ実績!F584="","", ポートフォリオ実績!F584)</f>
        <v/>
      </c>
      <c r="G583" t="str">
        <f t="shared" si="99"/>
        <v/>
      </c>
      <c r="H583">
        <f>IF(B583&lt;&gt;"", SUMIFS(ポートフォリオ実績!$D$2:$D$2001, ポートフォリオ実績!$B$2:$B$2001, B583, ポートフォリオ実績!$A$2:$A$2001, G583), 0)</f>
        <v>0</v>
      </c>
      <c r="I583">
        <f>IF(B583&lt;&gt;"", SUMIFS(ポートフォリオ実績!$C$2:$C$2001, ポートフォリオ実績!$B$2:$B$2001, B583, ポートフォリオ実績!$A$2:$A$2001, G583), 0)</f>
        <v>0</v>
      </c>
      <c r="J583">
        <f t="shared" si="100"/>
        <v>0</v>
      </c>
      <c r="K583">
        <f t="shared" si="101"/>
        <v>0</v>
      </c>
      <c r="L583">
        <f t="shared" si="102"/>
        <v>0</v>
      </c>
      <c r="M583">
        <f t="shared" si="103"/>
        <v>0</v>
      </c>
      <c r="N583">
        <f t="shared" si="104"/>
        <v>0</v>
      </c>
      <c r="O583">
        <f t="shared" si="105"/>
        <v>0</v>
      </c>
      <c r="P583" t="str">
        <f t="shared" si="106"/>
        <v/>
      </c>
      <c r="Q583" t="str">
        <f>IF(B583="","", IFERROR(VLOOKUP(B583, '基準資産配分（設定）'!$A$2:$C$2001, 3, FALSE), ""))</f>
        <v/>
      </c>
      <c r="R583" t="str">
        <f>IF(B583="","", IFERROR(VLOOKUP(B583, '基準資産配分（設定）'!$A$2:$C$2001, 2, FALSE)/100, 0))</f>
        <v/>
      </c>
      <c r="S583" t="str">
        <f>IF(B583="","", IFERROR(SUMIFS(ベンチマークリターン!$C$2:$C$2001, ベンチマークリターン!$A$2:$A$2001, A583, ベンチマークリターン!$B$2:$B$2001, Q583) / 100, 0))</f>
        <v/>
      </c>
      <c r="T583" t="str">
        <f>IF(A583="","", SUMIFS($H$2:$H$2000, $A$2:$A$2000, A583))</f>
        <v/>
      </c>
      <c r="U583" t="str">
        <f t="shared" si="107"/>
        <v/>
      </c>
      <c r="V583" t="str">
        <f t="shared" si="108"/>
        <v/>
      </c>
      <c r="W583" t="str">
        <f t="shared" si="109"/>
        <v/>
      </c>
    </row>
    <row r="584" spans="1:23" x14ac:dyDescent="0.2">
      <c r="A584" s="4" t="str">
        <f>IF(ポートフォリオ実績!A585="","", ポートフォリオ実績!A585)</f>
        <v/>
      </c>
      <c r="B584" t="str">
        <f>IF(ポートフォリオ実績!B585="","", ポートフォリオ実績!B585)</f>
        <v/>
      </c>
      <c r="C584" s="10" t="str">
        <f>IF(ポートフォリオ実績!C585="","", ポートフォリオ実績!C585)</f>
        <v/>
      </c>
      <c r="D584" s="10" t="str">
        <f>IF(ポートフォリオ実績!D585="","", ポートフォリオ実績!D585)</f>
        <v/>
      </c>
      <c r="E584" s="10" t="str">
        <f>IF(ポートフォリオ実績!E585="","", ポートフォリオ実績!E585)</f>
        <v/>
      </c>
      <c r="F584" s="10" t="str">
        <f>IF(ポートフォリオ実績!F585="","", ポートフォリオ実績!F585)</f>
        <v/>
      </c>
      <c r="G584" t="str">
        <f t="shared" si="99"/>
        <v/>
      </c>
      <c r="H584">
        <f>IF(B584&lt;&gt;"", SUMIFS(ポートフォリオ実績!$D$2:$D$2001, ポートフォリオ実績!$B$2:$B$2001, B584, ポートフォリオ実績!$A$2:$A$2001, G584), 0)</f>
        <v>0</v>
      </c>
      <c r="I584">
        <f>IF(B584&lt;&gt;"", SUMIFS(ポートフォリオ実績!$C$2:$C$2001, ポートフォリオ実績!$B$2:$B$2001, B584, ポートフォリオ実績!$A$2:$A$2001, G584), 0)</f>
        <v>0</v>
      </c>
      <c r="J584">
        <f t="shared" si="100"/>
        <v>0</v>
      </c>
      <c r="K584">
        <f t="shared" si="101"/>
        <v>0</v>
      </c>
      <c r="L584">
        <f t="shared" si="102"/>
        <v>0</v>
      </c>
      <c r="M584">
        <f t="shared" si="103"/>
        <v>0</v>
      </c>
      <c r="N584">
        <f t="shared" si="104"/>
        <v>0</v>
      </c>
      <c r="O584">
        <f t="shared" si="105"/>
        <v>0</v>
      </c>
      <c r="P584" t="str">
        <f t="shared" si="106"/>
        <v/>
      </c>
      <c r="Q584" t="str">
        <f>IF(B584="","", IFERROR(VLOOKUP(B584, '基準資産配分（設定）'!$A$2:$C$2001, 3, FALSE), ""))</f>
        <v/>
      </c>
      <c r="R584" t="str">
        <f>IF(B584="","", IFERROR(VLOOKUP(B584, '基準資産配分（設定）'!$A$2:$C$2001, 2, FALSE)/100, 0))</f>
        <v/>
      </c>
      <c r="S584" t="str">
        <f>IF(B584="","", IFERROR(SUMIFS(ベンチマークリターン!$C$2:$C$2001, ベンチマークリターン!$A$2:$A$2001, A584, ベンチマークリターン!$B$2:$B$2001, Q584) / 100, 0))</f>
        <v/>
      </c>
      <c r="T584" t="str">
        <f>IF(A584="","", SUMIFS($H$2:$H$2000, $A$2:$A$2000, A584))</f>
        <v/>
      </c>
      <c r="U584" t="str">
        <f t="shared" si="107"/>
        <v/>
      </c>
      <c r="V584" t="str">
        <f t="shared" si="108"/>
        <v/>
      </c>
      <c r="W584" t="str">
        <f t="shared" si="109"/>
        <v/>
      </c>
    </row>
    <row r="585" spans="1:23" x14ac:dyDescent="0.2">
      <c r="A585" s="4" t="str">
        <f>IF(ポートフォリオ実績!A586="","", ポートフォリオ実績!A586)</f>
        <v/>
      </c>
      <c r="B585" t="str">
        <f>IF(ポートフォリオ実績!B586="","", ポートフォリオ実績!B586)</f>
        <v/>
      </c>
      <c r="C585" s="10" t="str">
        <f>IF(ポートフォリオ実績!C586="","", ポートフォリオ実績!C586)</f>
        <v/>
      </c>
      <c r="D585" s="10" t="str">
        <f>IF(ポートフォリオ実績!D586="","", ポートフォリオ実績!D586)</f>
        <v/>
      </c>
      <c r="E585" s="10" t="str">
        <f>IF(ポートフォリオ実績!E586="","", ポートフォリオ実績!E586)</f>
        <v/>
      </c>
      <c r="F585" s="10" t="str">
        <f>IF(ポートフォリオ実績!F586="","", ポートフォリオ実績!F586)</f>
        <v/>
      </c>
      <c r="G585" t="str">
        <f t="shared" si="99"/>
        <v/>
      </c>
      <c r="H585">
        <f>IF(B585&lt;&gt;"", SUMIFS(ポートフォリオ実績!$D$2:$D$2001, ポートフォリオ実績!$B$2:$B$2001, B585, ポートフォリオ実績!$A$2:$A$2001, G585), 0)</f>
        <v>0</v>
      </c>
      <c r="I585">
        <f>IF(B585&lt;&gt;"", SUMIFS(ポートフォリオ実績!$C$2:$C$2001, ポートフォリオ実績!$B$2:$B$2001, B585, ポートフォリオ実績!$A$2:$A$2001, G585), 0)</f>
        <v>0</v>
      </c>
      <c r="J585">
        <f t="shared" si="100"/>
        <v>0</v>
      </c>
      <c r="K585">
        <f t="shared" si="101"/>
        <v>0</v>
      </c>
      <c r="L585">
        <f t="shared" si="102"/>
        <v>0</v>
      </c>
      <c r="M585">
        <f t="shared" si="103"/>
        <v>0</v>
      </c>
      <c r="N585">
        <f t="shared" si="104"/>
        <v>0</v>
      </c>
      <c r="O585">
        <f t="shared" si="105"/>
        <v>0</v>
      </c>
      <c r="P585" t="str">
        <f t="shared" si="106"/>
        <v/>
      </c>
      <c r="Q585" t="str">
        <f>IF(B585="","", IFERROR(VLOOKUP(B585, '基準資産配分（設定）'!$A$2:$C$2001, 3, FALSE), ""))</f>
        <v/>
      </c>
      <c r="R585" t="str">
        <f>IF(B585="","", IFERROR(VLOOKUP(B585, '基準資産配分（設定）'!$A$2:$C$2001, 2, FALSE)/100, 0))</f>
        <v/>
      </c>
      <c r="S585" t="str">
        <f>IF(B585="","", IFERROR(SUMIFS(ベンチマークリターン!$C$2:$C$2001, ベンチマークリターン!$A$2:$A$2001, A585, ベンチマークリターン!$B$2:$B$2001, Q585) / 100, 0))</f>
        <v/>
      </c>
      <c r="T585" t="str">
        <f>IF(A585="","", SUMIFS($H$2:$H$2000, $A$2:$A$2000, A585))</f>
        <v/>
      </c>
      <c r="U585" t="str">
        <f t="shared" si="107"/>
        <v/>
      </c>
      <c r="V585" t="str">
        <f t="shared" si="108"/>
        <v/>
      </c>
      <c r="W585" t="str">
        <f t="shared" si="109"/>
        <v/>
      </c>
    </row>
    <row r="586" spans="1:23" x14ac:dyDescent="0.2">
      <c r="A586" s="4" t="str">
        <f>IF(ポートフォリオ実績!A587="","", ポートフォリオ実績!A587)</f>
        <v/>
      </c>
      <c r="B586" t="str">
        <f>IF(ポートフォリオ実績!B587="","", ポートフォリオ実績!B587)</f>
        <v/>
      </c>
      <c r="C586" s="10" t="str">
        <f>IF(ポートフォリオ実績!C587="","", ポートフォリオ実績!C587)</f>
        <v/>
      </c>
      <c r="D586" s="10" t="str">
        <f>IF(ポートフォリオ実績!D587="","", ポートフォリオ実績!D587)</f>
        <v/>
      </c>
      <c r="E586" s="10" t="str">
        <f>IF(ポートフォリオ実績!E587="","", ポートフォリオ実績!E587)</f>
        <v/>
      </c>
      <c r="F586" s="10" t="str">
        <f>IF(ポートフォリオ実績!F587="","", ポートフォリオ実績!F587)</f>
        <v/>
      </c>
      <c r="G586" t="str">
        <f t="shared" si="99"/>
        <v/>
      </c>
      <c r="H586">
        <f>IF(B586&lt;&gt;"", SUMIFS(ポートフォリオ実績!$D$2:$D$2001, ポートフォリオ実績!$B$2:$B$2001, B586, ポートフォリオ実績!$A$2:$A$2001, G586), 0)</f>
        <v>0</v>
      </c>
      <c r="I586">
        <f>IF(B586&lt;&gt;"", SUMIFS(ポートフォリオ実績!$C$2:$C$2001, ポートフォリオ実績!$B$2:$B$2001, B586, ポートフォリオ実績!$A$2:$A$2001, G586), 0)</f>
        <v>0</v>
      </c>
      <c r="J586">
        <f t="shared" si="100"/>
        <v>0</v>
      </c>
      <c r="K586">
        <f t="shared" si="101"/>
        <v>0</v>
      </c>
      <c r="L586">
        <f t="shared" si="102"/>
        <v>0</v>
      </c>
      <c r="M586">
        <f t="shared" si="103"/>
        <v>0</v>
      </c>
      <c r="N586">
        <f t="shared" si="104"/>
        <v>0</v>
      </c>
      <c r="O586">
        <f t="shared" si="105"/>
        <v>0</v>
      </c>
      <c r="P586" t="str">
        <f t="shared" si="106"/>
        <v/>
      </c>
      <c r="Q586" t="str">
        <f>IF(B586="","", IFERROR(VLOOKUP(B586, '基準資産配分（設定）'!$A$2:$C$2001, 3, FALSE), ""))</f>
        <v/>
      </c>
      <c r="R586" t="str">
        <f>IF(B586="","", IFERROR(VLOOKUP(B586, '基準資産配分（設定）'!$A$2:$C$2001, 2, FALSE)/100, 0))</f>
        <v/>
      </c>
      <c r="S586" t="str">
        <f>IF(B586="","", IFERROR(SUMIFS(ベンチマークリターン!$C$2:$C$2001, ベンチマークリターン!$A$2:$A$2001, A586, ベンチマークリターン!$B$2:$B$2001, Q586) / 100, 0))</f>
        <v/>
      </c>
      <c r="T586" t="str">
        <f>IF(A586="","", SUMIFS($H$2:$H$2000, $A$2:$A$2000, A586))</f>
        <v/>
      </c>
      <c r="U586" t="str">
        <f t="shared" si="107"/>
        <v/>
      </c>
      <c r="V586" t="str">
        <f t="shared" si="108"/>
        <v/>
      </c>
      <c r="W586" t="str">
        <f t="shared" si="109"/>
        <v/>
      </c>
    </row>
    <row r="587" spans="1:23" x14ac:dyDescent="0.2">
      <c r="A587" s="4" t="str">
        <f>IF(ポートフォリオ実績!A588="","", ポートフォリオ実績!A588)</f>
        <v/>
      </c>
      <c r="B587" t="str">
        <f>IF(ポートフォリオ実績!B588="","", ポートフォリオ実績!B588)</f>
        <v/>
      </c>
      <c r="C587" s="10" t="str">
        <f>IF(ポートフォリオ実績!C588="","", ポートフォリオ実績!C588)</f>
        <v/>
      </c>
      <c r="D587" s="10" t="str">
        <f>IF(ポートフォリオ実績!D588="","", ポートフォリオ実績!D588)</f>
        <v/>
      </c>
      <c r="E587" s="10" t="str">
        <f>IF(ポートフォリオ実績!E588="","", ポートフォリオ実績!E588)</f>
        <v/>
      </c>
      <c r="F587" s="10" t="str">
        <f>IF(ポートフォリオ実績!F588="","", ポートフォリオ実績!F588)</f>
        <v/>
      </c>
      <c r="G587" t="str">
        <f t="shared" si="99"/>
        <v/>
      </c>
      <c r="H587">
        <f>IF(B587&lt;&gt;"", SUMIFS(ポートフォリオ実績!$D$2:$D$2001, ポートフォリオ実績!$B$2:$B$2001, B587, ポートフォリオ実績!$A$2:$A$2001, G587), 0)</f>
        <v>0</v>
      </c>
      <c r="I587">
        <f>IF(B587&lt;&gt;"", SUMIFS(ポートフォリオ実績!$C$2:$C$2001, ポートフォリオ実績!$B$2:$B$2001, B587, ポートフォリオ実績!$A$2:$A$2001, G587), 0)</f>
        <v>0</v>
      </c>
      <c r="J587">
        <f t="shared" si="100"/>
        <v>0</v>
      </c>
      <c r="K587">
        <f t="shared" si="101"/>
        <v>0</v>
      </c>
      <c r="L587">
        <f t="shared" si="102"/>
        <v>0</v>
      </c>
      <c r="M587">
        <f t="shared" si="103"/>
        <v>0</v>
      </c>
      <c r="N587">
        <f t="shared" si="104"/>
        <v>0</v>
      </c>
      <c r="O587">
        <f t="shared" si="105"/>
        <v>0</v>
      </c>
      <c r="P587" t="str">
        <f t="shared" si="106"/>
        <v/>
      </c>
      <c r="Q587" t="str">
        <f>IF(B587="","", IFERROR(VLOOKUP(B587, '基準資産配分（設定）'!$A$2:$C$2001, 3, FALSE), ""))</f>
        <v/>
      </c>
      <c r="R587" t="str">
        <f>IF(B587="","", IFERROR(VLOOKUP(B587, '基準資産配分（設定）'!$A$2:$C$2001, 2, FALSE)/100, 0))</f>
        <v/>
      </c>
      <c r="S587" t="str">
        <f>IF(B587="","", IFERROR(SUMIFS(ベンチマークリターン!$C$2:$C$2001, ベンチマークリターン!$A$2:$A$2001, A587, ベンチマークリターン!$B$2:$B$2001, Q587) / 100, 0))</f>
        <v/>
      </c>
      <c r="T587" t="str">
        <f>IF(A587="","", SUMIFS($H$2:$H$2000, $A$2:$A$2000, A587))</f>
        <v/>
      </c>
      <c r="U587" t="str">
        <f t="shared" si="107"/>
        <v/>
      </c>
      <c r="V587" t="str">
        <f t="shared" si="108"/>
        <v/>
      </c>
      <c r="W587" t="str">
        <f t="shared" si="109"/>
        <v/>
      </c>
    </row>
    <row r="588" spans="1:23" x14ac:dyDescent="0.2">
      <c r="A588" s="4" t="str">
        <f>IF(ポートフォリオ実績!A589="","", ポートフォリオ実績!A589)</f>
        <v/>
      </c>
      <c r="B588" t="str">
        <f>IF(ポートフォリオ実績!B589="","", ポートフォリオ実績!B589)</f>
        <v/>
      </c>
      <c r="C588" s="10" t="str">
        <f>IF(ポートフォリオ実績!C589="","", ポートフォリオ実績!C589)</f>
        <v/>
      </c>
      <c r="D588" s="10" t="str">
        <f>IF(ポートフォリオ実績!D589="","", ポートフォリオ実績!D589)</f>
        <v/>
      </c>
      <c r="E588" s="10" t="str">
        <f>IF(ポートフォリオ実績!E589="","", ポートフォリオ実績!E589)</f>
        <v/>
      </c>
      <c r="F588" s="10" t="str">
        <f>IF(ポートフォリオ実績!F589="","", ポートフォリオ実績!F589)</f>
        <v/>
      </c>
      <c r="G588" t="str">
        <f t="shared" si="99"/>
        <v/>
      </c>
      <c r="H588">
        <f>IF(B588&lt;&gt;"", SUMIFS(ポートフォリオ実績!$D$2:$D$2001, ポートフォリオ実績!$B$2:$B$2001, B588, ポートフォリオ実績!$A$2:$A$2001, G588), 0)</f>
        <v>0</v>
      </c>
      <c r="I588">
        <f>IF(B588&lt;&gt;"", SUMIFS(ポートフォリオ実績!$C$2:$C$2001, ポートフォリオ実績!$B$2:$B$2001, B588, ポートフォリオ実績!$A$2:$A$2001, G588), 0)</f>
        <v>0</v>
      </c>
      <c r="J588">
        <f t="shared" si="100"/>
        <v>0</v>
      </c>
      <c r="K588">
        <f t="shared" si="101"/>
        <v>0</v>
      </c>
      <c r="L588">
        <f t="shared" si="102"/>
        <v>0</v>
      </c>
      <c r="M588">
        <f t="shared" si="103"/>
        <v>0</v>
      </c>
      <c r="N588">
        <f t="shared" si="104"/>
        <v>0</v>
      </c>
      <c r="O588">
        <f t="shared" si="105"/>
        <v>0</v>
      </c>
      <c r="P588" t="str">
        <f t="shared" si="106"/>
        <v/>
      </c>
      <c r="Q588" t="str">
        <f>IF(B588="","", IFERROR(VLOOKUP(B588, '基準資産配分（設定）'!$A$2:$C$2001, 3, FALSE), ""))</f>
        <v/>
      </c>
      <c r="R588" t="str">
        <f>IF(B588="","", IFERROR(VLOOKUP(B588, '基準資産配分（設定）'!$A$2:$C$2001, 2, FALSE)/100, 0))</f>
        <v/>
      </c>
      <c r="S588" t="str">
        <f>IF(B588="","", IFERROR(SUMIFS(ベンチマークリターン!$C$2:$C$2001, ベンチマークリターン!$A$2:$A$2001, A588, ベンチマークリターン!$B$2:$B$2001, Q588) / 100, 0))</f>
        <v/>
      </c>
      <c r="T588" t="str">
        <f>IF(A588="","", SUMIFS($H$2:$H$2000, $A$2:$A$2000, A588))</f>
        <v/>
      </c>
      <c r="U588" t="str">
        <f t="shared" si="107"/>
        <v/>
      </c>
      <c r="V588" t="str">
        <f t="shared" si="108"/>
        <v/>
      </c>
      <c r="W588" t="str">
        <f t="shared" si="109"/>
        <v/>
      </c>
    </row>
    <row r="589" spans="1:23" x14ac:dyDescent="0.2">
      <c r="A589" s="4" t="str">
        <f>IF(ポートフォリオ実績!A590="","", ポートフォリオ実績!A590)</f>
        <v/>
      </c>
      <c r="B589" t="str">
        <f>IF(ポートフォリオ実績!B590="","", ポートフォリオ実績!B590)</f>
        <v/>
      </c>
      <c r="C589" s="10" t="str">
        <f>IF(ポートフォリオ実績!C590="","", ポートフォリオ実績!C590)</f>
        <v/>
      </c>
      <c r="D589" s="10" t="str">
        <f>IF(ポートフォリオ実績!D590="","", ポートフォリオ実績!D590)</f>
        <v/>
      </c>
      <c r="E589" s="10" t="str">
        <f>IF(ポートフォリオ実績!E590="","", ポートフォリオ実績!E590)</f>
        <v/>
      </c>
      <c r="F589" s="10" t="str">
        <f>IF(ポートフォリオ実績!F590="","", ポートフォリオ実績!F590)</f>
        <v/>
      </c>
      <c r="G589" t="str">
        <f t="shared" si="99"/>
        <v/>
      </c>
      <c r="H589">
        <f>IF(B589&lt;&gt;"", SUMIFS(ポートフォリオ実績!$D$2:$D$2001, ポートフォリオ実績!$B$2:$B$2001, B589, ポートフォリオ実績!$A$2:$A$2001, G589), 0)</f>
        <v>0</v>
      </c>
      <c r="I589">
        <f>IF(B589&lt;&gt;"", SUMIFS(ポートフォリオ実績!$C$2:$C$2001, ポートフォリオ実績!$B$2:$B$2001, B589, ポートフォリオ実績!$A$2:$A$2001, G589), 0)</f>
        <v>0</v>
      </c>
      <c r="J589">
        <f t="shared" si="100"/>
        <v>0</v>
      </c>
      <c r="K589">
        <f t="shared" si="101"/>
        <v>0</v>
      </c>
      <c r="L589">
        <f t="shared" si="102"/>
        <v>0</v>
      </c>
      <c r="M589">
        <f t="shared" si="103"/>
        <v>0</v>
      </c>
      <c r="N589">
        <f t="shared" si="104"/>
        <v>0</v>
      </c>
      <c r="O589">
        <f t="shared" si="105"/>
        <v>0</v>
      </c>
      <c r="P589" t="str">
        <f t="shared" si="106"/>
        <v/>
      </c>
      <c r="Q589" t="str">
        <f>IF(B589="","", IFERROR(VLOOKUP(B589, '基準資産配分（設定）'!$A$2:$C$2001, 3, FALSE), ""))</f>
        <v/>
      </c>
      <c r="R589" t="str">
        <f>IF(B589="","", IFERROR(VLOOKUP(B589, '基準資産配分（設定）'!$A$2:$C$2001, 2, FALSE)/100, 0))</f>
        <v/>
      </c>
      <c r="S589" t="str">
        <f>IF(B589="","", IFERROR(SUMIFS(ベンチマークリターン!$C$2:$C$2001, ベンチマークリターン!$A$2:$A$2001, A589, ベンチマークリターン!$B$2:$B$2001, Q589) / 100, 0))</f>
        <v/>
      </c>
      <c r="T589" t="str">
        <f>IF(A589="","", SUMIFS($H$2:$H$2000, $A$2:$A$2000, A589))</f>
        <v/>
      </c>
      <c r="U589" t="str">
        <f t="shared" si="107"/>
        <v/>
      </c>
      <c r="V589" t="str">
        <f t="shared" si="108"/>
        <v/>
      </c>
      <c r="W589" t="str">
        <f t="shared" si="109"/>
        <v/>
      </c>
    </row>
    <row r="590" spans="1:23" x14ac:dyDescent="0.2">
      <c r="A590" s="4" t="str">
        <f>IF(ポートフォリオ実績!A591="","", ポートフォリオ実績!A591)</f>
        <v/>
      </c>
      <c r="B590" t="str">
        <f>IF(ポートフォリオ実績!B591="","", ポートフォリオ実績!B591)</f>
        <v/>
      </c>
      <c r="C590" s="10" t="str">
        <f>IF(ポートフォリオ実績!C591="","", ポートフォリオ実績!C591)</f>
        <v/>
      </c>
      <c r="D590" s="10" t="str">
        <f>IF(ポートフォリオ実績!D591="","", ポートフォリオ実績!D591)</f>
        <v/>
      </c>
      <c r="E590" s="10" t="str">
        <f>IF(ポートフォリオ実績!E591="","", ポートフォリオ実績!E591)</f>
        <v/>
      </c>
      <c r="F590" s="10" t="str">
        <f>IF(ポートフォリオ実績!F591="","", ポートフォリオ実績!F591)</f>
        <v/>
      </c>
      <c r="G590" t="str">
        <f t="shared" si="99"/>
        <v/>
      </c>
      <c r="H590">
        <f>IF(B590&lt;&gt;"", SUMIFS(ポートフォリオ実績!$D$2:$D$2001, ポートフォリオ実績!$B$2:$B$2001, B590, ポートフォリオ実績!$A$2:$A$2001, G590), 0)</f>
        <v>0</v>
      </c>
      <c r="I590">
        <f>IF(B590&lt;&gt;"", SUMIFS(ポートフォリオ実績!$C$2:$C$2001, ポートフォリオ実績!$B$2:$B$2001, B590, ポートフォリオ実績!$A$2:$A$2001, G590), 0)</f>
        <v>0</v>
      </c>
      <c r="J590">
        <f t="shared" si="100"/>
        <v>0</v>
      </c>
      <c r="K590">
        <f t="shared" si="101"/>
        <v>0</v>
      </c>
      <c r="L590">
        <f t="shared" si="102"/>
        <v>0</v>
      </c>
      <c r="M590">
        <f t="shared" si="103"/>
        <v>0</v>
      </c>
      <c r="N590">
        <f t="shared" si="104"/>
        <v>0</v>
      </c>
      <c r="O590">
        <f t="shared" si="105"/>
        <v>0</v>
      </c>
      <c r="P590" t="str">
        <f t="shared" si="106"/>
        <v/>
      </c>
      <c r="Q590" t="str">
        <f>IF(B590="","", IFERROR(VLOOKUP(B590, '基準資産配分（設定）'!$A$2:$C$2001, 3, FALSE), ""))</f>
        <v/>
      </c>
      <c r="R590" t="str">
        <f>IF(B590="","", IFERROR(VLOOKUP(B590, '基準資産配分（設定）'!$A$2:$C$2001, 2, FALSE)/100, 0))</f>
        <v/>
      </c>
      <c r="S590" t="str">
        <f>IF(B590="","", IFERROR(SUMIFS(ベンチマークリターン!$C$2:$C$2001, ベンチマークリターン!$A$2:$A$2001, A590, ベンチマークリターン!$B$2:$B$2001, Q590) / 100, 0))</f>
        <v/>
      </c>
      <c r="T590" t="str">
        <f>IF(A590="","", SUMIFS($H$2:$H$2000, $A$2:$A$2000, A590))</f>
        <v/>
      </c>
      <c r="U590" t="str">
        <f t="shared" si="107"/>
        <v/>
      </c>
      <c r="V590" t="str">
        <f t="shared" si="108"/>
        <v/>
      </c>
      <c r="W590" t="str">
        <f t="shared" si="109"/>
        <v/>
      </c>
    </row>
    <row r="591" spans="1:23" x14ac:dyDescent="0.2">
      <c r="A591" s="4" t="str">
        <f>IF(ポートフォリオ実績!A592="","", ポートフォリオ実績!A592)</f>
        <v/>
      </c>
      <c r="B591" t="str">
        <f>IF(ポートフォリオ実績!B592="","", ポートフォリオ実績!B592)</f>
        <v/>
      </c>
      <c r="C591" s="10" t="str">
        <f>IF(ポートフォリオ実績!C592="","", ポートフォリオ実績!C592)</f>
        <v/>
      </c>
      <c r="D591" s="10" t="str">
        <f>IF(ポートフォリオ実績!D592="","", ポートフォリオ実績!D592)</f>
        <v/>
      </c>
      <c r="E591" s="10" t="str">
        <f>IF(ポートフォリオ実績!E592="","", ポートフォリオ実績!E592)</f>
        <v/>
      </c>
      <c r="F591" s="10" t="str">
        <f>IF(ポートフォリオ実績!F592="","", ポートフォリオ実績!F592)</f>
        <v/>
      </c>
      <c r="G591" t="str">
        <f t="shared" si="99"/>
        <v/>
      </c>
      <c r="H591">
        <f>IF(B591&lt;&gt;"", SUMIFS(ポートフォリオ実績!$D$2:$D$2001, ポートフォリオ実績!$B$2:$B$2001, B591, ポートフォリオ実績!$A$2:$A$2001, G591), 0)</f>
        <v>0</v>
      </c>
      <c r="I591">
        <f>IF(B591&lt;&gt;"", SUMIFS(ポートフォリオ実績!$C$2:$C$2001, ポートフォリオ実績!$B$2:$B$2001, B591, ポートフォリオ実績!$A$2:$A$2001, G591), 0)</f>
        <v>0</v>
      </c>
      <c r="J591">
        <f t="shared" si="100"/>
        <v>0</v>
      </c>
      <c r="K591">
        <f t="shared" si="101"/>
        <v>0</v>
      </c>
      <c r="L591">
        <f t="shared" si="102"/>
        <v>0</v>
      </c>
      <c r="M591">
        <f t="shared" si="103"/>
        <v>0</v>
      </c>
      <c r="N591">
        <f t="shared" si="104"/>
        <v>0</v>
      </c>
      <c r="O591">
        <f t="shared" si="105"/>
        <v>0</v>
      </c>
      <c r="P591" t="str">
        <f t="shared" si="106"/>
        <v/>
      </c>
      <c r="Q591" t="str">
        <f>IF(B591="","", IFERROR(VLOOKUP(B591, '基準資産配分（設定）'!$A$2:$C$2001, 3, FALSE), ""))</f>
        <v/>
      </c>
      <c r="R591" t="str">
        <f>IF(B591="","", IFERROR(VLOOKUP(B591, '基準資産配分（設定）'!$A$2:$C$2001, 2, FALSE)/100, 0))</f>
        <v/>
      </c>
      <c r="S591" t="str">
        <f>IF(B591="","", IFERROR(SUMIFS(ベンチマークリターン!$C$2:$C$2001, ベンチマークリターン!$A$2:$A$2001, A591, ベンチマークリターン!$B$2:$B$2001, Q591) / 100, 0))</f>
        <v/>
      </c>
      <c r="T591" t="str">
        <f>IF(A591="","", SUMIFS($H$2:$H$2000, $A$2:$A$2000, A591))</f>
        <v/>
      </c>
      <c r="U591" t="str">
        <f t="shared" si="107"/>
        <v/>
      </c>
      <c r="V591" t="str">
        <f t="shared" si="108"/>
        <v/>
      </c>
      <c r="W591" t="str">
        <f t="shared" si="109"/>
        <v/>
      </c>
    </row>
    <row r="592" spans="1:23" x14ac:dyDescent="0.2">
      <c r="A592" s="4" t="str">
        <f>IF(ポートフォリオ実績!A593="","", ポートフォリオ実績!A593)</f>
        <v/>
      </c>
      <c r="B592" t="str">
        <f>IF(ポートフォリオ実績!B593="","", ポートフォリオ実績!B593)</f>
        <v/>
      </c>
      <c r="C592" s="10" t="str">
        <f>IF(ポートフォリオ実績!C593="","", ポートフォリオ実績!C593)</f>
        <v/>
      </c>
      <c r="D592" s="10" t="str">
        <f>IF(ポートフォリオ実績!D593="","", ポートフォリオ実績!D593)</f>
        <v/>
      </c>
      <c r="E592" s="10" t="str">
        <f>IF(ポートフォリオ実績!E593="","", ポートフォリオ実績!E593)</f>
        <v/>
      </c>
      <c r="F592" s="10" t="str">
        <f>IF(ポートフォリオ実績!F593="","", ポートフォリオ実績!F593)</f>
        <v/>
      </c>
      <c r="G592" t="str">
        <f t="shared" si="99"/>
        <v/>
      </c>
      <c r="H592">
        <f>IF(B592&lt;&gt;"", SUMIFS(ポートフォリオ実績!$D$2:$D$2001, ポートフォリオ実績!$B$2:$B$2001, B592, ポートフォリオ実績!$A$2:$A$2001, G592), 0)</f>
        <v>0</v>
      </c>
      <c r="I592">
        <f>IF(B592&lt;&gt;"", SUMIFS(ポートフォリオ実績!$C$2:$C$2001, ポートフォリオ実績!$B$2:$B$2001, B592, ポートフォリオ実績!$A$2:$A$2001, G592), 0)</f>
        <v>0</v>
      </c>
      <c r="J592">
        <f t="shared" si="100"/>
        <v>0</v>
      </c>
      <c r="K592">
        <f t="shared" si="101"/>
        <v>0</v>
      </c>
      <c r="L592">
        <f t="shared" si="102"/>
        <v>0</v>
      </c>
      <c r="M592">
        <f t="shared" si="103"/>
        <v>0</v>
      </c>
      <c r="N592">
        <f t="shared" si="104"/>
        <v>0</v>
      </c>
      <c r="O592">
        <f t="shared" si="105"/>
        <v>0</v>
      </c>
      <c r="P592" t="str">
        <f t="shared" si="106"/>
        <v/>
      </c>
      <c r="Q592" t="str">
        <f>IF(B592="","", IFERROR(VLOOKUP(B592, '基準資産配分（設定）'!$A$2:$C$2001, 3, FALSE), ""))</f>
        <v/>
      </c>
      <c r="R592" t="str">
        <f>IF(B592="","", IFERROR(VLOOKUP(B592, '基準資産配分（設定）'!$A$2:$C$2001, 2, FALSE)/100, 0))</f>
        <v/>
      </c>
      <c r="S592" t="str">
        <f>IF(B592="","", IFERROR(SUMIFS(ベンチマークリターン!$C$2:$C$2001, ベンチマークリターン!$A$2:$A$2001, A592, ベンチマークリターン!$B$2:$B$2001, Q592) / 100, 0))</f>
        <v/>
      </c>
      <c r="T592" t="str">
        <f>IF(A592="","", SUMIFS($H$2:$H$2000, $A$2:$A$2000, A592))</f>
        <v/>
      </c>
      <c r="U592" t="str">
        <f t="shared" si="107"/>
        <v/>
      </c>
      <c r="V592" t="str">
        <f t="shared" si="108"/>
        <v/>
      </c>
      <c r="W592" t="str">
        <f t="shared" si="109"/>
        <v/>
      </c>
    </row>
    <row r="593" spans="1:23" x14ac:dyDescent="0.2">
      <c r="A593" s="4" t="str">
        <f>IF(ポートフォリオ実績!A594="","", ポートフォリオ実績!A594)</f>
        <v/>
      </c>
      <c r="B593" t="str">
        <f>IF(ポートフォリオ実績!B594="","", ポートフォリオ実績!B594)</f>
        <v/>
      </c>
      <c r="C593" s="10" t="str">
        <f>IF(ポートフォリオ実績!C594="","", ポートフォリオ実績!C594)</f>
        <v/>
      </c>
      <c r="D593" s="10" t="str">
        <f>IF(ポートフォリオ実績!D594="","", ポートフォリオ実績!D594)</f>
        <v/>
      </c>
      <c r="E593" s="10" t="str">
        <f>IF(ポートフォリオ実績!E594="","", ポートフォリオ実績!E594)</f>
        <v/>
      </c>
      <c r="F593" s="10" t="str">
        <f>IF(ポートフォリオ実績!F594="","", ポートフォリオ実績!F594)</f>
        <v/>
      </c>
      <c r="G593" t="str">
        <f t="shared" si="99"/>
        <v/>
      </c>
      <c r="H593">
        <f>IF(B593&lt;&gt;"", SUMIFS(ポートフォリオ実績!$D$2:$D$2001, ポートフォリオ実績!$B$2:$B$2001, B593, ポートフォリオ実績!$A$2:$A$2001, G593), 0)</f>
        <v>0</v>
      </c>
      <c r="I593">
        <f>IF(B593&lt;&gt;"", SUMIFS(ポートフォリオ実績!$C$2:$C$2001, ポートフォリオ実績!$B$2:$B$2001, B593, ポートフォリオ実績!$A$2:$A$2001, G593), 0)</f>
        <v>0</v>
      </c>
      <c r="J593">
        <f t="shared" si="100"/>
        <v>0</v>
      </c>
      <c r="K593">
        <f t="shared" si="101"/>
        <v>0</v>
      </c>
      <c r="L593">
        <f t="shared" si="102"/>
        <v>0</v>
      </c>
      <c r="M593">
        <f t="shared" si="103"/>
        <v>0</v>
      </c>
      <c r="N593">
        <f t="shared" si="104"/>
        <v>0</v>
      </c>
      <c r="O593">
        <f t="shared" si="105"/>
        <v>0</v>
      </c>
      <c r="P593" t="str">
        <f t="shared" si="106"/>
        <v/>
      </c>
      <c r="Q593" t="str">
        <f>IF(B593="","", IFERROR(VLOOKUP(B593, '基準資産配分（設定）'!$A$2:$C$2001, 3, FALSE), ""))</f>
        <v/>
      </c>
      <c r="R593" t="str">
        <f>IF(B593="","", IFERROR(VLOOKUP(B593, '基準資産配分（設定）'!$A$2:$C$2001, 2, FALSE)/100, 0))</f>
        <v/>
      </c>
      <c r="S593" t="str">
        <f>IF(B593="","", IFERROR(SUMIFS(ベンチマークリターン!$C$2:$C$2001, ベンチマークリターン!$A$2:$A$2001, A593, ベンチマークリターン!$B$2:$B$2001, Q593) / 100, 0))</f>
        <v/>
      </c>
      <c r="T593" t="str">
        <f>IF(A593="","", SUMIFS($H$2:$H$2000, $A$2:$A$2000, A593))</f>
        <v/>
      </c>
      <c r="U593" t="str">
        <f t="shared" si="107"/>
        <v/>
      </c>
      <c r="V593" t="str">
        <f t="shared" si="108"/>
        <v/>
      </c>
      <c r="W593" t="str">
        <f t="shared" si="109"/>
        <v/>
      </c>
    </row>
    <row r="594" spans="1:23" x14ac:dyDescent="0.2">
      <c r="A594" s="4" t="str">
        <f>IF(ポートフォリオ実績!A595="","", ポートフォリオ実績!A595)</f>
        <v/>
      </c>
      <c r="B594" t="str">
        <f>IF(ポートフォリオ実績!B595="","", ポートフォリオ実績!B595)</f>
        <v/>
      </c>
      <c r="C594" s="10" t="str">
        <f>IF(ポートフォリオ実績!C595="","", ポートフォリオ実績!C595)</f>
        <v/>
      </c>
      <c r="D594" s="10" t="str">
        <f>IF(ポートフォリオ実績!D595="","", ポートフォリオ実績!D595)</f>
        <v/>
      </c>
      <c r="E594" s="10" t="str">
        <f>IF(ポートフォリオ実績!E595="","", ポートフォリオ実績!E595)</f>
        <v/>
      </c>
      <c r="F594" s="10" t="str">
        <f>IF(ポートフォリオ実績!F595="","", ポートフォリオ実績!F595)</f>
        <v/>
      </c>
      <c r="G594" t="str">
        <f t="shared" si="99"/>
        <v/>
      </c>
      <c r="H594">
        <f>IF(B594&lt;&gt;"", SUMIFS(ポートフォリオ実績!$D$2:$D$2001, ポートフォリオ実績!$B$2:$B$2001, B594, ポートフォリオ実績!$A$2:$A$2001, G594), 0)</f>
        <v>0</v>
      </c>
      <c r="I594">
        <f>IF(B594&lt;&gt;"", SUMIFS(ポートフォリオ実績!$C$2:$C$2001, ポートフォリオ実績!$B$2:$B$2001, B594, ポートフォリオ実績!$A$2:$A$2001, G594), 0)</f>
        <v>0</v>
      </c>
      <c r="J594">
        <f t="shared" si="100"/>
        <v>0</v>
      </c>
      <c r="K594">
        <f t="shared" si="101"/>
        <v>0</v>
      </c>
      <c r="L594">
        <f t="shared" si="102"/>
        <v>0</v>
      </c>
      <c r="M594">
        <f t="shared" si="103"/>
        <v>0</v>
      </c>
      <c r="N594">
        <f t="shared" si="104"/>
        <v>0</v>
      </c>
      <c r="O594">
        <f t="shared" si="105"/>
        <v>0</v>
      </c>
      <c r="P594" t="str">
        <f t="shared" si="106"/>
        <v/>
      </c>
      <c r="Q594" t="str">
        <f>IF(B594="","", IFERROR(VLOOKUP(B594, '基準資産配分（設定）'!$A$2:$C$2001, 3, FALSE), ""))</f>
        <v/>
      </c>
      <c r="R594" t="str">
        <f>IF(B594="","", IFERROR(VLOOKUP(B594, '基準資産配分（設定）'!$A$2:$C$2001, 2, FALSE)/100, 0))</f>
        <v/>
      </c>
      <c r="S594" t="str">
        <f>IF(B594="","", IFERROR(SUMIFS(ベンチマークリターン!$C$2:$C$2001, ベンチマークリターン!$A$2:$A$2001, A594, ベンチマークリターン!$B$2:$B$2001, Q594) / 100, 0))</f>
        <v/>
      </c>
      <c r="T594" t="str">
        <f>IF(A594="","", SUMIFS($H$2:$H$2000, $A$2:$A$2000, A594))</f>
        <v/>
      </c>
      <c r="U594" t="str">
        <f t="shared" si="107"/>
        <v/>
      </c>
      <c r="V594" t="str">
        <f t="shared" si="108"/>
        <v/>
      </c>
      <c r="W594" t="str">
        <f t="shared" si="109"/>
        <v/>
      </c>
    </row>
    <row r="595" spans="1:23" x14ac:dyDescent="0.2">
      <c r="A595" s="4" t="str">
        <f>IF(ポートフォリオ実績!A596="","", ポートフォリオ実績!A596)</f>
        <v/>
      </c>
      <c r="B595" t="str">
        <f>IF(ポートフォリオ実績!B596="","", ポートフォリオ実績!B596)</f>
        <v/>
      </c>
      <c r="C595" s="10" t="str">
        <f>IF(ポートフォリオ実績!C596="","", ポートフォリオ実績!C596)</f>
        <v/>
      </c>
      <c r="D595" s="10" t="str">
        <f>IF(ポートフォリオ実績!D596="","", ポートフォリオ実績!D596)</f>
        <v/>
      </c>
      <c r="E595" s="10" t="str">
        <f>IF(ポートフォリオ実績!E596="","", ポートフォリオ実績!E596)</f>
        <v/>
      </c>
      <c r="F595" s="10" t="str">
        <f>IF(ポートフォリオ実績!F596="","", ポートフォリオ実績!F596)</f>
        <v/>
      </c>
      <c r="G595" t="str">
        <f t="shared" si="99"/>
        <v/>
      </c>
      <c r="H595">
        <f>IF(B595&lt;&gt;"", SUMIFS(ポートフォリオ実績!$D$2:$D$2001, ポートフォリオ実績!$B$2:$B$2001, B595, ポートフォリオ実績!$A$2:$A$2001, G595), 0)</f>
        <v>0</v>
      </c>
      <c r="I595">
        <f>IF(B595&lt;&gt;"", SUMIFS(ポートフォリオ実績!$C$2:$C$2001, ポートフォリオ実績!$B$2:$B$2001, B595, ポートフォリオ実績!$A$2:$A$2001, G595), 0)</f>
        <v>0</v>
      </c>
      <c r="J595">
        <f t="shared" si="100"/>
        <v>0</v>
      </c>
      <c r="K595">
        <f t="shared" si="101"/>
        <v>0</v>
      </c>
      <c r="L595">
        <f t="shared" si="102"/>
        <v>0</v>
      </c>
      <c r="M595">
        <f t="shared" si="103"/>
        <v>0</v>
      </c>
      <c r="N595">
        <f t="shared" si="104"/>
        <v>0</v>
      </c>
      <c r="O595">
        <f t="shared" si="105"/>
        <v>0</v>
      </c>
      <c r="P595" t="str">
        <f t="shared" si="106"/>
        <v/>
      </c>
      <c r="Q595" t="str">
        <f>IF(B595="","", IFERROR(VLOOKUP(B595, '基準資産配分（設定）'!$A$2:$C$2001, 3, FALSE), ""))</f>
        <v/>
      </c>
      <c r="R595" t="str">
        <f>IF(B595="","", IFERROR(VLOOKUP(B595, '基準資産配分（設定）'!$A$2:$C$2001, 2, FALSE)/100, 0))</f>
        <v/>
      </c>
      <c r="S595" t="str">
        <f>IF(B595="","", IFERROR(SUMIFS(ベンチマークリターン!$C$2:$C$2001, ベンチマークリターン!$A$2:$A$2001, A595, ベンチマークリターン!$B$2:$B$2001, Q595) / 100, 0))</f>
        <v/>
      </c>
      <c r="T595" t="str">
        <f>IF(A595="","", SUMIFS($H$2:$H$2000, $A$2:$A$2000, A595))</f>
        <v/>
      </c>
      <c r="U595" t="str">
        <f t="shared" si="107"/>
        <v/>
      </c>
      <c r="V595" t="str">
        <f t="shared" si="108"/>
        <v/>
      </c>
      <c r="W595" t="str">
        <f t="shared" si="109"/>
        <v/>
      </c>
    </row>
    <row r="596" spans="1:23" x14ac:dyDescent="0.2">
      <c r="A596" s="4" t="str">
        <f>IF(ポートフォリオ実績!A597="","", ポートフォリオ実績!A597)</f>
        <v/>
      </c>
      <c r="B596" t="str">
        <f>IF(ポートフォリオ実績!B597="","", ポートフォリオ実績!B597)</f>
        <v/>
      </c>
      <c r="C596" s="10" t="str">
        <f>IF(ポートフォリオ実績!C597="","", ポートフォリオ実績!C597)</f>
        <v/>
      </c>
      <c r="D596" s="10" t="str">
        <f>IF(ポートフォリオ実績!D597="","", ポートフォリオ実績!D597)</f>
        <v/>
      </c>
      <c r="E596" s="10" t="str">
        <f>IF(ポートフォリオ実績!E597="","", ポートフォリオ実績!E597)</f>
        <v/>
      </c>
      <c r="F596" s="10" t="str">
        <f>IF(ポートフォリオ実績!F597="","", ポートフォリオ実績!F597)</f>
        <v/>
      </c>
      <c r="G596" t="str">
        <f t="shared" si="99"/>
        <v/>
      </c>
      <c r="H596">
        <f>IF(B596&lt;&gt;"", SUMIFS(ポートフォリオ実績!$D$2:$D$2001, ポートフォリオ実績!$B$2:$B$2001, B596, ポートフォリオ実績!$A$2:$A$2001, G596), 0)</f>
        <v>0</v>
      </c>
      <c r="I596">
        <f>IF(B596&lt;&gt;"", SUMIFS(ポートフォリオ実績!$C$2:$C$2001, ポートフォリオ実績!$B$2:$B$2001, B596, ポートフォリオ実績!$A$2:$A$2001, G596), 0)</f>
        <v>0</v>
      </c>
      <c r="J596">
        <f t="shared" si="100"/>
        <v>0</v>
      </c>
      <c r="K596">
        <f t="shared" si="101"/>
        <v>0</v>
      </c>
      <c r="L596">
        <f t="shared" si="102"/>
        <v>0</v>
      </c>
      <c r="M596">
        <f t="shared" si="103"/>
        <v>0</v>
      </c>
      <c r="N596">
        <f t="shared" si="104"/>
        <v>0</v>
      </c>
      <c r="O596">
        <f t="shared" si="105"/>
        <v>0</v>
      </c>
      <c r="P596" t="str">
        <f t="shared" si="106"/>
        <v/>
      </c>
      <c r="Q596" t="str">
        <f>IF(B596="","", IFERROR(VLOOKUP(B596, '基準資産配分（設定）'!$A$2:$C$2001, 3, FALSE), ""))</f>
        <v/>
      </c>
      <c r="R596" t="str">
        <f>IF(B596="","", IFERROR(VLOOKUP(B596, '基準資産配分（設定）'!$A$2:$C$2001, 2, FALSE)/100, 0))</f>
        <v/>
      </c>
      <c r="S596" t="str">
        <f>IF(B596="","", IFERROR(SUMIFS(ベンチマークリターン!$C$2:$C$2001, ベンチマークリターン!$A$2:$A$2001, A596, ベンチマークリターン!$B$2:$B$2001, Q596) / 100, 0))</f>
        <v/>
      </c>
      <c r="T596" t="str">
        <f>IF(A596="","", SUMIFS($H$2:$H$2000, $A$2:$A$2000, A596))</f>
        <v/>
      </c>
      <c r="U596" t="str">
        <f t="shared" si="107"/>
        <v/>
      </c>
      <c r="V596" t="str">
        <f t="shared" si="108"/>
        <v/>
      </c>
      <c r="W596" t="str">
        <f t="shared" si="109"/>
        <v/>
      </c>
    </row>
    <row r="597" spans="1:23" x14ac:dyDescent="0.2">
      <c r="A597" s="4" t="str">
        <f>IF(ポートフォリオ実績!A598="","", ポートフォリオ実績!A598)</f>
        <v/>
      </c>
      <c r="B597" t="str">
        <f>IF(ポートフォリオ実績!B598="","", ポートフォリオ実績!B598)</f>
        <v/>
      </c>
      <c r="C597" s="10" t="str">
        <f>IF(ポートフォリオ実績!C598="","", ポートフォリオ実績!C598)</f>
        <v/>
      </c>
      <c r="D597" s="10" t="str">
        <f>IF(ポートフォリオ実績!D598="","", ポートフォリオ実績!D598)</f>
        <v/>
      </c>
      <c r="E597" s="10" t="str">
        <f>IF(ポートフォリオ実績!E598="","", ポートフォリオ実績!E598)</f>
        <v/>
      </c>
      <c r="F597" s="10" t="str">
        <f>IF(ポートフォリオ実績!F598="","", ポートフォリオ実績!F598)</f>
        <v/>
      </c>
      <c r="G597" t="str">
        <f t="shared" si="99"/>
        <v/>
      </c>
      <c r="H597">
        <f>IF(B597&lt;&gt;"", SUMIFS(ポートフォリオ実績!$D$2:$D$2001, ポートフォリオ実績!$B$2:$B$2001, B597, ポートフォリオ実績!$A$2:$A$2001, G597), 0)</f>
        <v>0</v>
      </c>
      <c r="I597">
        <f>IF(B597&lt;&gt;"", SUMIFS(ポートフォリオ実績!$C$2:$C$2001, ポートフォリオ実績!$B$2:$B$2001, B597, ポートフォリオ実績!$A$2:$A$2001, G597), 0)</f>
        <v>0</v>
      </c>
      <c r="J597">
        <f t="shared" si="100"/>
        <v>0</v>
      </c>
      <c r="K597">
        <f t="shared" si="101"/>
        <v>0</v>
      </c>
      <c r="L597">
        <f t="shared" si="102"/>
        <v>0</v>
      </c>
      <c r="M597">
        <f t="shared" si="103"/>
        <v>0</v>
      </c>
      <c r="N597">
        <f t="shared" si="104"/>
        <v>0</v>
      </c>
      <c r="O597">
        <f t="shared" si="105"/>
        <v>0</v>
      </c>
      <c r="P597" t="str">
        <f t="shared" si="106"/>
        <v/>
      </c>
      <c r="Q597" t="str">
        <f>IF(B597="","", IFERROR(VLOOKUP(B597, '基準資産配分（設定）'!$A$2:$C$2001, 3, FALSE), ""))</f>
        <v/>
      </c>
      <c r="R597" t="str">
        <f>IF(B597="","", IFERROR(VLOOKUP(B597, '基準資産配分（設定）'!$A$2:$C$2001, 2, FALSE)/100, 0))</f>
        <v/>
      </c>
      <c r="S597" t="str">
        <f>IF(B597="","", IFERROR(SUMIFS(ベンチマークリターン!$C$2:$C$2001, ベンチマークリターン!$A$2:$A$2001, A597, ベンチマークリターン!$B$2:$B$2001, Q597) / 100, 0))</f>
        <v/>
      </c>
      <c r="T597" t="str">
        <f>IF(A597="","", SUMIFS($H$2:$H$2000, $A$2:$A$2000, A597))</f>
        <v/>
      </c>
      <c r="U597" t="str">
        <f t="shared" si="107"/>
        <v/>
      </c>
      <c r="V597" t="str">
        <f t="shared" si="108"/>
        <v/>
      </c>
      <c r="W597" t="str">
        <f t="shared" si="109"/>
        <v/>
      </c>
    </row>
    <row r="598" spans="1:23" x14ac:dyDescent="0.2">
      <c r="A598" s="4" t="str">
        <f>IF(ポートフォリオ実績!A599="","", ポートフォリオ実績!A599)</f>
        <v/>
      </c>
      <c r="B598" t="str">
        <f>IF(ポートフォリオ実績!B599="","", ポートフォリオ実績!B599)</f>
        <v/>
      </c>
      <c r="C598" s="10" t="str">
        <f>IF(ポートフォリオ実績!C599="","", ポートフォリオ実績!C599)</f>
        <v/>
      </c>
      <c r="D598" s="10" t="str">
        <f>IF(ポートフォリオ実績!D599="","", ポートフォリオ実績!D599)</f>
        <v/>
      </c>
      <c r="E598" s="10" t="str">
        <f>IF(ポートフォリオ実績!E599="","", ポートフォリオ実績!E599)</f>
        <v/>
      </c>
      <c r="F598" s="10" t="str">
        <f>IF(ポートフォリオ実績!F599="","", ポートフォリオ実績!F599)</f>
        <v/>
      </c>
      <c r="G598" t="str">
        <f t="shared" si="99"/>
        <v/>
      </c>
      <c r="H598">
        <f>IF(B598&lt;&gt;"", SUMIFS(ポートフォリオ実績!$D$2:$D$2001, ポートフォリオ実績!$B$2:$B$2001, B598, ポートフォリオ実績!$A$2:$A$2001, G598), 0)</f>
        <v>0</v>
      </c>
      <c r="I598">
        <f>IF(B598&lt;&gt;"", SUMIFS(ポートフォリオ実績!$C$2:$C$2001, ポートフォリオ実績!$B$2:$B$2001, B598, ポートフォリオ実績!$A$2:$A$2001, G598), 0)</f>
        <v>0</v>
      </c>
      <c r="J598">
        <f t="shared" si="100"/>
        <v>0</v>
      </c>
      <c r="K598">
        <f t="shared" si="101"/>
        <v>0</v>
      </c>
      <c r="L598">
        <f t="shared" si="102"/>
        <v>0</v>
      </c>
      <c r="M598">
        <f t="shared" si="103"/>
        <v>0</v>
      </c>
      <c r="N598">
        <f t="shared" si="104"/>
        <v>0</v>
      </c>
      <c r="O598">
        <f t="shared" si="105"/>
        <v>0</v>
      </c>
      <c r="P598" t="str">
        <f t="shared" si="106"/>
        <v/>
      </c>
      <c r="Q598" t="str">
        <f>IF(B598="","", IFERROR(VLOOKUP(B598, '基準資産配分（設定）'!$A$2:$C$2001, 3, FALSE), ""))</f>
        <v/>
      </c>
      <c r="R598" t="str">
        <f>IF(B598="","", IFERROR(VLOOKUP(B598, '基準資産配分（設定）'!$A$2:$C$2001, 2, FALSE)/100, 0))</f>
        <v/>
      </c>
      <c r="S598" t="str">
        <f>IF(B598="","", IFERROR(SUMIFS(ベンチマークリターン!$C$2:$C$2001, ベンチマークリターン!$A$2:$A$2001, A598, ベンチマークリターン!$B$2:$B$2001, Q598) / 100, 0))</f>
        <v/>
      </c>
      <c r="T598" t="str">
        <f>IF(A598="","", SUMIFS($H$2:$H$2000, $A$2:$A$2000, A598))</f>
        <v/>
      </c>
      <c r="U598" t="str">
        <f t="shared" si="107"/>
        <v/>
      </c>
      <c r="V598" t="str">
        <f t="shared" si="108"/>
        <v/>
      </c>
      <c r="W598" t="str">
        <f t="shared" si="109"/>
        <v/>
      </c>
    </row>
    <row r="599" spans="1:23" x14ac:dyDescent="0.2">
      <c r="A599" s="4" t="str">
        <f>IF(ポートフォリオ実績!A600="","", ポートフォリオ実績!A600)</f>
        <v/>
      </c>
      <c r="B599" t="str">
        <f>IF(ポートフォリオ実績!B600="","", ポートフォリオ実績!B600)</f>
        <v/>
      </c>
      <c r="C599" s="10" t="str">
        <f>IF(ポートフォリオ実績!C600="","", ポートフォリオ実績!C600)</f>
        <v/>
      </c>
      <c r="D599" s="10" t="str">
        <f>IF(ポートフォリオ実績!D600="","", ポートフォリオ実績!D600)</f>
        <v/>
      </c>
      <c r="E599" s="10" t="str">
        <f>IF(ポートフォリオ実績!E600="","", ポートフォリオ実績!E600)</f>
        <v/>
      </c>
      <c r="F599" s="10" t="str">
        <f>IF(ポートフォリオ実績!F600="","", ポートフォリオ実績!F600)</f>
        <v/>
      </c>
      <c r="G599" t="str">
        <f t="shared" si="99"/>
        <v/>
      </c>
      <c r="H599">
        <f>IF(B599&lt;&gt;"", SUMIFS(ポートフォリオ実績!$D$2:$D$2001, ポートフォリオ実績!$B$2:$B$2001, B599, ポートフォリオ実績!$A$2:$A$2001, G599), 0)</f>
        <v>0</v>
      </c>
      <c r="I599">
        <f>IF(B599&lt;&gt;"", SUMIFS(ポートフォリオ実績!$C$2:$C$2001, ポートフォリオ実績!$B$2:$B$2001, B599, ポートフォリオ実績!$A$2:$A$2001, G599), 0)</f>
        <v>0</v>
      </c>
      <c r="J599">
        <f t="shared" si="100"/>
        <v>0</v>
      </c>
      <c r="K599">
        <f t="shared" si="101"/>
        <v>0</v>
      </c>
      <c r="L599">
        <f t="shared" si="102"/>
        <v>0</v>
      </c>
      <c r="M599">
        <f t="shared" si="103"/>
        <v>0</v>
      </c>
      <c r="N599">
        <f t="shared" si="104"/>
        <v>0</v>
      </c>
      <c r="O599">
        <f t="shared" si="105"/>
        <v>0</v>
      </c>
      <c r="P599" t="str">
        <f t="shared" si="106"/>
        <v/>
      </c>
      <c r="Q599" t="str">
        <f>IF(B599="","", IFERROR(VLOOKUP(B599, '基準資産配分（設定）'!$A$2:$C$2001, 3, FALSE), ""))</f>
        <v/>
      </c>
      <c r="R599" t="str">
        <f>IF(B599="","", IFERROR(VLOOKUP(B599, '基準資産配分（設定）'!$A$2:$C$2001, 2, FALSE)/100, 0))</f>
        <v/>
      </c>
      <c r="S599" t="str">
        <f>IF(B599="","", IFERROR(SUMIFS(ベンチマークリターン!$C$2:$C$2001, ベンチマークリターン!$A$2:$A$2001, A599, ベンチマークリターン!$B$2:$B$2001, Q599) / 100, 0))</f>
        <v/>
      </c>
      <c r="T599" t="str">
        <f>IF(A599="","", SUMIFS($H$2:$H$2000, $A$2:$A$2000, A599))</f>
        <v/>
      </c>
      <c r="U599" t="str">
        <f t="shared" si="107"/>
        <v/>
      </c>
      <c r="V599" t="str">
        <f t="shared" si="108"/>
        <v/>
      </c>
      <c r="W599" t="str">
        <f t="shared" si="109"/>
        <v/>
      </c>
    </row>
    <row r="600" spans="1:23" x14ac:dyDescent="0.2">
      <c r="A600" s="4" t="str">
        <f>IF(ポートフォリオ実績!A601="","", ポートフォリオ実績!A601)</f>
        <v/>
      </c>
      <c r="B600" t="str">
        <f>IF(ポートフォリオ実績!B601="","", ポートフォリオ実績!B601)</f>
        <v/>
      </c>
      <c r="C600" s="10" t="str">
        <f>IF(ポートフォリオ実績!C601="","", ポートフォリオ実績!C601)</f>
        <v/>
      </c>
      <c r="D600" s="10" t="str">
        <f>IF(ポートフォリオ実績!D601="","", ポートフォリオ実績!D601)</f>
        <v/>
      </c>
      <c r="E600" s="10" t="str">
        <f>IF(ポートフォリオ実績!E601="","", ポートフォリオ実績!E601)</f>
        <v/>
      </c>
      <c r="F600" s="10" t="str">
        <f>IF(ポートフォリオ実績!F601="","", ポートフォリオ実績!F601)</f>
        <v/>
      </c>
      <c r="G600" t="str">
        <f t="shared" si="99"/>
        <v/>
      </c>
      <c r="H600">
        <f>IF(B600&lt;&gt;"", SUMIFS(ポートフォリオ実績!$D$2:$D$2001, ポートフォリオ実績!$B$2:$B$2001, B600, ポートフォリオ実績!$A$2:$A$2001, G600), 0)</f>
        <v>0</v>
      </c>
      <c r="I600">
        <f>IF(B600&lt;&gt;"", SUMIFS(ポートフォリオ実績!$C$2:$C$2001, ポートフォリオ実績!$B$2:$B$2001, B600, ポートフォリオ実績!$A$2:$A$2001, G600), 0)</f>
        <v>0</v>
      </c>
      <c r="J600">
        <f t="shared" si="100"/>
        <v>0</v>
      </c>
      <c r="K600">
        <f t="shared" si="101"/>
        <v>0</v>
      </c>
      <c r="L600">
        <f t="shared" si="102"/>
        <v>0</v>
      </c>
      <c r="M600">
        <f t="shared" si="103"/>
        <v>0</v>
      </c>
      <c r="N600">
        <f t="shared" si="104"/>
        <v>0</v>
      </c>
      <c r="O600">
        <f t="shared" si="105"/>
        <v>0</v>
      </c>
      <c r="P600" t="str">
        <f t="shared" si="106"/>
        <v/>
      </c>
      <c r="Q600" t="str">
        <f>IF(B600="","", IFERROR(VLOOKUP(B600, '基準資産配分（設定）'!$A$2:$C$2001, 3, FALSE), ""))</f>
        <v/>
      </c>
      <c r="R600" t="str">
        <f>IF(B600="","", IFERROR(VLOOKUP(B600, '基準資産配分（設定）'!$A$2:$C$2001, 2, FALSE)/100, 0))</f>
        <v/>
      </c>
      <c r="S600" t="str">
        <f>IF(B600="","", IFERROR(SUMIFS(ベンチマークリターン!$C$2:$C$2001, ベンチマークリターン!$A$2:$A$2001, A600, ベンチマークリターン!$B$2:$B$2001, Q600) / 100, 0))</f>
        <v/>
      </c>
      <c r="T600" t="str">
        <f>IF(A600="","", SUMIFS($H$2:$H$2000, $A$2:$A$2000, A600))</f>
        <v/>
      </c>
      <c r="U600" t="str">
        <f t="shared" si="107"/>
        <v/>
      </c>
      <c r="V600" t="str">
        <f t="shared" si="108"/>
        <v/>
      </c>
      <c r="W600" t="str">
        <f t="shared" si="109"/>
        <v/>
      </c>
    </row>
    <row r="601" spans="1:23" x14ac:dyDescent="0.2">
      <c r="A601" s="4" t="str">
        <f>IF(ポートフォリオ実績!A602="","", ポートフォリオ実績!A602)</f>
        <v/>
      </c>
      <c r="B601" t="str">
        <f>IF(ポートフォリオ実績!B602="","", ポートフォリオ実績!B602)</f>
        <v/>
      </c>
      <c r="C601" s="10" t="str">
        <f>IF(ポートフォリオ実績!C602="","", ポートフォリオ実績!C602)</f>
        <v/>
      </c>
      <c r="D601" s="10" t="str">
        <f>IF(ポートフォリオ実績!D602="","", ポートフォリオ実績!D602)</f>
        <v/>
      </c>
      <c r="E601" s="10" t="str">
        <f>IF(ポートフォリオ実績!E602="","", ポートフォリオ実績!E602)</f>
        <v/>
      </c>
      <c r="F601" s="10" t="str">
        <f>IF(ポートフォリオ実績!F602="","", ポートフォリオ実績!F602)</f>
        <v/>
      </c>
      <c r="G601" t="str">
        <f t="shared" si="99"/>
        <v/>
      </c>
      <c r="H601">
        <f>IF(B601&lt;&gt;"", SUMIFS(ポートフォリオ実績!$D$2:$D$2001, ポートフォリオ実績!$B$2:$B$2001, B601, ポートフォリオ実績!$A$2:$A$2001, G601), 0)</f>
        <v>0</v>
      </c>
      <c r="I601">
        <f>IF(B601&lt;&gt;"", SUMIFS(ポートフォリオ実績!$C$2:$C$2001, ポートフォリオ実績!$B$2:$B$2001, B601, ポートフォリオ実績!$A$2:$A$2001, G601), 0)</f>
        <v>0</v>
      </c>
      <c r="J601">
        <f t="shared" si="100"/>
        <v>0</v>
      </c>
      <c r="K601">
        <f t="shared" si="101"/>
        <v>0</v>
      </c>
      <c r="L601">
        <f t="shared" si="102"/>
        <v>0</v>
      </c>
      <c r="M601">
        <f t="shared" si="103"/>
        <v>0</v>
      </c>
      <c r="N601">
        <f t="shared" si="104"/>
        <v>0</v>
      </c>
      <c r="O601">
        <f t="shared" si="105"/>
        <v>0</v>
      </c>
      <c r="P601" t="str">
        <f t="shared" si="106"/>
        <v/>
      </c>
      <c r="Q601" t="str">
        <f>IF(B601="","", IFERROR(VLOOKUP(B601, '基準資産配分（設定）'!$A$2:$C$2001, 3, FALSE), ""))</f>
        <v/>
      </c>
      <c r="R601" t="str">
        <f>IF(B601="","", IFERROR(VLOOKUP(B601, '基準資産配分（設定）'!$A$2:$C$2001, 2, FALSE)/100, 0))</f>
        <v/>
      </c>
      <c r="S601" t="str">
        <f>IF(B601="","", IFERROR(SUMIFS(ベンチマークリターン!$C$2:$C$2001, ベンチマークリターン!$A$2:$A$2001, A601, ベンチマークリターン!$B$2:$B$2001, Q601) / 100, 0))</f>
        <v/>
      </c>
      <c r="T601" t="str">
        <f>IF(A601="","", SUMIFS($H$2:$H$2000, $A$2:$A$2000, A601))</f>
        <v/>
      </c>
      <c r="U601" t="str">
        <f t="shared" si="107"/>
        <v/>
      </c>
      <c r="V601" t="str">
        <f t="shared" si="108"/>
        <v/>
      </c>
      <c r="W601" t="str">
        <f t="shared" si="109"/>
        <v/>
      </c>
    </row>
    <row r="602" spans="1:23" x14ac:dyDescent="0.2">
      <c r="A602" s="4" t="str">
        <f>IF(ポートフォリオ実績!A603="","", ポートフォリオ実績!A603)</f>
        <v/>
      </c>
      <c r="B602" t="str">
        <f>IF(ポートフォリオ実績!B603="","", ポートフォリオ実績!B603)</f>
        <v/>
      </c>
      <c r="C602" s="10" t="str">
        <f>IF(ポートフォリオ実績!C603="","", ポートフォリオ実績!C603)</f>
        <v/>
      </c>
      <c r="D602" s="10" t="str">
        <f>IF(ポートフォリオ実績!D603="","", ポートフォリオ実績!D603)</f>
        <v/>
      </c>
      <c r="E602" s="10" t="str">
        <f>IF(ポートフォリオ実績!E603="","", ポートフォリオ実績!E603)</f>
        <v/>
      </c>
      <c r="F602" s="10" t="str">
        <f>IF(ポートフォリオ実績!F603="","", ポートフォリオ実績!F603)</f>
        <v/>
      </c>
      <c r="G602" t="str">
        <f t="shared" si="99"/>
        <v/>
      </c>
      <c r="H602">
        <f>IF(B602&lt;&gt;"", SUMIFS(ポートフォリオ実績!$D$2:$D$2001, ポートフォリオ実績!$B$2:$B$2001, B602, ポートフォリオ実績!$A$2:$A$2001, G602), 0)</f>
        <v>0</v>
      </c>
      <c r="I602">
        <f>IF(B602&lt;&gt;"", SUMIFS(ポートフォリオ実績!$C$2:$C$2001, ポートフォリオ実績!$B$2:$B$2001, B602, ポートフォリオ実績!$A$2:$A$2001, G602), 0)</f>
        <v>0</v>
      </c>
      <c r="J602">
        <f t="shared" si="100"/>
        <v>0</v>
      </c>
      <c r="K602">
        <f t="shared" si="101"/>
        <v>0</v>
      </c>
      <c r="L602">
        <f t="shared" si="102"/>
        <v>0</v>
      </c>
      <c r="M602">
        <f t="shared" si="103"/>
        <v>0</v>
      </c>
      <c r="N602">
        <f t="shared" si="104"/>
        <v>0</v>
      </c>
      <c r="O602">
        <f t="shared" si="105"/>
        <v>0</v>
      </c>
      <c r="P602" t="str">
        <f t="shared" si="106"/>
        <v/>
      </c>
      <c r="Q602" t="str">
        <f>IF(B602="","", IFERROR(VLOOKUP(B602, '基準資産配分（設定）'!$A$2:$C$2001, 3, FALSE), ""))</f>
        <v/>
      </c>
      <c r="R602" t="str">
        <f>IF(B602="","", IFERROR(VLOOKUP(B602, '基準資産配分（設定）'!$A$2:$C$2001, 2, FALSE)/100, 0))</f>
        <v/>
      </c>
      <c r="S602" t="str">
        <f>IF(B602="","", IFERROR(SUMIFS(ベンチマークリターン!$C$2:$C$2001, ベンチマークリターン!$A$2:$A$2001, A602, ベンチマークリターン!$B$2:$B$2001, Q602) / 100, 0))</f>
        <v/>
      </c>
      <c r="T602" t="str">
        <f>IF(A602="","", SUMIFS($H$2:$H$2000, $A$2:$A$2000, A602))</f>
        <v/>
      </c>
      <c r="U602" t="str">
        <f t="shared" si="107"/>
        <v/>
      </c>
      <c r="V602" t="str">
        <f t="shared" si="108"/>
        <v/>
      </c>
      <c r="W602" t="str">
        <f t="shared" si="109"/>
        <v/>
      </c>
    </row>
    <row r="603" spans="1:23" x14ac:dyDescent="0.2">
      <c r="A603" s="4" t="str">
        <f>IF(ポートフォリオ実績!A604="","", ポートフォリオ実績!A604)</f>
        <v/>
      </c>
      <c r="B603" t="str">
        <f>IF(ポートフォリオ実績!B604="","", ポートフォリオ実績!B604)</f>
        <v/>
      </c>
      <c r="C603" s="10" t="str">
        <f>IF(ポートフォリオ実績!C604="","", ポートフォリオ実績!C604)</f>
        <v/>
      </c>
      <c r="D603" s="10" t="str">
        <f>IF(ポートフォリオ実績!D604="","", ポートフォリオ実績!D604)</f>
        <v/>
      </c>
      <c r="E603" s="10" t="str">
        <f>IF(ポートフォリオ実績!E604="","", ポートフォリオ実績!E604)</f>
        <v/>
      </c>
      <c r="F603" s="10" t="str">
        <f>IF(ポートフォリオ実績!F604="","", ポートフォリオ実績!F604)</f>
        <v/>
      </c>
      <c r="G603" t="str">
        <f t="shared" si="99"/>
        <v/>
      </c>
      <c r="H603">
        <f>IF(B603&lt;&gt;"", SUMIFS(ポートフォリオ実績!$D$2:$D$2001, ポートフォリオ実績!$B$2:$B$2001, B603, ポートフォリオ実績!$A$2:$A$2001, G603), 0)</f>
        <v>0</v>
      </c>
      <c r="I603">
        <f>IF(B603&lt;&gt;"", SUMIFS(ポートフォリオ実績!$C$2:$C$2001, ポートフォリオ実績!$B$2:$B$2001, B603, ポートフォリオ実績!$A$2:$A$2001, G603), 0)</f>
        <v>0</v>
      </c>
      <c r="J603">
        <f t="shared" si="100"/>
        <v>0</v>
      </c>
      <c r="K603">
        <f t="shared" si="101"/>
        <v>0</v>
      </c>
      <c r="L603">
        <f t="shared" si="102"/>
        <v>0</v>
      </c>
      <c r="M603">
        <f t="shared" si="103"/>
        <v>0</v>
      </c>
      <c r="N603">
        <f t="shared" si="104"/>
        <v>0</v>
      </c>
      <c r="O603">
        <f t="shared" si="105"/>
        <v>0</v>
      </c>
      <c r="P603" t="str">
        <f t="shared" si="106"/>
        <v/>
      </c>
      <c r="Q603" t="str">
        <f>IF(B603="","", IFERROR(VLOOKUP(B603, '基準資産配分（設定）'!$A$2:$C$2001, 3, FALSE), ""))</f>
        <v/>
      </c>
      <c r="R603" t="str">
        <f>IF(B603="","", IFERROR(VLOOKUP(B603, '基準資産配分（設定）'!$A$2:$C$2001, 2, FALSE)/100, 0))</f>
        <v/>
      </c>
      <c r="S603" t="str">
        <f>IF(B603="","", IFERROR(SUMIFS(ベンチマークリターン!$C$2:$C$2001, ベンチマークリターン!$A$2:$A$2001, A603, ベンチマークリターン!$B$2:$B$2001, Q603) / 100, 0))</f>
        <v/>
      </c>
      <c r="T603" t="str">
        <f>IF(A603="","", SUMIFS($H$2:$H$2000, $A$2:$A$2000, A603))</f>
        <v/>
      </c>
      <c r="U603" t="str">
        <f t="shared" si="107"/>
        <v/>
      </c>
      <c r="V603" t="str">
        <f t="shared" si="108"/>
        <v/>
      </c>
      <c r="W603" t="str">
        <f t="shared" si="109"/>
        <v/>
      </c>
    </row>
    <row r="604" spans="1:23" x14ac:dyDescent="0.2">
      <c r="A604" s="4" t="str">
        <f>IF(ポートフォリオ実績!A605="","", ポートフォリオ実績!A605)</f>
        <v/>
      </c>
      <c r="B604" t="str">
        <f>IF(ポートフォリオ実績!B605="","", ポートフォリオ実績!B605)</f>
        <v/>
      </c>
      <c r="C604" s="10" t="str">
        <f>IF(ポートフォリオ実績!C605="","", ポートフォリオ実績!C605)</f>
        <v/>
      </c>
      <c r="D604" s="10" t="str">
        <f>IF(ポートフォリオ実績!D605="","", ポートフォリオ実績!D605)</f>
        <v/>
      </c>
      <c r="E604" s="10" t="str">
        <f>IF(ポートフォリオ実績!E605="","", ポートフォリオ実績!E605)</f>
        <v/>
      </c>
      <c r="F604" s="10" t="str">
        <f>IF(ポートフォリオ実績!F605="","", ポートフォリオ実績!F605)</f>
        <v/>
      </c>
      <c r="G604" t="str">
        <f t="shared" si="99"/>
        <v/>
      </c>
      <c r="H604">
        <f>IF(B604&lt;&gt;"", SUMIFS(ポートフォリオ実績!$D$2:$D$2001, ポートフォリオ実績!$B$2:$B$2001, B604, ポートフォリオ実績!$A$2:$A$2001, G604), 0)</f>
        <v>0</v>
      </c>
      <c r="I604">
        <f>IF(B604&lt;&gt;"", SUMIFS(ポートフォリオ実績!$C$2:$C$2001, ポートフォリオ実績!$B$2:$B$2001, B604, ポートフォリオ実績!$A$2:$A$2001, G604), 0)</f>
        <v>0</v>
      </c>
      <c r="J604">
        <f t="shared" si="100"/>
        <v>0</v>
      </c>
      <c r="K604">
        <f t="shared" si="101"/>
        <v>0</v>
      </c>
      <c r="L604">
        <f t="shared" si="102"/>
        <v>0</v>
      </c>
      <c r="M604">
        <f t="shared" si="103"/>
        <v>0</v>
      </c>
      <c r="N604">
        <f t="shared" si="104"/>
        <v>0</v>
      </c>
      <c r="O604">
        <f t="shared" si="105"/>
        <v>0</v>
      </c>
      <c r="P604" t="str">
        <f t="shared" si="106"/>
        <v/>
      </c>
      <c r="Q604" t="str">
        <f>IF(B604="","", IFERROR(VLOOKUP(B604, '基準資産配分（設定）'!$A$2:$C$2001, 3, FALSE), ""))</f>
        <v/>
      </c>
      <c r="R604" t="str">
        <f>IF(B604="","", IFERROR(VLOOKUP(B604, '基準資産配分（設定）'!$A$2:$C$2001, 2, FALSE)/100, 0))</f>
        <v/>
      </c>
      <c r="S604" t="str">
        <f>IF(B604="","", IFERROR(SUMIFS(ベンチマークリターン!$C$2:$C$2001, ベンチマークリターン!$A$2:$A$2001, A604, ベンチマークリターン!$B$2:$B$2001, Q604) / 100, 0))</f>
        <v/>
      </c>
      <c r="T604" t="str">
        <f>IF(A604="","", SUMIFS($H$2:$H$2000, $A$2:$A$2000, A604))</f>
        <v/>
      </c>
      <c r="U604" t="str">
        <f t="shared" si="107"/>
        <v/>
      </c>
      <c r="V604" t="str">
        <f t="shared" si="108"/>
        <v/>
      </c>
      <c r="W604" t="str">
        <f t="shared" si="109"/>
        <v/>
      </c>
    </row>
    <row r="605" spans="1:23" x14ac:dyDescent="0.2">
      <c r="A605" s="4" t="str">
        <f>IF(ポートフォリオ実績!A606="","", ポートフォリオ実績!A606)</f>
        <v/>
      </c>
      <c r="B605" t="str">
        <f>IF(ポートフォリオ実績!B606="","", ポートフォリオ実績!B606)</f>
        <v/>
      </c>
      <c r="C605" s="10" t="str">
        <f>IF(ポートフォリオ実績!C606="","", ポートフォリオ実績!C606)</f>
        <v/>
      </c>
      <c r="D605" s="10" t="str">
        <f>IF(ポートフォリオ実績!D606="","", ポートフォリオ実績!D606)</f>
        <v/>
      </c>
      <c r="E605" s="10" t="str">
        <f>IF(ポートフォリオ実績!E606="","", ポートフォリオ実績!E606)</f>
        <v/>
      </c>
      <c r="F605" s="10" t="str">
        <f>IF(ポートフォリオ実績!F606="","", ポートフォリオ実績!F606)</f>
        <v/>
      </c>
      <c r="G605" t="str">
        <f t="shared" si="99"/>
        <v/>
      </c>
      <c r="H605">
        <f>IF(B605&lt;&gt;"", SUMIFS(ポートフォリオ実績!$D$2:$D$2001, ポートフォリオ実績!$B$2:$B$2001, B605, ポートフォリオ実績!$A$2:$A$2001, G605), 0)</f>
        <v>0</v>
      </c>
      <c r="I605">
        <f>IF(B605&lt;&gt;"", SUMIFS(ポートフォリオ実績!$C$2:$C$2001, ポートフォリオ実績!$B$2:$B$2001, B605, ポートフォリオ実績!$A$2:$A$2001, G605), 0)</f>
        <v>0</v>
      </c>
      <c r="J605">
        <f t="shared" si="100"/>
        <v>0</v>
      </c>
      <c r="K605">
        <f t="shared" si="101"/>
        <v>0</v>
      </c>
      <c r="L605">
        <f t="shared" si="102"/>
        <v>0</v>
      </c>
      <c r="M605">
        <f t="shared" si="103"/>
        <v>0</v>
      </c>
      <c r="N605">
        <f t="shared" si="104"/>
        <v>0</v>
      </c>
      <c r="O605">
        <f t="shared" si="105"/>
        <v>0</v>
      </c>
      <c r="P605" t="str">
        <f t="shared" si="106"/>
        <v/>
      </c>
      <c r="Q605" t="str">
        <f>IF(B605="","", IFERROR(VLOOKUP(B605, '基準資産配分（設定）'!$A$2:$C$2001, 3, FALSE), ""))</f>
        <v/>
      </c>
      <c r="R605" t="str">
        <f>IF(B605="","", IFERROR(VLOOKUP(B605, '基準資産配分（設定）'!$A$2:$C$2001, 2, FALSE)/100, 0))</f>
        <v/>
      </c>
      <c r="S605" t="str">
        <f>IF(B605="","", IFERROR(SUMIFS(ベンチマークリターン!$C$2:$C$2001, ベンチマークリターン!$A$2:$A$2001, A605, ベンチマークリターン!$B$2:$B$2001, Q605) / 100, 0))</f>
        <v/>
      </c>
      <c r="T605" t="str">
        <f>IF(A605="","", SUMIFS($H$2:$H$2000, $A$2:$A$2000, A605))</f>
        <v/>
      </c>
      <c r="U605" t="str">
        <f t="shared" si="107"/>
        <v/>
      </c>
      <c r="V605" t="str">
        <f t="shared" si="108"/>
        <v/>
      </c>
      <c r="W605" t="str">
        <f t="shared" si="109"/>
        <v/>
      </c>
    </row>
    <row r="606" spans="1:23" x14ac:dyDescent="0.2">
      <c r="A606" s="4" t="str">
        <f>IF(ポートフォリオ実績!A607="","", ポートフォリオ実績!A607)</f>
        <v/>
      </c>
      <c r="B606" t="str">
        <f>IF(ポートフォリオ実績!B607="","", ポートフォリオ実績!B607)</f>
        <v/>
      </c>
      <c r="C606" s="10" t="str">
        <f>IF(ポートフォリオ実績!C607="","", ポートフォリオ実績!C607)</f>
        <v/>
      </c>
      <c r="D606" s="10" t="str">
        <f>IF(ポートフォリオ実績!D607="","", ポートフォリオ実績!D607)</f>
        <v/>
      </c>
      <c r="E606" s="10" t="str">
        <f>IF(ポートフォリオ実績!E607="","", ポートフォリオ実績!E607)</f>
        <v/>
      </c>
      <c r="F606" s="10" t="str">
        <f>IF(ポートフォリオ実績!F607="","", ポートフォリオ実績!F607)</f>
        <v/>
      </c>
      <c r="G606" t="str">
        <f t="shared" si="99"/>
        <v/>
      </c>
      <c r="H606">
        <f>IF(B606&lt;&gt;"", SUMIFS(ポートフォリオ実績!$D$2:$D$2001, ポートフォリオ実績!$B$2:$B$2001, B606, ポートフォリオ実績!$A$2:$A$2001, G606), 0)</f>
        <v>0</v>
      </c>
      <c r="I606">
        <f>IF(B606&lt;&gt;"", SUMIFS(ポートフォリオ実績!$C$2:$C$2001, ポートフォリオ実績!$B$2:$B$2001, B606, ポートフォリオ実績!$A$2:$A$2001, G606), 0)</f>
        <v>0</v>
      </c>
      <c r="J606">
        <f t="shared" si="100"/>
        <v>0</v>
      </c>
      <c r="K606">
        <f t="shared" si="101"/>
        <v>0</v>
      </c>
      <c r="L606">
        <f t="shared" si="102"/>
        <v>0</v>
      </c>
      <c r="M606">
        <f t="shared" si="103"/>
        <v>0</v>
      </c>
      <c r="N606">
        <f t="shared" si="104"/>
        <v>0</v>
      </c>
      <c r="O606">
        <f t="shared" si="105"/>
        <v>0</v>
      </c>
      <c r="P606" t="str">
        <f t="shared" si="106"/>
        <v/>
      </c>
      <c r="Q606" t="str">
        <f>IF(B606="","", IFERROR(VLOOKUP(B606, '基準資産配分（設定）'!$A$2:$C$2001, 3, FALSE), ""))</f>
        <v/>
      </c>
      <c r="R606" t="str">
        <f>IF(B606="","", IFERROR(VLOOKUP(B606, '基準資産配分（設定）'!$A$2:$C$2001, 2, FALSE)/100, 0))</f>
        <v/>
      </c>
      <c r="S606" t="str">
        <f>IF(B606="","", IFERROR(SUMIFS(ベンチマークリターン!$C$2:$C$2001, ベンチマークリターン!$A$2:$A$2001, A606, ベンチマークリターン!$B$2:$B$2001, Q606) / 100, 0))</f>
        <v/>
      </c>
      <c r="T606" t="str">
        <f>IF(A606="","", SUMIFS($H$2:$H$2000, $A$2:$A$2000, A606))</f>
        <v/>
      </c>
      <c r="U606" t="str">
        <f t="shared" si="107"/>
        <v/>
      </c>
      <c r="V606" t="str">
        <f t="shared" si="108"/>
        <v/>
      </c>
      <c r="W606" t="str">
        <f t="shared" si="109"/>
        <v/>
      </c>
    </row>
    <row r="607" spans="1:23" x14ac:dyDescent="0.2">
      <c r="A607" s="4" t="str">
        <f>IF(ポートフォリオ実績!A608="","", ポートフォリオ実績!A608)</f>
        <v/>
      </c>
      <c r="B607" t="str">
        <f>IF(ポートフォリオ実績!B608="","", ポートフォリオ実績!B608)</f>
        <v/>
      </c>
      <c r="C607" s="10" t="str">
        <f>IF(ポートフォリオ実績!C608="","", ポートフォリオ実績!C608)</f>
        <v/>
      </c>
      <c r="D607" s="10" t="str">
        <f>IF(ポートフォリオ実績!D608="","", ポートフォリオ実績!D608)</f>
        <v/>
      </c>
      <c r="E607" s="10" t="str">
        <f>IF(ポートフォリオ実績!E608="","", ポートフォリオ実績!E608)</f>
        <v/>
      </c>
      <c r="F607" s="10" t="str">
        <f>IF(ポートフォリオ実績!F608="","", ポートフォリオ実績!F608)</f>
        <v/>
      </c>
      <c r="G607" t="str">
        <f t="shared" si="99"/>
        <v/>
      </c>
      <c r="H607">
        <f>IF(B607&lt;&gt;"", SUMIFS(ポートフォリオ実績!$D$2:$D$2001, ポートフォリオ実績!$B$2:$B$2001, B607, ポートフォリオ実績!$A$2:$A$2001, G607), 0)</f>
        <v>0</v>
      </c>
      <c r="I607">
        <f>IF(B607&lt;&gt;"", SUMIFS(ポートフォリオ実績!$C$2:$C$2001, ポートフォリオ実績!$B$2:$B$2001, B607, ポートフォリオ実績!$A$2:$A$2001, G607), 0)</f>
        <v>0</v>
      </c>
      <c r="J607">
        <f t="shared" si="100"/>
        <v>0</v>
      </c>
      <c r="K607">
        <f t="shared" si="101"/>
        <v>0</v>
      </c>
      <c r="L607">
        <f t="shared" si="102"/>
        <v>0</v>
      </c>
      <c r="M607">
        <f t="shared" si="103"/>
        <v>0</v>
      </c>
      <c r="N607">
        <f t="shared" si="104"/>
        <v>0</v>
      </c>
      <c r="O607">
        <f t="shared" si="105"/>
        <v>0</v>
      </c>
      <c r="P607" t="str">
        <f t="shared" si="106"/>
        <v/>
      </c>
      <c r="Q607" t="str">
        <f>IF(B607="","", IFERROR(VLOOKUP(B607, '基準資産配分（設定）'!$A$2:$C$2001, 3, FALSE), ""))</f>
        <v/>
      </c>
      <c r="R607" t="str">
        <f>IF(B607="","", IFERROR(VLOOKUP(B607, '基準資産配分（設定）'!$A$2:$C$2001, 2, FALSE)/100, 0))</f>
        <v/>
      </c>
      <c r="S607" t="str">
        <f>IF(B607="","", IFERROR(SUMIFS(ベンチマークリターン!$C$2:$C$2001, ベンチマークリターン!$A$2:$A$2001, A607, ベンチマークリターン!$B$2:$B$2001, Q607) / 100, 0))</f>
        <v/>
      </c>
      <c r="T607" t="str">
        <f>IF(A607="","", SUMIFS($H$2:$H$2000, $A$2:$A$2000, A607))</f>
        <v/>
      </c>
      <c r="U607" t="str">
        <f t="shared" si="107"/>
        <v/>
      </c>
      <c r="V607" t="str">
        <f t="shared" si="108"/>
        <v/>
      </c>
      <c r="W607" t="str">
        <f t="shared" si="109"/>
        <v/>
      </c>
    </row>
    <row r="608" spans="1:23" x14ac:dyDescent="0.2">
      <c r="A608" s="4" t="str">
        <f>IF(ポートフォリオ実績!A609="","", ポートフォリオ実績!A609)</f>
        <v/>
      </c>
      <c r="B608" t="str">
        <f>IF(ポートフォリオ実績!B609="","", ポートフォリオ実績!B609)</f>
        <v/>
      </c>
      <c r="C608" s="10" t="str">
        <f>IF(ポートフォリオ実績!C609="","", ポートフォリオ実績!C609)</f>
        <v/>
      </c>
      <c r="D608" s="10" t="str">
        <f>IF(ポートフォリオ実績!D609="","", ポートフォリオ実績!D609)</f>
        <v/>
      </c>
      <c r="E608" s="10" t="str">
        <f>IF(ポートフォリオ実績!E609="","", ポートフォリオ実績!E609)</f>
        <v/>
      </c>
      <c r="F608" s="10" t="str">
        <f>IF(ポートフォリオ実績!F609="","", ポートフォリオ実績!F609)</f>
        <v/>
      </c>
      <c r="G608" t="str">
        <f t="shared" si="99"/>
        <v/>
      </c>
      <c r="H608">
        <f>IF(B608&lt;&gt;"", SUMIFS(ポートフォリオ実績!$D$2:$D$2001, ポートフォリオ実績!$B$2:$B$2001, B608, ポートフォリオ実績!$A$2:$A$2001, G608), 0)</f>
        <v>0</v>
      </c>
      <c r="I608">
        <f>IF(B608&lt;&gt;"", SUMIFS(ポートフォリオ実績!$C$2:$C$2001, ポートフォリオ実績!$B$2:$B$2001, B608, ポートフォリオ実績!$A$2:$A$2001, G608), 0)</f>
        <v>0</v>
      </c>
      <c r="J608">
        <f t="shared" si="100"/>
        <v>0</v>
      </c>
      <c r="K608">
        <f t="shared" si="101"/>
        <v>0</v>
      </c>
      <c r="L608">
        <f t="shared" si="102"/>
        <v>0</v>
      </c>
      <c r="M608">
        <f t="shared" si="103"/>
        <v>0</v>
      </c>
      <c r="N608">
        <f t="shared" si="104"/>
        <v>0</v>
      </c>
      <c r="O608">
        <f t="shared" si="105"/>
        <v>0</v>
      </c>
      <c r="P608" t="str">
        <f t="shared" si="106"/>
        <v/>
      </c>
      <c r="Q608" t="str">
        <f>IF(B608="","", IFERROR(VLOOKUP(B608, '基準資産配分（設定）'!$A$2:$C$2001, 3, FALSE), ""))</f>
        <v/>
      </c>
      <c r="R608" t="str">
        <f>IF(B608="","", IFERROR(VLOOKUP(B608, '基準資産配分（設定）'!$A$2:$C$2001, 2, FALSE)/100, 0))</f>
        <v/>
      </c>
      <c r="S608" t="str">
        <f>IF(B608="","", IFERROR(SUMIFS(ベンチマークリターン!$C$2:$C$2001, ベンチマークリターン!$A$2:$A$2001, A608, ベンチマークリターン!$B$2:$B$2001, Q608) / 100, 0))</f>
        <v/>
      </c>
      <c r="T608" t="str">
        <f>IF(A608="","", SUMIFS($H$2:$H$2000, $A$2:$A$2000, A608))</f>
        <v/>
      </c>
      <c r="U608" t="str">
        <f t="shared" si="107"/>
        <v/>
      </c>
      <c r="V608" t="str">
        <f t="shared" si="108"/>
        <v/>
      </c>
      <c r="W608" t="str">
        <f t="shared" si="109"/>
        <v/>
      </c>
    </row>
    <row r="609" spans="1:23" x14ac:dyDescent="0.2">
      <c r="A609" s="4" t="str">
        <f>IF(ポートフォリオ実績!A610="","", ポートフォリオ実績!A610)</f>
        <v/>
      </c>
      <c r="B609" t="str">
        <f>IF(ポートフォリオ実績!B610="","", ポートフォリオ実績!B610)</f>
        <v/>
      </c>
      <c r="C609" s="10" t="str">
        <f>IF(ポートフォリオ実績!C610="","", ポートフォリオ実績!C610)</f>
        <v/>
      </c>
      <c r="D609" s="10" t="str">
        <f>IF(ポートフォリオ実績!D610="","", ポートフォリオ実績!D610)</f>
        <v/>
      </c>
      <c r="E609" s="10" t="str">
        <f>IF(ポートフォリオ実績!E610="","", ポートフォリオ実績!E610)</f>
        <v/>
      </c>
      <c r="F609" s="10" t="str">
        <f>IF(ポートフォリオ実績!F610="","", ポートフォリオ実績!F610)</f>
        <v/>
      </c>
      <c r="G609" t="str">
        <f t="shared" si="99"/>
        <v/>
      </c>
      <c r="H609">
        <f>IF(B609&lt;&gt;"", SUMIFS(ポートフォリオ実績!$D$2:$D$2001, ポートフォリオ実績!$B$2:$B$2001, B609, ポートフォリオ実績!$A$2:$A$2001, G609), 0)</f>
        <v>0</v>
      </c>
      <c r="I609">
        <f>IF(B609&lt;&gt;"", SUMIFS(ポートフォリオ実績!$C$2:$C$2001, ポートフォリオ実績!$B$2:$B$2001, B609, ポートフォリオ実績!$A$2:$A$2001, G609), 0)</f>
        <v>0</v>
      </c>
      <c r="J609">
        <f t="shared" si="100"/>
        <v>0</v>
      </c>
      <c r="K609">
        <f t="shared" si="101"/>
        <v>0</v>
      </c>
      <c r="L609">
        <f t="shared" si="102"/>
        <v>0</v>
      </c>
      <c r="M609">
        <f t="shared" si="103"/>
        <v>0</v>
      </c>
      <c r="N609">
        <f t="shared" si="104"/>
        <v>0</v>
      </c>
      <c r="O609">
        <f t="shared" si="105"/>
        <v>0</v>
      </c>
      <c r="P609" t="str">
        <f t="shared" si="106"/>
        <v/>
      </c>
      <c r="Q609" t="str">
        <f>IF(B609="","", IFERROR(VLOOKUP(B609, '基準資産配分（設定）'!$A$2:$C$2001, 3, FALSE), ""))</f>
        <v/>
      </c>
      <c r="R609" t="str">
        <f>IF(B609="","", IFERROR(VLOOKUP(B609, '基準資産配分（設定）'!$A$2:$C$2001, 2, FALSE)/100, 0))</f>
        <v/>
      </c>
      <c r="S609" t="str">
        <f>IF(B609="","", IFERROR(SUMIFS(ベンチマークリターン!$C$2:$C$2001, ベンチマークリターン!$A$2:$A$2001, A609, ベンチマークリターン!$B$2:$B$2001, Q609) / 100, 0))</f>
        <v/>
      </c>
      <c r="T609" t="str">
        <f>IF(A609="","", SUMIFS($H$2:$H$2000, $A$2:$A$2000, A609))</f>
        <v/>
      </c>
      <c r="U609" t="str">
        <f t="shared" si="107"/>
        <v/>
      </c>
      <c r="V609" t="str">
        <f t="shared" si="108"/>
        <v/>
      </c>
      <c r="W609" t="str">
        <f t="shared" si="109"/>
        <v/>
      </c>
    </row>
    <row r="610" spans="1:23" x14ac:dyDescent="0.2">
      <c r="A610" s="4" t="str">
        <f>IF(ポートフォリオ実績!A611="","", ポートフォリオ実績!A611)</f>
        <v/>
      </c>
      <c r="B610" t="str">
        <f>IF(ポートフォリオ実績!B611="","", ポートフォリオ実績!B611)</f>
        <v/>
      </c>
      <c r="C610" s="10" t="str">
        <f>IF(ポートフォリオ実績!C611="","", ポートフォリオ実績!C611)</f>
        <v/>
      </c>
      <c r="D610" s="10" t="str">
        <f>IF(ポートフォリオ実績!D611="","", ポートフォリオ実績!D611)</f>
        <v/>
      </c>
      <c r="E610" s="10" t="str">
        <f>IF(ポートフォリオ実績!E611="","", ポートフォリオ実績!E611)</f>
        <v/>
      </c>
      <c r="F610" s="10" t="str">
        <f>IF(ポートフォリオ実績!F611="","", ポートフォリオ実績!F611)</f>
        <v/>
      </c>
      <c r="G610" t="str">
        <f t="shared" si="99"/>
        <v/>
      </c>
      <c r="H610">
        <f>IF(B610&lt;&gt;"", SUMIFS(ポートフォリオ実績!$D$2:$D$2001, ポートフォリオ実績!$B$2:$B$2001, B610, ポートフォリオ実績!$A$2:$A$2001, G610), 0)</f>
        <v>0</v>
      </c>
      <c r="I610">
        <f>IF(B610&lt;&gt;"", SUMIFS(ポートフォリオ実績!$C$2:$C$2001, ポートフォリオ実績!$B$2:$B$2001, B610, ポートフォリオ実績!$A$2:$A$2001, G610), 0)</f>
        <v>0</v>
      </c>
      <c r="J610">
        <f t="shared" si="100"/>
        <v>0</v>
      </c>
      <c r="K610">
        <f t="shared" si="101"/>
        <v>0</v>
      </c>
      <c r="L610">
        <f t="shared" si="102"/>
        <v>0</v>
      </c>
      <c r="M610">
        <f t="shared" si="103"/>
        <v>0</v>
      </c>
      <c r="N610">
        <f t="shared" si="104"/>
        <v>0</v>
      </c>
      <c r="O610">
        <f t="shared" si="105"/>
        <v>0</v>
      </c>
      <c r="P610" t="str">
        <f t="shared" si="106"/>
        <v/>
      </c>
      <c r="Q610" t="str">
        <f>IF(B610="","", IFERROR(VLOOKUP(B610, '基準資産配分（設定）'!$A$2:$C$2001, 3, FALSE), ""))</f>
        <v/>
      </c>
      <c r="R610" t="str">
        <f>IF(B610="","", IFERROR(VLOOKUP(B610, '基準資産配分（設定）'!$A$2:$C$2001, 2, FALSE)/100, 0))</f>
        <v/>
      </c>
      <c r="S610" t="str">
        <f>IF(B610="","", IFERROR(SUMIFS(ベンチマークリターン!$C$2:$C$2001, ベンチマークリターン!$A$2:$A$2001, A610, ベンチマークリターン!$B$2:$B$2001, Q610) / 100, 0))</f>
        <v/>
      </c>
      <c r="T610" t="str">
        <f>IF(A610="","", SUMIFS($H$2:$H$2000, $A$2:$A$2000, A610))</f>
        <v/>
      </c>
      <c r="U610" t="str">
        <f t="shared" si="107"/>
        <v/>
      </c>
      <c r="V610" t="str">
        <f t="shared" si="108"/>
        <v/>
      </c>
      <c r="W610" t="str">
        <f t="shared" si="109"/>
        <v/>
      </c>
    </row>
    <row r="611" spans="1:23" x14ac:dyDescent="0.2">
      <c r="A611" s="4" t="str">
        <f>IF(ポートフォリオ実績!A612="","", ポートフォリオ実績!A612)</f>
        <v/>
      </c>
      <c r="B611" t="str">
        <f>IF(ポートフォリオ実績!B612="","", ポートフォリオ実績!B612)</f>
        <v/>
      </c>
      <c r="C611" s="10" t="str">
        <f>IF(ポートフォリオ実績!C612="","", ポートフォリオ実績!C612)</f>
        <v/>
      </c>
      <c r="D611" s="10" t="str">
        <f>IF(ポートフォリオ実績!D612="","", ポートフォリオ実績!D612)</f>
        <v/>
      </c>
      <c r="E611" s="10" t="str">
        <f>IF(ポートフォリオ実績!E612="","", ポートフォリオ実績!E612)</f>
        <v/>
      </c>
      <c r="F611" s="10" t="str">
        <f>IF(ポートフォリオ実績!F612="","", ポートフォリオ実績!F612)</f>
        <v/>
      </c>
      <c r="G611" t="str">
        <f t="shared" si="99"/>
        <v/>
      </c>
      <c r="H611">
        <f>IF(B611&lt;&gt;"", SUMIFS(ポートフォリオ実績!$D$2:$D$2001, ポートフォリオ実績!$B$2:$B$2001, B611, ポートフォリオ実績!$A$2:$A$2001, G611), 0)</f>
        <v>0</v>
      </c>
      <c r="I611">
        <f>IF(B611&lt;&gt;"", SUMIFS(ポートフォリオ実績!$C$2:$C$2001, ポートフォリオ実績!$B$2:$B$2001, B611, ポートフォリオ実績!$A$2:$A$2001, G611), 0)</f>
        <v>0</v>
      </c>
      <c r="J611">
        <f t="shared" si="100"/>
        <v>0</v>
      </c>
      <c r="K611">
        <f t="shared" si="101"/>
        <v>0</v>
      </c>
      <c r="L611">
        <f t="shared" si="102"/>
        <v>0</v>
      </c>
      <c r="M611">
        <f t="shared" si="103"/>
        <v>0</v>
      </c>
      <c r="N611">
        <f t="shared" si="104"/>
        <v>0</v>
      </c>
      <c r="O611">
        <f t="shared" si="105"/>
        <v>0</v>
      </c>
      <c r="P611" t="str">
        <f t="shared" si="106"/>
        <v/>
      </c>
      <c r="Q611" t="str">
        <f>IF(B611="","", IFERROR(VLOOKUP(B611, '基準資産配分（設定）'!$A$2:$C$2001, 3, FALSE), ""))</f>
        <v/>
      </c>
      <c r="R611" t="str">
        <f>IF(B611="","", IFERROR(VLOOKUP(B611, '基準資産配分（設定）'!$A$2:$C$2001, 2, FALSE)/100, 0))</f>
        <v/>
      </c>
      <c r="S611" t="str">
        <f>IF(B611="","", IFERROR(SUMIFS(ベンチマークリターン!$C$2:$C$2001, ベンチマークリターン!$A$2:$A$2001, A611, ベンチマークリターン!$B$2:$B$2001, Q611) / 100, 0))</f>
        <v/>
      </c>
      <c r="T611" t="str">
        <f>IF(A611="","", SUMIFS($H$2:$H$2000, $A$2:$A$2000, A611))</f>
        <v/>
      </c>
      <c r="U611" t="str">
        <f t="shared" si="107"/>
        <v/>
      </c>
      <c r="V611" t="str">
        <f t="shared" si="108"/>
        <v/>
      </c>
      <c r="W611" t="str">
        <f t="shared" si="109"/>
        <v/>
      </c>
    </row>
    <row r="612" spans="1:23" x14ac:dyDescent="0.2">
      <c r="A612" s="4" t="str">
        <f>IF(ポートフォリオ実績!A613="","", ポートフォリオ実績!A613)</f>
        <v/>
      </c>
      <c r="B612" t="str">
        <f>IF(ポートフォリオ実績!B613="","", ポートフォリオ実績!B613)</f>
        <v/>
      </c>
      <c r="C612" s="10" t="str">
        <f>IF(ポートフォリオ実績!C613="","", ポートフォリオ実績!C613)</f>
        <v/>
      </c>
      <c r="D612" s="10" t="str">
        <f>IF(ポートフォリオ実績!D613="","", ポートフォリオ実績!D613)</f>
        <v/>
      </c>
      <c r="E612" s="10" t="str">
        <f>IF(ポートフォリオ実績!E613="","", ポートフォリオ実績!E613)</f>
        <v/>
      </c>
      <c r="F612" s="10" t="str">
        <f>IF(ポートフォリオ実績!F613="","", ポートフォリオ実績!F613)</f>
        <v/>
      </c>
      <c r="G612" t="str">
        <f t="shared" si="99"/>
        <v/>
      </c>
      <c r="H612">
        <f>IF(B612&lt;&gt;"", SUMIFS(ポートフォリオ実績!$D$2:$D$2001, ポートフォリオ実績!$B$2:$B$2001, B612, ポートフォリオ実績!$A$2:$A$2001, G612), 0)</f>
        <v>0</v>
      </c>
      <c r="I612">
        <f>IF(B612&lt;&gt;"", SUMIFS(ポートフォリオ実績!$C$2:$C$2001, ポートフォリオ実績!$B$2:$B$2001, B612, ポートフォリオ実績!$A$2:$A$2001, G612), 0)</f>
        <v>0</v>
      </c>
      <c r="J612">
        <f t="shared" si="100"/>
        <v>0</v>
      </c>
      <c r="K612">
        <f t="shared" si="101"/>
        <v>0</v>
      </c>
      <c r="L612">
        <f t="shared" si="102"/>
        <v>0</v>
      </c>
      <c r="M612">
        <f t="shared" si="103"/>
        <v>0</v>
      </c>
      <c r="N612">
        <f t="shared" si="104"/>
        <v>0</v>
      </c>
      <c r="O612">
        <f t="shared" si="105"/>
        <v>0</v>
      </c>
      <c r="P612" t="str">
        <f t="shared" si="106"/>
        <v/>
      </c>
      <c r="Q612" t="str">
        <f>IF(B612="","", IFERROR(VLOOKUP(B612, '基準資産配分（設定）'!$A$2:$C$2001, 3, FALSE), ""))</f>
        <v/>
      </c>
      <c r="R612" t="str">
        <f>IF(B612="","", IFERROR(VLOOKUP(B612, '基準資産配分（設定）'!$A$2:$C$2001, 2, FALSE)/100, 0))</f>
        <v/>
      </c>
      <c r="S612" t="str">
        <f>IF(B612="","", IFERROR(SUMIFS(ベンチマークリターン!$C$2:$C$2001, ベンチマークリターン!$A$2:$A$2001, A612, ベンチマークリターン!$B$2:$B$2001, Q612) / 100, 0))</f>
        <v/>
      </c>
      <c r="T612" t="str">
        <f>IF(A612="","", SUMIFS($H$2:$H$2000, $A$2:$A$2000, A612))</f>
        <v/>
      </c>
      <c r="U612" t="str">
        <f t="shared" si="107"/>
        <v/>
      </c>
      <c r="V612" t="str">
        <f t="shared" si="108"/>
        <v/>
      </c>
      <c r="W612" t="str">
        <f t="shared" si="109"/>
        <v/>
      </c>
    </row>
    <row r="613" spans="1:23" x14ac:dyDescent="0.2">
      <c r="A613" s="4" t="str">
        <f>IF(ポートフォリオ実績!A614="","", ポートフォリオ実績!A614)</f>
        <v/>
      </c>
      <c r="B613" t="str">
        <f>IF(ポートフォリオ実績!B614="","", ポートフォリオ実績!B614)</f>
        <v/>
      </c>
      <c r="C613" s="10" t="str">
        <f>IF(ポートフォリオ実績!C614="","", ポートフォリオ実績!C614)</f>
        <v/>
      </c>
      <c r="D613" s="10" t="str">
        <f>IF(ポートフォリオ実績!D614="","", ポートフォリオ実績!D614)</f>
        <v/>
      </c>
      <c r="E613" s="10" t="str">
        <f>IF(ポートフォリオ実績!E614="","", ポートフォリオ実績!E614)</f>
        <v/>
      </c>
      <c r="F613" s="10" t="str">
        <f>IF(ポートフォリオ実績!F614="","", ポートフォリオ実績!F614)</f>
        <v/>
      </c>
      <c r="G613" t="str">
        <f t="shared" si="99"/>
        <v/>
      </c>
      <c r="H613">
        <f>IF(B613&lt;&gt;"", SUMIFS(ポートフォリオ実績!$D$2:$D$2001, ポートフォリオ実績!$B$2:$B$2001, B613, ポートフォリオ実績!$A$2:$A$2001, G613), 0)</f>
        <v>0</v>
      </c>
      <c r="I613">
        <f>IF(B613&lt;&gt;"", SUMIFS(ポートフォリオ実績!$C$2:$C$2001, ポートフォリオ実績!$B$2:$B$2001, B613, ポートフォリオ実績!$A$2:$A$2001, G613), 0)</f>
        <v>0</v>
      </c>
      <c r="J613">
        <f t="shared" si="100"/>
        <v>0</v>
      </c>
      <c r="K613">
        <f t="shared" si="101"/>
        <v>0</v>
      </c>
      <c r="L613">
        <f t="shared" si="102"/>
        <v>0</v>
      </c>
      <c r="M613">
        <f t="shared" si="103"/>
        <v>0</v>
      </c>
      <c r="N613">
        <f t="shared" si="104"/>
        <v>0</v>
      </c>
      <c r="O613">
        <f t="shared" si="105"/>
        <v>0</v>
      </c>
      <c r="P613" t="str">
        <f t="shared" si="106"/>
        <v/>
      </c>
      <c r="Q613" t="str">
        <f>IF(B613="","", IFERROR(VLOOKUP(B613, '基準資産配分（設定）'!$A$2:$C$2001, 3, FALSE), ""))</f>
        <v/>
      </c>
      <c r="R613" t="str">
        <f>IF(B613="","", IFERROR(VLOOKUP(B613, '基準資産配分（設定）'!$A$2:$C$2001, 2, FALSE)/100, 0))</f>
        <v/>
      </c>
      <c r="S613" t="str">
        <f>IF(B613="","", IFERROR(SUMIFS(ベンチマークリターン!$C$2:$C$2001, ベンチマークリターン!$A$2:$A$2001, A613, ベンチマークリターン!$B$2:$B$2001, Q613) / 100, 0))</f>
        <v/>
      </c>
      <c r="T613" t="str">
        <f>IF(A613="","", SUMIFS($H$2:$H$2000, $A$2:$A$2000, A613))</f>
        <v/>
      </c>
      <c r="U613" t="str">
        <f t="shared" si="107"/>
        <v/>
      </c>
      <c r="V613" t="str">
        <f t="shared" si="108"/>
        <v/>
      </c>
      <c r="W613" t="str">
        <f t="shared" si="109"/>
        <v/>
      </c>
    </row>
    <row r="614" spans="1:23" x14ac:dyDescent="0.2">
      <c r="A614" s="4" t="str">
        <f>IF(ポートフォリオ実績!A615="","", ポートフォリオ実績!A615)</f>
        <v/>
      </c>
      <c r="B614" t="str">
        <f>IF(ポートフォリオ実績!B615="","", ポートフォリオ実績!B615)</f>
        <v/>
      </c>
      <c r="C614" s="10" t="str">
        <f>IF(ポートフォリオ実績!C615="","", ポートフォリオ実績!C615)</f>
        <v/>
      </c>
      <c r="D614" s="10" t="str">
        <f>IF(ポートフォリオ実績!D615="","", ポートフォリオ実績!D615)</f>
        <v/>
      </c>
      <c r="E614" s="10" t="str">
        <f>IF(ポートフォリオ実績!E615="","", ポートフォリオ実績!E615)</f>
        <v/>
      </c>
      <c r="F614" s="10" t="str">
        <f>IF(ポートフォリオ実績!F615="","", ポートフォリオ実績!F615)</f>
        <v/>
      </c>
      <c r="G614" t="str">
        <f t="shared" si="99"/>
        <v/>
      </c>
      <c r="H614">
        <f>IF(B614&lt;&gt;"", SUMIFS(ポートフォリオ実績!$D$2:$D$2001, ポートフォリオ実績!$B$2:$B$2001, B614, ポートフォリオ実績!$A$2:$A$2001, G614), 0)</f>
        <v>0</v>
      </c>
      <c r="I614">
        <f>IF(B614&lt;&gt;"", SUMIFS(ポートフォリオ実績!$C$2:$C$2001, ポートフォリオ実績!$B$2:$B$2001, B614, ポートフォリオ実績!$A$2:$A$2001, G614), 0)</f>
        <v>0</v>
      </c>
      <c r="J614">
        <f t="shared" si="100"/>
        <v>0</v>
      </c>
      <c r="K614">
        <f t="shared" si="101"/>
        <v>0</v>
      </c>
      <c r="L614">
        <f t="shared" si="102"/>
        <v>0</v>
      </c>
      <c r="M614">
        <f t="shared" si="103"/>
        <v>0</v>
      </c>
      <c r="N614">
        <f t="shared" si="104"/>
        <v>0</v>
      </c>
      <c r="O614">
        <f t="shared" si="105"/>
        <v>0</v>
      </c>
      <c r="P614" t="str">
        <f t="shared" si="106"/>
        <v/>
      </c>
      <c r="Q614" t="str">
        <f>IF(B614="","", IFERROR(VLOOKUP(B614, '基準資産配分（設定）'!$A$2:$C$2001, 3, FALSE), ""))</f>
        <v/>
      </c>
      <c r="R614" t="str">
        <f>IF(B614="","", IFERROR(VLOOKUP(B614, '基準資産配分（設定）'!$A$2:$C$2001, 2, FALSE)/100, 0))</f>
        <v/>
      </c>
      <c r="S614" t="str">
        <f>IF(B614="","", IFERROR(SUMIFS(ベンチマークリターン!$C$2:$C$2001, ベンチマークリターン!$A$2:$A$2001, A614, ベンチマークリターン!$B$2:$B$2001, Q614) / 100, 0))</f>
        <v/>
      </c>
      <c r="T614" t="str">
        <f>IF(A614="","", SUMIFS($H$2:$H$2000, $A$2:$A$2000, A614))</f>
        <v/>
      </c>
      <c r="U614" t="str">
        <f t="shared" si="107"/>
        <v/>
      </c>
      <c r="V614" t="str">
        <f t="shared" si="108"/>
        <v/>
      </c>
      <c r="W614" t="str">
        <f t="shared" si="109"/>
        <v/>
      </c>
    </row>
    <row r="615" spans="1:23" x14ac:dyDescent="0.2">
      <c r="A615" s="4" t="str">
        <f>IF(ポートフォリオ実績!A616="","", ポートフォリオ実績!A616)</f>
        <v/>
      </c>
      <c r="B615" t="str">
        <f>IF(ポートフォリオ実績!B616="","", ポートフォリオ実績!B616)</f>
        <v/>
      </c>
      <c r="C615" s="10" t="str">
        <f>IF(ポートフォリオ実績!C616="","", ポートフォリオ実績!C616)</f>
        <v/>
      </c>
      <c r="D615" s="10" t="str">
        <f>IF(ポートフォリオ実績!D616="","", ポートフォリオ実績!D616)</f>
        <v/>
      </c>
      <c r="E615" s="10" t="str">
        <f>IF(ポートフォリオ実績!E616="","", ポートフォリオ実績!E616)</f>
        <v/>
      </c>
      <c r="F615" s="10" t="str">
        <f>IF(ポートフォリオ実績!F616="","", ポートフォリオ実績!F616)</f>
        <v/>
      </c>
      <c r="G615" t="str">
        <f t="shared" si="99"/>
        <v/>
      </c>
      <c r="H615">
        <f>IF(B615&lt;&gt;"", SUMIFS(ポートフォリオ実績!$D$2:$D$2001, ポートフォリオ実績!$B$2:$B$2001, B615, ポートフォリオ実績!$A$2:$A$2001, G615), 0)</f>
        <v>0</v>
      </c>
      <c r="I615">
        <f>IF(B615&lt;&gt;"", SUMIFS(ポートフォリオ実績!$C$2:$C$2001, ポートフォリオ実績!$B$2:$B$2001, B615, ポートフォリオ実績!$A$2:$A$2001, G615), 0)</f>
        <v>0</v>
      </c>
      <c r="J615">
        <f t="shared" si="100"/>
        <v>0</v>
      </c>
      <c r="K615">
        <f t="shared" si="101"/>
        <v>0</v>
      </c>
      <c r="L615">
        <f t="shared" si="102"/>
        <v>0</v>
      </c>
      <c r="M615">
        <f t="shared" si="103"/>
        <v>0</v>
      </c>
      <c r="N615">
        <f t="shared" si="104"/>
        <v>0</v>
      </c>
      <c r="O615">
        <f t="shared" si="105"/>
        <v>0</v>
      </c>
      <c r="P615" t="str">
        <f t="shared" si="106"/>
        <v/>
      </c>
      <c r="Q615" t="str">
        <f>IF(B615="","", IFERROR(VLOOKUP(B615, '基準資産配分（設定）'!$A$2:$C$2001, 3, FALSE), ""))</f>
        <v/>
      </c>
      <c r="R615" t="str">
        <f>IF(B615="","", IFERROR(VLOOKUP(B615, '基準資産配分（設定）'!$A$2:$C$2001, 2, FALSE)/100, 0))</f>
        <v/>
      </c>
      <c r="S615" t="str">
        <f>IF(B615="","", IFERROR(SUMIFS(ベンチマークリターン!$C$2:$C$2001, ベンチマークリターン!$A$2:$A$2001, A615, ベンチマークリターン!$B$2:$B$2001, Q615) / 100, 0))</f>
        <v/>
      </c>
      <c r="T615" t="str">
        <f>IF(A615="","", SUMIFS($H$2:$H$2000, $A$2:$A$2000, A615))</f>
        <v/>
      </c>
      <c r="U615" t="str">
        <f t="shared" si="107"/>
        <v/>
      </c>
      <c r="V615" t="str">
        <f t="shared" si="108"/>
        <v/>
      </c>
      <c r="W615" t="str">
        <f t="shared" si="109"/>
        <v/>
      </c>
    </row>
    <row r="616" spans="1:23" x14ac:dyDescent="0.2">
      <c r="A616" s="4" t="str">
        <f>IF(ポートフォリオ実績!A617="","", ポートフォリオ実績!A617)</f>
        <v/>
      </c>
      <c r="B616" t="str">
        <f>IF(ポートフォリオ実績!B617="","", ポートフォリオ実績!B617)</f>
        <v/>
      </c>
      <c r="C616" s="10" t="str">
        <f>IF(ポートフォリオ実績!C617="","", ポートフォリオ実績!C617)</f>
        <v/>
      </c>
      <c r="D616" s="10" t="str">
        <f>IF(ポートフォリオ実績!D617="","", ポートフォリオ実績!D617)</f>
        <v/>
      </c>
      <c r="E616" s="10" t="str">
        <f>IF(ポートフォリオ実績!E617="","", ポートフォリオ実績!E617)</f>
        <v/>
      </c>
      <c r="F616" s="10" t="str">
        <f>IF(ポートフォリオ実績!F617="","", ポートフォリオ実績!F617)</f>
        <v/>
      </c>
      <c r="G616" t="str">
        <f t="shared" si="99"/>
        <v/>
      </c>
      <c r="H616">
        <f>IF(B616&lt;&gt;"", SUMIFS(ポートフォリオ実績!$D$2:$D$2001, ポートフォリオ実績!$B$2:$B$2001, B616, ポートフォリオ実績!$A$2:$A$2001, G616), 0)</f>
        <v>0</v>
      </c>
      <c r="I616">
        <f>IF(B616&lt;&gt;"", SUMIFS(ポートフォリオ実績!$C$2:$C$2001, ポートフォリオ実績!$B$2:$B$2001, B616, ポートフォリオ実績!$A$2:$A$2001, G616), 0)</f>
        <v>0</v>
      </c>
      <c r="J616">
        <f t="shared" si="100"/>
        <v>0</v>
      </c>
      <c r="K616">
        <f t="shared" si="101"/>
        <v>0</v>
      </c>
      <c r="L616">
        <f t="shared" si="102"/>
        <v>0</v>
      </c>
      <c r="M616">
        <f t="shared" si="103"/>
        <v>0</v>
      </c>
      <c r="N616">
        <f t="shared" si="104"/>
        <v>0</v>
      </c>
      <c r="O616">
        <f t="shared" si="105"/>
        <v>0</v>
      </c>
      <c r="P616" t="str">
        <f t="shared" si="106"/>
        <v/>
      </c>
      <c r="Q616" t="str">
        <f>IF(B616="","", IFERROR(VLOOKUP(B616, '基準資産配分（設定）'!$A$2:$C$2001, 3, FALSE), ""))</f>
        <v/>
      </c>
      <c r="R616" t="str">
        <f>IF(B616="","", IFERROR(VLOOKUP(B616, '基準資産配分（設定）'!$A$2:$C$2001, 2, FALSE)/100, 0))</f>
        <v/>
      </c>
      <c r="S616" t="str">
        <f>IF(B616="","", IFERROR(SUMIFS(ベンチマークリターン!$C$2:$C$2001, ベンチマークリターン!$A$2:$A$2001, A616, ベンチマークリターン!$B$2:$B$2001, Q616) / 100, 0))</f>
        <v/>
      </c>
      <c r="T616" t="str">
        <f>IF(A616="","", SUMIFS($H$2:$H$2000, $A$2:$A$2000, A616))</f>
        <v/>
      </c>
      <c r="U616" t="str">
        <f t="shared" si="107"/>
        <v/>
      </c>
      <c r="V616" t="str">
        <f t="shared" si="108"/>
        <v/>
      </c>
      <c r="W616" t="str">
        <f t="shared" si="109"/>
        <v/>
      </c>
    </row>
    <row r="617" spans="1:23" x14ac:dyDescent="0.2">
      <c r="A617" s="4" t="str">
        <f>IF(ポートフォリオ実績!A618="","", ポートフォリオ実績!A618)</f>
        <v/>
      </c>
      <c r="B617" t="str">
        <f>IF(ポートフォリオ実績!B618="","", ポートフォリオ実績!B618)</f>
        <v/>
      </c>
      <c r="C617" s="10" t="str">
        <f>IF(ポートフォリオ実績!C618="","", ポートフォリオ実績!C618)</f>
        <v/>
      </c>
      <c r="D617" s="10" t="str">
        <f>IF(ポートフォリオ実績!D618="","", ポートフォリオ実績!D618)</f>
        <v/>
      </c>
      <c r="E617" s="10" t="str">
        <f>IF(ポートフォリオ実績!E618="","", ポートフォリオ実績!E618)</f>
        <v/>
      </c>
      <c r="F617" s="10" t="str">
        <f>IF(ポートフォリオ実績!F618="","", ポートフォリオ実績!F618)</f>
        <v/>
      </c>
      <c r="G617" t="str">
        <f t="shared" si="99"/>
        <v/>
      </c>
      <c r="H617">
        <f>IF(B617&lt;&gt;"", SUMIFS(ポートフォリオ実績!$D$2:$D$2001, ポートフォリオ実績!$B$2:$B$2001, B617, ポートフォリオ実績!$A$2:$A$2001, G617), 0)</f>
        <v>0</v>
      </c>
      <c r="I617">
        <f>IF(B617&lt;&gt;"", SUMIFS(ポートフォリオ実績!$C$2:$C$2001, ポートフォリオ実績!$B$2:$B$2001, B617, ポートフォリオ実績!$A$2:$A$2001, G617), 0)</f>
        <v>0</v>
      </c>
      <c r="J617">
        <f t="shared" si="100"/>
        <v>0</v>
      </c>
      <c r="K617">
        <f t="shared" si="101"/>
        <v>0</v>
      </c>
      <c r="L617">
        <f t="shared" si="102"/>
        <v>0</v>
      </c>
      <c r="M617">
        <f t="shared" si="103"/>
        <v>0</v>
      </c>
      <c r="N617">
        <f t="shared" si="104"/>
        <v>0</v>
      </c>
      <c r="O617">
        <f t="shared" si="105"/>
        <v>0</v>
      </c>
      <c r="P617" t="str">
        <f t="shared" si="106"/>
        <v/>
      </c>
      <c r="Q617" t="str">
        <f>IF(B617="","", IFERROR(VLOOKUP(B617, '基準資産配分（設定）'!$A$2:$C$2001, 3, FALSE), ""))</f>
        <v/>
      </c>
      <c r="R617" t="str">
        <f>IF(B617="","", IFERROR(VLOOKUP(B617, '基準資産配分（設定）'!$A$2:$C$2001, 2, FALSE)/100, 0))</f>
        <v/>
      </c>
      <c r="S617" t="str">
        <f>IF(B617="","", IFERROR(SUMIFS(ベンチマークリターン!$C$2:$C$2001, ベンチマークリターン!$A$2:$A$2001, A617, ベンチマークリターン!$B$2:$B$2001, Q617) / 100, 0))</f>
        <v/>
      </c>
      <c r="T617" t="str">
        <f>IF(A617="","", SUMIFS($H$2:$H$2000, $A$2:$A$2000, A617))</f>
        <v/>
      </c>
      <c r="U617" t="str">
        <f t="shared" si="107"/>
        <v/>
      </c>
      <c r="V617" t="str">
        <f t="shared" si="108"/>
        <v/>
      </c>
      <c r="W617" t="str">
        <f t="shared" si="109"/>
        <v/>
      </c>
    </row>
    <row r="618" spans="1:23" x14ac:dyDescent="0.2">
      <c r="A618" s="4" t="str">
        <f>IF(ポートフォリオ実績!A619="","", ポートフォリオ実績!A619)</f>
        <v/>
      </c>
      <c r="B618" t="str">
        <f>IF(ポートフォリオ実績!B619="","", ポートフォリオ実績!B619)</f>
        <v/>
      </c>
      <c r="C618" s="10" t="str">
        <f>IF(ポートフォリオ実績!C619="","", ポートフォリオ実績!C619)</f>
        <v/>
      </c>
      <c r="D618" s="10" t="str">
        <f>IF(ポートフォリオ実績!D619="","", ポートフォリオ実績!D619)</f>
        <v/>
      </c>
      <c r="E618" s="10" t="str">
        <f>IF(ポートフォリオ実績!E619="","", ポートフォリオ実績!E619)</f>
        <v/>
      </c>
      <c r="F618" s="10" t="str">
        <f>IF(ポートフォリオ実績!F619="","", ポートフォリオ実績!F619)</f>
        <v/>
      </c>
      <c r="G618" t="str">
        <f t="shared" si="99"/>
        <v/>
      </c>
      <c r="H618">
        <f>IF(B618&lt;&gt;"", SUMIFS(ポートフォリオ実績!$D$2:$D$2001, ポートフォリオ実績!$B$2:$B$2001, B618, ポートフォリオ実績!$A$2:$A$2001, G618), 0)</f>
        <v>0</v>
      </c>
      <c r="I618">
        <f>IF(B618&lt;&gt;"", SUMIFS(ポートフォリオ実績!$C$2:$C$2001, ポートフォリオ実績!$B$2:$B$2001, B618, ポートフォリオ実績!$A$2:$A$2001, G618), 0)</f>
        <v>0</v>
      </c>
      <c r="J618">
        <f t="shared" si="100"/>
        <v>0</v>
      </c>
      <c r="K618">
        <f t="shared" si="101"/>
        <v>0</v>
      </c>
      <c r="L618">
        <f t="shared" si="102"/>
        <v>0</v>
      </c>
      <c r="M618">
        <f t="shared" si="103"/>
        <v>0</v>
      </c>
      <c r="N618">
        <f t="shared" si="104"/>
        <v>0</v>
      </c>
      <c r="O618">
        <f t="shared" si="105"/>
        <v>0</v>
      </c>
      <c r="P618" t="str">
        <f t="shared" si="106"/>
        <v/>
      </c>
      <c r="Q618" t="str">
        <f>IF(B618="","", IFERROR(VLOOKUP(B618, '基準資産配分（設定）'!$A$2:$C$2001, 3, FALSE), ""))</f>
        <v/>
      </c>
      <c r="R618" t="str">
        <f>IF(B618="","", IFERROR(VLOOKUP(B618, '基準資産配分（設定）'!$A$2:$C$2001, 2, FALSE)/100, 0))</f>
        <v/>
      </c>
      <c r="S618" t="str">
        <f>IF(B618="","", IFERROR(SUMIFS(ベンチマークリターン!$C$2:$C$2001, ベンチマークリターン!$A$2:$A$2001, A618, ベンチマークリターン!$B$2:$B$2001, Q618) / 100, 0))</f>
        <v/>
      </c>
      <c r="T618" t="str">
        <f>IF(A618="","", SUMIFS($H$2:$H$2000, $A$2:$A$2000, A618))</f>
        <v/>
      </c>
      <c r="U618" t="str">
        <f t="shared" si="107"/>
        <v/>
      </c>
      <c r="V618" t="str">
        <f t="shared" si="108"/>
        <v/>
      </c>
      <c r="W618" t="str">
        <f t="shared" si="109"/>
        <v/>
      </c>
    </row>
    <row r="619" spans="1:23" x14ac:dyDescent="0.2">
      <c r="A619" s="4" t="str">
        <f>IF(ポートフォリオ実績!A620="","", ポートフォリオ実績!A620)</f>
        <v/>
      </c>
      <c r="B619" t="str">
        <f>IF(ポートフォリオ実績!B620="","", ポートフォリオ実績!B620)</f>
        <v/>
      </c>
      <c r="C619" s="10" t="str">
        <f>IF(ポートフォリオ実績!C620="","", ポートフォリオ実績!C620)</f>
        <v/>
      </c>
      <c r="D619" s="10" t="str">
        <f>IF(ポートフォリオ実績!D620="","", ポートフォリオ実績!D620)</f>
        <v/>
      </c>
      <c r="E619" s="10" t="str">
        <f>IF(ポートフォリオ実績!E620="","", ポートフォリオ実績!E620)</f>
        <v/>
      </c>
      <c r="F619" s="10" t="str">
        <f>IF(ポートフォリオ実績!F620="","", ポートフォリオ実績!F620)</f>
        <v/>
      </c>
      <c r="G619" t="str">
        <f t="shared" si="99"/>
        <v/>
      </c>
      <c r="H619">
        <f>IF(B619&lt;&gt;"", SUMIFS(ポートフォリオ実績!$D$2:$D$2001, ポートフォリオ実績!$B$2:$B$2001, B619, ポートフォリオ実績!$A$2:$A$2001, G619), 0)</f>
        <v>0</v>
      </c>
      <c r="I619">
        <f>IF(B619&lt;&gt;"", SUMIFS(ポートフォリオ実績!$C$2:$C$2001, ポートフォリオ実績!$B$2:$B$2001, B619, ポートフォリオ実績!$A$2:$A$2001, G619), 0)</f>
        <v>0</v>
      </c>
      <c r="J619">
        <f t="shared" si="100"/>
        <v>0</v>
      </c>
      <c r="K619">
        <f t="shared" si="101"/>
        <v>0</v>
      </c>
      <c r="L619">
        <f t="shared" si="102"/>
        <v>0</v>
      </c>
      <c r="M619">
        <f t="shared" si="103"/>
        <v>0</v>
      </c>
      <c r="N619">
        <f t="shared" si="104"/>
        <v>0</v>
      </c>
      <c r="O619">
        <f t="shared" si="105"/>
        <v>0</v>
      </c>
      <c r="P619" t="str">
        <f t="shared" si="106"/>
        <v/>
      </c>
      <c r="Q619" t="str">
        <f>IF(B619="","", IFERROR(VLOOKUP(B619, '基準資産配分（設定）'!$A$2:$C$2001, 3, FALSE), ""))</f>
        <v/>
      </c>
      <c r="R619" t="str">
        <f>IF(B619="","", IFERROR(VLOOKUP(B619, '基準資産配分（設定）'!$A$2:$C$2001, 2, FALSE)/100, 0))</f>
        <v/>
      </c>
      <c r="S619" t="str">
        <f>IF(B619="","", IFERROR(SUMIFS(ベンチマークリターン!$C$2:$C$2001, ベンチマークリターン!$A$2:$A$2001, A619, ベンチマークリターン!$B$2:$B$2001, Q619) / 100, 0))</f>
        <v/>
      </c>
      <c r="T619" t="str">
        <f>IF(A619="","", SUMIFS($H$2:$H$2000, $A$2:$A$2000, A619))</f>
        <v/>
      </c>
      <c r="U619" t="str">
        <f t="shared" si="107"/>
        <v/>
      </c>
      <c r="V619" t="str">
        <f t="shared" si="108"/>
        <v/>
      </c>
      <c r="W619" t="str">
        <f t="shared" si="109"/>
        <v/>
      </c>
    </row>
    <row r="620" spans="1:23" x14ac:dyDescent="0.2">
      <c r="A620" s="4" t="str">
        <f>IF(ポートフォリオ実績!A621="","", ポートフォリオ実績!A621)</f>
        <v/>
      </c>
      <c r="B620" t="str">
        <f>IF(ポートフォリオ実績!B621="","", ポートフォリオ実績!B621)</f>
        <v/>
      </c>
      <c r="C620" s="10" t="str">
        <f>IF(ポートフォリオ実績!C621="","", ポートフォリオ実績!C621)</f>
        <v/>
      </c>
      <c r="D620" s="10" t="str">
        <f>IF(ポートフォリオ実績!D621="","", ポートフォリオ実績!D621)</f>
        <v/>
      </c>
      <c r="E620" s="10" t="str">
        <f>IF(ポートフォリオ実績!E621="","", ポートフォリオ実績!E621)</f>
        <v/>
      </c>
      <c r="F620" s="10" t="str">
        <f>IF(ポートフォリオ実績!F621="","", ポートフォリオ実績!F621)</f>
        <v/>
      </c>
      <c r="G620" t="str">
        <f t="shared" si="99"/>
        <v/>
      </c>
      <c r="H620">
        <f>IF(B620&lt;&gt;"", SUMIFS(ポートフォリオ実績!$D$2:$D$2001, ポートフォリオ実績!$B$2:$B$2001, B620, ポートフォリオ実績!$A$2:$A$2001, G620), 0)</f>
        <v>0</v>
      </c>
      <c r="I620">
        <f>IF(B620&lt;&gt;"", SUMIFS(ポートフォリオ実績!$C$2:$C$2001, ポートフォリオ実績!$B$2:$B$2001, B620, ポートフォリオ実績!$A$2:$A$2001, G620), 0)</f>
        <v>0</v>
      </c>
      <c r="J620">
        <f t="shared" si="100"/>
        <v>0</v>
      </c>
      <c r="K620">
        <f t="shared" si="101"/>
        <v>0</v>
      </c>
      <c r="L620">
        <f t="shared" si="102"/>
        <v>0</v>
      </c>
      <c r="M620">
        <f t="shared" si="103"/>
        <v>0</v>
      </c>
      <c r="N620">
        <f t="shared" si="104"/>
        <v>0</v>
      </c>
      <c r="O620">
        <f t="shared" si="105"/>
        <v>0</v>
      </c>
      <c r="P620" t="str">
        <f t="shared" si="106"/>
        <v/>
      </c>
      <c r="Q620" t="str">
        <f>IF(B620="","", IFERROR(VLOOKUP(B620, '基準資産配分（設定）'!$A$2:$C$2001, 3, FALSE), ""))</f>
        <v/>
      </c>
      <c r="R620" t="str">
        <f>IF(B620="","", IFERROR(VLOOKUP(B620, '基準資産配分（設定）'!$A$2:$C$2001, 2, FALSE)/100, 0))</f>
        <v/>
      </c>
      <c r="S620" t="str">
        <f>IF(B620="","", IFERROR(SUMIFS(ベンチマークリターン!$C$2:$C$2001, ベンチマークリターン!$A$2:$A$2001, A620, ベンチマークリターン!$B$2:$B$2001, Q620) / 100, 0))</f>
        <v/>
      </c>
      <c r="T620" t="str">
        <f>IF(A620="","", SUMIFS($H$2:$H$2000, $A$2:$A$2000, A620))</f>
        <v/>
      </c>
      <c r="U620" t="str">
        <f t="shared" si="107"/>
        <v/>
      </c>
      <c r="V620" t="str">
        <f t="shared" si="108"/>
        <v/>
      </c>
      <c r="W620" t="str">
        <f t="shared" si="109"/>
        <v/>
      </c>
    </row>
    <row r="621" spans="1:23" x14ac:dyDescent="0.2">
      <c r="A621" s="4" t="str">
        <f>IF(ポートフォリオ実績!A622="","", ポートフォリオ実績!A622)</f>
        <v/>
      </c>
      <c r="B621" t="str">
        <f>IF(ポートフォリオ実績!B622="","", ポートフォリオ実績!B622)</f>
        <v/>
      </c>
      <c r="C621" s="10" t="str">
        <f>IF(ポートフォリオ実績!C622="","", ポートフォリオ実績!C622)</f>
        <v/>
      </c>
      <c r="D621" s="10" t="str">
        <f>IF(ポートフォリオ実績!D622="","", ポートフォリオ実績!D622)</f>
        <v/>
      </c>
      <c r="E621" s="10" t="str">
        <f>IF(ポートフォリオ実績!E622="","", ポートフォリオ実績!E622)</f>
        <v/>
      </c>
      <c r="F621" s="10" t="str">
        <f>IF(ポートフォリオ実績!F622="","", ポートフォリオ実績!F622)</f>
        <v/>
      </c>
      <c r="G621" t="str">
        <f t="shared" si="99"/>
        <v/>
      </c>
      <c r="H621">
        <f>IF(B621&lt;&gt;"", SUMIFS(ポートフォリオ実績!$D$2:$D$2001, ポートフォリオ実績!$B$2:$B$2001, B621, ポートフォリオ実績!$A$2:$A$2001, G621), 0)</f>
        <v>0</v>
      </c>
      <c r="I621">
        <f>IF(B621&lt;&gt;"", SUMIFS(ポートフォリオ実績!$C$2:$C$2001, ポートフォリオ実績!$B$2:$B$2001, B621, ポートフォリオ実績!$A$2:$A$2001, G621), 0)</f>
        <v>0</v>
      </c>
      <c r="J621">
        <f t="shared" si="100"/>
        <v>0</v>
      </c>
      <c r="K621">
        <f t="shared" si="101"/>
        <v>0</v>
      </c>
      <c r="L621">
        <f t="shared" si="102"/>
        <v>0</v>
      </c>
      <c r="M621">
        <f t="shared" si="103"/>
        <v>0</v>
      </c>
      <c r="N621">
        <f t="shared" si="104"/>
        <v>0</v>
      </c>
      <c r="O621">
        <f t="shared" si="105"/>
        <v>0</v>
      </c>
      <c r="P621" t="str">
        <f t="shared" si="106"/>
        <v/>
      </c>
      <c r="Q621" t="str">
        <f>IF(B621="","", IFERROR(VLOOKUP(B621, '基準資産配分（設定）'!$A$2:$C$2001, 3, FALSE), ""))</f>
        <v/>
      </c>
      <c r="R621" t="str">
        <f>IF(B621="","", IFERROR(VLOOKUP(B621, '基準資産配分（設定）'!$A$2:$C$2001, 2, FALSE)/100, 0))</f>
        <v/>
      </c>
      <c r="S621" t="str">
        <f>IF(B621="","", IFERROR(SUMIFS(ベンチマークリターン!$C$2:$C$2001, ベンチマークリターン!$A$2:$A$2001, A621, ベンチマークリターン!$B$2:$B$2001, Q621) / 100, 0))</f>
        <v/>
      </c>
      <c r="T621" t="str">
        <f>IF(A621="","", SUMIFS($H$2:$H$2000, $A$2:$A$2000, A621))</f>
        <v/>
      </c>
      <c r="U621" t="str">
        <f t="shared" si="107"/>
        <v/>
      </c>
      <c r="V621" t="str">
        <f t="shared" si="108"/>
        <v/>
      </c>
      <c r="W621" t="str">
        <f t="shared" si="109"/>
        <v/>
      </c>
    </row>
    <row r="622" spans="1:23" x14ac:dyDescent="0.2">
      <c r="A622" s="4" t="str">
        <f>IF(ポートフォリオ実績!A623="","", ポートフォリオ実績!A623)</f>
        <v/>
      </c>
      <c r="B622" t="str">
        <f>IF(ポートフォリオ実績!B623="","", ポートフォリオ実績!B623)</f>
        <v/>
      </c>
      <c r="C622" s="10" t="str">
        <f>IF(ポートフォリオ実績!C623="","", ポートフォリオ実績!C623)</f>
        <v/>
      </c>
      <c r="D622" s="10" t="str">
        <f>IF(ポートフォリオ実績!D623="","", ポートフォリオ実績!D623)</f>
        <v/>
      </c>
      <c r="E622" s="10" t="str">
        <f>IF(ポートフォリオ実績!E623="","", ポートフォリオ実績!E623)</f>
        <v/>
      </c>
      <c r="F622" s="10" t="str">
        <f>IF(ポートフォリオ実績!F623="","", ポートフォリオ実績!F623)</f>
        <v/>
      </c>
      <c r="G622" t="str">
        <f t="shared" si="99"/>
        <v/>
      </c>
      <c r="H622">
        <f>IF(B622&lt;&gt;"", SUMIFS(ポートフォリオ実績!$D$2:$D$2001, ポートフォリオ実績!$B$2:$B$2001, B622, ポートフォリオ実績!$A$2:$A$2001, G622), 0)</f>
        <v>0</v>
      </c>
      <c r="I622">
        <f>IF(B622&lt;&gt;"", SUMIFS(ポートフォリオ実績!$C$2:$C$2001, ポートフォリオ実績!$B$2:$B$2001, B622, ポートフォリオ実績!$A$2:$A$2001, G622), 0)</f>
        <v>0</v>
      </c>
      <c r="J622">
        <f t="shared" si="100"/>
        <v>0</v>
      </c>
      <c r="K622">
        <f t="shared" si="101"/>
        <v>0</v>
      </c>
      <c r="L622">
        <f t="shared" si="102"/>
        <v>0</v>
      </c>
      <c r="M622">
        <f t="shared" si="103"/>
        <v>0</v>
      </c>
      <c r="N622">
        <f t="shared" si="104"/>
        <v>0</v>
      </c>
      <c r="O622">
        <f t="shared" si="105"/>
        <v>0</v>
      </c>
      <c r="P622" t="str">
        <f t="shared" si="106"/>
        <v/>
      </c>
      <c r="Q622" t="str">
        <f>IF(B622="","", IFERROR(VLOOKUP(B622, '基準資産配分（設定）'!$A$2:$C$2001, 3, FALSE), ""))</f>
        <v/>
      </c>
      <c r="R622" t="str">
        <f>IF(B622="","", IFERROR(VLOOKUP(B622, '基準資産配分（設定）'!$A$2:$C$2001, 2, FALSE)/100, 0))</f>
        <v/>
      </c>
      <c r="S622" t="str">
        <f>IF(B622="","", IFERROR(SUMIFS(ベンチマークリターン!$C$2:$C$2001, ベンチマークリターン!$A$2:$A$2001, A622, ベンチマークリターン!$B$2:$B$2001, Q622) / 100, 0))</f>
        <v/>
      </c>
      <c r="T622" t="str">
        <f>IF(A622="","", SUMIFS($H$2:$H$2000, $A$2:$A$2000, A622))</f>
        <v/>
      </c>
      <c r="U622" t="str">
        <f t="shared" si="107"/>
        <v/>
      </c>
      <c r="V622" t="str">
        <f t="shared" si="108"/>
        <v/>
      </c>
      <c r="W622" t="str">
        <f t="shared" si="109"/>
        <v/>
      </c>
    </row>
    <row r="623" spans="1:23" x14ac:dyDescent="0.2">
      <c r="A623" s="4" t="str">
        <f>IF(ポートフォリオ実績!A624="","", ポートフォリオ実績!A624)</f>
        <v/>
      </c>
      <c r="B623" t="str">
        <f>IF(ポートフォリオ実績!B624="","", ポートフォリオ実績!B624)</f>
        <v/>
      </c>
      <c r="C623" s="10" t="str">
        <f>IF(ポートフォリオ実績!C624="","", ポートフォリオ実績!C624)</f>
        <v/>
      </c>
      <c r="D623" s="10" t="str">
        <f>IF(ポートフォリオ実績!D624="","", ポートフォリオ実績!D624)</f>
        <v/>
      </c>
      <c r="E623" s="10" t="str">
        <f>IF(ポートフォリオ実績!E624="","", ポートフォリオ実績!E624)</f>
        <v/>
      </c>
      <c r="F623" s="10" t="str">
        <f>IF(ポートフォリオ実績!F624="","", ポートフォリオ実績!F624)</f>
        <v/>
      </c>
      <c r="G623" t="str">
        <f t="shared" si="99"/>
        <v/>
      </c>
      <c r="H623">
        <f>IF(B623&lt;&gt;"", SUMIFS(ポートフォリオ実績!$D$2:$D$2001, ポートフォリオ実績!$B$2:$B$2001, B623, ポートフォリオ実績!$A$2:$A$2001, G623), 0)</f>
        <v>0</v>
      </c>
      <c r="I623">
        <f>IF(B623&lt;&gt;"", SUMIFS(ポートフォリオ実績!$C$2:$C$2001, ポートフォリオ実績!$B$2:$B$2001, B623, ポートフォリオ実績!$A$2:$A$2001, G623), 0)</f>
        <v>0</v>
      </c>
      <c r="J623">
        <f t="shared" si="100"/>
        <v>0</v>
      </c>
      <c r="K623">
        <f t="shared" si="101"/>
        <v>0</v>
      </c>
      <c r="L623">
        <f t="shared" si="102"/>
        <v>0</v>
      </c>
      <c r="M623">
        <f t="shared" si="103"/>
        <v>0</v>
      </c>
      <c r="N623">
        <f t="shared" si="104"/>
        <v>0</v>
      </c>
      <c r="O623">
        <f t="shared" si="105"/>
        <v>0</v>
      </c>
      <c r="P623" t="str">
        <f t="shared" si="106"/>
        <v/>
      </c>
      <c r="Q623" t="str">
        <f>IF(B623="","", IFERROR(VLOOKUP(B623, '基準資産配分（設定）'!$A$2:$C$2001, 3, FALSE), ""))</f>
        <v/>
      </c>
      <c r="R623" t="str">
        <f>IF(B623="","", IFERROR(VLOOKUP(B623, '基準資産配分（設定）'!$A$2:$C$2001, 2, FALSE)/100, 0))</f>
        <v/>
      </c>
      <c r="S623" t="str">
        <f>IF(B623="","", IFERROR(SUMIFS(ベンチマークリターン!$C$2:$C$2001, ベンチマークリターン!$A$2:$A$2001, A623, ベンチマークリターン!$B$2:$B$2001, Q623) / 100, 0))</f>
        <v/>
      </c>
      <c r="T623" t="str">
        <f>IF(A623="","", SUMIFS($H$2:$H$2000, $A$2:$A$2000, A623))</f>
        <v/>
      </c>
      <c r="U623" t="str">
        <f t="shared" si="107"/>
        <v/>
      </c>
      <c r="V623" t="str">
        <f t="shared" si="108"/>
        <v/>
      </c>
      <c r="W623" t="str">
        <f t="shared" si="109"/>
        <v/>
      </c>
    </row>
    <row r="624" spans="1:23" x14ac:dyDescent="0.2">
      <c r="A624" s="4" t="str">
        <f>IF(ポートフォリオ実績!A625="","", ポートフォリオ実績!A625)</f>
        <v/>
      </c>
      <c r="B624" t="str">
        <f>IF(ポートフォリオ実績!B625="","", ポートフォリオ実績!B625)</f>
        <v/>
      </c>
      <c r="C624" s="10" t="str">
        <f>IF(ポートフォリオ実績!C625="","", ポートフォリオ実績!C625)</f>
        <v/>
      </c>
      <c r="D624" s="10" t="str">
        <f>IF(ポートフォリオ実績!D625="","", ポートフォリオ実績!D625)</f>
        <v/>
      </c>
      <c r="E624" s="10" t="str">
        <f>IF(ポートフォリオ実績!E625="","", ポートフォリオ実績!E625)</f>
        <v/>
      </c>
      <c r="F624" s="10" t="str">
        <f>IF(ポートフォリオ実績!F625="","", ポートフォリオ実績!F625)</f>
        <v/>
      </c>
      <c r="G624" t="str">
        <f t="shared" si="99"/>
        <v/>
      </c>
      <c r="H624">
        <f>IF(B624&lt;&gt;"", SUMIFS(ポートフォリオ実績!$D$2:$D$2001, ポートフォリオ実績!$B$2:$B$2001, B624, ポートフォリオ実績!$A$2:$A$2001, G624), 0)</f>
        <v>0</v>
      </c>
      <c r="I624">
        <f>IF(B624&lt;&gt;"", SUMIFS(ポートフォリオ実績!$C$2:$C$2001, ポートフォリオ実績!$B$2:$B$2001, B624, ポートフォリオ実績!$A$2:$A$2001, G624), 0)</f>
        <v>0</v>
      </c>
      <c r="J624">
        <f t="shared" si="100"/>
        <v>0</v>
      </c>
      <c r="K624">
        <f t="shared" si="101"/>
        <v>0</v>
      </c>
      <c r="L624">
        <f t="shared" si="102"/>
        <v>0</v>
      </c>
      <c r="M624">
        <f t="shared" si="103"/>
        <v>0</v>
      </c>
      <c r="N624">
        <f t="shared" si="104"/>
        <v>0</v>
      </c>
      <c r="O624">
        <f t="shared" si="105"/>
        <v>0</v>
      </c>
      <c r="P624" t="str">
        <f t="shared" si="106"/>
        <v/>
      </c>
      <c r="Q624" t="str">
        <f>IF(B624="","", IFERROR(VLOOKUP(B624, '基準資産配分（設定）'!$A$2:$C$2001, 3, FALSE), ""))</f>
        <v/>
      </c>
      <c r="R624" t="str">
        <f>IF(B624="","", IFERROR(VLOOKUP(B624, '基準資産配分（設定）'!$A$2:$C$2001, 2, FALSE)/100, 0))</f>
        <v/>
      </c>
      <c r="S624" t="str">
        <f>IF(B624="","", IFERROR(SUMIFS(ベンチマークリターン!$C$2:$C$2001, ベンチマークリターン!$A$2:$A$2001, A624, ベンチマークリターン!$B$2:$B$2001, Q624) / 100, 0))</f>
        <v/>
      </c>
      <c r="T624" t="str">
        <f>IF(A624="","", SUMIFS($H$2:$H$2000, $A$2:$A$2000, A624))</f>
        <v/>
      </c>
      <c r="U624" t="str">
        <f t="shared" si="107"/>
        <v/>
      </c>
      <c r="V624" t="str">
        <f t="shared" si="108"/>
        <v/>
      </c>
      <c r="W624" t="str">
        <f t="shared" si="109"/>
        <v/>
      </c>
    </row>
    <row r="625" spans="1:23" x14ac:dyDescent="0.2">
      <c r="A625" s="4" t="str">
        <f>IF(ポートフォリオ実績!A626="","", ポートフォリオ実績!A626)</f>
        <v/>
      </c>
      <c r="B625" t="str">
        <f>IF(ポートフォリオ実績!B626="","", ポートフォリオ実績!B626)</f>
        <v/>
      </c>
      <c r="C625" s="10" t="str">
        <f>IF(ポートフォリオ実績!C626="","", ポートフォリオ実績!C626)</f>
        <v/>
      </c>
      <c r="D625" s="10" t="str">
        <f>IF(ポートフォリオ実績!D626="","", ポートフォリオ実績!D626)</f>
        <v/>
      </c>
      <c r="E625" s="10" t="str">
        <f>IF(ポートフォリオ実績!E626="","", ポートフォリオ実績!E626)</f>
        <v/>
      </c>
      <c r="F625" s="10" t="str">
        <f>IF(ポートフォリオ実績!F626="","", ポートフォリオ実績!F626)</f>
        <v/>
      </c>
      <c r="G625" t="str">
        <f t="shared" si="99"/>
        <v/>
      </c>
      <c r="H625">
        <f>IF(B625&lt;&gt;"", SUMIFS(ポートフォリオ実績!$D$2:$D$2001, ポートフォリオ実績!$B$2:$B$2001, B625, ポートフォリオ実績!$A$2:$A$2001, G625), 0)</f>
        <v>0</v>
      </c>
      <c r="I625">
        <f>IF(B625&lt;&gt;"", SUMIFS(ポートフォリオ実績!$C$2:$C$2001, ポートフォリオ実績!$B$2:$B$2001, B625, ポートフォリオ実績!$A$2:$A$2001, G625), 0)</f>
        <v>0</v>
      </c>
      <c r="J625">
        <f t="shared" si="100"/>
        <v>0</v>
      </c>
      <c r="K625">
        <f t="shared" si="101"/>
        <v>0</v>
      </c>
      <c r="L625">
        <f t="shared" si="102"/>
        <v>0</v>
      </c>
      <c r="M625">
        <f t="shared" si="103"/>
        <v>0</v>
      </c>
      <c r="N625">
        <f t="shared" si="104"/>
        <v>0</v>
      </c>
      <c r="O625">
        <f t="shared" si="105"/>
        <v>0</v>
      </c>
      <c r="P625" t="str">
        <f t="shared" si="106"/>
        <v/>
      </c>
      <c r="Q625" t="str">
        <f>IF(B625="","", IFERROR(VLOOKUP(B625, '基準資産配分（設定）'!$A$2:$C$2001, 3, FALSE), ""))</f>
        <v/>
      </c>
      <c r="R625" t="str">
        <f>IF(B625="","", IFERROR(VLOOKUP(B625, '基準資産配分（設定）'!$A$2:$C$2001, 2, FALSE)/100, 0))</f>
        <v/>
      </c>
      <c r="S625" t="str">
        <f>IF(B625="","", IFERROR(SUMIFS(ベンチマークリターン!$C$2:$C$2001, ベンチマークリターン!$A$2:$A$2001, A625, ベンチマークリターン!$B$2:$B$2001, Q625) / 100, 0))</f>
        <v/>
      </c>
      <c r="T625" t="str">
        <f>IF(A625="","", SUMIFS($H$2:$H$2000, $A$2:$A$2000, A625))</f>
        <v/>
      </c>
      <c r="U625" t="str">
        <f t="shared" si="107"/>
        <v/>
      </c>
      <c r="V625" t="str">
        <f t="shared" si="108"/>
        <v/>
      </c>
      <c r="W625" t="str">
        <f t="shared" si="109"/>
        <v/>
      </c>
    </row>
    <row r="626" spans="1:23" x14ac:dyDescent="0.2">
      <c r="A626" s="4" t="str">
        <f>IF(ポートフォリオ実績!A627="","", ポートフォリオ実績!A627)</f>
        <v/>
      </c>
      <c r="B626" t="str">
        <f>IF(ポートフォリオ実績!B627="","", ポートフォリオ実績!B627)</f>
        <v/>
      </c>
      <c r="C626" s="10" t="str">
        <f>IF(ポートフォリオ実績!C627="","", ポートフォリオ実績!C627)</f>
        <v/>
      </c>
      <c r="D626" s="10" t="str">
        <f>IF(ポートフォリオ実績!D627="","", ポートフォリオ実績!D627)</f>
        <v/>
      </c>
      <c r="E626" s="10" t="str">
        <f>IF(ポートフォリオ実績!E627="","", ポートフォリオ実績!E627)</f>
        <v/>
      </c>
      <c r="F626" s="10" t="str">
        <f>IF(ポートフォリオ実績!F627="","", ポートフォリオ実績!F627)</f>
        <v/>
      </c>
      <c r="G626" t="str">
        <f t="shared" si="99"/>
        <v/>
      </c>
      <c r="H626">
        <f>IF(B626&lt;&gt;"", SUMIFS(ポートフォリオ実績!$D$2:$D$2001, ポートフォリオ実績!$B$2:$B$2001, B626, ポートフォリオ実績!$A$2:$A$2001, G626), 0)</f>
        <v>0</v>
      </c>
      <c r="I626">
        <f>IF(B626&lt;&gt;"", SUMIFS(ポートフォリオ実績!$C$2:$C$2001, ポートフォリオ実績!$B$2:$B$2001, B626, ポートフォリオ実績!$A$2:$A$2001, G626), 0)</f>
        <v>0</v>
      </c>
      <c r="J626">
        <f t="shared" si="100"/>
        <v>0</v>
      </c>
      <c r="K626">
        <f t="shared" si="101"/>
        <v>0</v>
      </c>
      <c r="L626">
        <f t="shared" si="102"/>
        <v>0</v>
      </c>
      <c r="M626">
        <f t="shared" si="103"/>
        <v>0</v>
      </c>
      <c r="N626">
        <f t="shared" si="104"/>
        <v>0</v>
      </c>
      <c r="O626">
        <f t="shared" si="105"/>
        <v>0</v>
      </c>
      <c r="P626" t="str">
        <f t="shared" si="106"/>
        <v/>
      </c>
      <c r="Q626" t="str">
        <f>IF(B626="","", IFERROR(VLOOKUP(B626, '基準資産配分（設定）'!$A$2:$C$2001, 3, FALSE), ""))</f>
        <v/>
      </c>
      <c r="R626" t="str">
        <f>IF(B626="","", IFERROR(VLOOKUP(B626, '基準資産配分（設定）'!$A$2:$C$2001, 2, FALSE)/100, 0))</f>
        <v/>
      </c>
      <c r="S626" t="str">
        <f>IF(B626="","", IFERROR(SUMIFS(ベンチマークリターン!$C$2:$C$2001, ベンチマークリターン!$A$2:$A$2001, A626, ベンチマークリターン!$B$2:$B$2001, Q626) / 100, 0))</f>
        <v/>
      </c>
      <c r="T626" t="str">
        <f>IF(A626="","", SUMIFS($H$2:$H$2000, $A$2:$A$2000, A626))</f>
        <v/>
      </c>
      <c r="U626" t="str">
        <f t="shared" si="107"/>
        <v/>
      </c>
      <c r="V626" t="str">
        <f t="shared" si="108"/>
        <v/>
      </c>
      <c r="W626" t="str">
        <f t="shared" si="109"/>
        <v/>
      </c>
    </row>
    <row r="627" spans="1:23" x14ac:dyDescent="0.2">
      <c r="A627" s="4" t="str">
        <f>IF(ポートフォリオ実績!A628="","", ポートフォリオ実績!A628)</f>
        <v/>
      </c>
      <c r="B627" t="str">
        <f>IF(ポートフォリオ実績!B628="","", ポートフォリオ実績!B628)</f>
        <v/>
      </c>
      <c r="C627" s="10" t="str">
        <f>IF(ポートフォリオ実績!C628="","", ポートフォリオ実績!C628)</f>
        <v/>
      </c>
      <c r="D627" s="10" t="str">
        <f>IF(ポートフォリオ実績!D628="","", ポートフォリオ実績!D628)</f>
        <v/>
      </c>
      <c r="E627" s="10" t="str">
        <f>IF(ポートフォリオ実績!E628="","", ポートフォリオ実績!E628)</f>
        <v/>
      </c>
      <c r="F627" s="10" t="str">
        <f>IF(ポートフォリオ実績!F628="","", ポートフォリオ実績!F628)</f>
        <v/>
      </c>
      <c r="G627" t="str">
        <f t="shared" si="99"/>
        <v/>
      </c>
      <c r="H627">
        <f>IF(B627&lt;&gt;"", SUMIFS(ポートフォリオ実績!$D$2:$D$2001, ポートフォリオ実績!$B$2:$B$2001, B627, ポートフォリオ実績!$A$2:$A$2001, G627), 0)</f>
        <v>0</v>
      </c>
      <c r="I627">
        <f>IF(B627&lt;&gt;"", SUMIFS(ポートフォリオ実績!$C$2:$C$2001, ポートフォリオ実績!$B$2:$B$2001, B627, ポートフォリオ実績!$A$2:$A$2001, G627), 0)</f>
        <v>0</v>
      </c>
      <c r="J627">
        <f t="shared" si="100"/>
        <v>0</v>
      </c>
      <c r="K627">
        <f t="shared" si="101"/>
        <v>0</v>
      </c>
      <c r="L627">
        <f t="shared" si="102"/>
        <v>0</v>
      </c>
      <c r="M627">
        <f t="shared" si="103"/>
        <v>0</v>
      </c>
      <c r="N627">
        <f t="shared" si="104"/>
        <v>0</v>
      </c>
      <c r="O627">
        <f t="shared" si="105"/>
        <v>0</v>
      </c>
      <c r="P627" t="str">
        <f t="shared" si="106"/>
        <v/>
      </c>
      <c r="Q627" t="str">
        <f>IF(B627="","", IFERROR(VLOOKUP(B627, '基準資産配分（設定）'!$A$2:$C$2001, 3, FALSE), ""))</f>
        <v/>
      </c>
      <c r="R627" t="str">
        <f>IF(B627="","", IFERROR(VLOOKUP(B627, '基準資産配分（設定）'!$A$2:$C$2001, 2, FALSE)/100, 0))</f>
        <v/>
      </c>
      <c r="S627" t="str">
        <f>IF(B627="","", IFERROR(SUMIFS(ベンチマークリターン!$C$2:$C$2001, ベンチマークリターン!$A$2:$A$2001, A627, ベンチマークリターン!$B$2:$B$2001, Q627) / 100, 0))</f>
        <v/>
      </c>
      <c r="T627" t="str">
        <f>IF(A627="","", SUMIFS($H$2:$H$2000, $A$2:$A$2000, A627))</f>
        <v/>
      </c>
      <c r="U627" t="str">
        <f t="shared" si="107"/>
        <v/>
      </c>
      <c r="V627" t="str">
        <f t="shared" si="108"/>
        <v/>
      </c>
      <c r="W627" t="str">
        <f t="shared" si="109"/>
        <v/>
      </c>
    </row>
    <row r="628" spans="1:23" x14ac:dyDescent="0.2">
      <c r="A628" s="4" t="str">
        <f>IF(ポートフォリオ実績!A629="","", ポートフォリオ実績!A629)</f>
        <v/>
      </c>
      <c r="B628" t="str">
        <f>IF(ポートフォリオ実績!B629="","", ポートフォリオ実績!B629)</f>
        <v/>
      </c>
      <c r="C628" s="10" t="str">
        <f>IF(ポートフォリオ実績!C629="","", ポートフォリオ実績!C629)</f>
        <v/>
      </c>
      <c r="D628" s="10" t="str">
        <f>IF(ポートフォリオ実績!D629="","", ポートフォリオ実績!D629)</f>
        <v/>
      </c>
      <c r="E628" s="10" t="str">
        <f>IF(ポートフォリオ実績!E629="","", ポートフォリオ実績!E629)</f>
        <v/>
      </c>
      <c r="F628" s="10" t="str">
        <f>IF(ポートフォリオ実績!F629="","", ポートフォリオ実績!F629)</f>
        <v/>
      </c>
      <c r="G628" t="str">
        <f t="shared" si="99"/>
        <v/>
      </c>
      <c r="H628">
        <f>IF(B628&lt;&gt;"", SUMIFS(ポートフォリオ実績!$D$2:$D$2001, ポートフォリオ実績!$B$2:$B$2001, B628, ポートフォリオ実績!$A$2:$A$2001, G628), 0)</f>
        <v>0</v>
      </c>
      <c r="I628">
        <f>IF(B628&lt;&gt;"", SUMIFS(ポートフォリオ実績!$C$2:$C$2001, ポートフォリオ実績!$B$2:$B$2001, B628, ポートフォリオ実績!$A$2:$A$2001, G628), 0)</f>
        <v>0</v>
      </c>
      <c r="J628">
        <f t="shared" si="100"/>
        <v>0</v>
      </c>
      <c r="K628">
        <f t="shared" si="101"/>
        <v>0</v>
      </c>
      <c r="L628">
        <f t="shared" si="102"/>
        <v>0</v>
      </c>
      <c r="M628">
        <f t="shared" si="103"/>
        <v>0</v>
      </c>
      <c r="N628">
        <f t="shared" si="104"/>
        <v>0</v>
      </c>
      <c r="O628">
        <f t="shared" si="105"/>
        <v>0</v>
      </c>
      <c r="P628" t="str">
        <f t="shared" si="106"/>
        <v/>
      </c>
      <c r="Q628" t="str">
        <f>IF(B628="","", IFERROR(VLOOKUP(B628, '基準資産配分（設定）'!$A$2:$C$2001, 3, FALSE), ""))</f>
        <v/>
      </c>
      <c r="R628" t="str">
        <f>IF(B628="","", IFERROR(VLOOKUP(B628, '基準資産配分（設定）'!$A$2:$C$2001, 2, FALSE)/100, 0))</f>
        <v/>
      </c>
      <c r="S628" t="str">
        <f>IF(B628="","", IFERROR(SUMIFS(ベンチマークリターン!$C$2:$C$2001, ベンチマークリターン!$A$2:$A$2001, A628, ベンチマークリターン!$B$2:$B$2001, Q628) / 100, 0))</f>
        <v/>
      </c>
      <c r="T628" t="str">
        <f>IF(A628="","", SUMIFS($H$2:$H$2000, $A$2:$A$2000, A628))</f>
        <v/>
      </c>
      <c r="U628" t="str">
        <f t="shared" si="107"/>
        <v/>
      </c>
      <c r="V628" t="str">
        <f t="shared" si="108"/>
        <v/>
      </c>
      <c r="W628" t="str">
        <f t="shared" si="109"/>
        <v/>
      </c>
    </row>
    <row r="629" spans="1:23" x14ac:dyDescent="0.2">
      <c r="A629" s="4" t="str">
        <f>IF(ポートフォリオ実績!A630="","", ポートフォリオ実績!A630)</f>
        <v/>
      </c>
      <c r="B629" t="str">
        <f>IF(ポートフォリオ実績!B630="","", ポートフォリオ実績!B630)</f>
        <v/>
      </c>
      <c r="C629" s="10" t="str">
        <f>IF(ポートフォリオ実績!C630="","", ポートフォリオ実績!C630)</f>
        <v/>
      </c>
      <c r="D629" s="10" t="str">
        <f>IF(ポートフォリオ実績!D630="","", ポートフォリオ実績!D630)</f>
        <v/>
      </c>
      <c r="E629" s="10" t="str">
        <f>IF(ポートフォリオ実績!E630="","", ポートフォリオ実績!E630)</f>
        <v/>
      </c>
      <c r="F629" s="10" t="str">
        <f>IF(ポートフォリオ実績!F630="","", ポートフォリオ実績!F630)</f>
        <v/>
      </c>
      <c r="G629" t="str">
        <f t="shared" si="99"/>
        <v/>
      </c>
      <c r="H629">
        <f>IF(B629&lt;&gt;"", SUMIFS(ポートフォリオ実績!$D$2:$D$2001, ポートフォリオ実績!$B$2:$B$2001, B629, ポートフォリオ実績!$A$2:$A$2001, G629), 0)</f>
        <v>0</v>
      </c>
      <c r="I629">
        <f>IF(B629&lt;&gt;"", SUMIFS(ポートフォリオ実績!$C$2:$C$2001, ポートフォリオ実績!$B$2:$B$2001, B629, ポートフォリオ実績!$A$2:$A$2001, G629), 0)</f>
        <v>0</v>
      </c>
      <c r="J629">
        <f t="shared" si="100"/>
        <v>0</v>
      </c>
      <c r="K629">
        <f t="shared" si="101"/>
        <v>0</v>
      </c>
      <c r="L629">
        <f t="shared" si="102"/>
        <v>0</v>
      </c>
      <c r="M629">
        <f t="shared" si="103"/>
        <v>0</v>
      </c>
      <c r="N629">
        <f t="shared" si="104"/>
        <v>0</v>
      </c>
      <c r="O629">
        <f t="shared" si="105"/>
        <v>0</v>
      </c>
      <c r="P629" t="str">
        <f t="shared" si="106"/>
        <v/>
      </c>
      <c r="Q629" t="str">
        <f>IF(B629="","", IFERROR(VLOOKUP(B629, '基準資産配分（設定）'!$A$2:$C$2001, 3, FALSE), ""))</f>
        <v/>
      </c>
      <c r="R629" t="str">
        <f>IF(B629="","", IFERROR(VLOOKUP(B629, '基準資産配分（設定）'!$A$2:$C$2001, 2, FALSE)/100, 0))</f>
        <v/>
      </c>
      <c r="S629" t="str">
        <f>IF(B629="","", IFERROR(SUMIFS(ベンチマークリターン!$C$2:$C$2001, ベンチマークリターン!$A$2:$A$2001, A629, ベンチマークリターン!$B$2:$B$2001, Q629) / 100, 0))</f>
        <v/>
      </c>
      <c r="T629" t="str">
        <f>IF(A629="","", SUMIFS($H$2:$H$2000, $A$2:$A$2000, A629))</f>
        <v/>
      </c>
      <c r="U629" t="str">
        <f t="shared" si="107"/>
        <v/>
      </c>
      <c r="V629" t="str">
        <f t="shared" si="108"/>
        <v/>
      </c>
      <c r="W629" t="str">
        <f t="shared" si="109"/>
        <v/>
      </c>
    </row>
    <row r="630" spans="1:23" x14ac:dyDescent="0.2">
      <c r="A630" s="4" t="str">
        <f>IF(ポートフォリオ実績!A631="","", ポートフォリオ実績!A631)</f>
        <v/>
      </c>
      <c r="B630" t="str">
        <f>IF(ポートフォリオ実績!B631="","", ポートフォリオ実績!B631)</f>
        <v/>
      </c>
      <c r="C630" s="10" t="str">
        <f>IF(ポートフォリオ実績!C631="","", ポートフォリオ実績!C631)</f>
        <v/>
      </c>
      <c r="D630" s="10" t="str">
        <f>IF(ポートフォリオ実績!D631="","", ポートフォリオ実績!D631)</f>
        <v/>
      </c>
      <c r="E630" s="10" t="str">
        <f>IF(ポートフォリオ実績!E631="","", ポートフォリオ実績!E631)</f>
        <v/>
      </c>
      <c r="F630" s="10" t="str">
        <f>IF(ポートフォリオ実績!F631="","", ポートフォリオ実績!F631)</f>
        <v/>
      </c>
      <c r="G630" t="str">
        <f t="shared" si="99"/>
        <v/>
      </c>
      <c r="H630">
        <f>IF(B630&lt;&gt;"", SUMIFS(ポートフォリオ実績!$D$2:$D$2001, ポートフォリオ実績!$B$2:$B$2001, B630, ポートフォリオ実績!$A$2:$A$2001, G630), 0)</f>
        <v>0</v>
      </c>
      <c r="I630">
        <f>IF(B630&lt;&gt;"", SUMIFS(ポートフォリオ実績!$C$2:$C$2001, ポートフォリオ実績!$B$2:$B$2001, B630, ポートフォリオ実績!$A$2:$A$2001, G630), 0)</f>
        <v>0</v>
      </c>
      <c r="J630">
        <f t="shared" si="100"/>
        <v>0</v>
      </c>
      <c r="K630">
        <f t="shared" si="101"/>
        <v>0</v>
      </c>
      <c r="L630">
        <f t="shared" si="102"/>
        <v>0</v>
      </c>
      <c r="M630">
        <f t="shared" si="103"/>
        <v>0</v>
      </c>
      <c r="N630">
        <f t="shared" si="104"/>
        <v>0</v>
      </c>
      <c r="O630">
        <f t="shared" si="105"/>
        <v>0</v>
      </c>
      <c r="P630" t="str">
        <f t="shared" si="106"/>
        <v/>
      </c>
      <c r="Q630" t="str">
        <f>IF(B630="","", IFERROR(VLOOKUP(B630, '基準資産配分（設定）'!$A$2:$C$2001, 3, FALSE), ""))</f>
        <v/>
      </c>
      <c r="R630" t="str">
        <f>IF(B630="","", IFERROR(VLOOKUP(B630, '基準資産配分（設定）'!$A$2:$C$2001, 2, FALSE)/100, 0))</f>
        <v/>
      </c>
      <c r="S630" t="str">
        <f>IF(B630="","", IFERROR(SUMIFS(ベンチマークリターン!$C$2:$C$2001, ベンチマークリターン!$A$2:$A$2001, A630, ベンチマークリターン!$B$2:$B$2001, Q630) / 100, 0))</f>
        <v/>
      </c>
      <c r="T630" t="str">
        <f>IF(A630="","", SUMIFS($H$2:$H$2000, $A$2:$A$2000, A630))</f>
        <v/>
      </c>
      <c r="U630" t="str">
        <f t="shared" si="107"/>
        <v/>
      </c>
      <c r="V630" t="str">
        <f t="shared" si="108"/>
        <v/>
      </c>
      <c r="W630" t="str">
        <f t="shared" si="109"/>
        <v/>
      </c>
    </row>
    <row r="631" spans="1:23" x14ac:dyDescent="0.2">
      <c r="A631" s="4" t="str">
        <f>IF(ポートフォリオ実績!A632="","", ポートフォリオ実績!A632)</f>
        <v/>
      </c>
      <c r="B631" t="str">
        <f>IF(ポートフォリオ実績!B632="","", ポートフォリオ実績!B632)</f>
        <v/>
      </c>
      <c r="C631" s="10" t="str">
        <f>IF(ポートフォリオ実績!C632="","", ポートフォリオ実績!C632)</f>
        <v/>
      </c>
      <c r="D631" s="10" t="str">
        <f>IF(ポートフォリオ実績!D632="","", ポートフォリオ実績!D632)</f>
        <v/>
      </c>
      <c r="E631" s="10" t="str">
        <f>IF(ポートフォリオ実績!E632="","", ポートフォリオ実績!E632)</f>
        <v/>
      </c>
      <c r="F631" s="10" t="str">
        <f>IF(ポートフォリオ実績!F632="","", ポートフォリオ実績!F632)</f>
        <v/>
      </c>
      <c r="G631" t="str">
        <f t="shared" si="99"/>
        <v/>
      </c>
      <c r="H631">
        <f>IF(B631&lt;&gt;"", SUMIFS(ポートフォリオ実績!$D$2:$D$2001, ポートフォリオ実績!$B$2:$B$2001, B631, ポートフォリオ実績!$A$2:$A$2001, G631), 0)</f>
        <v>0</v>
      </c>
      <c r="I631">
        <f>IF(B631&lt;&gt;"", SUMIFS(ポートフォリオ実績!$C$2:$C$2001, ポートフォリオ実績!$B$2:$B$2001, B631, ポートフォリオ実績!$A$2:$A$2001, G631), 0)</f>
        <v>0</v>
      </c>
      <c r="J631">
        <f t="shared" si="100"/>
        <v>0</v>
      </c>
      <c r="K631">
        <f t="shared" si="101"/>
        <v>0</v>
      </c>
      <c r="L631">
        <f t="shared" si="102"/>
        <v>0</v>
      </c>
      <c r="M631">
        <f t="shared" si="103"/>
        <v>0</v>
      </c>
      <c r="N631">
        <f t="shared" si="104"/>
        <v>0</v>
      </c>
      <c r="O631">
        <f t="shared" si="105"/>
        <v>0</v>
      </c>
      <c r="P631" t="str">
        <f t="shared" si="106"/>
        <v/>
      </c>
      <c r="Q631" t="str">
        <f>IF(B631="","", IFERROR(VLOOKUP(B631, '基準資産配分（設定）'!$A$2:$C$2001, 3, FALSE), ""))</f>
        <v/>
      </c>
      <c r="R631" t="str">
        <f>IF(B631="","", IFERROR(VLOOKUP(B631, '基準資産配分（設定）'!$A$2:$C$2001, 2, FALSE)/100, 0))</f>
        <v/>
      </c>
      <c r="S631" t="str">
        <f>IF(B631="","", IFERROR(SUMIFS(ベンチマークリターン!$C$2:$C$2001, ベンチマークリターン!$A$2:$A$2001, A631, ベンチマークリターン!$B$2:$B$2001, Q631) / 100, 0))</f>
        <v/>
      </c>
      <c r="T631" t="str">
        <f>IF(A631="","", SUMIFS($H$2:$H$2000, $A$2:$A$2000, A631))</f>
        <v/>
      </c>
      <c r="U631" t="str">
        <f t="shared" si="107"/>
        <v/>
      </c>
      <c r="V631" t="str">
        <f t="shared" si="108"/>
        <v/>
      </c>
      <c r="W631" t="str">
        <f t="shared" si="109"/>
        <v/>
      </c>
    </row>
    <row r="632" spans="1:23" x14ac:dyDescent="0.2">
      <c r="A632" s="4" t="str">
        <f>IF(ポートフォリオ実績!A633="","", ポートフォリオ実績!A633)</f>
        <v/>
      </c>
      <c r="B632" t="str">
        <f>IF(ポートフォリオ実績!B633="","", ポートフォリオ実績!B633)</f>
        <v/>
      </c>
      <c r="C632" s="10" t="str">
        <f>IF(ポートフォリオ実績!C633="","", ポートフォリオ実績!C633)</f>
        <v/>
      </c>
      <c r="D632" s="10" t="str">
        <f>IF(ポートフォリオ実績!D633="","", ポートフォリオ実績!D633)</f>
        <v/>
      </c>
      <c r="E632" s="10" t="str">
        <f>IF(ポートフォリオ実績!E633="","", ポートフォリオ実績!E633)</f>
        <v/>
      </c>
      <c r="F632" s="10" t="str">
        <f>IF(ポートフォリオ実績!F633="","", ポートフォリオ実績!F633)</f>
        <v/>
      </c>
      <c r="G632" t="str">
        <f t="shared" si="99"/>
        <v/>
      </c>
      <c r="H632">
        <f>IF(B632&lt;&gt;"", SUMIFS(ポートフォリオ実績!$D$2:$D$2001, ポートフォリオ実績!$B$2:$B$2001, B632, ポートフォリオ実績!$A$2:$A$2001, G632), 0)</f>
        <v>0</v>
      </c>
      <c r="I632">
        <f>IF(B632&lt;&gt;"", SUMIFS(ポートフォリオ実績!$C$2:$C$2001, ポートフォリオ実績!$B$2:$B$2001, B632, ポートフォリオ実績!$A$2:$A$2001, G632), 0)</f>
        <v>0</v>
      </c>
      <c r="J632">
        <f t="shared" si="100"/>
        <v>0</v>
      </c>
      <c r="K632">
        <f t="shared" si="101"/>
        <v>0</v>
      </c>
      <c r="L632">
        <f t="shared" si="102"/>
        <v>0</v>
      </c>
      <c r="M632">
        <f t="shared" si="103"/>
        <v>0</v>
      </c>
      <c r="N632">
        <f t="shared" si="104"/>
        <v>0</v>
      </c>
      <c r="O632">
        <f t="shared" si="105"/>
        <v>0</v>
      </c>
      <c r="P632" t="str">
        <f t="shared" si="106"/>
        <v/>
      </c>
      <c r="Q632" t="str">
        <f>IF(B632="","", IFERROR(VLOOKUP(B632, '基準資産配分（設定）'!$A$2:$C$2001, 3, FALSE), ""))</f>
        <v/>
      </c>
      <c r="R632" t="str">
        <f>IF(B632="","", IFERROR(VLOOKUP(B632, '基準資産配分（設定）'!$A$2:$C$2001, 2, FALSE)/100, 0))</f>
        <v/>
      </c>
      <c r="S632" t="str">
        <f>IF(B632="","", IFERROR(SUMIFS(ベンチマークリターン!$C$2:$C$2001, ベンチマークリターン!$A$2:$A$2001, A632, ベンチマークリターン!$B$2:$B$2001, Q632) / 100, 0))</f>
        <v/>
      </c>
      <c r="T632" t="str">
        <f>IF(A632="","", SUMIFS($H$2:$H$2000, $A$2:$A$2000, A632))</f>
        <v/>
      </c>
      <c r="U632" t="str">
        <f t="shared" si="107"/>
        <v/>
      </c>
      <c r="V632" t="str">
        <f t="shared" si="108"/>
        <v/>
      </c>
      <c r="W632" t="str">
        <f t="shared" si="109"/>
        <v/>
      </c>
    </row>
    <row r="633" spans="1:23" x14ac:dyDescent="0.2">
      <c r="A633" s="4" t="str">
        <f>IF(ポートフォリオ実績!A634="","", ポートフォリオ実績!A634)</f>
        <v/>
      </c>
      <c r="B633" t="str">
        <f>IF(ポートフォリオ実績!B634="","", ポートフォリオ実績!B634)</f>
        <v/>
      </c>
      <c r="C633" s="10" t="str">
        <f>IF(ポートフォリオ実績!C634="","", ポートフォリオ実績!C634)</f>
        <v/>
      </c>
      <c r="D633" s="10" t="str">
        <f>IF(ポートフォリオ実績!D634="","", ポートフォリオ実績!D634)</f>
        <v/>
      </c>
      <c r="E633" s="10" t="str">
        <f>IF(ポートフォリオ実績!E634="","", ポートフォリオ実績!E634)</f>
        <v/>
      </c>
      <c r="F633" s="10" t="str">
        <f>IF(ポートフォリオ実績!F634="","", ポートフォリオ実績!F634)</f>
        <v/>
      </c>
      <c r="G633" t="str">
        <f t="shared" si="99"/>
        <v/>
      </c>
      <c r="H633">
        <f>IF(B633&lt;&gt;"", SUMIFS(ポートフォリオ実績!$D$2:$D$2001, ポートフォリオ実績!$B$2:$B$2001, B633, ポートフォリオ実績!$A$2:$A$2001, G633), 0)</f>
        <v>0</v>
      </c>
      <c r="I633">
        <f>IF(B633&lt;&gt;"", SUMIFS(ポートフォリオ実績!$C$2:$C$2001, ポートフォリオ実績!$B$2:$B$2001, B633, ポートフォリオ実績!$A$2:$A$2001, G633), 0)</f>
        <v>0</v>
      </c>
      <c r="J633">
        <f t="shared" si="100"/>
        <v>0</v>
      </c>
      <c r="K633">
        <f t="shared" si="101"/>
        <v>0</v>
      </c>
      <c r="L633">
        <f t="shared" si="102"/>
        <v>0</v>
      </c>
      <c r="M633">
        <f t="shared" si="103"/>
        <v>0</v>
      </c>
      <c r="N633">
        <f t="shared" si="104"/>
        <v>0</v>
      </c>
      <c r="O633">
        <f t="shared" si="105"/>
        <v>0</v>
      </c>
      <c r="P633" t="str">
        <f t="shared" si="106"/>
        <v/>
      </c>
      <c r="Q633" t="str">
        <f>IF(B633="","", IFERROR(VLOOKUP(B633, '基準資産配分（設定）'!$A$2:$C$2001, 3, FALSE), ""))</f>
        <v/>
      </c>
      <c r="R633" t="str">
        <f>IF(B633="","", IFERROR(VLOOKUP(B633, '基準資産配分（設定）'!$A$2:$C$2001, 2, FALSE)/100, 0))</f>
        <v/>
      </c>
      <c r="S633" t="str">
        <f>IF(B633="","", IFERROR(SUMIFS(ベンチマークリターン!$C$2:$C$2001, ベンチマークリターン!$A$2:$A$2001, A633, ベンチマークリターン!$B$2:$B$2001, Q633) / 100, 0))</f>
        <v/>
      </c>
      <c r="T633" t="str">
        <f>IF(A633="","", SUMIFS($H$2:$H$2000, $A$2:$A$2000, A633))</f>
        <v/>
      </c>
      <c r="U633" t="str">
        <f t="shared" si="107"/>
        <v/>
      </c>
      <c r="V633" t="str">
        <f t="shared" si="108"/>
        <v/>
      </c>
      <c r="W633" t="str">
        <f t="shared" si="109"/>
        <v/>
      </c>
    </row>
    <row r="634" spans="1:23" x14ac:dyDescent="0.2">
      <c r="A634" s="4" t="str">
        <f>IF(ポートフォリオ実績!A635="","", ポートフォリオ実績!A635)</f>
        <v/>
      </c>
      <c r="B634" t="str">
        <f>IF(ポートフォリオ実績!B635="","", ポートフォリオ実績!B635)</f>
        <v/>
      </c>
      <c r="C634" s="10" t="str">
        <f>IF(ポートフォリオ実績!C635="","", ポートフォリオ実績!C635)</f>
        <v/>
      </c>
      <c r="D634" s="10" t="str">
        <f>IF(ポートフォリオ実績!D635="","", ポートフォリオ実績!D635)</f>
        <v/>
      </c>
      <c r="E634" s="10" t="str">
        <f>IF(ポートフォリオ実績!E635="","", ポートフォリオ実績!E635)</f>
        <v/>
      </c>
      <c r="F634" s="10" t="str">
        <f>IF(ポートフォリオ実績!F635="","", ポートフォリオ実績!F635)</f>
        <v/>
      </c>
      <c r="G634" t="str">
        <f t="shared" si="99"/>
        <v/>
      </c>
      <c r="H634">
        <f>IF(B634&lt;&gt;"", SUMIFS(ポートフォリオ実績!$D$2:$D$2001, ポートフォリオ実績!$B$2:$B$2001, B634, ポートフォリオ実績!$A$2:$A$2001, G634), 0)</f>
        <v>0</v>
      </c>
      <c r="I634">
        <f>IF(B634&lt;&gt;"", SUMIFS(ポートフォリオ実績!$C$2:$C$2001, ポートフォリオ実績!$B$2:$B$2001, B634, ポートフォリオ実績!$A$2:$A$2001, G634), 0)</f>
        <v>0</v>
      </c>
      <c r="J634">
        <f t="shared" si="100"/>
        <v>0</v>
      </c>
      <c r="K634">
        <f t="shared" si="101"/>
        <v>0</v>
      </c>
      <c r="L634">
        <f t="shared" si="102"/>
        <v>0</v>
      </c>
      <c r="M634">
        <f t="shared" si="103"/>
        <v>0</v>
      </c>
      <c r="N634">
        <f t="shared" si="104"/>
        <v>0</v>
      </c>
      <c r="O634">
        <f t="shared" si="105"/>
        <v>0</v>
      </c>
      <c r="P634" t="str">
        <f t="shared" si="106"/>
        <v/>
      </c>
      <c r="Q634" t="str">
        <f>IF(B634="","", IFERROR(VLOOKUP(B634, '基準資産配分（設定）'!$A$2:$C$2001, 3, FALSE), ""))</f>
        <v/>
      </c>
      <c r="R634" t="str">
        <f>IF(B634="","", IFERROR(VLOOKUP(B634, '基準資産配分（設定）'!$A$2:$C$2001, 2, FALSE)/100, 0))</f>
        <v/>
      </c>
      <c r="S634" t="str">
        <f>IF(B634="","", IFERROR(SUMIFS(ベンチマークリターン!$C$2:$C$2001, ベンチマークリターン!$A$2:$A$2001, A634, ベンチマークリターン!$B$2:$B$2001, Q634) / 100, 0))</f>
        <v/>
      </c>
      <c r="T634" t="str">
        <f>IF(A634="","", SUMIFS($H$2:$H$2000, $A$2:$A$2000, A634))</f>
        <v/>
      </c>
      <c r="U634" t="str">
        <f t="shared" si="107"/>
        <v/>
      </c>
      <c r="V634" t="str">
        <f t="shared" si="108"/>
        <v/>
      </c>
      <c r="W634" t="str">
        <f t="shared" si="109"/>
        <v/>
      </c>
    </row>
    <row r="635" spans="1:23" x14ac:dyDescent="0.2">
      <c r="A635" s="4" t="str">
        <f>IF(ポートフォリオ実績!A636="","", ポートフォリオ実績!A636)</f>
        <v/>
      </c>
      <c r="B635" t="str">
        <f>IF(ポートフォリオ実績!B636="","", ポートフォリオ実績!B636)</f>
        <v/>
      </c>
      <c r="C635" s="10" t="str">
        <f>IF(ポートフォリオ実績!C636="","", ポートフォリオ実績!C636)</f>
        <v/>
      </c>
      <c r="D635" s="10" t="str">
        <f>IF(ポートフォリオ実績!D636="","", ポートフォリオ実績!D636)</f>
        <v/>
      </c>
      <c r="E635" s="10" t="str">
        <f>IF(ポートフォリオ実績!E636="","", ポートフォリオ実績!E636)</f>
        <v/>
      </c>
      <c r="F635" s="10" t="str">
        <f>IF(ポートフォリオ実績!F636="","", ポートフォリオ実績!F636)</f>
        <v/>
      </c>
      <c r="G635" t="str">
        <f t="shared" si="99"/>
        <v/>
      </c>
      <c r="H635">
        <f>IF(B635&lt;&gt;"", SUMIFS(ポートフォリオ実績!$D$2:$D$2001, ポートフォリオ実績!$B$2:$B$2001, B635, ポートフォリオ実績!$A$2:$A$2001, G635), 0)</f>
        <v>0</v>
      </c>
      <c r="I635">
        <f>IF(B635&lt;&gt;"", SUMIFS(ポートフォリオ実績!$C$2:$C$2001, ポートフォリオ実績!$B$2:$B$2001, B635, ポートフォリオ実績!$A$2:$A$2001, G635), 0)</f>
        <v>0</v>
      </c>
      <c r="J635">
        <f t="shared" si="100"/>
        <v>0</v>
      </c>
      <c r="K635">
        <f t="shared" si="101"/>
        <v>0</v>
      </c>
      <c r="L635">
        <f t="shared" si="102"/>
        <v>0</v>
      </c>
      <c r="M635">
        <f t="shared" si="103"/>
        <v>0</v>
      </c>
      <c r="N635">
        <f t="shared" si="104"/>
        <v>0</v>
      </c>
      <c r="O635">
        <f t="shared" si="105"/>
        <v>0</v>
      </c>
      <c r="P635" t="str">
        <f t="shared" si="106"/>
        <v/>
      </c>
      <c r="Q635" t="str">
        <f>IF(B635="","", IFERROR(VLOOKUP(B635, '基準資産配分（設定）'!$A$2:$C$2001, 3, FALSE), ""))</f>
        <v/>
      </c>
      <c r="R635" t="str">
        <f>IF(B635="","", IFERROR(VLOOKUP(B635, '基準資産配分（設定）'!$A$2:$C$2001, 2, FALSE)/100, 0))</f>
        <v/>
      </c>
      <c r="S635" t="str">
        <f>IF(B635="","", IFERROR(SUMIFS(ベンチマークリターン!$C$2:$C$2001, ベンチマークリターン!$A$2:$A$2001, A635, ベンチマークリターン!$B$2:$B$2001, Q635) / 100, 0))</f>
        <v/>
      </c>
      <c r="T635" t="str">
        <f>IF(A635="","", SUMIFS($H$2:$H$2000, $A$2:$A$2000, A635))</f>
        <v/>
      </c>
      <c r="U635" t="str">
        <f t="shared" si="107"/>
        <v/>
      </c>
      <c r="V635" t="str">
        <f t="shared" si="108"/>
        <v/>
      </c>
      <c r="W635" t="str">
        <f t="shared" si="109"/>
        <v/>
      </c>
    </row>
    <row r="636" spans="1:23" x14ac:dyDescent="0.2">
      <c r="A636" s="4" t="str">
        <f>IF(ポートフォリオ実績!A637="","", ポートフォリオ実績!A637)</f>
        <v/>
      </c>
      <c r="B636" t="str">
        <f>IF(ポートフォリオ実績!B637="","", ポートフォリオ実績!B637)</f>
        <v/>
      </c>
      <c r="C636" s="10" t="str">
        <f>IF(ポートフォリオ実績!C637="","", ポートフォリオ実績!C637)</f>
        <v/>
      </c>
      <c r="D636" s="10" t="str">
        <f>IF(ポートフォリオ実績!D637="","", ポートフォリオ実績!D637)</f>
        <v/>
      </c>
      <c r="E636" s="10" t="str">
        <f>IF(ポートフォリオ実績!E637="","", ポートフォリオ実績!E637)</f>
        <v/>
      </c>
      <c r="F636" s="10" t="str">
        <f>IF(ポートフォリオ実績!F637="","", ポートフォリオ実績!F637)</f>
        <v/>
      </c>
      <c r="G636" t="str">
        <f t="shared" si="99"/>
        <v/>
      </c>
      <c r="H636">
        <f>IF(B636&lt;&gt;"", SUMIFS(ポートフォリオ実績!$D$2:$D$2001, ポートフォリオ実績!$B$2:$B$2001, B636, ポートフォリオ実績!$A$2:$A$2001, G636), 0)</f>
        <v>0</v>
      </c>
      <c r="I636">
        <f>IF(B636&lt;&gt;"", SUMIFS(ポートフォリオ実績!$C$2:$C$2001, ポートフォリオ実績!$B$2:$B$2001, B636, ポートフォリオ実績!$A$2:$A$2001, G636), 0)</f>
        <v>0</v>
      </c>
      <c r="J636">
        <f t="shared" si="100"/>
        <v>0</v>
      </c>
      <c r="K636">
        <f t="shared" si="101"/>
        <v>0</v>
      </c>
      <c r="L636">
        <f t="shared" si="102"/>
        <v>0</v>
      </c>
      <c r="M636">
        <f t="shared" si="103"/>
        <v>0</v>
      </c>
      <c r="N636">
        <f t="shared" si="104"/>
        <v>0</v>
      </c>
      <c r="O636">
        <f t="shared" si="105"/>
        <v>0</v>
      </c>
      <c r="P636" t="str">
        <f t="shared" si="106"/>
        <v/>
      </c>
      <c r="Q636" t="str">
        <f>IF(B636="","", IFERROR(VLOOKUP(B636, '基準資産配分（設定）'!$A$2:$C$2001, 3, FALSE), ""))</f>
        <v/>
      </c>
      <c r="R636" t="str">
        <f>IF(B636="","", IFERROR(VLOOKUP(B636, '基準資産配分（設定）'!$A$2:$C$2001, 2, FALSE)/100, 0))</f>
        <v/>
      </c>
      <c r="S636" t="str">
        <f>IF(B636="","", IFERROR(SUMIFS(ベンチマークリターン!$C$2:$C$2001, ベンチマークリターン!$A$2:$A$2001, A636, ベンチマークリターン!$B$2:$B$2001, Q636) / 100, 0))</f>
        <v/>
      </c>
      <c r="T636" t="str">
        <f>IF(A636="","", SUMIFS($H$2:$H$2000, $A$2:$A$2000, A636))</f>
        <v/>
      </c>
      <c r="U636" t="str">
        <f t="shared" si="107"/>
        <v/>
      </c>
      <c r="V636" t="str">
        <f t="shared" si="108"/>
        <v/>
      </c>
      <c r="W636" t="str">
        <f t="shared" si="109"/>
        <v/>
      </c>
    </row>
    <row r="637" spans="1:23" x14ac:dyDescent="0.2">
      <c r="A637" s="4" t="str">
        <f>IF(ポートフォリオ実績!A638="","", ポートフォリオ実績!A638)</f>
        <v/>
      </c>
      <c r="B637" t="str">
        <f>IF(ポートフォリオ実績!B638="","", ポートフォリオ実績!B638)</f>
        <v/>
      </c>
      <c r="C637" s="10" t="str">
        <f>IF(ポートフォリオ実績!C638="","", ポートフォリオ実績!C638)</f>
        <v/>
      </c>
      <c r="D637" s="10" t="str">
        <f>IF(ポートフォリオ実績!D638="","", ポートフォリオ実績!D638)</f>
        <v/>
      </c>
      <c r="E637" s="10" t="str">
        <f>IF(ポートフォリオ実績!E638="","", ポートフォリオ実績!E638)</f>
        <v/>
      </c>
      <c r="F637" s="10" t="str">
        <f>IF(ポートフォリオ実績!F638="","", ポートフォリオ実績!F638)</f>
        <v/>
      </c>
      <c r="G637" t="str">
        <f t="shared" si="99"/>
        <v/>
      </c>
      <c r="H637">
        <f>IF(B637&lt;&gt;"", SUMIFS(ポートフォリオ実績!$D$2:$D$2001, ポートフォリオ実績!$B$2:$B$2001, B637, ポートフォリオ実績!$A$2:$A$2001, G637), 0)</f>
        <v>0</v>
      </c>
      <c r="I637">
        <f>IF(B637&lt;&gt;"", SUMIFS(ポートフォリオ実績!$C$2:$C$2001, ポートフォリオ実績!$B$2:$B$2001, B637, ポートフォリオ実績!$A$2:$A$2001, G637), 0)</f>
        <v>0</v>
      </c>
      <c r="J637">
        <f t="shared" si="100"/>
        <v>0</v>
      </c>
      <c r="K637">
        <f t="shared" si="101"/>
        <v>0</v>
      </c>
      <c r="L637">
        <f t="shared" si="102"/>
        <v>0</v>
      </c>
      <c r="M637">
        <f t="shared" si="103"/>
        <v>0</v>
      </c>
      <c r="N637">
        <f t="shared" si="104"/>
        <v>0</v>
      </c>
      <c r="O637">
        <f t="shared" si="105"/>
        <v>0</v>
      </c>
      <c r="P637" t="str">
        <f t="shared" si="106"/>
        <v/>
      </c>
      <c r="Q637" t="str">
        <f>IF(B637="","", IFERROR(VLOOKUP(B637, '基準資産配分（設定）'!$A$2:$C$2001, 3, FALSE), ""))</f>
        <v/>
      </c>
      <c r="R637" t="str">
        <f>IF(B637="","", IFERROR(VLOOKUP(B637, '基準資産配分（設定）'!$A$2:$C$2001, 2, FALSE)/100, 0))</f>
        <v/>
      </c>
      <c r="S637" t="str">
        <f>IF(B637="","", IFERROR(SUMIFS(ベンチマークリターン!$C$2:$C$2001, ベンチマークリターン!$A$2:$A$2001, A637, ベンチマークリターン!$B$2:$B$2001, Q637) / 100, 0))</f>
        <v/>
      </c>
      <c r="T637" t="str">
        <f>IF(A637="","", SUMIFS($H$2:$H$2000, $A$2:$A$2000, A637))</f>
        <v/>
      </c>
      <c r="U637" t="str">
        <f t="shared" si="107"/>
        <v/>
      </c>
      <c r="V637" t="str">
        <f t="shared" si="108"/>
        <v/>
      </c>
      <c r="W637" t="str">
        <f t="shared" si="109"/>
        <v/>
      </c>
    </row>
    <row r="638" spans="1:23" x14ac:dyDescent="0.2">
      <c r="A638" s="4" t="str">
        <f>IF(ポートフォリオ実績!A639="","", ポートフォリオ実績!A639)</f>
        <v/>
      </c>
      <c r="B638" t="str">
        <f>IF(ポートフォリオ実績!B639="","", ポートフォリオ実績!B639)</f>
        <v/>
      </c>
      <c r="C638" s="10" t="str">
        <f>IF(ポートフォリオ実績!C639="","", ポートフォリオ実績!C639)</f>
        <v/>
      </c>
      <c r="D638" s="10" t="str">
        <f>IF(ポートフォリオ実績!D639="","", ポートフォリオ実績!D639)</f>
        <v/>
      </c>
      <c r="E638" s="10" t="str">
        <f>IF(ポートフォリオ実績!E639="","", ポートフォリオ実績!E639)</f>
        <v/>
      </c>
      <c r="F638" s="10" t="str">
        <f>IF(ポートフォリオ実績!F639="","", ポートフォリオ実績!F639)</f>
        <v/>
      </c>
      <c r="G638" t="str">
        <f t="shared" si="99"/>
        <v/>
      </c>
      <c r="H638">
        <f>IF(B638&lt;&gt;"", SUMIFS(ポートフォリオ実績!$D$2:$D$2001, ポートフォリオ実績!$B$2:$B$2001, B638, ポートフォリオ実績!$A$2:$A$2001, G638), 0)</f>
        <v>0</v>
      </c>
      <c r="I638">
        <f>IF(B638&lt;&gt;"", SUMIFS(ポートフォリオ実績!$C$2:$C$2001, ポートフォリオ実績!$B$2:$B$2001, B638, ポートフォリオ実績!$A$2:$A$2001, G638), 0)</f>
        <v>0</v>
      </c>
      <c r="J638">
        <f t="shared" si="100"/>
        <v>0</v>
      </c>
      <c r="K638">
        <f t="shared" si="101"/>
        <v>0</v>
      </c>
      <c r="L638">
        <f t="shared" si="102"/>
        <v>0</v>
      </c>
      <c r="M638">
        <f t="shared" si="103"/>
        <v>0</v>
      </c>
      <c r="N638">
        <f t="shared" si="104"/>
        <v>0</v>
      </c>
      <c r="O638">
        <f t="shared" si="105"/>
        <v>0</v>
      </c>
      <c r="P638" t="str">
        <f t="shared" si="106"/>
        <v/>
      </c>
      <c r="Q638" t="str">
        <f>IF(B638="","", IFERROR(VLOOKUP(B638, '基準資産配分（設定）'!$A$2:$C$2001, 3, FALSE), ""))</f>
        <v/>
      </c>
      <c r="R638" t="str">
        <f>IF(B638="","", IFERROR(VLOOKUP(B638, '基準資産配分（設定）'!$A$2:$C$2001, 2, FALSE)/100, 0))</f>
        <v/>
      </c>
      <c r="S638" t="str">
        <f>IF(B638="","", IFERROR(SUMIFS(ベンチマークリターン!$C$2:$C$2001, ベンチマークリターン!$A$2:$A$2001, A638, ベンチマークリターン!$B$2:$B$2001, Q638) / 100, 0))</f>
        <v/>
      </c>
      <c r="T638" t="str">
        <f>IF(A638="","", SUMIFS($H$2:$H$2000, $A$2:$A$2000, A638))</f>
        <v/>
      </c>
      <c r="U638" t="str">
        <f t="shared" si="107"/>
        <v/>
      </c>
      <c r="V638" t="str">
        <f t="shared" si="108"/>
        <v/>
      </c>
      <c r="W638" t="str">
        <f t="shared" si="109"/>
        <v/>
      </c>
    </row>
    <row r="639" spans="1:23" x14ac:dyDescent="0.2">
      <c r="A639" s="4" t="str">
        <f>IF(ポートフォリオ実績!A640="","", ポートフォリオ実績!A640)</f>
        <v/>
      </c>
      <c r="B639" t="str">
        <f>IF(ポートフォリオ実績!B640="","", ポートフォリオ実績!B640)</f>
        <v/>
      </c>
      <c r="C639" s="10" t="str">
        <f>IF(ポートフォリオ実績!C640="","", ポートフォリオ実績!C640)</f>
        <v/>
      </c>
      <c r="D639" s="10" t="str">
        <f>IF(ポートフォリオ実績!D640="","", ポートフォリオ実績!D640)</f>
        <v/>
      </c>
      <c r="E639" s="10" t="str">
        <f>IF(ポートフォリオ実績!E640="","", ポートフォリオ実績!E640)</f>
        <v/>
      </c>
      <c r="F639" s="10" t="str">
        <f>IF(ポートフォリオ実績!F640="","", ポートフォリオ実績!F640)</f>
        <v/>
      </c>
      <c r="G639" t="str">
        <f t="shared" si="99"/>
        <v/>
      </c>
      <c r="H639">
        <f>IF(B639&lt;&gt;"", SUMIFS(ポートフォリオ実績!$D$2:$D$2001, ポートフォリオ実績!$B$2:$B$2001, B639, ポートフォリオ実績!$A$2:$A$2001, G639), 0)</f>
        <v>0</v>
      </c>
      <c r="I639">
        <f>IF(B639&lt;&gt;"", SUMIFS(ポートフォリオ実績!$C$2:$C$2001, ポートフォリオ実績!$B$2:$B$2001, B639, ポートフォリオ実績!$A$2:$A$2001, G639), 0)</f>
        <v>0</v>
      </c>
      <c r="J639">
        <f t="shared" si="100"/>
        <v>0</v>
      </c>
      <c r="K639">
        <f t="shared" si="101"/>
        <v>0</v>
      </c>
      <c r="L639">
        <f t="shared" si="102"/>
        <v>0</v>
      </c>
      <c r="M639">
        <f t="shared" si="103"/>
        <v>0</v>
      </c>
      <c r="N639">
        <f t="shared" si="104"/>
        <v>0</v>
      </c>
      <c r="O639">
        <f t="shared" si="105"/>
        <v>0</v>
      </c>
      <c r="P639" t="str">
        <f t="shared" si="106"/>
        <v/>
      </c>
      <c r="Q639" t="str">
        <f>IF(B639="","", IFERROR(VLOOKUP(B639, '基準資産配分（設定）'!$A$2:$C$2001, 3, FALSE), ""))</f>
        <v/>
      </c>
      <c r="R639" t="str">
        <f>IF(B639="","", IFERROR(VLOOKUP(B639, '基準資産配分（設定）'!$A$2:$C$2001, 2, FALSE)/100, 0))</f>
        <v/>
      </c>
      <c r="S639" t="str">
        <f>IF(B639="","", IFERROR(SUMIFS(ベンチマークリターン!$C$2:$C$2001, ベンチマークリターン!$A$2:$A$2001, A639, ベンチマークリターン!$B$2:$B$2001, Q639) / 100, 0))</f>
        <v/>
      </c>
      <c r="T639" t="str">
        <f>IF(A639="","", SUMIFS($H$2:$H$2000, $A$2:$A$2000, A639))</f>
        <v/>
      </c>
      <c r="U639" t="str">
        <f t="shared" si="107"/>
        <v/>
      </c>
      <c r="V639" t="str">
        <f t="shared" si="108"/>
        <v/>
      </c>
      <c r="W639" t="str">
        <f t="shared" si="109"/>
        <v/>
      </c>
    </row>
    <row r="640" spans="1:23" x14ac:dyDescent="0.2">
      <c r="A640" s="4" t="str">
        <f>IF(ポートフォリオ実績!A641="","", ポートフォリオ実績!A641)</f>
        <v/>
      </c>
      <c r="B640" t="str">
        <f>IF(ポートフォリオ実績!B641="","", ポートフォリオ実績!B641)</f>
        <v/>
      </c>
      <c r="C640" s="10" t="str">
        <f>IF(ポートフォリオ実績!C641="","", ポートフォリオ実績!C641)</f>
        <v/>
      </c>
      <c r="D640" s="10" t="str">
        <f>IF(ポートフォリオ実績!D641="","", ポートフォリオ実績!D641)</f>
        <v/>
      </c>
      <c r="E640" s="10" t="str">
        <f>IF(ポートフォリオ実績!E641="","", ポートフォリオ実績!E641)</f>
        <v/>
      </c>
      <c r="F640" s="10" t="str">
        <f>IF(ポートフォリオ実績!F641="","", ポートフォリオ実績!F641)</f>
        <v/>
      </c>
      <c r="G640" t="str">
        <f t="shared" si="99"/>
        <v/>
      </c>
      <c r="H640">
        <f>IF(B640&lt;&gt;"", SUMIFS(ポートフォリオ実績!$D$2:$D$2001, ポートフォリオ実績!$B$2:$B$2001, B640, ポートフォリオ実績!$A$2:$A$2001, G640), 0)</f>
        <v>0</v>
      </c>
      <c r="I640">
        <f>IF(B640&lt;&gt;"", SUMIFS(ポートフォリオ実績!$C$2:$C$2001, ポートフォリオ実績!$B$2:$B$2001, B640, ポートフォリオ実績!$A$2:$A$2001, G640), 0)</f>
        <v>0</v>
      </c>
      <c r="J640">
        <f t="shared" si="100"/>
        <v>0</v>
      </c>
      <c r="K640">
        <f t="shared" si="101"/>
        <v>0</v>
      </c>
      <c r="L640">
        <f t="shared" si="102"/>
        <v>0</v>
      </c>
      <c r="M640">
        <f t="shared" si="103"/>
        <v>0</v>
      </c>
      <c r="N640">
        <f t="shared" si="104"/>
        <v>0</v>
      </c>
      <c r="O640">
        <f t="shared" si="105"/>
        <v>0</v>
      </c>
      <c r="P640" t="str">
        <f t="shared" si="106"/>
        <v/>
      </c>
      <c r="Q640" t="str">
        <f>IF(B640="","", IFERROR(VLOOKUP(B640, '基準資産配分（設定）'!$A$2:$C$2001, 3, FALSE), ""))</f>
        <v/>
      </c>
      <c r="R640" t="str">
        <f>IF(B640="","", IFERROR(VLOOKUP(B640, '基準資産配分（設定）'!$A$2:$C$2001, 2, FALSE)/100, 0))</f>
        <v/>
      </c>
      <c r="S640" t="str">
        <f>IF(B640="","", IFERROR(SUMIFS(ベンチマークリターン!$C$2:$C$2001, ベンチマークリターン!$A$2:$A$2001, A640, ベンチマークリターン!$B$2:$B$2001, Q640) / 100, 0))</f>
        <v/>
      </c>
      <c r="T640" t="str">
        <f>IF(A640="","", SUMIFS($H$2:$H$2000, $A$2:$A$2000, A640))</f>
        <v/>
      </c>
      <c r="U640" t="str">
        <f t="shared" si="107"/>
        <v/>
      </c>
      <c r="V640" t="str">
        <f t="shared" si="108"/>
        <v/>
      </c>
      <c r="W640" t="str">
        <f t="shared" si="109"/>
        <v/>
      </c>
    </row>
    <row r="641" spans="1:23" x14ac:dyDescent="0.2">
      <c r="A641" s="4" t="str">
        <f>IF(ポートフォリオ実績!A642="","", ポートフォリオ実績!A642)</f>
        <v/>
      </c>
      <c r="B641" t="str">
        <f>IF(ポートフォリオ実績!B642="","", ポートフォリオ実績!B642)</f>
        <v/>
      </c>
      <c r="C641" s="10" t="str">
        <f>IF(ポートフォリオ実績!C642="","", ポートフォリオ実績!C642)</f>
        <v/>
      </c>
      <c r="D641" s="10" t="str">
        <f>IF(ポートフォリオ実績!D642="","", ポートフォリオ実績!D642)</f>
        <v/>
      </c>
      <c r="E641" s="10" t="str">
        <f>IF(ポートフォリオ実績!E642="","", ポートフォリオ実績!E642)</f>
        <v/>
      </c>
      <c r="F641" s="10" t="str">
        <f>IF(ポートフォリオ実績!F642="","", ポートフォリオ実績!F642)</f>
        <v/>
      </c>
      <c r="G641" t="str">
        <f t="shared" ref="G641:G704" si="110">IF(A641&lt;&gt;"", EOMONTH(A641, -1), "")</f>
        <v/>
      </c>
      <c r="H641">
        <f>IF(B641&lt;&gt;"", SUMIFS(ポートフォリオ実績!$D$2:$D$2001, ポートフォリオ実績!$B$2:$B$2001, B641, ポートフォリオ実績!$A$2:$A$2001, G641), 0)</f>
        <v>0</v>
      </c>
      <c r="I641">
        <f>IF(B641&lt;&gt;"", SUMIFS(ポートフォリオ実績!$C$2:$C$2001, ポートフォリオ実績!$B$2:$B$2001, B641, ポートフォリオ実績!$A$2:$A$2001, G641), 0)</f>
        <v>0</v>
      </c>
      <c r="J641">
        <f t="shared" ref="J641:J704" si="111">IF(A641&lt;&gt;"", D641-C641, 0)</f>
        <v>0</v>
      </c>
      <c r="K641">
        <f t="shared" ref="K641:K704" si="112">IF(A641&lt;&gt;"", H641-I641, 0)</f>
        <v>0</v>
      </c>
      <c r="L641">
        <f t="shared" ref="L641:L704" si="113">IF(H641=0, 0, J641-K641)</f>
        <v>0</v>
      </c>
      <c r="M641">
        <f t="shared" ref="M641:M704" si="114">IF(A641&lt;&gt;"", E641+F641+L641, 0)</f>
        <v>0</v>
      </c>
      <c r="N641">
        <f t="shared" ref="N641:N704" si="115">IF(H641=0, 0, (D641-H641)-M641)</f>
        <v>0</v>
      </c>
      <c r="O641">
        <f t="shared" ref="O641:O704" si="116">IF(A641&lt;&gt;"", H641+N641*0.5, 0)</f>
        <v>0</v>
      </c>
      <c r="P641" t="str">
        <f t="shared" ref="P641:P704" si="117">IF(A641="","", IF(O641&gt;0.000001, M641/O641, IF(ABS(M641)&lt;0.000001, 0, 0)))</f>
        <v/>
      </c>
      <c r="Q641" t="str">
        <f>IF(B641="","", IFERROR(VLOOKUP(B641, '基準資産配分（設定）'!$A$2:$C$2001, 3, FALSE), ""))</f>
        <v/>
      </c>
      <c r="R641" t="str">
        <f>IF(B641="","", IFERROR(VLOOKUP(B641, '基準資産配分（設定）'!$A$2:$C$2001, 2, FALSE)/100, 0))</f>
        <v/>
      </c>
      <c r="S641" t="str">
        <f>IF(B641="","", IFERROR(SUMIFS(ベンチマークリターン!$C$2:$C$2001, ベンチマークリターン!$A$2:$A$2001, A641, ベンチマークリターン!$B$2:$B$2001, Q641) / 100, 0))</f>
        <v/>
      </c>
      <c r="T641" t="str">
        <f>IF(A641="","", SUMIFS($H$2:$H$2000, $A$2:$A$2000, A641))</f>
        <v/>
      </c>
      <c r="U641" t="str">
        <f t="shared" ref="U641:U704" si="118">IF(A641="","", IFERROR(H641/T641, 0))</f>
        <v/>
      </c>
      <c r="V641" t="str">
        <f t="shared" ref="V641:V704" si="119">IF(A641="","", U641*P641)</f>
        <v/>
      </c>
      <c r="W641" t="str">
        <f t="shared" ref="W641:W704" si="120">IF(A641="","", R641*S641)</f>
        <v/>
      </c>
    </row>
    <row r="642" spans="1:23" x14ac:dyDescent="0.2">
      <c r="A642" s="4" t="str">
        <f>IF(ポートフォリオ実績!A643="","", ポートフォリオ実績!A643)</f>
        <v/>
      </c>
      <c r="B642" t="str">
        <f>IF(ポートフォリオ実績!B643="","", ポートフォリオ実績!B643)</f>
        <v/>
      </c>
      <c r="C642" s="10" t="str">
        <f>IF(ポートフォリオ実績!C643="","", ポートフォリオ実績!C643)</f>
        <v/>
      </c>
      <c r="D642" s="10" t="str">
        <f>IF(ポートフォリオ実績!D643="","", ポートフォリオ実績!D643)</f>
        <v/>
      </c>
      <c r="E642" s="10" t="str">
        <f>IF(ポートフォリオ実績!E643="","", ポートフォリオ実績!E643)</f>
        <v/>
      </c>
      <c r="F642" s="10" t="str">
        <f>IF(ポートフォリオ実績!F643="","", ポートフォリオ実績!F643)</f>
        <v/>
      </c>
      <c r="G642" t="str">
        <f t="shared" si="110"/>
        <v/>
      </c>
      <c r="H642">
        <f>IF(B642&lt;&gt;"", SUMIFS(ポートフォリオ実績!$D$2:$D$2001, ポートフォリオ実績!$B$2:$B$2001, B642, ポートフォリオ実績!$A$2:$A$2001, G642), 0)</f>
        <v>0</v>
      </c>
      <c r="I642">
        <f>IF(B642&lt;&gt;"", SUMIFS(ポートフォリオ実績!$C$2:$C$2001, ポートフォリオ実績!$B$2:$B$2001, B642, ポートフォリオ実績!$A$2:$A$2001, G642), 0)</f>
        <v>0</v>
      </c>
      <c r="J642">
        <f t="shared" si="111"/>
        <v>0</v>
      </c>
      <c r="K642">
        <f t="shared" si="112"/>
        <v>0</v>
      </c>
      <c r="L642">
        <f t="shared" si="113"/>
        <v>0</v>
      </c>
      <c r="M642">
        <f t="shared" si="114"/>
        <v>0</v>
      </c>
      <c r="N642">
        <f t="shared" si="115"/>
        <v>0</v>
      </c>
      <c r="O642">
        <f t="shared" si="116"/>
        <v>0</v>
      </c>
      <c r="P642" t="str">
        <f t="shared" si="117"/>
        <v/>
      </c>
      <c r="Q642" t="str">
        <f>IF(B642="","", IFERROR(VLOOKUP(B642, '基準資産配分（設定）'!$A$2:$C$2001, 3, FALSE), ""))</f>
        <v/>
      </c>
      <c r="R642" t="str">
        <f>IF(B642="","", IFERROR(VLOOKUP(B642, '基準資産配分（設定）'!$A$2:$C$2001, 2, FALSE)/100, 0))</f>
        <v/>
      </c>
      <c r="S642" t="str">
        <f>IF(B642="","", IFERROR(SUMIFS(ベンチマークリターン!$C$2:$C$2001, ベンチマークリターン!$A$2:$A$2001, A642, ベンチマークリターン!$B$2:$B$2001, Q642) / 100, 0))</f>
        <v/>
      </c>
      <c r="T642" t="str">
        <f>IF(A642="","", SUMIFS($H$2:$H$2000, $A$2:$A$2000, A642))</f>
        <v/>
      </c>
      <c r="U642" t="str">
        <f t="shared" si="118"/>
        <v/>
      </c>
      <c r="V642" t="str">
        <f t="shared" si="119"/>
        <v/>
      </c>
      <c r="W642" t="str">
        <f t="shared" si="120"/>
        <v/>
      </c>
    </row>
    <row r="643" spans="1:23" x14ac:dyDescent="0.2">
      <c r="A643" s="4" t="str">
        <f>IF(ポートフォリオ実績!A644="","", ポートフォリオ実績!A644)</f>
        <v/>
      </c>
      <c r="B643" t="str">
        <f>IF(ポートフォリオ実績!B644="","", ポートフォリオ実績!B644)</f>
        <v/>
      </c>
      <c r="C643" s="10" t="str">
        <f>IF(ポートフォリオ実績!C644="","", ポートフォリオ実績!C644)</f>
        <v/>
      </c>
      <c r="D643" s="10" t="str">
        <f>IF(ポートフォリオ実績!D644="","", ポートフォリオ実績!D644)</f>
        <v/>
      </c>
      <c r="E643" s="10" t="str">
        <f>IF(ポートフォリオ実績!E644="","", ポートフォリオ実績!E644)</f>
        <v/>
      </c>
      <c r="F643" s="10" t="str">
        <f>IF(ポートフォリオ実績!F644="","", ポートフォリオ実績!F644)</f>
        <v/>
      </c>
      <c r="G643" t="str">
        <f t="shared" si="110"/>
        <v/>
      </c>
      <c r="H643">
        <f>IF(B643&lt;&gt;"", SUMIFS(ポートフォリオ実績!$D$2:$D$2001, ポートフォリオ実績!$B$2:$B$2001, B643, ポートフォリオ実績!$A$2:$A$2001, G643), 0)</f>
        <v>0</v>
      </c>
      <c r="I643">
        <f>IF(B643&lt;&gt;"", SUMIFS(ポートフォリオ実績!$C$2:$C$2001, ポートフォリオ実績!$B$2:$B$2001, B643, ポートフォリオ実績!$A$2:$A$2001, G643), 0)</f>
        <v>0</v>
      </c>
      <c r="J643">
        <f t="shared" si="111"/>
        <v>0</v>
      </c>
      <c r="K643">
        <f t="shared" si="112"/>
        <v>0</v>
      </c>
      <c r="L643">
        <f t="shared" si="113"/>
        <v>0</v>
      </c>
      <c r="M643">
        <f t="shared" si="114"/>
        <v>0</v>
      </c>
      <c r="N643">
        <f t="shared" si="115"/>
        <v>0</v>
      </c>
      <c r="O643">
        <f t="shared" si="116"/>
        <v>0</v>
      </c>
      <c r="P643" t="str">
        <f t="shared" si="117"/>
        <v/>
      </c>
      <c r="Q643" t="str">
        <f>IF(B643="","", IFERROR(VLOOKUP(B643, '基準資産配分（設定）'!$A$2:$C$2001, 3, FALSE), ""))</f>
        <v/>
      </c>
      <c r="R643" t="str">
        <f>IF(B643="","", IFERROR(VLOOKUP(B643, '基準資産配分（設定）'!$A$2:$C$2001, 2, FALSE)/100, 0))</f>
        <v/>
      </c>
      <c r="S643" t="str">
        <f>IF(B643="","", IFERROR(SUMIFS(ベンチマークリターン!$C$2:$C$2001, ベンチマークリターン!$A$2:$A$2001, A643, ベンチマークリターン!$B$2:$B$2001, Q643) / 100, 0))</f>
        <v/>
      </c>
      <c r="T643" t="str">
        <f>IF(A643="","", SUMIFS($H$2:$H$2000, $A$2:$A$2000, A643))</f>
        <v/>
      </c>
      <c r="U643" t="str">
        <f t="shared" si="118"/>
        <v/>
      </c>
      <c r="V643" t="str">
        <f t="shared" si="119"/>
        <v/>
      </c>
      <c r="W643" t="str">
        <f t="shared" si="120"/>
        <v/>
      </c>
    </row>
    <row r="644" spans="1:23" x14ac:dyDescent="0.2">
      <c r="A644" s="4" t="str">
        <f>IF(ポートフォリオ実績!A645="","", ポートフォリオ実績!A645)</f>
        <v/>
      </c>
      <c r="B644" t="str">
        <f>IF(ポートフォリオ実績!B645="","", ポートフォリオ実績!B645)</f>
        <v/>
      </c>
      <c r="C644" s="10" t="str">
        <f>IF(ポートフォリオ実績!C645="","", ポートフォリオ実績!C645)</f>
        <v/>
      </c>
      <c r="D644" s="10" t="str">
        <f>IF(ポートフォリオ実績!D645="","", ポートフォリオ実績!D645)</f>
        <v/>
      </c>
      <c r="E644" s="10" t="str">
        <f>IF(ポートフォリオ実績!E645="","", ポートフォリオ実績!E645)</f>
        <v/>
      </c>
      <c r="F644" s="10" t="str">
        <f>IF(ポートフォリオ実績!F645="","", ポートフォリオ実績!F645)</f>
        <v/>
      </c>
      <c r="G644" t="str">
        <f t="shared" si="110"/>
        <v/>
      </c>
      <c r="H644">
        <f>IF(B644&lt;&gt;"", SUMIFS(ポートフォリオ実績!$D$2:$D$2001, ポートフォリオ実績!$B$2:$B$2001, B644, ポートフォリオ実績!$A$2:$A$2001, G644), 0)</f>
        <v>0</v>
      </c>
      <c r="I644">
        <f>IF(B644&lt;&gt;"", SUMIFS(ポートフォリオ実績!$C$2:$C$2001, ポートフォリオ実績!$B$2:$B$2001, B644, ポートフォリオ実績!$A$2:$A$2001, G644), 0)</f>
        <v>0</v>
      </c>
      <c r="J644">
        <f t="shared" si="111"/>
        <v>0</v>
      </c>
      <c r="K644">
        <f t="shared" si="112"/>
        <v>0</v>
      </c>
      <c r="L644">
        <f t="shared" si="113"/>
        <v>0</v>
      </c>
      <c r="M644">
        <f t="shared" si="114"/>
        <v>0</v>
      </c>
      <c r="N644">
        <f t="shared" si="115"/>
        <v>0</v>
      </c>
      <c r="O644">
        <f t="shared" si="116"/>
        <v>0</v>
      </c>
      <c r="P644" t="str">
        <f t="shared" si="117"/>
        <v/>
      </c>
      <c r="Q644" t="str">
        <f>IF(B644="","", IFERROR(VLOOKUP(B644, '基準資産配分（設定）'!$A$2:$C$2001, 3, FALSE), ""))</f>
        <v/>
      </c>
      <c r="R644" t="str">
        <f>IF(B644="","", IFERROR(VLOOKUP(B644, '基準資産配分（設定）'!$A$2:$C$2001, 2, FALSE)/100, 0))</f>
        <v/>
      </c>
      <c r="S644" t="str">
        <f>IF(B644="","", IFERROR(SUMIFS(ベンチマークリターン!$C$2:$C$2001, ベンチマークリターン!$A$2:$A$2001, A644, ベンチマークリターン!$B$2:$B$2001, Q644) / 100, 0))</f>
        <v/>
      </c>
      <c r="T644" t="str">
        <f>IF(A644="","", SUMIFS($H$2:$H$2000, $A$2:$A$2000, A644))</f>
        <v/>
      </c>
      <c r="U644" t="str">
        <f t="shared" si="118"/>
        <v/>
      </c>
      <c r="V644" t="str">
        <f t="shared" si="119"/>
        <v/>
      </c>
      <c r="W644" t="str">
        <f t="shared" si="120"/>
        <v/>
      </c>
    </row>
    <row r="645" spans="1:23" x14ac:dyDescent="0.2">
      <c r="A645" s="4" t="str">
        <f>IF(ポートフォリオ実績!A646="","", ポートフォリオ実績!A646)</f>
        <v/>
      </c>
      <c r="B645" t="str">
        <f>IF(ポートフォリオ実績!B646="","", ポートフォリオ実績!B646)</f>
        <v/>
      </c>
      <c r="C645" s="10" t="str">
        <f>IF(ポートフォリオ実績!C646="","", ポートフォリオ実績!C646)</f>
        <v/>
      </c>
      <c r="D645" s="10" t="str">
        <f>IF(ポートフォリオ実績!D646="","", ポートフォリオ実績!D646)</f>
        <v/>
      </c>
      <c r="E645" s="10" t="str">
        <f>IF(ポートフォリオ実績!E646="","", ポートフォリオ実績!E646)</f>
        <v/>
      </c>
      <c r="F645" s="10" t="str">
        <f>IF(ポートフォリオ実績!F646="","", ポートフォリオ実績!F646)</f>
        <v/>
      </c>
      <c r="G645" t="str">
        <f t="shared" si="110"/>
        <v/>
      </c>
      <c r="H645">
        <f>IF(B645&lt;&gt;"", SUMIFS(ポートフォリオ実績!$D$2:$D$2001, ポートフォリオ実績!$B$2:$B$2001, B645, ポートフォリオ実績!$A$2:$A$2001, G645), 0)</f>
        <v>0</v>
      </c>
      <c r="I645">
        <f>IF(B645&lt;&gt;"", SUMIFS(ポートフォリオ実績!$C$2:$C$2001, ポートフォリオ実績!$B$2:$B$2001, B645, ポートフォリオ実績!$A$2:$A$2001, G645), 0)</f>
        <v>0</v>
      </c>
      <c r="J645">
        <f t="shared" si="111"/>
        <v>0</v>
      </c>
      <c r="K645">
        <f t="shared" si="112"/>
        <v>0</v>
      </c>
      <c r="L645">
        <f t="shared" si="113"/>
        <v>0</v>
      </c>
      <c r="M645">
        <f t="shared" si="114"/>
        <v>0</v>
      </c>
      <c r="N645">
        <f t="shared" si="115"/>
        <v>0</v>
      </c>
      <c r="O645">
        <f t="shared" si="116"/>
        <v>0</v>
      </c>
      <c r="P645" t="str">
        <f t="shared" si="117"/>
        <v/>
      </c>
      <c r="Q645" t="str">
        <f>IF(B645="","", IFERROR(VLOOKUP(B645, '基準資産配分（設定）'!$A$2:$C$2001, 3, FALSE), ""))</f>
        <v/>
      </c>
      <c r="R645" t="str">
        <f>IF(B645="","", IFERROR(VLOOKUP(B645, '基準資産配分（設定）'!$A$2:$C$2001, 2, FALSE)/100, 0))</f>
        <v/>
      </c>
      <c r="S645" t="str">
        <f>IF(B645="","", IFERROR(SUMIFS(ベンチマークリターン!$C$2:$C$2001, ベンチマークリターン!$A$2:$A$2001, A645, ベンチマークリターン!$B$2:$B$2001, Q645) / 100, 0))</f>
        <v/>
      </c>
      <c r="T645" t="str">
        <f>IF(A645="","", SUMIFS($H$2:$H$2000, $A$2:$A$2000, A645))</f>
        <v/>
      </c>
      <c r="U645" t="str">
        <f t="shared" si="118"/>
        <v/>
      </c>
      <c r="V645" t="str">
        <f t="shared" si="119"/>
        <v/>
      </c>
      <c r="W645" t="str">
        <f t="shared" si="120"/>
        <v/>
      </c>
    </row>
    <row r="646" spans="1:23" x14ac:dyDescent="0.2">
      <c r="A646" s="4" t="str">
        <f>IF(ポートフォリオ実績!A647="","", ポートフォリオ実績!A647)</f>
        <v/>
      </c>
      <c r="B646" t="str">
        <f>IF(ポートフォリオ実績!B647="","", ポートフォリオ実績!B647)</f>
        <v/>
      </c>
      <c r="C646" s="10" t="str">
        <f>IF(ポートフォリオ実績!C647="","", ポートフォリオ実績!C647)</f>
        <v/>
      </c>
      <c r="D646" s="10" t="str">
        <f>IF(ポートフォリオ実績!D647="","", ポートフォリオ実績!D647)</f>
        <v/>
      </c>
      <c r="E646" s="10" t="str">
        <f>IF(ポートフォリオ実績!E647="","", ポートフォリオ実績!E647)</f>
        <v/>
      </c>
      <c r="F646" s="10" t="str">
        <f>IF(ポートフォリオ実績!F647="","", ポートフォリオ実績!F647)</f>
        <v/>
      </c>
      <c r="G646" t="str">
        <f t="shared" si="110"/>
        <v/>
      </c>
      <c r="H646">
        <f>IF(B646&lt;&gt;"", SUMIFS(ポートフォリオ実績!$D$2:$D$2001, ポートフォリオ実績!$B$2:$B$2001, B646, ポートフォリオ実績!$A$2:$A$2001, G646), 0)</f>
        <v>0</v>
      </c>
      <c r="I646">
        <f>IF(B646&lt;&gt;"", SUMIFS(ポートフォリオ実績!$C$2:$C$2001, ポートフォリオ実績!$B$2:$B$2001, B646, ポートフォリオ実績!$A$2:$A$2001, G646), 0)</f>
        <v>0</v>
      </c>
      <c r="J646">
        <f t="shared" si="111"/>
        <v>0</v>
      </c>
      <c r="K646">
        <f t="shared" si="112"/>
        <v>0</v>
      </c>
      <c r="L646">
        <f t="shared" si="113"/>
        <v>0</v>
      </c>
      <c r="M646">
        <f t="shared" si="114"/>
        <v>0</v>
      </c>
      <c r="N646">
        <f t="shared" si="115"/>
        <v>0</v>
      </c>
      <c r="O646">
        <f t="shared" si="116"/>
        <v>0</v>
      </c>
      <c r="P646" t="str">
        <f t="shared" si="117"/>
        <v/>
      </c>
      <c r="Q646" t="str">
        <f>IF(B646="","", IFERROR(VLOOKUP(B646, '基準資産配分（設定）'!$A$2:$C$2001, 3, FALSE), ""))</f>
        <v/>
      </c>
      <c r="R646" t="str">
        <f>IF(B646="","", IFERROR(VLOOKUP(B646, '基準資産配分（設定）'!$A$2:$C$2001, 2, FALSE)/100, 0))</f>
        <v/>
      </c>
      <c r="S646" t="str">
        <f>IF(B646="","", IFERROR(SUMIFS(ベンチマークリターン!$C$2:$C$2001, ベンチマークリターン!$A$2:$A$2001, A646, ベンチマークリターン!$B$2:$B$2001, Q646) / 100, 0))</f>
        <v/>
      </c>
      <c r="T646" t="str">
        <f>IF(A646="","", SUMIFS($H$2:$H$2000, $A$2:$A$2000, A646))</f>
        <v/>
      </c>
      <c r="U646" t="str">
        <f t="shared" si="118"/>
        <v/>
      </c>
      <c r="V646" t="str">
        <f t="shared" si="119"/>
        <v/>
      </c>
      <c r="W646" t="str">
        <f t="shared" si="120"/>
        <v/>
      </c>
    </row>
    <row r="647" spans="1:23" x14ac:dyDescent="0.2">
      <c r="A647" s="4" t="str">
        <f>IF(ポートフォリオ実績!A648="","", ポートフォリオ実績!A648)</f>
        <v/>
      </c>
      <c r="B647" t="str">
        <f>IF(ポートフォリオ実績!B648="","", ポートフォリオ実績!B648)</f>
        <v/>
      </c>
      <c r="C647" s="10" t="str">
        <f>IF(ポートフォリオ実績!C648="","", ポートフォリオ実績!C648)</f>
        <v/>
      </c>
      <c r="D647" s="10" t="str">
        <f>IF(ポートフォリオ実績!D648="","", ポートフォリオ実績!D648)</f>
        <v/>
      </c>
      <c r="E647" s="10" t="str">
        <f>IF(ポートフォリオ実績!E648="","", ポートフォリオ実績!E648)</f>
        <v/>
      </c>
      <c r="F647" s="10" t="str">
        <f>IF(ポートフォリオ実績!F648="","", ポートフォリオ実績!F648)</f>
        <v/>
      </c>
      <c r="G647" t="str">
        <f t="shared" si="110"/>
        <v/>
      </c>
      <c r="H647">
        <f>IF(B647&lt;&gt;"", SUMIFS(ポートフォリオ実績!$D$2:$D$2001, ポートフォリオ実績!$B$2:$B$2001, B647, ポートフォリオ実績!$A$2:$A$2001, G647), 0)</f>
        <v>0</v>
      </c>
      <c r="I647">
        <f>IF(B647&lt;&gt;"", SUMIFS(ポートフォリオ実績!$C$2:$C$2001, ポートフォリオ実績!$B$2:$B$2001, B647, ポートフォリオ実績!$A$2:$A$2001, G647), 0)</f>
        <v>0</v>
      </c>
      <c r="J647">
        <f t="shared" si="111"/>
        <v>0</v>
      </c>
      <c r="K647">
        <f t="shared" si="112"/>
        <v>0</v>
      </c>
      <c r="L647">
        <f t="shared" si="113"/>
        <v>0</v>
      </c>
      <c r="M647">
        <f t="shared" si="114"/>
        <v>0</v>
      </c>
      <c r="N647">
        <f t="shared" si="115"/>
        <v>0</v>
      </c>
      <c r="O647">
        <f t="shared" si="116"/>
        <v>0</v>
      </c>
      <c r="P647" t="str">
        <f t="shared" si="117"/>
        <v/>
      </c>
      <c r="Q647" t="str">
        <f>IF(B647="","", IFERROR(VLOOKUP(B647, '基準資産配分（設定）'!$A$2:$C$2001, 3, FALSE), ""))</f>
        <v/>
      </c>
      <c r="R647" t="str">
        <f>IF(B647="","", IFERROR(VLOOKUP(B647, '基準資産配分（設定）'!$A$2:$C$2001, 2, FALSE)/100, 0))</f>
        <v/>
      </c>
      <c r="S647" t="str">
        <f>IF(B647="","", IFERROR(SUMIFS(ベンチマークリターン!$C$2:$C$2001, ベンチマークリターン!$A$2:$A$2001, A647, ベンチマークリターン!$B$2:$B$2001, Q647) / 100, 0))</f>
        <v/>
      </c>
      <c r="T647" t="str">
        <f>IF(A647="","", SUMIFS($H$2:$H$2000, $A$2:$A$2000, A647))</f>
        <v/>
      </c>
      <c r="U647" t="str">
        <f t="shared" si="118"/>
        <v/>
      </c>
      <c r="V647" t="str">
        <f t="shared" si="119"/>
        <v/>
      </c>
      <c r="W647" t="str">
        <f t="shared" si="120"/>
        <v/>
      </c>
    </row>
    <row r="648" spans="1:23" x14ac:dyDescent="0.2">
      <c r="A648" s="4" t="str">
        <f>IF(ポートフォリオ実績!A649="","", ポートフォリオ実績!A649)</f>
        <v/>
      </c>
      <c r="B648" t="str">
        <f>IF(ポートフォリオ実績!B649="","", ポートフォリオ実績!B649)</f>
        <v/>
      </c>
      <c r="C648" s="10" t="str">
        <f>IF(ポートフォリオ実績!C649="","", ポートフォリオ実績!C649)</f>
        <v/>
      </c>
      <c r="D648" s="10" t="str">
        <f>IF(ポートフォリオ実績!D649="","", ポートフォリオ実績!D649)</f>
        <v/>
      </c>
      <c r="E648" s="10" t="str">
        <f>IF(ポートフォリオ実績!E649="","", ポートフォリオ実績!E649)</f>
        <v/>
      </c>
      <c r="F648" s="10" t="str">
        <f>IF(ポートフォリオ実績!F649="","", ポートフォリオ実績!F649)</f>
        <v/>
      </c>
      <c r="G648" t="str">
        <f t="shared" si="110"/>
        <v/>
      </c>
      <c r="H648">
        <f>IF(B648&lt;&gt;"", SUMIFS(ポートフォリオ実績!$D$2:$D$2001, ポートフォリオ実績!$B$2:$B$2001, B648, ポートフォリオ実績!$A$2:$A$2001, G648), 0)</f>
        <v>0</v>
      </c>
      <c r="I648">
        <f>IF(B648&lt;&gt;"", SUMIFS(ポートフォリオ実績!$C$2:$C$2001, ポートフォリオ実績!$B$2:$B$2001, B648, ポートフォリオ実績!$A$2:$A$2001, G648), 0)</f>
        <v>0</v>
      </c>
      <c r="J648">
        <f t="shared" si="111"/>
        <v>0</v>
      </c>
      <c r="K648">
        <f t="shared" si="112"/>
        <v>0</v>
      </c>
      <c r="L648">
        <f t="shared" si="113"/>
        <v>0</v>
      </c>
      <c r="M648">
        <f t="shared" si="114"/>
        <v>0</v>
      </c>
      <c r="N648">
        <f t="shared" si="115"/>
        <v>0</v>
      </c>
      <c r="O648">
        <f t="shared" si="116"/>
        <v>0</v>
      </c>
      <c r="P648" t="str">
        <f t="shared" si="117"/>
        <v/>
      </c>
      <c r="Q648" t="str">
        <f>IF(B648="","", IFERROR(VLOOKUP(B648, '基準資産配分（設定）'!$A$2:$C$2001, 3, FALSE), ""))</f>
        <v/>
      </c>
      <c r="R648" t="str">
        <f>IF(B648="","", IFERROR(VLOOKUP(B648, '基準資産配分（設定）'!$A$2:$C$2001, 2, FALSE)/100, 0))</f>
        <v/>
      </c>
      <c r="S648" t="str">
        <f>IF(B648="","", IFERROR(SUMIFS(ベンチマークリターン!$C$2:$C$2001, ベンチマークリターン!$A$2:$A$2001, A648, ベンチマークリターン!$B$2:$B$2001, Q648) / 100, 0))</f>
        <v/>
      </c>
      <c r="T648" t="str">
        <f>IF(A648="","", SUMIFS($H$2:$H$2000, $A$2:$A$2000, A648))</f>
        <v/>
      </c>
      <c r="U648" t="str">
        <f t="shared" si="118"/>
        <v/>
      </c>
      <c r="V648" t="str">
        <f t="shared" si="119"/>
        <v/>
      </c>
      <c r="W648" t="str">
        <f t="shared" si="120"/>
        <v/>
      </c>
    </row>
    <row r="649" spans="1:23" x14ac:dyDescent="0.2">
      <c r="A649" s="4" t="str">
        <f>IF(ポートフォリオ実績!A650="","", ポートフォリオ実績!A650)</f>
        <v/>
      </c>
      <c r="B649" t="str">
        <f>IF(ポートフォリオ実績!B650="","", ポートフォリオ実績!B650)</f>
        <v/>
      </c>
      <c r="C649" s="10" t="str">
        <f>IF(ポートフォリオ実績!C650="","", ポートフォリオ実績!C650)</f>
        <v/>
      </c>
      <c r="D649" s="10" t="str">
        <f>IF(ポートフォリオ実績!D650="","", ポートフォリオ実績!D650)</f>
        <v/>
      </c>
      <c r="E649" s="10" t="str">
        <f>IF(ポートフォリオ実績!E650="","", ポートフォリオ実績!E650)</f>
        <v/>
      </c>
      <c r="F649" s="10" t="str">
        <f>IF(ポートフォリオ実績!F650="","", ポートフォリオ実績!F650)</f>
        <v/>
      </c>
      <c r="G649" t="str">
        <f t="shared" si="110"/>
        <v/>
      </c>
      <c r="H649">
        <f>IF(B649&lt;&gt;"", SUMIFS(ポートフォリオ実績!$D$2:$D$2001, ポートフォリオ実績!$B$2:$B$2001, B649, ポートフォリオ実績!$A$2:$A$2001, G649), 0)</f>
        <v>0</v>
      </c>
      <c r="I649">
        <f>IF(B649&lt;&gt;"", SUMIFS(ポートフォリオ実績!$C$2:$C$2001, ポートフォリオ実績!$B$2:$B$2001, B649, ポートフォリオ実績!$A$2:$A$2001, G649), 0)</f>
        <v>0</v>
      </c>
      <c r="J649">
        <f t="shared" si="111"/>
        <v>0</v>
      </c>
      <c r="K649">
        <f t="shared" si="112"/>
        <v>0</v>
      </c>
      <c r="L649">
        <f t="shared" si="113"/>
        <v>0</v>
      </c>
      <c r="M649">
        <f t="shared" si="114"/>
        <v>0</v>
      </c>
      <c r="N649">
        <f t="shared" si="115"/>
        <v>0</v>
      </c>
      <c r="O649">
        <f t="shared" si="116"/>
        <v>0</v>
      </c>
      <c r="P649" t="str">
        <f t="shared" si="117"/>
        <v/>
      </c>
      <c r="Q649" t="str">
        <f>IF(B649="","", IFERROR(VLOOKUP(B649, '基準資産配分（設定）'!$A$2:$C$2001, 3, FALSE), ""))</f>
        <v/>
      </c>
      <c r="R649" t="str">
        <f>IF(B649="","", IFERROR(VLOOKUP(B649, '基準資産配分（設定）'!$A$2:$C$2001, 2, FALSE)/100, 0))</f>
        <v/>
      </c>
      <c r="S649" t="str">
        <f>IF(B649="","", IFERROR(SUMIFS(ベンチマークリターン!$C$2:$C$2001, ベンチマークリターン!$A$2:$A$2001, A649, ベンチマークリターン!$B$2:$B$2001, Q649) / 100, 0))</f>
        <v/>
      </c>
      <c r="T649" t="str">
        <f>IF(A649="","", SUMIFS($H$2:$H$2000, $A$2:$A$2000, A649))</f>
        <v/>
      </c>
      <c r="U649" t="str">
        <f t="shared" si="118"/>
        <v/>
      </c>
      <c r="V649" t="str">
        <f t="shared" si="119"/>
        <v/>
      </c>
      <c r="W649" t="str">
        <f t="shared" si="120"/>
        <v/>
      </c>
    </row>
    <row r="650" spans="1:23" x14ac:dyDescent="0.2">
      <c r="A650" s="4" t="str">
        <f>IF(ポートフォリオ実績!A651="","", ポートフォリオ実績!A651)</f>
        <v/>
      </c>
      <c r="B650" t="str">
        <f>IF(ポートフォリオ実績!B651="","", ポートフォリオ実績!B651)</f>
        <v/>
      </c>
      <c r="C650" s="10" t="str">
        <f>IF(ポートフォリオ実績!C651="","", ポートフォリオ実績!C651)</f>
        <v/>
      </c>
      <c r="D650" s="10" t="str">
        <f>IF(ポートフォリオ実績!D651="","", ポートフォリオ実績!D651)</f>
        <v/>
      </c>
      <c r="E650" s="10" t="str">
        <f>IF(ポートフォリオ実績!E651="","", ポートフォリオ実績!E651)</f>
        <v/>
      </c>
      <c r="F650" s="10" t="str">
        <f>IF(ポートフォリオ実績!F651="","", ポートフォリオ実績!F651)</f>
        <v/>
      </c>
      <c r="G650" t="str">
        <f t="shared" si="110"/>
        <v/>
      </c>
      <c r="H650">
        <f>IF(B650&lt;&gt;"", SUMIFS(ポートフォリオ実績!$D$2:$D$2001, ポートフォリオ実績!$B$2:$B$2001, B650, ポートフォリオ実績!$A$2:$A$2001, G650), 0)</f>
        <v>0</v>
      </c>
      <c r="I650">
        <f>IF(B650&lt;&gt;"", SUMIFS(ポートフォリオ実績!$C$2:$C$2001, ポートフォリオ実績!$B$2:$B$2001, B650, ポートフォリオ実績!$A$2:$A$2001, G650), 0)</f>
        <v>0</v>
      </c>
      <c r="J650">
        <f t="shared" si="111"/>
        <v>0</v>
      </c>
      <c r="K650">
        <f t="shared" si="112"/>
        <v>0</v>
      </c>
      <c r="L650">
        <f t="shared" si="113"/>
        <v>0</v>
      </c>
      <c r="M650">
        <f t="shared" si="114"/>
        <v>0</v>
      </c>
      <c r="N650">
        <f t="shared" si="115"/>
        <v>0</v>
      </c>
      <c r="O650">
        <f t="shared" si="116"/>
        <v>0</v>
      </c>
      <c r="P650" t="str">
        <f t="shared" si="117"/>
        <v/>
      </c>
      <c r="Q650" t="str">
        <f>IF(B650="","", IFERROR(VLOOKUP(B650, '基準資産配分（設定）'!$A$2:$C$2001, 3, FALSE), ""))</f>
        <v/>
      </c>
      <c r="R650" t="str">
        <f>IF(B650="","", IFERROR(VLOOKUP(B650, '基準資産配分（設定）'!$A$2:$C$2001, 2, FALSE)/100, 0))</f>
        <v/>
      </c>
      <c r="S650" t="str">
        <f>IF(B650="","", IFERROR(SUMIFS(ベンチマークリターン!$C$2:$C$2001, ベンチマークリターン!$A$2:$A$2001, A650, ベンチマークリターン!$B$2:$B$2001, Q650) / 100, 0))</f>
        <v/>
      </c>
      <c r="T650" t="str">
        <f>IF(A650="","", SUMIFS($H$2:$H$2000, $A$2:$A$2000, A650))</f>
        <v/>
      </c>
      <c r="U650" t="str">
        <f t="shared" si="118"/>
        <v/>
      </c>
      <c r="V650" t="str">
        <f t="shared" si="119"/>
        <v/>
      </c>
      <c r="W650" t="str">
        <f t="shared" si="120"/>
        <v/>
      </c>
    </row>
    <row r="651" spans="1:23" x14ac:dyDescent="0.2">
      <c r="A651" s="4" t="str">
        <f>IF(ポートフォリオ実績!A652="","", ポートフォリオ実績!A652)</f>
        <v/>
      </c>
      <c r="B651" t="str">
        <f>IF(ポートフォリオ実績!B652="","", ポートフォリオ実績!B652)</f>
        <v/>
      </c>
      <c r="C651" s="10" t="str">
        <f>IF(ポートフォリオ実績!C652="","", ポートフォリオ実績!C652)</f>
        <v/>
      </c>
      <c r="D651" s="10" t="str">
        <f>IF(ポートフォリオ実績!D652="","", ポートフォリオ実績!D652)</f>
        <v/>
      </c>
      <c r="E651" s="10" t="str">
        <f>IF(ポートフォリオ実績!E652="","", ポートフォリオ実績!E652)</f>
        <v/>
      </c>
      <c r="F651" s="10" t="str">
        <f>IF(ポートフォリオ実績!F652="","", ポートフォリオ実績!F652)</f>
        <v/>
      </c>
      <c r="G651" t="str">
        <f t="shared" si="110"/>
        <v/>
      </c>
      <c r="H651">
        <f>IF(B651&lt;&gt;"", SUMIFS(ポートフォリオ実績!$D$2:$D$2001, ポートフォリオ実績!$B$2:$B$2001, B651, ポートフォリオ実績!$A$2:$A$2001, G651), 0)</f>
        <v>0</v>
      </c>
      <c r="I651">
        <f>IF(B651&lt;&gt;"", SUMIFS(ポートフォリオ実績!$C$2:$C$2001, ポートフォリオ実績!$B$2:$B$2001, B651, ポートフォリオ実績!$A$2:$A$2001, G651), 0)</f>
        <v>0</v>
      </c>
      <c r="J651">
        <f t="shared" si="111"/>
        <v>0</v>
      </c>
      <c r="K651">
        <f t="shared" si="112"/>
        <v>0</v>
      </c>
      <c r="L651">
        <f t="shared" si="113"/>
        <v>0</v>
      </c>
      <c r="M651">
        <f t="shared" si="114"/>
        <v>0</v>
      </c>
      <c r="N651">
        <f t="shared" si="115"/>
        <v>0</v>
      </c>
      <c r="O651">
        <f t="shared" si="116"/>
        <v>0</v>
      </c>
      <c r="P651" t="str">
        <f t="shared" si="117"/>
        <v/>
      </c>
      <c r="Q651" t="str">
        <f>IF(B651="","", IFERROR(VLOOKUP(B651, '基準資産配分（設定）'!$A$2:$C$2001, 3, FALSE), ""))</f>
        <v/>
      </c>
      <c r="R651" t="str">
        <f>IF(B651="","", IFERROR(VLOOKUP(B651, '基準資産配分（設定）'!$A$2:$C$2001, 2, FALSE)/100, 0))</f>
        <v/>
      </c>
      <c r="S651" t="str">
        <f>IF(B651="","", IFERROR(SUMIFS(ベンチマークリターン!$C$2:$C$2001, ベンチマークリターン!$A$2:$A$2001, A651, ベンチマークリターン!$B$2:$B$2001, Q651) / 100, 0))</f>
        <v/>
      </c>
      <c r="T651" t="str">
        <f>IF(A651="","", SUMIFS($H$2:$H$2000, $A$2:$A$2000, A651))</f>
        <v/>
      </c>
      <c r="U651" t="str">
        <f t="shared" si="118"/>
        <v/>
      </c>
      <c r="V651" t="str">
        <f t="shared" si="119"/>
        <v/>
      </c>
      <c r="W651" t="str">
        <f t="shared" si="120"/>
        <v/>
      </c>
    </row>
    <row r="652" spans="1:23" x14ac:dyDescent="0.2">
      <c r="A652" s="4" t="str">
        <f>IF(ポートフォリオ実績!A653="","", ポートフォリオ実績!A653)</f>
        <v/>
      </c>
      <c r="B652" t="str">
        <f>IF(ポートフォリオ実績!B653="","", ポートフォリオ実績!B653)</f>
        <v/>
      </c>
      <c r="C652" s="10" t="str">
        <f>IF(ポートフォリオ実績!C653="","", ポートフォリオ実績!C653)</f>
        <v/>
      </c>
      <c r="D652" s="10" t="str">
        <f>IF(ポートフォリオ実績!D653="","", ポートフォリオ実績!D653)</f>
        <v/>
      </c>
      <c r="E652" s="10" t="str">
        <f>IF(ポートフォリオ実績!E653="","", ポートフォリオ実績!E653)</f>
        <v/>
      </c>
      <c r="F652" s="10" t="str">
        <f>IF(ポートフォリオ実績!F653="","", ポートフォリオ実績!F653)</f>
        <v/>
      </c>
      <c r="G652" t="str">
        <f t="shared" si="110"/>
        <v/>
      </c>
      <c r="H652">
        <f>IF(B652&lt;&gt;"", SUMIFS(ポートフォリオ実績!$D$2:$D$2001, ポートフォリオ実績!$B$2:$B$2001, B652, ポートフォリオ実績!$A$2:$A$2001, G652), 0)</f>
        <v>0</v>
      </c>
      <c r="I652">
        <f>IF(B652&lt;&gt;"", SUMIFS(ポートフォリオ実績!$C$2:$C$2001, ポートフォリオ実績!$B$2:$B$2001, B652, ポートフォリオ実績!$A$2:$A$2001, G652), 0)</f>
        <v>0</v>
      </c>
      <c r="J652">
        <f t="shared" si="111"/>
        <v>0</v>
      </c>
      <c r="K652">
        <f t="shared" si="112"/>
        <v>0</v>
      </c>
      <c r="L652">
        <f t="shared" si="113"/>
        <v>0</v>
      </c>
      <c r="M652">
        <f t="shared" si="114"/>
        <v>0</v>
      </c>
      <c r="N652">
        <f t="shared" si="115"/>
        <v>0</v>
      </c>
      <c r="O652">
        <f t="shared" si="116"/>
        <v>0</v>
      </c>
      <c r="P652" t="str">
        <f t="shared" si="117"/>
        <v/>
      </c>
      <c r="Q652" t="str">
        <f>IF(B652="","", IFERROR(VLOOKUP(B652, '基準資産配分（設定）'!$A$2:$C$2001, 3, FALSE), ""))</f>
        <v/>
      </c>
      <c r="R652" t="str">
        <f>IF(B652="","", IFERROR(VLOOKUP(B652, '基準資産配分（設定）'!$A$2:$C$2001, 2, FALSE)/100, 0))</f>
        <v/>
      </c>
      <c r="S652" t="str">
        <f>IF(B652="","", IFERROR(SUMIFS(ベンチマークリターン!$C$2:$C$2001, ベンチマークリターン!$A$2:$A$2001, A652, ベンチマークリターン!$B$2:$B$2001, Q652) / 100, 0))</f>
        <v/>
      </c>
      <c r="T652" t="str">
        <f>IF(A652="","", SUMIFS($H$2:$H$2000, $A$2:$A$2000, A652))</f>
        <v/>
      </c>
      <c r="U652" t="str">
        <f t="shared" si="118"/>
        <v/>
      </c>
      <c r="V652" t="str">
        <f t="shared" si="119"/>
        <v/>
      </c>
      <c r="W652" t="str">
        <f t="shared" si="120"/>
        <v/>
      </c>
    </row>
    <row r="653" spans="1:23" x14ac:dyDescent="0.2">
      <c r="A653" s="4" t="str">
        <f>IF(ポートフォリオ実績!A654="","", ポートフォリオ実績!A654)</f>
        <v/>
      </c>
      <c r="B653" t="str">
        <f>IF(ポートフォリオ実績!B654="","", ポートフォリオ実績!B654)</f>
        <v/>
      </c>
      <c r="C653" s="10" t="str">
        <f>IF(ポートフォリオ実績!C654="","", ポートフォリオ実績!C654)</f>
        <v/>
      </c>
      <c r="D653" s="10" t="str">
        <f>IF(ポートフォリオ実績!D654="","", ポートフォリオ実績!D654)</f>
        <v/>
      </c>
      <c r="E653" s="10" t="str">
        <f>IF(ポートフォリオ実績!E654="","", ポートフォリオ実績!E654)</f>
        <v/>
      </c>
      <c r="F653" s="10" t="str">
        <f>IF(ポートフォリオ実績!F654="","", ポートフォリオ実績!F654)</f>
        <v/>
      </c>
      <c r="G653" t="str">
        <f t="shared" si="110"/>
        <v/>
      </c>
      <c r="H653">
        <f>IF(B653&lt;&gt;"", SUMIFS(ポートフォリオ実績!$D$2:$D$2001, ポートフォリオ実績!$B$2:$B$2001, B653, ポートフォリオ実績!$A$2:$A$2001, G653), 0)</f>
        <v>0</v>
      </c>
      <c r="I653">
        <f>IF(B653&lt;&gt;"", SUMIFS(ポートフォリオ実績!$C$2:$C$2001, ポートフォリオ実績!$B$2:$B$2001, B653, ポートフォリオ実績!$A$2:$A$2001, G653), 0)</f>
        <v>0</v>
      </c>
      <c r="J653">
        <f t="shared" si="111"/>
        <v>0</v>
      </c>
      <c r="K653">
        <f t="shared" si="112"/>
        <v>0</v>
      </c>
      <c r="L653">
        <f t="shared" si="113"/>
        <v>0</v>
      </c>
      <c r="M653">
        <f t="shared" si="114"/>
        <v>0</v>
      </c>
      <c r="N653">
        <f t="shared" si="115"/>
        <v>0</v>
      </c>
      <c r="O653">
        <f t="shared" si="116"/>
        <v>0</v>
      </c>
      <c r="P653" t="str">
        <f t="shared" si="117"/>
        <v/>
      </c>
      <c r="Q653" t="str">
        <f>IF(B653="","", IFERROR(VLOOKUP(B653, '基準資産配分（設定）'!$A$2:$C$2001, 3, FALSE), ""))</f>
        <v/>
      </c>
      <c r="R653" t="str">
        <f>IF(B653="","", IFERROR(VLOOKUP(B653, '基準資産配分（設定）'!$A$2:$C$2001, 2, FALSE)/100, 0))</f>
        <v/>
      </c>
      <c r="S653" t="str">
        <f>IF(B653="","", IFERROR(SUMIFS(ベンチマークリターン!$C$2:$C$2001, ベンチマークリターン!$A$2:$A$2001, A653, ベンチマークリターン!$B$2:$B$2001, Q653) / 100, 0))</f>
        <v/>
      </c>
      <c r="T653" t="str">
        <f>IF(A653="","", SUMIFS($H$2:$H$2000, $A$2:$A$2000, A653))</f>
        <v/>
      </c>
      <c r="U653" t="str">
        <f t="shared" si="118"/>
        <v/>
      </c>
      <c r="V653" t="str">
        <f t="shared" si="119"/>
        <v/>
      </c>
      <c r="W653" t="str">
        <f t="shared" si="120"/>
        <v/>
      </c>
    </row>
    <row r="654" spans="1:23" x14ac:dyDescent="0.2">
      <c r="A654" s="4" t="str">
        <f>IF(ポートフォリオ実績!A655="","", ポートフォリオ実績!A655)</f>
        <v/>
      </c>
      <c r="B654" t="str">
        <f>IF(ポートフォリオ実績!B655="","", ポートフォリオ実績!B655)</f>
        <v/>
      </c>
      <c r="C654" s="10" t="str">
        <f>IF(ポートフォリオ実績!C655="","", ポートフォリオ実績!C655)</f>
        <v/>
      </c>
      <c r="D654" s="10" t="str">
        <f>IF(ポートフォリオ実績!D655="","", ポートフォリオ実績!D655)</f>
        <v/>
      </c>
      <c r="E654" s="10" t="str">
        <f>IF(ポートフォリオ実績!E655="","", ポートフォリオ実績!E655)</f>
        <v/>
      </c>
      <c r="F654" s="10" t="str">
        <f>IF(ポートフォリオ実績!F655="","", ポートフォリオ実績!F655)</f>
        <v/>
      </c>
      <c r="G654" t="str">
        <f t="shared" si="110"/>
        <v/>
      </c>
      <c r="H654">
        <f>IF(B654&lt;&gt;"", SUMIFS(ポートフォリオ実績!$D$2:$D$2001, ポートフォリオ実績!$B$2:$B$2001, B654, ポートフォリオ実績!$A$2:$A$2001, G654), 0)</f>
        <v>0</v>
      </c>
      <c r="I654">
        <f>IF(B654&lt;&gt;"", SUMIFS(ポートフォリオ実績!$C$2:$C$2001, ポートフォリオ実績!$B$2:$B$2001, B654, ポートフォリオ実績!$A$2:$A$2001, G654), 0)</f>
        <v>0</v>
      </c>
      <c r="J654">
        <f t="shared" si="111"/>
        <v>0</v>
      </c>
      <c r="K654">
        <f t="shared" si="112"/>
        <v>0</v>
      </c>
      <c r="L654">
        <f t="shared" si="113"/>
        <v>0</v>
      </c>
      <c r="M654">
        <f t="shared" si="114"/>
        <v>0</v>
      </c>
      <c r="N654">
        <f t="shared" si="115"/>
        <v>0</v>
      </c>
      <c r="O654">
        <f t="shared" si="116"/>
        <v>0</v>
      </c>
      <c r="P654" t="str">
        <f t="shared" si="117"/>
        <v/>
      </c>
      <c r="Q654" t="str">
        <f>IF(B654="","", IFERROR(VLOOKUP(B654, '基準資産配分（設定）'!$A$2:$C$2001, 3, FALSE), ""))</f>
        <v/>
      </c>
      <c r="R654" t="str">
        <f>IF(B654="","", IFERROR(VLOOKUP(B654, '基準資産配分（設定）'!$A$2:$C$2001, 2, FALSE)/100, 0))</f>
        <v/>
      </c>
      <c r="S654" t="str">
        <f>IF(B654="","", IFERROR(SUMIFS(ベンチマークリターン!$C$2:$C$2001, ベンチマークリターン!$A$2:$A$2001, A654, ベンチマークリターン!$B$2:$B$2001, Q654) / 100, 0))</f>
        <v/>
      </c>
      <c r="T654" t="str">
        <f>IF(A654="","", SUMIFS($H$2:$H$2000, $A$2:$A$2000, A654))</f>
        <v/>
      </c>
      <c r="U654" t="str">
        <f t="shared" si="118"/>
        <v/>
      </c>
      <c r="V654" t="str">
        <f t="shared" si="119"/>
        <v/>
      </c>
      <c r="W654" t="str">
        <f t="shared" si="120"/>
        <v/>
      </c>
    </row>
    <row r="655" spans="1:23" x14ac:dyDescent="0.2">
      <c r="A655" s="4" t="str">
        <f>IF(ポートフォリオ実績!A656="","", ポートフォリオ実績!A656)</f>
        <v/>
      </c>
      <c r="B655" t="str">
        <f>IF(ポートフォリオ実績!B656="","", ポートフォリオ実績!B656)</f>
        <v/>
      </c>
      <c r="C655" s="10" t="str">
        <f>IF(ポートフォリオ実績!C656="","", ポートフォリオ実績!C656)</f>
        <v/>
      </c>
      <c r="D655" s="10" t="str">
        <f>IF(ポートフォリオ実績!D656="","", ポートフォリオ実績!D656)</f>
        <v/>
      </c>
      <c r="E655" s="10" t="str">
        <f>IF(ポートフォリオ実績!E656="","", ポートフォリオ実績!E656)</f>
        <v/>
      </c>
      <c r="F655" s="10" t="str">
        <f>IF(ポートフォリオ実績!F656="","", ポートフォリオ実績!F656)</f>
        <v/>
      </c>
      <c r="G655" t="str">
        <f t="shared" si="110"/>
        <v/>
      </c>
      <c r="H655">
        <f>IF(B655&lt;&gt;"", SUMIFS(ポートフォリオ実績!$D$2:$D$2001, ポートフォリオ実績!$B$2:$B$2001, B655, ポートフォリオ実績!$A$2:$A$2001, G655), 0)</f>
        <v>0</v>
      </c>
      <c r="I655">
        <f>IF(B655&lt;&gt;"", SUMIFS(ポートフォリオ実績!$C$2:$C$2001, ポートフォリオ実績!$B$2:$B$2001, B655, ポートフォリオ実績!$A$2:$A$2001, G655), 0)</f>
        <v>0</v>
      </c>
      <c r="J655">
        <f t="shared" si="111"/>
        <v>0</v>
      </c>
      <c r="K655">
        <f t="shared" si="112"/>
        <v>0</v>
      </c>
      <c r="L655">
        <f t="shared" si="113"/>
        <v>0</v>
      </c>
      <c r="M655">
        <f t="shared" si="114"/>
        <v>0</v>
      </c>
      <c r="N655">
        <f t="shared" si="115"/>
        <v>0</v>
      </c>
      <c r="O655">
        <f t="shared" si="116"/>
        <v>0</v>
      </c>
      <c r="P655" t="str">
        <f t="shared" si="117"/>
        <v/>
      </c>
      <c r="Q655" t="str">
        <f>IF(B655="","", IFERROR(VLOOKUP(B655, '基準資産配分（設定）'!$A$2:$C$2001, 3, FALSE), ""))</f>
        <v/>
      </c>
      <c r="R655" t="str">
        <f>IF(B655="","", IFERROR(VLOOKUP(B655, '基準資産配分（設定）'!$A$2:$C$2001, 2, FALSE)/100, 0))</f>
        <v/>
      </c>
      <c r="S655" t="str">
        <f>IF(B655="","", IFERROR(SUMIFS(ベンチマークリターン!$C$2:$C$2001, ベンチマークリターン!$A$2:$A$2001, A655, ベンチマークリターン!$B$2:$B$2001, Q655) / 100, 0))</f>
        <v/>
      </c>
      <c r="T655" t="str">
        <f>IF(A655="","", SUMIFS($H$2:$H$2000, $A$2:$A$2000, A655))</f>
        <v/>
      </c>
      <c r="U655" t="str">
        <f t="shared" si="118"/>
        <v/>
      </c>
      <c r="V655" t="str">
        <f t="shared" si="119"/>
        <v/>
      </c>
      <c r="W655" t="str">
        <f t="shared" si="120"/>
        <v/>
      </c>
    </row>
    <row r="656" spans="1:23" x14ac:dyDescent="0.2">
      <c r="A656" s="4" t="str">
        <f>IF(ポートフォリオ実績!A657="","", ポートフォリオ実績!A657)</f>
        <v/>
      </c>
      <c r="B656" t="str">
        <f>IF(ポートフォリオ実績!B657="","", ポートフォリオ実績!B657)</f>
        <v/>
      </c>
      <c r="C656" s="10" t="str">
        <f>IF(ポートフォリオ実績!C657="","", ポートフォリオ実績!C657)</f>
        <v/>
      </c>
      <c r="D656" s="10" t="str">
        <f>IF(ポートフォリオ実績!D657="","", ポートフォリオ実績!D657)</f>
        <v/>
      </c>
      <c r="E656" s="10" t="str">
        <f>IF(ポートフォリオ実績!E657="","", ポートフォリオ実績!E657)</f>
        <v/>
      </c>
      <c r="F656" s="10" t="str">
        <f>IF(ポートフォリオ実績!F657="","", ポートフォリオ実績!F657)</f>
        <v/>
      </c>
      <c r="G656" t="str">
        <f t="shared" si="110"/>
        <v/>
      </c>
      <c r="H656">
        <f>IF(B656&lt;&gt;"", SUMIFS(ポートフォリオ実績!$D$2:$D$2001, ポートフォリオ実績!$B$2:$B$2001, B656, ポートフォリオ実績!$A$2:$A$2001, G656), 0)</f>
        <v>0</v>
      </c>
      <c r="I656">
        <f>IF(B656&lt;&gt;"", SUMIFS(ポートフォリオ実績!$C$2:$C$2001, ポートフォリオ実績!$B$2:$B$2001, B656, ポートフォリオ実績!$A$2:$A$2001, G656), 0)</f>
        <v>0</v>
      </c>
      <c r="J656">
        <f t="shared" si="111"/>
        <v>0</v>
      </c>
      <c r="K656">
        <f t="shared" si="112"/>
        <v>0</v>
      </c>
      <c r="L656">
        <f t="shared" si="113"/>
        <v>0</v>
      </c>
      <c r="M656">
        <f t="shared" si="114"/>
        <v>0</v>
      </c>
      <c r="N656">
        <f t="shared" si="115"/>
        <v>0</v>
      </c>
      <c r="O656">
        <f t="shared" si="116"/>
        <v>0</v>
      </c>
      <c r="P656" t="str">
        <f t="shared" si="117"/>
        <v/>
      </c>
      <c r="Q656" t="str">
        <f>IF(B656="","", IFERROR(VLOOKUP(B656, '基準資産配分（設定）'!$A$2:$C$2001, 3, FALSE), ""))</f>
        <v/>
      </c>
      <c r="R656" t="str">
        <f>IF(B656="","", IFERROR(VLOOKUP(B656, '基準資産配分（設定）'!$A$2:$C$2001, 2, FALSE)/100, 0))</f>
        <v/>
      </c>
      <c r="S656" t="str">
        <f>IF(B656="","", IFERROR(SUMIFS(ベンチマークリターン!$C$2:$C$2001, ベンチマークリターン!$A$2:$A$2001, A656, ベンチマークリターン!$B$2:$B$2001, Q656) / 100, 0))</f>
        <v/>
      </c>
      <c r="T656" t="str">
        <f>IF(A656="","", SUMIFS($H$2:$H$2000, $A$2:$A$2000, A656))</f>
        <v/>
      </c>
      <c r="U656" t="str">
        <f t="shared" si="118"/>
        <v/>
      </c>
      <c r="V656" t="str">
        <f t="shared" si="119"/>
        <v/>
      </c>
      <c r="W656" t="str">
        <f t="shared" si="120"/>
        <v/>
      </c>
    </row>
    <row r="657" spans="1:23" x14ac:dyDescent="0.2">
      <c r="A657" s="4" t="str">
        <f>IF(ポートフォリオ実績!A658="","", ポートフォリオ実績!A658)</f>
        <v/>
      </c>
      <c r="B657" t="str">
        <f>IF(ポートフォリオ実績!B658="","", ポートフォリオ実績!B658)</f>
        <v/>
      </c>
      <c r="C657" s="10" t="str">
        <f>IF(ポートフォリオ実績!C658="","", ポートフォリオ実績!C658)</f>
        <v/>
      </c>
      <c r="D657" s="10" t="str">
        <f>IF(ポートフォリオ実績!D658="","", ポートフォリオ実績!D658)</f>
        <v/>
      </c>
      <c r="E657" s="10" t="str">
        <f>IF(ポートフォリオ実績!E658="","", ポートフォリオ実績!E658)</f>
        <v/>
      </c>
      <c r="F657" s="10" t="str">
        <f>IF(ポートフォリオ実績!F658="","", ポートフォリオ実績!F658)</f>
        <v/>
      </c>
      <c r="G657" t="str">
        <f t="shared" si="110"/>
        <v/>
      </c>
      <c r="H657">
        <f>IF(B657&lt;&gt;"", SUMIFS(ポートフォリオ実績!$D$2:$D$2001, ポートフォリオ実績!$B$2:$B$2001, B657, ポートフォリオ実績!$A$2:$A$2001, G657), 0)</f>
        <v>0</v>
      </c>
      <c r="I657">
        <f>IF(B657&lt;&gt;"", SUMIFS(ポートフォリオ実績!$C$2:$C$2001, ポートフォリオ実績!$B$2:$B$2001, B657, ポートフォリオ実績!$A$2:$A$2001, G657), 0)</f>
        <v>0</v>
      </c>
      <c r="J657">
        <f t="shared" si="111"/>
        <v>0</v>
      </c>
      <c r="K657">
        <f t="shared" si="112"/>
        <v>0</v>
      </c>
      <c r="L657">
        <f t="shared" si="113"/>
        <v>0</v>
      </c>
      <c r="M657">
        <f t="shared" si="114"/>
        <v>0</v>
      </c>
      <c r="N657">
        <f t="shared" si="115"/>
        <v>0</v>
      </c>
      <c r="O657">
        <f t="shared" si="116"/>
        <v>0</v>
      </c>
      <c r="P657" t="str">
        <f t="shared" si="117"/>
        <v/>
      </c>
      <c r="Q657" t="str">
        <f>IF(B657="","", IFERROR(VLOOKUP(B657, '基準資産配分（設定）'!$A$2:$C$2001, 3, FALSE), ""))</f>
        <v/>
      </c>
      <c r="R657" t="str">
        <f>IF(B657="","", IFERROR(VLOOKUP(B657, '基準資産配分（設定）'!$A$2:$C$2001, 2, FALSE)/100, 0))</f>
        <v/>
      </c>
      <c r="S657" t="str">
        <f>IF(B657="","", IFERROR(SUMIFS(ベンチマークリターン!$C$2:$C$2001, ベンチマークリターン!$A$2:$A$2001, A657, ベンチマークリターン!$B$2:$B$2001, Q657) / 100, 0))</f>
        <v/>
      </c>
      <c r="T657" t="str">
        <f>IF(A657="","", SUMIFS($H$2:$H$2000, $A$2:$A$2000, A657))</f>
        <v/>
      </c>
      <c r="U657" t="str">
        <f t="shared" si="118"/>
        <v/>
      </c>
      <c r="V657" t="str">
        <f t="shared" si="119"/>
        <v/>
      </c>
      <c r="W657" t="str">
        <f t="shared" si="120"/>
        <v/>
      </c>
    </row>
    <row r="658" spans="1:23" x14ac:dyDescent="0.2">
      <c r="A658" s="4" t="str">
        <f>IF(ポートフォリオ実績!A659="","", ポートフォリオ実績!A659)</f>
        <v/>
      </c>
      <c r="B658" t="str">
        <f>IF(ポートフォリオ実績!B659="","", ポートフォリオ実績!B659)</f>
        <v/>
      </c>
      <c r="C658" s="10" t="str">
        <f>IF(ポートフォリオ実績!C659="","", ポートフォリオ実績!C659)</f>
        <v/>
      </c>
      <c r="D658" s="10" t="str">
        <f>IF(ポートフォリオ実績!D659="","", ポートフォリオ実績!D659)</f>
        <v/>
      </c>
      <c r="E658" s="10" t="str">
        <f>IF(ポートフォリオ実績!E659="","", ポートフォリオ実績!E659)</f>
        <v/>
      </c>
      <c r="F658" s="10" t="str">
        <f>IF(ポートフォリオ実績!F659="","", ポートフォリオ実績!F659)</f>
        <v/>
      </c>
      <c r="G658" t="str">
        <f t="shared" si="110"/>
        <v/>
      </c>
      <c r="H658">
        <f>IF(B658&lt;&gt;"", SUMIFS(ポートフォリオ実績!$D$2:$D$2001, ポートフォリオ実績!$B$2:$B$2001, B658, ポートフォリオ実績!$A$2:$A$2001, G658), 0)</f>
        <v>0</v>
      </c>
      <c r="I658">
        <f>IF(B658&lt;&gt;"", SUMIFS(ポートフォリオ実績!$C$2:$C$2001, ポートフォリオ実績!$B$2:$B$2001, B658, ポートフォリオ実績!$A$2:$A$2001, G658), 0)</f>
        <v>0</v>
      </c>
      <c r="J658">
        <f t="shared" si="111"/>
        <v>0</v>
      </c>
      <c r="K658">
        <f t="shared" si="112"/>
        <v>0</v>
      </c>
      <c r="L658">
        <f t="shared" si="113"/>
        <v>0</v>
      </c>
      <c r="M658">
        <f t="shared" si="114"/>
        <v>0</v>
      </c>
      <c r="N658">
        <f t="shared" si="115"/>
        <v>0</v>
      </c>
      <c r="O658">
        <f t="shared" si="116"/>
        <v>0</v>
      </c>
      <c r="P658" t="str">
        <f t="shared" si="117"/>
        <v/>
      </c>
      <c r="Q658" t="str">
        <f>IF(B658="","", IFERROR(VLOOKUP(B658, '基準資産配分（設定）'!$A$2:$C$2001, 3, FALSE), ""))</f>
        <v/>
      </c>
      <c r="R658" t="str">
        <f>IF(B658="","", IFERROR(VLOOKUP(B658, '基準資産配分（設定）'!$A$2:$C$2001, 2, FALSE)/100, 0))</f>
        <v/>
      </c>
      <c r="S658" t="str">
        <f>IF(B658="","", IFERROR(SUMIFS(ベンチマークリターン!$C$2:$C$2001, ベンチマークリターン!$A$2:$A$2001, A658, ベンチマークリターン!$B$2:$B$2001, Q658) / 100, 0))</f>
        <v/>
      </c>
      <c r="T658" t="str">
        <f>IF(A658="","", SUMIFS($H$2:$H$2000, $A$2:$A$2000, A658))</f>
        <v/>
      </c>
      <c r="U658" t="str">
        <f t="shared" si="118"/>
        <v/>
      </c>
      <c r="V658" t="str">
        <f t="shared" si="119"/>
        <v/>
      </c>
      <c r="W658" t="str">
        <f t="shared" si="120"/>
        <v/>
      </c>
    </row>
    <row r="659" spans="1:23" x14ac:dyDescent="0.2">
      <c r="A659" s="4" t="str">
        <f>IF(ポートフォリオ実績!A660="","", ポートフォリオ実績!A660)</f>
        <v/>
      </c>
      <c r="B659" t="str">
        <f>IF(ポートフォリオ実績!B660="","", ポートフォリオ実績!B660)</f>
        <v/>
      </c>
      <c r="C659" s="10" t="str">
        <f>IF(ポートフォリオ実績!C660="","", ポートフォリオ実績!C660)</f>
        <v/>
      </c>
      <c r="D659" s="10" t="str">
        <f>IF(ポートフォリオ実績!D660="","", ポートフォリオ実績!D660)</f>
        <v/>
      </c>
      <c r="E659" s="10" t="str">
        <f>IF(ポートフォリオ実績!E660="","", ポートフォリオ実績!E660)</f>
        <v/>
      </c>
      <c r="F659" s="10" t="str">
        <f>IF(ポートフォリオ実績!F660="","", ポートフォリオ実績!F660)</f>
        <v/>
      </c>
      <c r="G659" t="str">
        <f t="shared" si="110"/>
        <v/>
      </c>
      <c r="H659">
        <f>IF(B659&lt;&gt;"", SUMIFS(ポートフォリオ実績!$D$2:$D$2001, ポートフォリオ実績!$B$2:$B$2001, B659, ポートフォリオ実績!$A$2:$A$2001, G659), 0)</f>
        <v>0</v>
      </c>
      <c r="I659">
        <f>IF(B659&lt;&gt;"", SUMIFS(ポートフォリオ実績!$C$2:$C$2001, ポートフォリオ実績!$B$2:$B$2001, B659, ポートフォリオ実績!$A$2:$A$2001, G659), 0)</f>
        <v>0</v>
      </c>
      <c r="J659">
        <f t="shared" si="111"/>
        <v>0</v>
      </c>
      <c r="K659">
        <f t="shared" si="112"/>
        <v>0</v>
      </c>
      <c r="L659">
        <f t="shared" si="113"/>
        <v>0</v>
      </c>
      <c r="M659">
        <f t="shared" si="114"/>
        <v>0</v>
      </c>
      <c r="N659">
        <f t="shared" si="115"/>
        <v>0</v>
      </c>
      <c r="O659">
        <f t="shared" si="116"/>
        <v>0</v>
      </c>
      <c r="P659" t="str">
        <f t="shared" si="117"/>
        <v/>
      </c>
      <c r="Q659" t="str">
        <f>IF(B659="","", IFERROR(VLOOKUP(B659, '基準資産配分（設定）'!$A$2:$C$2001, 3, FALSE), ""))</f>
        <v/>
      </c>
      <c r="R659" t="str">
        <f>IF(B659="","", IFERROR(VLOOKUP(B659, '基準資産配分（設定）'!$A$2:$C$2001, 2, FALSE)/100, 0))</f>
        <v/>
      </c>
      <c r="S659" t="str">
        <f>IF(B659="","", IFERROR(SUMIFS(ベンチマークリターン!$C$2:$C$2001, ベンチマークリターン!$A$2:$A$2001, A659, ベンチマークリターン!$B$2:$B$2001, Q659) / 100, 0))</f>
        <v/>
      </c>
      <c r="T659" t="str">
        <f>IF(A659="","", SUMIFS($H$2:$H$2000, $A$2:$A$2000, A659))</f>
        <v/>
      </c>
      <c r="U659" t="str">
        <f t="shared" si="118"/>
        <v/>
      </c>
      <c r="V659" t="str">
        <f t="shared" si="119"/>
        <v/>
      </c>
      <c r="W659" t="str">
        <f t="shared" si="120"/>
        <v/>
      </c>
    </row>
    <row r="660" spans="1:23" x14ac:dyDescent="0.2">
      <c r="A660" s="4" t="str">
        <f>IF(ポートフォリオ実績!A661="","", ポートフォリオ実績!A661)</f>
        <v/>
      </c>
      <c r="B660" t="str">
        <f>IF(ポートフォリオ実績!B661="","", ポートフォリオ実績!B661)</f>
        <v/>
      </c>
      <c r="C660" s="10" t="str">
        <f>IF(ポートフォリオ実績!C661="","", ポートフォリオ実績!C661)</f>
        <v/>
      </c>
      <c r="D660" s="10" t="str">
        <f>IF(ポートフォリオ実績!D661="","", ポートフォリオ実績!D661)</f>
        <v/>
      </c>
      <c r="E660" s="10" t="str">
        <f>IF(ポートフォリオ実績!E661="","", ポートフォリオ実績!E661)</f>
        <v/>
      </c>
      <c r="F660" s="10" t="str">
        <f>IF(ポートフォリオ実績!F661="","", ポートフォリオ実績!F661)</f>
        <v/>
      </c>
      <c r="G660" t="str">
        <f t="shared" si="110"/>
        <v/>
      </c>
      <c r="H660">
        <f>IF(B660&lt;&gt;"", SUMIFS(ポートフォリオ実績!$D$2:$D$2001, ポートフォリオ実績!$B$2:$B$2001, B660, ポートフォリオ実績!$A$2:$A$2001, G660), 0)</f>
        <v>0</v>
      </c>
      <c r="I660">
        <f>IF(B660&lt;&gt;"", SUMIFS(ポートフォリオ実績!$C$2:$C$2001, ポートフォリオ実績!$B$2:$B$2001, B660, ポートフォリオ実績!$A$2:$A$2001, G660), 0)</f>
        <v>0</v>
      </c>
      <c r="J660">
        <f t="shared" si="111"/>
        <v>0</v>
      </c>
      <c r="K660">
        <f t="shared" si="112"/>
        <v>0</v>
      </c>
      <c r="L660">
        <f t="shared" si="113"/>
        <v>0</v>
      </c>
      <c r="M660">
        <f t="shared" si="114"/>
        <v>0</v>
      </c>
      <c r="N660">
        <f t="shared" si="115"/>
        <v>0</v>
      </c>
      <c r="O660">
        <f t="shared" si="116"/>
        <v>0</v>
      </c>
      <c r="P660" t="str">
        <f t="shared" si="117"/>
        <v/>
      </c>
      <c r="Q660" t="str">
        <f>IF(B660="","", IFERROR(VLOOKUP(B660, '基準資産配分（設定）'!$A$2:$C$2001, 3, FALSE), ""))</f>
        <v/>
      </c>
      <c r="R660" t="str">
        <f>IF(B660="","", IFERROR(VLOOKUP(B660, '基準資産配分（設定）'!$A$2:$C$2001, 2, FALSE)/100, 0))</f>
        <v/>
      </c>
      <c r="S660" t="str">
        <f>IF(B660="","", IFERROR(SUMIFS(ベンチマークリターン!$C$2:$C$2001, ベンチマークリターン!$A$2:$A$2001, A660, ベンチマークリターン!$B$2:$B$2001, Q660) / 100, 0))</f>
        <v/>
      </c>
      <c r="T660" t="str">
        <f>IF(A660="","", SUMIFS($H$2:$H$2000, $A$2:$A$2000, A660))</f>
        <v/>
      </c>
      <c r="U660" t="str">
        <f t="shared" si="118"/>
        <v/>
      </c>
      <c r="V660" t="str">
        <f t="shared" si="119"/>
        <v/>
      </c>
      <c r="W660" t="str">
        <f t="shared" si="120"/>
        <v/>
      </c>
    </row>
    <row r="661" spans="1:23" x14ac:dyDescent="0.2">
      <c r="A661" s="4" t="str">
        <f>IF(ポートフォリオ実績!A662="","", ポートフォリオ実績!A662)</f>
        <v/>
      </c>
      <c r="B661" t="str">
        <f>IF(ポートフォリオ実績!B662="","", ポートフォリオ実績!B662)</f>
        <v/>
      </c>
      <c r="C661" s="10" t="str">
        <f>IF(ポートフォリオ実績!C662="","", ポートフォリオ実績!C662)</f>
        <v/>
      </c>
      <c r="D661" s="10" t="str">
        <f>IF(ポートフォリオ実績!D662="","", ポートフォリオ実績!D662)</f>
        <v/>
      </c>
      <c r="E661" s="10" t="str">
        <f>IF(ポートフォリオ実績!E662="","", ポートフォリオ実績!E662)</f>
        <v/>
      </c>
      <c r="F661" s="10" t="str">
        <f>IF(ポートフォリオ実績!F662="","", ポートフォリオ実績!F662)</f>
        <v/>
      </c>
      <c r="G661" t="str">
        <f t="shared" si="110"/>
        <v/>
      </c>
      <c r="H661">
        <f>IF(B661&lt;&gt;"", SUMIFS(ポートフォリオ実績!$D$2:$D$2001, ポートフォリオ実績!$B$2:$B$2001, B661, ポートフォリオ実績!$A$2:$A$2001, G661), 0)</f>
        <v>0</v>
      </c>
      <c r="I661">
        <f>IF(B661&lt;&gt;"", SUMIFS(ポートフォリオ実績!$C$2:$C$2001, ポートフォリオ実績!$B$2:$B$2001, B661, ポートフォリオ実績!$A$2:$A$2001, G661), 0)</f>
        <v>0</v>
      </c>
      <c r="J661">
        <f t="shared" si="111"/>
        <v>0</v>
      </c>
      <c r="K661">
        <f t="shared" si="112"/>
        <v>0</v>
      </c>
      <c r="L661">
        <f t="shared" si="113"/>
        <v>0</v>
      </c>
      <c r="M661">
        <f t="shared" si="114"/>
        <v>0</v>
      </c>
      <c r="N661">
        <f t="shared" si="115"/>
        <v>0</v>
      </c>
      <c r="O661">
        <f t="shared" si="116"/>
        <v>0</v>
      </c>
      <c r="P661" t="str">
        <f t="shared" si="117"/>
        <v/>
      </c>
      <c r="Q661" t="str">
        <f>IF(B661="","", IFERROR(VLOOKUP(B661, '基準資産配分（設定）'!$A$2:$C$2001, 3, FALSE), ""))</f>
        <v/>
      </c>
      <c r="R661" t="str">
        <f>IF(B661="","", IFERROR(VLOOKUP(B661, '基準資産配分（設定）'!$A$2:$C$2001, 2, FALSE)/100, 0))</f>
        <v/>
      </c>
      <c r="S661" t="str">
        <f>IF(B661="","", IFERROR(SUMIFS(ベンチマークリターン!$C$2:$C$2001, ベンチマークリターン!$A$2:$A$2001, A661, ベンチマークリターン!$B$2:$B$2001, Q661) / 100, 0))</f>
        <v/>
      </c>
      <c r="T661" t="str">
        <f>IF(A661="","", SUMIFS($H$2:$H$2000, $A$2:$A$2000, A661))</f>
        <v/>
      </c>
      <c r="U661" t="str">
        <f t="shared" si="118"/>
        <v/>
      </c>
      <c r="V661" t="str">
        <f t="shared" si="119"/>
        <v/>
      </c>
      <c r="W661" t="str">
        <f t="shared" si="120"/>
        <v/>
      </c>
    </row>
    <row r="662" spans="1:23" x14ac:dyDescent="0.2">
      <c r="A662" s="4" t="str">
        <f>IF(ポートフォリオ実績!A663="","", ポートフォリオ実績!A663)</f>
        <v/>
      </c>
      <c r="B662" t="str">
        <f>IF(ポートフォリオ実績!B663="","", ポートフォリオ実績!B663)</f>
        <v/>
      </c>
      <c r="C662" s="10" t="str">
        <f>IF(ポートフォリオ実績!C663="","", ポートフォリオ実績!C663)</f>
        <v/>
      </c>
      <c r="D662" s="10" t="str">
        <f>IF(ポートフォリオ実績!D663="","", ポートフォリオ実績!D663)</f>
        <v/>
      </c>
      <c r="E662" s="10" t="str">
        <f>IF(ポートフォリオ実績!E663="","", ポートフォリオ実績!E663)</f>
        <v/>
      </c>
      <c r="F662" s="10" t="str">
        <f>IF(ポートフォリオ実績!F663="","", ポートフォリオ実績!F663)</f>
        <v/>
      </c>
      <c r="G662" t="str">
        <f t="shared" si="110"/>
        <v/>
      </c>
      <c r="H662">
        <f>IF(B662&lt;&gt;"", SUMIFS(ポートフォリオ実績!$D$2:$D$2001, ポートフォリオ実績!$B$2:$B$2001, B662, ポートフォリオ実績!$A$2:$A$2001, G662), 0)</f>
        <v>0</v>
      </c>
      <c r="I662">
        <f>IF(B662&lt;&gt;"", SUMIFS(ポートフォリオ実績!$C$2:$C$2001, ポートフォリオ実績!$B$2:$B$2001, B662, ポートフォリオ実績!$A$2:$A$2001, G662), 0)</f>
        <v>0</v>
      </c>
      <c r="J662">
        <f t="shared" si="111"/>
        <v>0</v>
      </c>
      <c r="K662">
        <f t="shared" si="112"/>
        <v>0</v>
      </c>
      <c r="L662">
        <f t="shared" si="113"/>
        <v>0</v>
      </c>
      <c r="M662">
        <f t="shared" si="114"/>
        <v>0</v>
      </c>
      <c r="N662">
        <f t="shared" si="115"/>
        <v>0</v>
      </c>
      <c r="O662">
        <f t="shared" si="116"/>
        <v>0</v>
      </c>
      <c r="P662" t="str">
        <f t="shared" si="117"/>
        <v/>
      </c>
      <c r="Q662" t="str">
        <f>IF(B662="","", IFERROR(VLOOKUP(B662, '基準資産配分（設定）'!$A$2:$C$2001, 3, FALSE), ""))</f>
        <v/>
      </c>
      <c r="R662" t="str">
        <f>IF(B662="","", IFERROR(VLOOKUP(B662, '基準資産配分（設定）'!$A$2:$C$2001, 2, FALSE)/100, 0))</f>
        <v/>
      </c>
      <c r="S662" t="str">
        <f>IF(B662="","", IFERROR(SUMIFS(ベンチマークリターン!$C$2:$C$2001, ベンチマークリターン!$A$2:$A$2001, A662, ベンチマークリターン!$B$2:$B$2001, Q662) / 100, 0))</f>
        <v/>
      </c>
      <c r="T662" t="str">
        <f>IF(A662="","", SUMIFS($H$2:$H$2000, $A$2:$A$2000, A662))</f>
        <v/>
      </c>
      <c r="U662" t="str">
        <f t="shared" si="118"/>
        <v/>
      </c>
      <c r="V662" t="str">
        <f t="shared" si="119"/>
        <v/>
      </c>
      <c r="W662" t="str">
        <f t="shared" si="120"/>
        <v/>
      </c>
    </row>
    <row r="663" spans="1:23" x14ac:dyDescent="0.2">
      <c r="A663" s="4" t="str">
        <f>IF(ポートフォリオ実績!A664="","", ポートフォリオ実績!A664)</f>
        <v/>
      </c>
      <c r="B663" t="str">
        <f>IF(ポートフォリオ実績!B664="","", ポートフォリオ実績!B664)</f>
        <v/>
      </c>
      <c r="C663" s="10" t="str">
        <f>IF(ポートフォリオ実績!C664="","", ポートフォリオ実績!C664)</f>
        <v/>
      </c>
      <c r="D663" s="10" t="str">
        <f>IF(ポートフォリオ実績!D664="","", ポートフォリオ実績!D664)</f>
        <v/>
      </c>
      <c r="E663" s="10" t="str">
        <f>IF(ポートフォリオ実績!E664="","", ポートフォリオ実績!E664)</f>
        <v/>
      </c>
      <c r="F663" s="10" t="str">
        <f>IF(ポートフォリオ実績!F664="","", ポートフォリオ実績!F664)</f>
        <v/>
      </c>
      <c r="G663" t="str">
        <f t="shared" si="110"/>
        <v/>
      </c>
      <c r="H663">
        <f>IF(B663&lt;&gt;"", SUMIFS(ポートフォリオ実績!$D$2:$D$2001, ポートフォリオ実績!$B$2:$B$2001, B663, ポートフォリオ実績!$A$2:$A$2001, G663), 0)</f>
        <v>0</v>
      </c>
      <c r="I663">
        <f>IF(B663&lt;&gt;"", SUMIFS(ポートフォリオ実績!$C$2:$C$2001, ポートフォリオ実績!$B$2:$B$2001, B663, ポートフォリオ実績!$A$2:$A$2001, G663), 0)</f>
        <v>0</v>
      </c>
      <c r="J663">
        <f t="shared" si="111"/>
        <v>0</v>
      </c>
      <c r="K663">
        <f t="shared" si="112"/>
        <v>0</v>
      </c>
      <c r="L663">
        <f t="shared" si="113"/>
        <v>0</v>
      </c>
      <c r="M663">
        <f t="shared" si="114"/>
        <v>0</v>
      </c>
      <c r="N663">
        <f t="shared" si="115"/>
        <v>0</v>
      </c>
      <c r="O663">
        <f t="shared" si="116"/>
        <v>0</v>
      </c>
      <c r="P663" t="str">
        <f t="shared" si="117"/>
        <v/>
      </c>
      <c r="Q663" t="str">
        <f>IF(B663="","", IFERROR(VLOOKUP(B663, '基準資産配分（設定）'!$A$2:$C$2001, 3, FALSE), ""))</f>
        <v/>
      </c>
      <c r="R663" t="str">
        <f>IF(B663="","", IFERROR(VLOOKUP(B663, '基準資産配分（設定）'!$A$2:$C$2001, 2, FALSE)/100, 0))</f>
        <v/>
      </c>
      <c r="S663" t="str">
        <f>IF(B663="","", IFERROR(SUMIFS(ベンチマークリターン!$C$2:$C$2001, ベンチマークリターン!$A$2:$A$2001, A663, ベンチマークリターン!$B$2:$B$2001, Q663) / 100, 0))</f>
        <v/>
      </c>
      <c r="T663" t="str">
        <f>IF(A663="","", SUMIFS($H$2:$H$2000, $A$2:$A$2000, A663))</f>
        <v/>
      </c>
      <c r="U663" t="str">
        <f t="shared" si="118"/>
        <v/>
      </c>
      <c r="V663" t="str">
        <f t="shared" si="119"/>
        <v/>
      </c>
      <c r="W663" t="str">
        <f t="shared" si="120"/>
        <v/>
      </c>
    </row>
    <row r="664" spans="1:23" x14ac:dyDescent="0.2">
      <c r="A664" s="4" t="str">
        <f>IF(ポートフォリオ実績!A665="","", ポートフォリオ実績!A665)</f>
        <v/>
      </c>
      <c r="B664" t="str">
        <f>IF(ポートフォリオ実績!B665="","", ポートフォリオ実績!B665)</f>
        <v/>
      </c>
      <c r="C664" s="10" t="str">
        <f>IF(ポートフォリオ実績!C665="","", ポートフォリオ実績!C665)</f>
        <v/>
      </c>
      <c r="D664" s="10" t="str">
        <f>IF(ポートフォリオ実績!D665="","", ポートフォリオ実績!D665)</f>
        <v/>
      </c>
      <c r="E664" s="10" t="str">
        <f>IF(ポートフォリオ実績!E665="","", ポートフォリオ実績!E665)</f>
        <v/>
      </c>
      <c r="F664" s="10" t="str">
        <f>IF(ポートフォリオ実績!F665="","", ポートフォリオ実績!F665)</f>
        <v/>
      </c>
      <c r="G664" t="str">
        <f t="shared" si="110"/>
        <v/>
      </c>
      <c r="H664">
        <f>IF(B664&lt;&gt;"", SUMIFS(ポートフォリオ実績!$D$2:$D$2001, ポートフォリオ実績!$B$2:$B$2001, B664, ポートフォリオ実績!$A$2:$A$2001, G664), 0)</f>
        <v>0</v>
      </c>
      <c r="I664">
        <f>IF(B664&lt;&gt;"", SUMIFS(ポートフォリオ実績!$C$2:$C$2001, ポートフォリオ実績!$B$2:$B$2001, B664, ポートフォリオ実績!$A$2:$A$2001, G664), 0)</f>
        <v>0</v>
      </c>
      <c r="J664">
        <f t="shared" si="111"/>
        <v>0</v>
      </c>
      <c r="K664">
        <f t="shared" si="112"/>
        <v>0</v>
      </c>
      <c r="L664">
        <f t="shared" si="113"/>
        <v>0</v>
      </c>
      <c r="M664">
        <f t="shared" si="114"/>
        <v>0</v>
      </c>
      <c r="N664">
        <f t="shared" si="115"/>
        <v>0</v>
      </c>
      <c r="O664">
        <f t="shared" si="116"/>
        <v>0</v>
      </c>
      <c r="P664" t="str">
        <f t="shared" si="117"/>
        <v/>
      </c>
      <c r="Q664" t="str">
        <f>IF(B664="","", IFERROR(VLOOKUP(B664, '基準資産配分（設定）'!$A$2:$C$2001, 3, FALSE), ""))</f>
        <v/>
      </c>
      <c r="R664" t="str">
        <f>IF(B664="","", IFERROR(VLOOKUP(B664, '基準資産配分（設定）'!$A$2:$C$2001, 2, FALSE)/100, 0))</f>
        <v/>
      </c>
      <c r="S664" t="str">
        <f>IF(B664="","", IFERROR(SUMIFS(ベンチマークリターン!$C$2:$C$2001, ベンチマークリターン!$A$2:$A$2001, A664, ベンチマークリターン!$B$2:$B$2001, Q664) / 100, 0))</f>
        <v/>
      </c>
      <c r="T664" t="str">
        <f>IF(A664="","", SUMIFS($H$2:$H$2000, $A$2:$A$2000, A664))</f>
        <v/>
      </c>
      <c r="U664" t="str">
        <f t="shared" si="118"/>
        <v/>
      </c>
      <c r="V664" t="str">
        <f t="shared" si="119"/>
        <v/>
      </c>
      <c r="W664" t="str">
        <f t="shared" si="120"/>
        <v/>
      </c>
    </row>
    <row r="665" spans="1:23" x14ac:dyDescent="0.2">
      <c r="A665" s="4" t="str">
        <f>IF(ポートフォリオ実績!A666="","", ポートフォリオ実績!A666)</f>
        <v/>
      </c>
      <c r="B665" t="str">
        <f>IF(ポートフォリオ実績!B666="","", ポートフォリオ実績!B666)</f>
        <v/>
      </c>
      <c r="C665" s="10" t="str">
        <f>IF(ポートフォリオ実績!C666="","", ポートフォリオ実績!C666)</f>
        <v/>
      </c>
      <c r="D665" s="10" t="str">
        <f>IF(ポートフォリオ実績!D666="","", ポートフォリオ実績!D666)</f>
        <v/>
      </c>
      <c r="E665" s="10" t="str">
        <f>IF(ポートフォリオ実績!E666="","", ポートフォリオ実績!E666)</f>
        <v/>
      </c>
      <c r="F665" s="10" t="str">
        <f>IF(ポートフォリオ実績!F666="","", ポートフォリオ実績!F666)</f>
        <v/>
      </c>
      <c r="G665" t="str">
        <f t="shared" si="110"/>
        <v/>
      </c>
      <c r="H665">
        <f>IF(B665&lt;&gt;"", SUMIFS(ポートフォリオ実績!$D$2:$D$2001, ポートフォリオ実績!$B$2:$B$2001, B665, ポートフォリオ実績!$A$2:$A$2001, G665), 0)</f>
        <v>0</v>
      </c>
      <c r="I665">
        <f>IF(B665&lt;&gt;"", SUMIFS(ポートフォリオ実績!$C$2:$C$2001, ポートフォリオ実績!$B$2:$B$2001, B665, ポートフォリオ実績!$A$2:$A$2001, G665), 0)</f>
        <v>0</v>
      </c>
      <c r="J665">
        <f t="shared" si="111"/>
        <v>0</v>
      </c>
      <c r="K665">
        <f t="shared" si="112"/>
        <v>0</v>
      </c>
      <c r="L665">
        <f t="shared" si="113"/>
        <v>0</v>
      </c>
      <c r="M665">
        <f t="shared" si="114"/>
        <v>0</v>
      </c>
      <c r="N665">
        <f t="shared" si="115"/>
        <v>0</v>
      </c>
      <c r="O665">
        <f t="shared" si="116"/>
        <v>0</v>
      </c>
      <c r="P665" t="str">
        <f t="shared" si="117"/>
        <v/>
      </c>
      <c r="Q665" t="str">
        <f>IF(B665="","", IFERROR(VLOOKUP(B665, '基準資産配分（設定）'!$A$2:$C$2001, 3, FALSE), ""))</f>
        <v/>
      </c>
      <c r="R665" t="str">
        <f>IF(B665="","", IFERROR(VLOOKUP(B665, '基準資産配分（設定）'!$A$2:$C$2001, 2, FALSE)/100, 0))</f>
        <v/>
      </c>
      <c r="S665" t="str">
        <f>IF(B665="","", IFERROR(SUMIFS(ベンチマークリターン!$C$2:$C$2001, ベンチマークリターン!$A$2:$A$2001, A665, ベンチマークリターン!$B$2:$B$2001, Q665) / 100, 0))</f>
        <v/>
      </c>
      <c r="T665" t="str">
        <f>IF(A665="","", SUMIFS($H$2:$H$2000, $A$2:$A$2000, A665))</f>
        <v/>
      </c>
      <c r="U665" t="str">
        <f t="shared" si="118"/>
        <v/>
      </c>
      <c r="V665" t="str">
        <f t="shared" si="119"/>
        <v/>
      </c>
      <c r="W665" t="str">
        <f t="shared" si="120"/>
        <v/>
      </c>
    </row>
    <row r="666" spans="1:23" x14ac:dyDescent="0.2">
      <c r="A666" s="4" t="str">
        <f>IF(ポートフォリオ実績!A667="","", ポートフォリオ実績!A667)</f>
        <v/>
      </c>
      <c r="B666" t="str">
        <f>IF(ポートフォリオ実績!B667="","", ポートフォリオ実績!B667)</f>
        <v/>
      </c>
      <c r="C666" s="10" t="str">
        <f>IF(ポートフォリオ実績!C667="","", ポートフォリオ実績!C667)</f>
        <v/>
      </c>
      <c r="D666" s="10" t="str">
        <f>IF(ポートフォリオ実績!D667="","", ポートフォリオ実績!D667)</f>
        <v/>
      </c>
      <c r="E666" s="10" t="str">
        <f>IF(ポートフォリオ実績!E667="","", ポートフォリオ実績!E667)</f>
        <v/>
      </c>
      <c r="F666" s="10" t="str">
        <f>IF(ポートフォリオ実績!F667="","", ポートフォリオ実績!F667)</f>
        <v/>
      </c>
      <c r="G666" t="str">
        <f t="shared" si="110"/>
        <v/>
      </c>
      <c r="H666">
        <f>IF(B666&lt;&gt;"", SUMIFS(ポートフォリオ実績!$D$2:$D$2001, ポートフォリオ実績!$B$2:$B$2001, B666, ポートフォリオ実績!$A$2:$A$2001, G666), 0)</f>
        <v>0</v>
      </c>
      <c r="I666">
        <f>IF(B666&lt;&gt;"", SUMIFS(ポートフォリオ実績!$C$2:$C$2001, ポートフォリオ実績!$B$2:$B$2001, B666, ポートフォリオ実績!$A$2:$A$2001, G666), 0)</f>
        <v>0</v>
      </c>
      <c r="J666">
        <f t="shared" si="111"/>
        <v>0</v>
      </c>
      <c r="K666">
        <f t="shared" si="112"/>
        <v>0</v>
      </c>
      <c r="L666">
        <f t="shared" si="113"/>
        <v>0</v>
      </c>
      <c r="M666">
        <f t="shared" si="114"/>
        <v>0</v>
      </c>
      <c r="N666">
        <f t="shared" si="115"/>
        <v>0</v>
      </c>
      <c r="O666">
        <f t="shared" si="116"/>
        <v>0</v>
      </c>
      <c r="P666" t="str">
        <f t="shared" si="117"/>
        <v/>
      </c>
      <c r="Q666" t="str">
        <f>IF(B666="","", IFERROR(VLOOKUP(B666, '基準資産配分（設定）'!$A$2:$C$2001, 3, FALSE), ""))</f>
        <v/>
      </c>
      <c r="R666" t="str">
        <f>IF(B666="","", IFERROR(VLOOKUP(B666, '基準資産配分（設定）'!$A$2:$C$2001, 2, FALSE)/100, 0))</f>
        <v/>
      </c>
      <c r="S666" t="str">
        <f>IF(B666="","", IFERROR(SUMIFS(ベンチマークリターン!$C$2:$C$2001, ベンチマークリターン!$A$2:$A$2001, A666, ベンチマークリターン!$B$2:$B$2001, Q666) / 100, 0))</f>
        <v/>
      </c>
      <c r="T666" t="str">
        <f>IF(A666="","", SUMIFS($H$2:$H$2000, $A$2:$A$2000, A666))</f>
        <v/>
      </c>
      <c r="U666" t="str">
        <f t="shared" si="118"/>
        <v/>
      </c>
      <c r="V666" t="str">
        <f t="shared" si="119"/>
        <v/>
      </c>
      <c r="W666" t="str">
        <f t="shared" si="120"/>
        <v/>
      </c>
    </row>
    <row r="667" spans="1:23" x14ac:dyDescent="0.2">
      <c r="A667" s="4" t="str">
        <f>IF(ポートフォリオ実績!A668="","", ポートフォリオ実績!A668)</f>
        <v/>
      </c>
      <c r="B667" t="str">
        <f>IF(ポートフォリオ実績!B668="","", ポートフォリオ実績!B668)</f>
        <v/>
      </c>
      <c r="C667" s="10" t="str">
        <f>IF(ポートフォリオ実績!C668="","", ポートフォリオ実績!C668)</f>
        <v/>
      </c>
      <c r="D667" s="10" t="str">
        <f>IF(ポートフォリオ実績!D668="","", ポートフォリオ実績!D668)</f>
        <v/>
      </c>
      <c r="E667" s="10" t="str">
        <f>IF(ポートフォリオ実績!E668="","", ポートフォリオ実績!E668)</f>
        <v/>
      </c>
      <c r="F667" s="10" t="str">
        <f>IF(ポートフォリオ実績!F668="","", ポートフォリオ実績!F668)</f>
        <v/>
      </c>
      <c r="G667" t="str">
        <f t="shared" si="110"/>
        <v/>
      </c>
      <c r="H667">
        <f>IF(B667&lt;&gt;"", SUMIFS(ポートフォリオ実績!$D$2:$D$2001, ポートフォリオ実績!$B$2:$B$2001, B667, ポートフォリオ実績!$A$2:$A$2001, G667), 0)</f>
        <v>0</v>
      </c>
      <c r="I667">
        <f>IF(B667&lt;&gt;"", SUMIFS(ポートフォリオ実績!$C$2:$C$2001, ポートフォリオ実績!$B$2:$B$2001, B667, ポートフォリオ実績!$A$2:$A$2001, G667), 0)</f>
        <v>0</v>
      </c>
      <c r="J667">
        <f t="shared" si="111"/>
        <v>0</v>
      </c>
      <c r="K667">
        <f t="shared" si="112"/>
        <v>0</v>
      </c>
      <c r="L667">
        <f t="shared" si="113"/>
        <v>0</v>
      </c>
      <c r="M667">
        <f t="shared" si="114"/>
        <v>0</v>
      </c>
      <c r="N667">
        <f t="shared" si="115"/>
        <v>0</v>
      </c>
      <c r="O667">
        <f t="shared" si="116"/>
        <v>0</v>
      </c>
      <c r="P667" t="str">
        <f t="shared" si="117"/>
        <v/>
      </c>
      <c r="Q667" t="str">
        <f>IF(B667="","", IFERROR(VLOOKUP(B667, '基準資産配分（設定）'!$A$2:$C$2001, 3, FALSE), ""))</f>
        <v/>
      </c>
      <c r="R667" t="str">
        <f>IF(B667="","", IFERROR(VLOOKUP(B667, '基準資産配分（設定）'!$A$2:$C$2001, 2, FALSE)/100, 0))</f>
        <v/>
      </c>
      <c r="S667" t="str">
        <f>IF(B667="","", IFERROR(SUMIFS(ベンチマークリターン!$C$2:$C$2001, ベンチマークリターン!$A$2:$A$2001, A667, ベンチマークリターン!$B$2:$B$2001, Q667) / 100, 0))</f>
        <v/>
      </c>
      <c r="T667" t="str">
        <f>IF(A667="","", SUMIFS($H$2:$H$2000, $A$2:$A$2000, A667))</f>
        <v/>
      </c>
      <c r="U667" t="str">
        <f t="shared" si="118"/>
        <v/>
      </c>
      <c r="V667" t="str">
        <f t="shared" si="119"/>
        <v/>
      </c>
      <c r="W667" t="str">
        <f t="shared" si="120"/>
        <v/>
      </c>
    </row>
    <row r="668" spans="1:23" x14ac:dyDescent="0.2">
      <c r="A668" s="4" t="str">
        <f>IF(ポートフォリオ実績!A669="","", ポートフォリオ実績!A669)</f>
        <v/>
      </c>
      <c r="B668" t="str">
        <f>IF(ポートフォリオ実績!B669="","", ポートフォリオ実績!B669)</f>
        <v/>
      </c>
      <c r="C668" s="10" t="str">
        <f>IF(ポートフォリオ実績!C669="","", ポートフォリオ実績!C669)</f>
        <v/>
      </c>
      <c r="D668" s="10" t="str">
        <f>IF(ポートフォリオ実績!D669="","", ポートフォリオ実績!D669)</f>
        <v/>
      </c>
      <c r="E668" s="10" t="str">
        <f>IF(ポートフォリオ実績!E669="","", ポートフォリオ実績!E669)</f>
        <v/>
      </c>
      <c r="F668" s="10" t="str">
        <f>IF(ポートフォリオ実績!F669="","", ポートフォリオ実績!F669)</f>
        <v/>
      </c>
      <c r="G668" t="str">
        <f t="shared" si="110"/>
        <v/>
      </c>
      <c r="H668">
        <f>IF(B668&lt;&gt;"", SUMIFS(ポートフォリオ実績!$D$2:$D$2001, ポートフォリオ実績!$B$2:$B$2001, B668, ポートフォリオ実績!$A$2:$A$2001, G668), 0)</f>
        <v>0</v>
      </c>
      <c r="I668">
        <f>IF(B668&lt;&gt;"", SUMIFS(ポートフォリオ実績!$C$2:$C$2001, ポートフォリオ実績!$B$2:$B$2001, B668, ポートフォリオ実績!$A$2:$A$2001, G668), 0)</f>
        <v>0</v>
      </c>
      <c r="J668">
        <f t="shared" si="111"/>
        <v>0</v>
      </c>
      <c r="K668">
        <f t="shared" si="112"/>
        <v>0</v>
      </c>
      <c r="L668">
        <f t="shared" si="113"/>
        <v>0</v>
      </c>
      <c r="M668">
        <f t="shared" si="114"/>
        <v>0</v>
      </c>
      <c r="N668">
        <f t="shared" si="115"/>
        <v>0</v>
      </c>
      <c r="O668">
        <f t="shared" si="116"/>
        <v>0</v>
      </c>
      <c r="P668" t="str">
        <f t="shared" si="117"/>
        <v/>
      </c>
      <c r="Q668" t="str">
        <f>IF(B668="","", IFERROR(VLOOKUP(B668, '基準資産配分（設定）'!$A$2:$C$2001, 3, FALSE), ""))</f>
        <v/>
      </c>
      <c r="R668" t="str">
        <f>IF(B668="","", IFERROR(VLOOKUP(B668, '基準資産配分（設定）'!$A$2:$C$2001, 2, FALSE)/100, 0))</f>
        <v/>
      </c>
      <c r="S668" t="str">
        <f>IF(B668="","", IFERROR(SUMIFS(ベンチマークリターン!$C$2:$C$2001, ベンチマークリターン!$A$2:$A$2001, A668, ベンチマークリターン!$B$2:$B$2001, Q668) / 100, 0))</f>
        <v/>
      </c>
      <c r="T668" t="str">
        <f>IF(A668="","", SUMIFS($H$2:$H$2000, $A$2:$A$2000, A668))</f>
        <v/>
      </c>
      <c r="U668" t="str">
        <f t="shared" si="118"/>
        <v/>
      </c>
      <c r="V668" t="str">
        <f t="shared" si="119"/>
        <v/>
      </c>
      <c r="W668" t="str">
        <f t="shared" si="120"/>
        <v/>
      </c>
    </row>
    <row r="669" spans="1:23" x14ac:dyDescent="0.2">
      <c r="A669" s="4" t="str">
        <f>IF(ポートフォリオ実績!A670="","", ポートフォリオ実績!A670)</f>
        <v/>
      </c>
      <c r="B669" t="str">
        <f>IF(ポートフォリオ実績!B670="","", ポートフォリオ実績!B670)</f>
        <v/>
      </c>
      <c r="C669" s="10" t="str">
        <f>IF(ポートフォリオ実績!C670="","", ポートフォリオ実績!C670)</f>
        <v/>
      </c>
      <c r="D669" s="10" t="str">
        <f>IF(ポートフォリオ実績!D670="","", ポートフォリオ実績!D670)</f>
        <v/>
      </c>
      <c r="E669" s="10" t="str">
        <f>IF(ポートフォリオ実績!E670="","", ポートフォリオ実績!E670)</f>
        <v/>
      </c>
      <c r="F669" s="10" t="str">
        <f>IF(ポートフォリオ実績!F670="","", ポートフォリオ実績!F670)</f>
        <v/>
      </c>
      <c r="G669" t="str">
        <f t="shared" si="110"/>
        <v/>
      </c>
      <c r="H669">
        <f>IF(B669&lt;&gt;"", SUMIFS(ポートフォリオ実績!$D$2:$D$2001, ポートフォリオ実績!$B$2:$B$2001, B669, ポートフォリオ実績!$A$2:$A$2001, G669), 0)</f>
        <v>0</v>
      </c>
      <c r="I669">
        <f>IF(B669&lt;&gt;"", SUMIFS(ポートフォリオ実績!$C$2:$C$2001, ポートフォリオ実績!$B$2:$B$2001, B669, ポートフォリオ実績!$A$2:$A$2001, G669), 0)</f>
        <v>0</v>
      </c>
      <c r="J669">
        <f t="shared" si="111"/>
        <v>0</v>
      </c>
      <c r="K669">
        <f t="shared" si="112"/>
        <v>0</v>
      </c>
      <c r="L669">
        <f t="shared" si="113"/>
        <v>0</v>
      </c>
      <c r="M669">
        <f t="shared" si="114"/>
        <v>0</v>
      </c>
      <c r="N669">
        <f t="shared" si="115"/>
        <v>0</v>
      </c>
      <c r="O669">
        <f t="shared" si="116"/>
        <v>0</v>
      </c>
      <c r="P669" t="str">
        <f t="shared" si="117"/>
        <v/>
      </c>
      <c r="Q669" t="str">
        <f>IF(B669="","", IFERROR(VLOOKUP(B669, '基準資産配分（設定）'!$A$2:$C$2001, 3, FALSE), ""))</f>
        <v/>
      </c>
      <c r="R669" t="str">
        <f>IF(B669="","", IFERROR(VLOOKUP(B669, '基準資産配分（設定）'!$A$2:$C$2001, 2, FALSE)/100, 0))</f>
        <v/>
      </c>
      <c r="S669" t="str">
        <f>IF(B669="","", IFERROR(SUMIFS(ベンチマークリターン!$C$2:$C$2001, ベンチマークリターン!$A$2:$A$2001, A669, ベンチマークリターン!$B$2:$B$2001, Q669) / 100, 0))</f>
        <v/>
      </c>
      <c r="T669" t="str">
        <f>IF(A669="","", SUMIFS($H$2:$H$2000, $A$2:$A$2000, A669))</f>
        <v/>
      </c>
      <c r="U669" t="str">
        <f t="shared" si="118"/>
        <v/>
      </c>
      <c r="V669" t="str">
        <f t="shared" si="119"/>
        <v/>
      </c>
      <c r="W669" t="str">
        <f t="shared" si="120"/>
        <v/>
      </c>
    </row>
    <row r="670" spans="1:23" x14ac:dyDescent="0.2">
      <c r="A670" s="4" t="str">
        <f>IF(ポートフォリオ実績!A671="","", ポートフォリオ実績!A671)</f>
        <v/>
      </c>
      <c r="B670" t="str">
        <f>IF(ポートフォリオ実績!B671="","", ポートフォリオ実績!B671)</f>
        <v/>
      </c>
      <c r="C670" s="10" t="str">
        <f>IF(ポートフォリオ実績!C671="","", ポートフォリオ実績!C671)</f>
        <v/>
      </c>
      <c r="D670" s="10" t="str">
        <f>IF(ポートフォリオ実績!D671="","", ポートフォリオ実績!D671)</f>
        <v/>
      </c>
      <c r="E670" s="10" t="str">
        <f>IF(ポートフォリオ実績!E671="","", ポートフォリオ実績!E671)</f>
        <v/>
      </c>
      <c r="F670" s="10" t="str">
        <f>IF(ポートフォリオ実績!F671="","", ポートフォリオ実績!F671)</f>
        <v/>
      </c>
      <c r="G670" t="str">
        <f t="shared" si="110"/>
        <v/>
      </c>
      <c r="H670">
        <f>IF(B670&lt;&gt;"", SUMIFS(ポートフォリオ実績!$D$2:$D$2001, ポートフォリオ実績!$B$2:$B$2001, B670, ポートフォリオ実績!$A$2:$A$2001, G670), 0)</f>
        <v>0</v>
      </c>
      <c r="I670">
        <f>IF(B670&lt;&gt;"", SUMIFS(ポートフォリオ実績!$C$2:$C$2001, ポートフォリオ実績!$B$2:$B$2001, B670, ポートフォリオ実績!$A$2:$A$2001, G670), 0)</f>
        <v>0</v>
      </c>
      <c r="J670">
        <f t="shared" si="111"/>
        <v>0</v>
      </c>
      <c r="K670">
        <f t="shared" si="112"/>
        <v>0</v>
      </c>
      <c r="L670">
        <f t="shared" si="113"/>
        <v>0</v>
      </c>
      <c r="M670">
        <f t="shared" si="114"/>
        <v>0</v>
      </c>
      <c r="N670">
        <f t="shared" si="115"/>
        <v>0</v>
      </c>
      <c r="O670">
        <f t="shared" si="116"/>
        <v>0</v>
      </c>
      <c r="P670" t="str">
        <f t="shared" si="117"/>
        <v/>
      </c>
      <c r="Q670" t="str">
        <f>IF(B670="","", IFERROR(VLOOKUP(B670, '基準資産配分（設定）'!$A$2:$C$2001, 3, FALSE), ""))</f>
        <v/>
      </c>
      <c r="R670" t="str">
        <f>IF(B670="","", IFERROR(VLOOKUP(B670, '基準資産配分（設定）'!$A$2:$C$2001, 2, FALSE)/100, 0))</f>
        <v/>
      </c>
      <c r="S670" t="str">
        <f>IF(B670="","", IFERROR(SUMIFS(ベンチマークリターン!$C$2:$C$2001, ベンチマークリターン!$A$2:$A$2001, A670, ベンチマークリターン!$B$2:$B$2001, Q670) / 100, 0))</f>
        <v/>
      </c>
      <c r="T670" t="str">
        <f>IF(A670="","", SUMIFS($H$2:$H$2000, $A$2:$A$2000, A670))</f>
        <v/>
      </c>
      <c r="U670" t="str">
        <f t="shared" si="118"/>
        <v/>
      </c>
      <c r="V670" t="str">
        <f t="shared" si="119"/>
        <v/>
      </c>
      <c r="W670" t="str">
        <f t="shared" si="120"/>
        <v/>
      </c>
    </row>
    <row r="671" spans="1:23" x14ac:dyDescent="0.2">
      <c r="A671" s="4" t="str">
        <f>IF(ポートフォリオ実績!A672="","", ポートフォリオ実績!A672)</f>
        <v/>
      </c>
      <c r="B671" t="str">
        <f>IF(ポートフォリオ実績!B672="","", ポートフォリオ実績!B672)</f>
        <v/>
      </c>
      <c r="C671" s="10" t="str">
        <f>IF(ポートフォリオ実績!C672="","", ポートフォリオ実績!C672)</f>
        <v/>
      </c>
      <c r="D671" s="10" t="str">
        <f>IF(ポートフォリオ実績!D672="","", ポートフォリオ実績!D672)</f>
        <v/>
      </c>
      <c r="E671" s="10" t="str">
        <f>IF(ポートフォリオ実績!E672="","", ポートフォリオ実績!E672)</f>
        <v/>
      </c>
      <c r="F671" s="10" t="str">
        <f>IF(ポートフォリオ実績!F672="","", ポートフォリオ実績!F672)</f>
        <v/>
      </c>
      <c r="G671" t="str">
        <f t="shared" si="110"/>
        <v/>
      </c>
      <c r="H671">
        <f>IF(B671&lt;&gt;"", SUMIFS(ポートフォリオ実績!$D$2:$D$2001, ポートフォリオ実績!$B$2:$B$2001, B671, ポートフォリオ実績!$A$2:$A$2001, G671), 0)</f>
        <v>0</v>
      </c>
      <c r="I671">
        <f>IF(B671&lt;&gt;"", SUMIFS(ポートフォリオ実績!$C$2:$C$2001, ポートフォリオ実績!$B$2:$B$2001, B671, ポートフォリオ実績!$A$2:$A$2001, G671), 0)</f>
        <v>0</v>
      </c>
      <c r="J671">
        <f t="shared" si="111"/>
        <v>0</v>
      </c>
      <c r="K671">
        <f t="shared" si="112"/>
        <v>0</v>
      </c>
      <c r="L671">
        <f t="shared" si="113"/>
        <v>0</v>
      </c>
      <c r="M671">
        <f t="shared" si="114"/>
        <v>0</v>
      </c>
      <c r="N671">
        <f t="shared" si="115"/>
        <v>0</v>
      </c>
      <c r="O671">
        <f t="shared" si="116"/>
        <v>0</v>
      </c>
      <c r="P671" t="str">
        <f t="shared" si="117"/>
        <v/>
      </c>
      <c r="Q671" t="str">
        <f>IF(B671="","", IFERROR(VLOOKUP(B671, '基準資産配分（設定）'!$A$2:$C$2001, 3, FALSE), ""))</f>
        <v/>
      </c>
      <c r="R671" t="str">
        <f>IF(B671="","", IFERROR(VLOOKUP(B671, '基準資産配分（設定）'!$A$2:$C$2001, 2, FALSE)/100, 0))</f>
        <v/>
      </c>
      <c r="S671" t="str">
        <f>IF(B671="","", IFERROR(SUMIFS(ベンチマークリターン!$C$2:$C$2001, ベンチマークリターン!$A$2:$A$2001, A671, ベンチマークリターン!$B$2:$B$2001, Q671) / 100, 0))</f>
        <v/>
      </c>
      <c r="T671" t="str">
        <f>IF(A671="","", SUMIFS($H$2:$H$2000, $A$2:$A$2000, A671))</f>
        <v/>
      </c>
      <c r="U671" t="str">
        <f t="shared" si="118"/>
        <v/>
      </c>
      <c r="V671" t="str">
        <f t="shared" si="119"/>
        <v/>
      </c>
      <c r="W671" t="str">
        <f t="shared" si="120"/>
        <v/>
      </c>
    </row>
    <row r="672" spans="1:23" x14ac:dyDescent="0.2">
      <c r="A672" s="4" t="str">
        <f>IF(ポートフォリオ実績!A673="","", ポートフォリオ実績!A673)</f>
        <v/>
      </c>
      <c r="B672" t="str">
        <f>IF(ポートフォリオ実績!B673="","", ポートフォリオ実績!B673)</f>
        <v/>
      </c>
      <c r="C672" s="10" t="str">
        <f>IF(ポートフォリオ実績!C673="","", ポートフォリオ実績!C673)</f>
        <v/>
      </c>
      <c r="D672" s="10" t="str">
        <f>IF(ポートフォリオ実績!D673="","", ポートフォリオ実績!D673)</f>
        <v/>
      </c>
      <c r="E672" s="10" t="str">
        <f>IF(ポートフォリオ実績!E673="","", ポートフォリオ実績!E673)</f>
        <v/>
      </c>
      <c r="F672" s="10" t="str">
        <f>IF(ポートフォリオ実績!F673="","", ポートフォリオ実績!F673)</f>
        <v/>
      </c>
      <c r="G672" t="str">
        <f t="shared" si="110"/>
        <v/>
      </c>
      <c r="H672">
        <f>IF(B672&lt;&gt;"", SUMIFS(ポートフォリオ実績!$D$2:$D$2001, ポートフォリオ実績!$B$2:$B$2001, B672, ポートフォリオ実績!$A$2:$A$2001, G672), 0)</f>
        <v>0</v>
      </c>
      <c r="I672">
        <f>IF(B672&lt;&gt;"", SUMIFS(ポートフォリオ実績!$C$2:$C$2001, ポートフォリオ実績!$B$2:$B$2001, B672, ポートフォリオ実績!$A$2:$A$2001, G672), 0)</f>
        <v>0</v>
      </c>
      <c r="J672">
        <f t="shared" si="111"/>
        <v>0</v>
      </c>
      <c r="K672">
        <f t="shared" si="112"/>
        <v>0</v>
      </c>
      <c r="L672">
        <f t="shared" si="113"/>
        <v>0</v>
      </c>
      <c r="M672">
        <f t="shared" si="114"/>
        <v>0</v>
      </c>
      <c r="N672">
        <f t="shared" si="115"/>
        <v>0</v>
      </c>
      <c r="O672">
        <f t="shared" si="116"/>
        <v>0</v>
      </c>
      <c r="P672" t="str">
        <f t="shared" si="117"/>
        <v/>
      </c>
      <c r="Q672" t="str">
        <f>IF(B672="","", IFERROR(VLOOKUP(B672, '基準資産配分（設定）'!$A$2:$C$2001, 3, FALSE), ""))</f>
        <v/>
      </c>
      <c r="R672" t="str">
        <f>IF(B672="","", IFERROR(VLOOKUP(B672, '基準資産配分（設定）'!$A$2:$C$2001, 2, FALSE)/100, 0))</f>
        <v/>
      </c>
      <c r="S672" t="str">
        <f>IF(B672="","", IFERROR(SUMIFS(ベンチマークリターン!$C$2:$C$2001, ベンチマークリターン!$A$2:$A$2001, A672, ベンチマークリターン!$B$2:$B$2001, Q672) / 100, 0))</f>
        <v/>
      </c>
      <c r="T672" t="str">
        <f>IF(A672="","", SUMIFS($H$2:$H$2000, $A$2:$A$2000, A672))</f>
        <v/>
      </c>
      <c r="U672" t="str">
        <f t="shared" si="118"/>
        <v/>
      </c>
      <c r="V672" t="str">
        <f t="shared" si="119"/>
        <v/>
      </c>
      <c r="W672" t="str">
        <f t="shared" si="120"/>
        <v/>
      </c>
    </row>
    <row r="673" spans="1:23" x14ac:dyDescent="0.2">
      <c r="A673" s="4" t="str">
        <f>IF(ポートフォリオ実績!A674="","", ポートフォリオ実績!A674)</f>
        <v/>
      </c>
      <c r="B673" t="str">
        <f>IF(ポートフォリオ実績!B674="","", ポートフォリオ実績!B674)</f>
        <v/>
      </c>
      <c r="C673" s="10" t="str">
        <f>IF(ポートフォリオ実績!C674="","", ポートフォリオ実績!C674)</f>
        <v/>
      </c>
      <c r="D673" s="10" t="str">
        <f>IF(ポートフォリオ実績!D674="","", ポートフォリオ実績!D674)</f>
        <v/>
      </c>
      <c r="E673" s="10" t="str">
        <f>IF(ポートフォリオ実績!E674="","", ポートフォリオ実績!E674)</f>
        <v/>
      </c>
      <c r="F673" s="10" t="str">
        <f>IF(ポートフォリオ実績!F674="","", ポートフォリオ実績!F674)</f>
        <v/>
      </c>
      <c r="G673" t="str">
        <f t="shared" si="110"/>
        <v/>
      </c>
      <c r="H673">
        <f>IF(B673&lt;&gt;"", SUMIFS(ポートフォリオ実績!$D$2:$D$2001, ポートフォリオ実績!$B$2:$B$2001, B673, ポートフォリオ実績!$A$2:$A$2001, G673), 0)</f>
        <v>0</v>
      </c>
      <c r="I673">
        <f>IF(B673&lt;&gt;"", SUMIFS(ポートフォリオ実績!$C$2:$C$2001, ポートフォリオ実績!$B$2:$B$2001, B673, ポートフォリオ実績!$A$2:$A$2001, G673), 0)</f>
        <v>0</v>
      </c>
      <c r="J673">
        <f t="shared" si="111"/>
        <v>0</v>
      </c>
      <c r="K673">
        <f t="shared" si="112"/>
        <v>0</v>
      </c>
      <c r="L673">
        <f t="shared" si="113"/>
        <v>0</v>
      </c>
      <c r="M673">
        <f t="shared" si="114"/>
        <v>0</v>
      </c>
      <c r="N673">
        <f t="shared" si="115"/>
        <v>0</v>
      </c>
      <c r="O673">
        <f t="shared" si="116"/>
        <v>0</v>
      </c>
      <c r="P673" t="str">
        <f t="shared" si="117"/>
        <v/>
      </c>
      <c r="Q673" t="str">
        <f>IF(B673="","", IFERROR(VLOOKUP(B673, '基準資産配分（設定）'!$A$2:$C$2001, 3, FALSE), ""))</f>
        <v/>
      </c>
      <c r="R673" t="str">
        <f>IF(B673="","", IFERROR(VLOOKUP(B673, '基準資産配分（設定）'!$A$2:$C$2001, 2, FALSE)/100, 0))</f>
        <v/>
      </c>
      <c r="S673" t="str">
        <f>IF(B673="","", IFERROR(SUMIFS(ベンチマークリターン!$C$2:$C$2001, ベンチマークリターン!$A$2:$A$2001, A673, ベンチマークリターン!$B$2:$B$2001, Q673) / 100, 0))</f>
        <v/>
      </c>
      <c r="T673" t="str">
        <f>IF(A673="","", SUMIFS($H$2:$H$2000, $A$2:$A$2000, A673))</f>
        <v/>
      </c>
      <c r="U673" t="str">
        <f t="shared" si="118"/>
        <v/>
      </c>
      <c r="V673" t="str">
        <f t="shared" si="119"/>
        <v/>
      </c>
      <c r="W673" t="str">
        <f t="shared" si="120"/>
        <v/>
      </c>
    </row>
    <row r="674" spans="1:23" x14ac:dyDescent="0.2">
      <c r="A674" s="4" t="str">
        <f>IF(ポートフォリオ実績!A675="","", ポートフォリオ実績!A675)</f>
        <v/>
      </c>
      <c r="B674" t="str">
        <f>IF(ポートフォリオ実績!B675="","", ポートフォリオ実績!B675)</f>
        <v/>
      </c>
      <c r="C674" s="10" t="str">
        <f>IF(ポートフォリオ実績!C675="","", ポートフォリオ実績!C675)</f>
        <v/>
      </c>
      <c r="D674" s="10" t="str">
        <f>IF(ポートフォリオ実績!D675="","", ポートフォリオ実績!D675)</f>
        <v/>
      </c>
      <c r="E674" s="10" t="str">
        <f>IF(ポートフォリオ実績!E675="","", ポートフォリオ実績!E675)</f>
        <v/>
      </c>
      <c r="F674" s="10" t="str">
        <f>IF(ポートフォリオ実績!F675="","", ポートフォリオ実績!F675)</f>
        <v/>
      </c>
      <c r="G674" t="str">
        <f t="shared" si="110"/>
        <v/>
      </c>
      <c r="H674">
        <f>IF(B674&lt;&gt;"", SUMIFS(ポートフォリオ実績!$D$2:$D$2001, ポートフォリオ実績!$B$2:$B$2001, B674, ポートフォリオ実績!$A$2:$A$2001, G674), 0)</f>
        <v>0</v>
      </c>
      <c r="I674">
        <f>IF(B674&lt;&gt;"", SUMIFS(ポートフォリオ実績!$C$2:$C$2001, ポートフォリオ実績!$B$2:$B$2001, B674, ポートフォリオ実績!$A$2:$A$2001, G674), 0)</f>
        <v>0</v>
      </c>
      <c r="J674">
        <f t="shared" si="111"/>
        <v>0</v>
      </c>
      <c r="K674">
        <f t="shared" si="112"/>
        <v>0</v>
      </c>
      <c r="L674">
        <f t="shared" si="113"/>
        <v>0</v>
      </c>
      <c r="M674">
        <f t="shared" si="114"/>
        <v>0</v>
      </c>
      <c r="N674">
        <f t="shared" si="115"/>
        <v>0</v>
      </c>
      <c r="O674">
        <f t="shared" si="116"/>
        <v>0</v>
      </c>
      <c r="P674" t="str">
        <f t="shared" si="117"/>
        <v/>
      </c>
      <c r="Q674" t="str">
        <f>IF(B674="","", IFERROR(VLOOKUP(B674, '基準資産配分（設定）'!$A$2:$C$2001, 3, FALSE), ""))</f>
        <v/>
      </c>
      <c r="R674" t="str">
        <f>IF(B674="","", IFERROR(VLOOKUP(B674, '基準資産配分（設定）'!$A$2:$C$2001, 2, FALSE)/100, 0))</f>
        <v/>
      </c>
      <c r="S674" t="str">
        <f>IF(B674="","", IFERROR(SUMIFS(ベンチマークリターン!$C$2:$C$2001, ベンチマークリターン!$A$2:$A$2001, A674, ベンチマークリターン!$B$2:$B$2001, Q674) / 100, 0))</f>
        <v/>
      </c>
      <c r="T674" t="str">
        <f>IF(A674="","", SUMIFS($H$2:$H$2000, $A$2:$A$2000, A674))</f>
        <v/>
      </c>
      <c r="U674" t="str">
        <f t="shared" si="118"/>
        <v/>
      </c>
      <c r="V674" t="str">
        <f t="shared" si="119"/>
        <v/>
      </c>
      <c r="W674" t="str">
        <f t="shared" si="120"/>
        <v/>
      </c>
    </row>
    <row r="675" spans="1:23" x14ac:dyDescent="0.2">
      <c r="A675" s="4" t="str">
        <f>IF(ポートフォリオ実績!A676="","", ポートフォリオ実績!A676)</f>
        <v/>
      </c>
      <c r="B675" t="str">
        <f>IF(ポートフォリオ実績!B676="","", ポートフォリオ実績!B676)</f>
        <v/>
      </c>
      <c r="C675" s="10" t="str">
        <f>IF(ポートフォリオ実績!C676="","", ポートフォリオ実績!C676)</f>
        <v/>
      </c>
      <c r="D675" s="10" t="str">
        <f>IF(ポートフォリオ実績!D676="","", ポートフォリオ実績!D676)</f>
        <v/>
      </c>
      <c r="E675" s="10" t="str">
        <f>IF(ポートフォリオ実績!E676="","", ポートフォリオ実績!E676)</f>
        <v/>
      </c>
      <c r="F675" s="10" t="str">
        <f>IF(ポートフォリオ実績!F676="","", ポートフォリオ実績!F676)</f>
        <v/>
      </c>
      <c r="G675" t="str">
        <f t="shared" si="110"/>
        <v/>
      </c>
      <c r="H675">
        <f>IF(B675&lt;&gt;"", SUMIFS(ポートフォリオ実績!$D$2:$D$2001, ポートフォリオ実績!$B$2:$B$2001, B675, ポートフォリオ実績!$A$2:$A$2001, G675), 0)</f>
        <v>0</v>
      </c>
      <c r="I675">
        <f>IF(B675&lt;&gt;"", SUMIFS(ポートフォリオ実績!$C$2:$C$2001, ポートフォリオ実績!$B$2:$B$2001, B675, ポートフォリオ実績!$A$2:$A$2001, G675), 0)</f>
        <v>0</v>
      </c>
      <c r="J675">
        <f t="shared" si="111"/>
        <v>0</v>
      </c>
      <c r="K675">
        <f t="shared" si="112"/>
        <v>0</v>
      </c>
      <c r="L675">
        <f t="shared" si="113"/>
        <v>0</v>
      </c>
      <c r="M675">
        <f t="shared" si="114"/>
        <v>0</v>
      </c>
      <c r="N675">
        <f t="shared" si="115"/>
        <v>0</v>
      </c>
      <c r="O675">
        <f t="shared" si="116"/>
        <v>0</v>
      </c>
      <c r="P675" t="str">
        <f t="shared" si="117"/>
        <v/>
      </c>
      <c r="Q675" t="str">
        <f>IF(B675="","", IFERROR(VLOOKUP(B675, '基準資産配分（設定）'!$A$2:$C$2001, 3, FALSE), ""))</f>
        <v/>
      </c>
      <c r="R675" t="str">
        <f>IF(B675="","", IFERROR(VLOOKUP(B675, '基準資産配分（設定）'!$A$2:$C$2001, 2, FALSE)/100, 0))</f>
        <v/>
      </c>
      <c r="S675" t="str">
        <f>IF(B675="","", IFERROR(SUMIFS(ベンチマークリターン!$C$2:$C$2001, ベンチマークリターン!$A$2:$A$2001, A675, ベンチマークリターン!$B$2:$B$2001, Q675) / 100, 0))</f>
        <v/>
      </c>
      <c r="T675" t="str">
        <f>IF(A675="","", SUMIFS($H$2:$H$2000, $A$2:$A$2000, A675))</f>
        <v/>
      </c>
      <c r="U675" t="str">
        <f t="shared" si="118"/>
        <v/>
      </c>
      <c r="V675" t="str">
        <f t="shared" si="119"/>
        <v/>
      </c>
      <c r="W675" t="str">
        <f t="shared" si="120"/>
        <v/>
      </c>
    </row>
    <row r="676" spans="1:23" x14ac:dyDescent="0.2">
      <c r="A676" s="4" t="str">
        <f>IF(ポートフォリオ実績!A677="","", ポートフォリオ実績!A677)</f>
        <v/>
      </c>
      <c r="B676" t="str">
        <f>IF(ポートフォリオ実績!B677="","", ポートフォリオ実績!B677)</f>
        <v/>
      </c>
      <c r="C676" s="10" t="str">
        <f>IF(ポートフォリオ実績!C677="","", ポートフォリオ実績!C677)</f>
        <v/>
      </c>
      <c r="D676" s="10" t="str">
        <f>IF(ポートフォリオ実績!D677="","", ポートフォリオ実績!D677)</f>
        <v/>
      </c>
      <c r="E676" s="10" t="str">
        <f>IF(ポートフォリオ実績!E677="","", ポートフォリオ実績!E677)</f>
        <v/>
      </c>
      <c r="F676" s="10" t="str">
        <f>IF(ポートフォリオ実績!F677="","", ポートフォリオ実績!F677)</f>
        <v/>
      </c>
      <c r="G676" t="str">
        <f t="shared" si="110"/>
        <v/>
      </c>
      <c r="H676">
        <f>IF(B676&lt;&gt;"", SUMIFS(ポートフォリオ実績!$D$2:$D$2001, ポートフォリオ実績!$B$2:$B$2001, B676, ポートフォリオ実績!$A$2:$A$2001, G676), 0)</f>
        <v>0</v>
      </c>
      <c r="I676">
        <f>IF(B676&lt;&gt;"", SUMIFS(ポートフォリオ実績!$C$2:$C$2001, ポートフォリオ実績!$B$2:$B$2001, B676, ポートフォリオ実績!$A$2:$A$2001, G676), 0)</f>
        <v>0</v>
      </c>
      <c r="J676">
        <f t="shared" si="111"/>
        <v>0</v>
      </c>
      <c r="K676">
        <f t="shared" si="112"/>
        <v>0</v>
      </c>
      <c r="L676">
        <f t="shared" si="113"/>
        <v>0</v>
      </c>
      <c r="M676">
        <f t="shared" si="114"/>
        <v>0</v>
      </c>
      <c r="N676">
        <f t="shared" si="115"/>
        <v>0</v>
      </c>
      <c r="O676">
        <f t="shared" si="116"/>
        <v>0</v>
      </c>
      <c r="P676" t="str">
        <f t="shared" si="117"/>
        <v/>
      </c>
      <c r="Q676" t="str">
        <f>IF(B676="","", IFERROR(VLOOKUP(B676, '基準資産配分（設定）'!$A$2:$C$2001, 3, FALSE), ""))</f>
        <v/>
      </c>
      <c r="R676" t="str">
        <f>IF(B676="","", IFERROR(VLOOKUP(B676, '基準資産配分（設定）'!$A$2:$C$2001, 2, FALSE)/100, 0))</f>
        <v/>
      </c>
      <c r="S676" t="str">
        <f>IF(B676="","", IFERROR(SUMIFS(ベンチマークリターン!$C$2:$C$2001, ベンチマークリターン!$A$2:$A$2001, A676, ベンチマークリターン!$B$2:$B$2001, Q676) / 100, 0))</f>
        <v/>
      </c>
      <c r="T676" t="str">
        <f>IF(A676="","", SUMIFS($H$2:$H$2000, $A$2:$A$2000, A676))</f>
        <v/>
      </c>
      <c r="U676" t="str">
        <f t="shared" si="118"/>
        <v/>
      </c>
      <c r="V676" t="str">
        <f t="shared" si="119"/>
        <v/>
      </c>
      <c r="W676" t="str">
        <f t="shared" si="120"/>
        <v/>
      </c>
    </row>
    <row r="677" spans="1:23" x14ac:dyDescent="0.2">
      <c r="A677" s="4" t="str">
        <f>IF(ポートフォリオ実績!A678="","", ポートフォリオ実績!A678)</f>
        <v/>
      </c>
      <c r="B677" t="str">
        <f>IF(ポートフォリオ実績!B678="","", ポートフォリオ実績!B678)</f>
        <v/>
      </c>
      <c r="C677" s="10" t="str">
        <f>IF(ポートフォリオ実績!C678="","", ポートフォリオ実績!C678)</f>
        <v/>
      </c>
      <c r="D677" s="10" t="str">
        <f>IF(ポートフォリオ実績!D678="","", ポートフォリオ実績!D678)</f>
        <v/>
      </c>
      <c r="E677" s="10" t="str">
        <f>IF(ポートフォリオ実績!E678="","", ポートフォリオ実績!E678)</f>
        <v/>
      </c>
      <c r="F677" s="10" t="str">
        <f>IF(ポートフォリオ実績!F678="","", ポートフォリオ実績!F678)</f>
        <v/>
      </c>
      <c r="G677" t="str">
        <f t="shared" si="110"/>
        <v/>
      </c>
      <c r="H677">
        <f>IF(B677&lt;&gt;"", SUMIFS(ポートフォリオ実績!$D$2:$D$2001, ポートフォリオ実績!$B$2:$B$2001, B677, ポートフォリオ実績!$A$2:$A$2001, G677), 0)</f>
        <v>0</v>
      </c>
      <c r="I677">
        <f>IF(B677&lt;&gt;"", SUMIFS(ポートフォリオ実績!$C$2:$C$2001, ポートフォリオ実績!$B$2:$B$2001, B677, ポートフォリオ実績!$A$2:$A$2001, G677), 0)</f>
        <v>0</v>
      </c>
      <c r="J677">
        <f t="shared" si="111"/>
        <v>0</v>
      </c>
      <c r="K677">
        <f t="shared" si="112"/>
        <v>0</v>
      </c>
      <c r="L677">
        <f t="shared" si="113"/>
        <v>0</v>
      </c>
      <c r="M677">
        <f t="shared" si="114"/>
        <v>0</v>
      </c>
      <c r="N677">
        <f t="shared" si="115"/>
        <v>0</v>
      </c>
      <c r="O677">
        <f t="shared" si="116"/>
        <v>0</v>
      </c>
      <c r="P677" t="str">
        <f t="shared" si="117"/>
        <v/>
      </c>
      <c r="Q677" t="str">
        <f>IF(B677="","", IFERROR(VLOOKUP(B677, '基準資産配分（設定）'!$A$2:$C$2001, 3, FALSE), ""))</f>
        <v/>
      </c>
      <c r="R677" t="str">
        <f>IF(B677="","", IFERROR(VLOOKUP(B677, '基準資産配分（設定）'!$A$2:$C$2001, 2, FALSE)/100, 0))</f>
        <v/>
      </c>
      <c r="S677" t="str">
        <f>IF(B677="","", IFERROR(SUMIFS(ベンチマークリターン!$C$2:$C$2001, ベンチマークリターン!$A$2:$A$2001, A677, ベンチマークリターン!$B$2:$B$2001, Q677) / 100, 0))</f>
        <v/>
      </c>
      <c r="T677" t="str">
        <f>IF(A677="","", SUMIFS($H$2:$H$2000, $A$2:$A$2000, A677))</f>
        <v/>
      </c>
      <c r="U677" t="str">
        <f t="shared" si="118"/>
        <v/>
      </c>
      <c r="V677" t="str">
        <f t="shared" si="119"/>
        <v/>
      </c>
      <c r="W677" t="str">
        <f t="shared" si="120"/>
        <v/>
      </c>
    </row>
    <row r="678" spans="1:23" x14ac:dyDescent="0.2">
      <c r="A678" s="4" t="str">
        <f>IF(ポートフォリオ実績!A679="","", ポートフォリオ実績!A679)</f>
        <v/>
      </c>
      <c r="B678" t="str">
        <f>IF(ポートフォリオ実績!B679="","", ポートフォリオ実績!B679)</f>
        <v/>
      </c>
      <c r="C678" s="10" t="str">
        <f>IF(ポートフォリオ実績!C679="","", ポートフォリオ実績!C679)</f>
        <v/>
      </c>
      <c r="D678" s="10" t="str">
        <f>IF(ポートフォリオ実績!D679="","", ポートフォリオ実績!D679)</f>
        <v/>
      </c>
      <c r="E678" s="10" t="str">
        <f>IF(ポートフォリオ実績!E679="","", ポートフォリオ実績!E679)</f>
        <v/>
      </c>
      <c r="F678" s="10" t="str">
        <f>IF(ポートフォリオ実績!F679="","", ポートフォリオ実績!F679)</f>
        <v/>
      </c>
      <c r="G678" t="str">
        <f t="shared" si="110"/>
        <v/>
      </c>
      <c r="H678">
        <f>IF(B678&lt;&gt;"", SUMIFS(ポートフォリオ実績!$D$2:$D$2001, ポートフォリオ実績!$B$2:$B$2001, B678, ポートフォリオ実績!$A$2:$A$2001, G678), 0)</f>
        <v>0</v>
      </c>
      <c r="I678">
        <f>IF(B678&lt;&gt;"", SUMIFS(ポートフォリオ実績!$C$2:$C$2001, ポートフォリオ実績!$B$2:$B$2001, B678, ポートフォリオ実績!$A$2:$A$2001, G678), 0)</f>
        <v>0</v>
      </c>
      <c r="J678">
        <f t="shared" si="111"/>
        <v>0</v>
      </c>
      <c r="K678">
        <f t="shared" si="112"/>
        <v>0</v>
      </c>
      <c r="L678">
        <f t="shared" si="113"/>
        <v>0</v>
      </c>
      <c r="M678">
        <f t="shared" si="114"/>
        <v>0</v>
      </c>
      <c r="N678">
        <f t="shared" si="115"/>
        <v>0</v>
      </c>
      <c r="O678">
        <f t="shared" si="116"/>
        <v>0</v>
      </c>
      <c r="P678" t="str">
        <f t="shared" si="117"/>
        <v/>
      </c>
      <c r="Q678" t="str">
        <f>IF(B678="","", IFERROR(VLOOKUP(B678, '基準資産配分（設定）'!$A$2:$C$2001, 3, FALSE), ""))</f>
        <v/>
      </c>
      <c r="R678" t="str">
        <f>IF(B678="","", IFERROR(VLOOKUP(B678, '基準資産配分（設定）'!$A$2:$C$2001, 2, FALSE)/100, 0))</f>
        <v/>
      </c>
      <c r="S678" t="str">
        <f>IF(B678="","", IFERROR(SUMIFS(ベンチマークリターン!$C$2:$C$2001, ベンチマークリターン!$A$2:$A$2001, A678, ベンチマークリターン!$B$2:$B$2001, Q678) / 100, 0))</f>
        <v/>
      </c>
      <c r="T678" t="str">
        <f>IF(A678="","", SUMIFS($H$2:$H$2000, $A$2:$A$2000, A678))</f>
        <v/>
      </c>
      <c r="U678" t="str">
        <f t="shared" si="118"/>
        <v/>
      </c>
      <c r="V678" t="str">
        <f t="shared" si="119"/>
        <v/>
      </c>
      <c r="W678" t="str">
        <f t="shared" si="120"/>
        <v/>
      </c>
    </row>
    <row r="679" spans="1:23" x14ac:dyDescent="0.2">
      <c r="A679" s="4" t="str">
        <f>IF(ポートフォリオ実績!A680="","", ポートフォリオ実績!A680)</f>
        <v/>
      </c>
      <c r="B679" t="str">
        <f>IF(ポートフォリオ実績!B680="","", ポートフォリオ実績!B680)</f>
        <v/>
      </c>
      <c r="C679" s="10" t="str">
        <f>IF(ポートフォリオ実績!C680="","", ポートフォリオ実績!C680)</f>
        <v/>
      </c>
      <c r="D679" s="10" t="str">
        <f>IF(ポートフォリオ実績!D680="","", ポートフォリオ実績!D680)</f>
        <v/>
      </c>
      <c r="E679" s="10" t="str">
        <f>IF(ポートフォリオ実績!E680="","", ポートフォリオ実績!E680)</f>
        <v/>
      </c>
      <c r="F679" s="10" t="str">
        <f>IF(ポートフォリオ実績!F680="","", ポートフォリオ実績!F680)</f>
        <v/>
      </c>
      <c r="G679" t="str">
        <f t="shared" si="110"/>
        <v/>
      </c>
      <c r="H679">
        <f>IF(B679&lt;&gt;"", SUMIFS(ポートフォリオ実績!$D$2:$D$2001, ポートフォリオ実績!$B$2:$B$2001, B679, ポートフォリオ実績!$A$2:$A$2001, G679), 0)</f>
        <v>0</v>
      </c>
      <c r="I679">
        <f>IF(B679&lt;&gt;"", SUMIFS(ポートフォリオ実績!$C$2:$C$2001, ポートフォリオ実績!$B$2:$B$2001, B679, ポートフォリオ実績!$A$2:$A$2001, G679), 0)</f>
        <v>0</v>
      </c>
      <c r="J679">
        <f t="shared" si="111"/>
        <v>0</v>
      </c>
      <c r="K679">
        <f t="shared" si="112"/>
        <v>0</v>
      </c>
      <c r="L679">
        <f t="shared" si="113"/>
        <v>0</v>
      </c>
      <c r="M679">
        <f t="shared" si="114"/>
        <v>0</v>
      </c>
      <c r="N679">
        <f t="shared" si="115"/>
        <v>0</v>
      </c>
      <c r="O679">
        <f t="shared" si="116"/>
        <v>0</v>
      </c>
      <c r="P679" t="str">
        <f t="shared" si="117"/>
        <v/>
      </c>
      <c r="Q679" t="str">
        <f>IF(B679="","", IFERROR(VLOOKUP(B679, '基準資産配分（設定）'!$A$2:$C$2001, 3, FALSE), ""))</f>
        <v/>
      </c>
      <c r="R679" t="str">
        <f>IF(B679="","", IFERROR(VLOOKUP(B679, '基準資産配分（設定）'!$A$2:$C$2001, 2, FALSE)/100, 0))</f>
        <v/>
      </c>
      <c r="S679" t="str">
        <f>IF(B679="","", IFERROR(SUMIFS(ベンチマークリターン!$C$2:$C$2001, ベンチマークリターン!$A$2:$A$2001, A679, ベンチマークリターン!$B$2:$B$2001, Q679) / 100, 0))</f>
        <v/>
      </c>
      <c r="T679" t="str">
        <f>IF(A679="","", SUMIFS($H$2:$H$2000, $A$2:$A$2000, A679))</f>
        <v/>
      </c>
      <c r="U679" t="str">
        <f t="shared" si="118"/>
        <v/>
      </c>
      <c r="V679" t="str">
        <f t="shared" si="119"/>
        <v/>
      </c>
      <c r="W679" t="str">
        <f t="shared" si="120"/>
        <v/>
      </c>
    </row>
    <row r="680" spans="1:23" x14ac:dyDescent="0.2">
      <c r="A680" s="4" t="str">
        <f>IF(ポートフォリオ実績!A681="","", ポートフォリオ実績!A681)</f>
        <v/>
      </c>
      <c r="B680" t="str">
        <f>IF(ポートフォリオ実績!B681="","", ポートフォリオ実績!B681)</f>
        <v/>
      </c>
      <c r="C680" s="10" t="str">
        <f>IF(ポートフォリオ実績!C681="","", ポートフォリオ実績!C681)</f>
        <v/>
      </c>
      <c r="D680" s="10" t="str">
        <f>IF(ポートフォリオ実績!D681="","", ポートフォリオ実績!D681)</f>
        <v/>
      </c>
      <c r="E680" s="10" t="str">
        <f>IF(ポートフォリオ実績!E681="","", ポートフォリオ実績!E681)</f>
        <v/>
      </c>
      <c r="F680" s="10" t="str">
        <f>IF(ポートフォリオ実績!F681="","", ポートフォリオ実績!F681)</f>
        <v/>
      </c>
      <c r="G680" t="str">
        <f t="shared" si="110"/>
        <v/>
      </c>
      <c r="H680">
        <f>IF(B680&lt;&gt;"", SUMIFS(ポートフォリオ実績!$D$2:$D$2001, ポートフォリオ実績!$B$2:$B$2001, B680, ポートフォリオ実績!$A$2:$A$2001, G680), 0)</f>
        <v>0</v>
      </c>
      <c r="I680">
        <f>IF(B680&lt;&gt;"", SUMIFS(ポートフォリオ実績!$C$2:$C$2001, ポートフォリオ実績!$B$2:$B$2001, B680, ポートフォリオ実績!$A$2:$A$2001, G680), 0)</f>
        <v>0</v>
      </c>
      <c r="J680">
        <f t="shared" si="111"/>
        <v>0</v>
      </c>
      <c r="K680">
        <f t="shared" si="112"/>
        <v>0</v>
      </c>
      <c r="L680">
        <f t="shared" si="113"/>
        <v>0</v>
      </c>
      <c r="M680">
        <f t="shared" si="114"/>
        <v>0</v>
      </c>
      <c r="N680">
        <f t="shared" si="115"/>
        <v>0</v>
      </c>
      <c r="O680">
        <f t="shared" si="116"/>
        <v>0</v>
      </c>
      <c r="P680" t="str">
        <f t="shared" si="117"/>
        <v/>
      </c>
      <c r="Q680" t="str">
        <f>IF(B680="","", IFERROR(VLOOKUP(B680, '基準資産配分（設定）'!$A$2:$C$2001, 3, FALSE), ""))</f>
        <v/>
      </c>
      <c r="R680" t="str">
        <f>IF(B680="","", IFERROR(VLOOKUP(B680, '基準資産配分（設定）'!$A$2:$C$2001, 2, FALSE)/100, 0))</f>
        <v/>
      </c>
      <c r="S680" t="str">
        <f>IF(B680="","", IFERROR(SUMIFS(ベンチマークリターン!$C$2:$C$2001, ベンチマークリターン!$A$2:$A$2001, A680, ベンチマークリターン!$B$2:$B$2001, Q680) / 100, 0))</f>
        <v/>
      </c>
      <c r="T680" t="str">
        <f>IF(A680="","", SUMIFS($H$2:$H$2000, $A$2:$A$2000, A680))</f>
        <v/>
      </c>
      <c r="U680" t="str">
        <f t="shared" si="118"/>
        <v/>
      </c>
      <c r="V680" t="str">
        <f t="shared" si="119"/>
        <v/>
      </c>
      <c r="W680" t="str">
        <f t="shared" si="120"/>
        <v/>
      </c>
    </row>
    <row r="681" spans="1:23" x14ac:dyDescent="0.2">
      <c r="A681" s="4" t="str">
        <f>IF(ポートフォリオ実績!A682="","", ポートフォリオ実績!A682)</f>
        <v/>
      </c>
      <c r="B681" t="str">
        <f>IF(ポートフォリオ実績!B682="","", ポートフォリオ実績!B682)</f>
        <v/>
      </c>
      <c r="C681" s="10" t="str">
        <f>IF(ポートフォリオ実績!C682="","", ポートフォリオ実績!C682)</f>
        <v/>
      </c>
      <c r="D681" s="10" t="str">
        <f>IF(ポートフォリオ実績!D682="","", ポートフォリオ実績!D682)</f>
        <v/>
      </c>
      <c r="E681" s="10" t="str">
        <f>IF(ポートフォリオ実績!E682="","", ポートフォリオ実績!E682)</f>
        <v/>
      </c>
      <c r="F681" s="10" t="str">
        <f>IF(ポートフォリオ実績!F682="","", ポートフォリオ実績!F682)</f>
        <v/>
      </c>
      <c r="G681" t="str">
        <f t="shared" si="110"/>
        <v/>
      </c>
      <c r="H681">
        <f>IF(B681&lt;&gt;"", SUMIFS(ポートフォリオ実績!$D$2:$D$2001, ポートフォリオ実績!$B$2:$B$2001, B681, ポートフォリオ実績!$A$2:$A$2001, G681), 0)</f>
        <v>0</v>
      </c>
      <c r="I681">
        <f>IF(B681&lt;&gt;"", SUMIFS(ポートフォリオ実績!$C$2:$C$2001, ポートフォリオ実績!$B$2:$B$2001, B681, ポートフォリオ実績!$A$2:$A$2001, G681), 0)</f>
        <v>0</v>
      </c>
      <c r="J681">
        <f t="shared" si="111"/>
        <v>0</v>
      </c>
      <c r="K681">
        <f t="shared" si="112"/>
        <v>0</v>
      </c>
      <c r="L681">
        <f t="shared" si="113"/>
        <v>0</v>
      </c>
      <c r="M681">
        <f t="shared" si="114"/>
        <v>0</v>
      </c>
      <c r="N681">
        <f t="shared" si="115"/>
        <v>0</v>
      </c>
      <c r="O681">
        <f t="shared" si="116"/>
        <v>0</v>
      </c>
      <c r="P681" t="str">
        <f t="shared" si="117"/>
        <v/>
      </c>
      <c r="Q681" t="str">
        <f>IF(B681="","", IFERROR(VLOOKUP(B681, '基準資産配分（設定）'!$A$2:$C$2001, 3, FALSE), ""))</f>
        <v/>
      </c>
      <c r="R681" t="str">
        <f>IF(B681="","", IFERROR(VLOOKUP(B681, '基準資産配分（設定）'!$A$2:$C$2001, 2, FALSE)/100, 0))</f>
        <v/>
      </c>
      <c r="S681" t="str">
        <f>IF(B681="","", IFERROR(SUMIFS(ベンチマークリターン!$C$2:$C$2001, ベンチマークリターン!$A$2:$A$2001, A681, ベンチマークリターン!$B$2:$B$2001, Q681) / 100, 0))</f>
        <v/>
      </c>
      <c r="T681" t="str">
        <f>IF(A681="","", SUMIFS($H$2:$H$2000, $A$2:$A$2000, A681))</f>
        <v/>
      </c>
      <c r="U681" t="str">
        <f t="shared" si="118"/>
        <v/>
      </c>
      <c r="V681" t="str">
        <f t="shared" si="119"/>
        <v/>
      </c>
      <c r="W681" t="str">
        <f t="shared" si="120"/>
        <v/>
      </c>
    </row>
    <row r="682" spans="1:23" x14ac:dyDescent="0.2">
      <c r="A682" s="4" t="str">
        <f>IF(ポートフォリオ実績!A683="","", ポートフォリオ実績!A683)</f>
        <v/>
      </c>
      <c r="B682" t="str">
        <f>IF(ポートフォリオ実績!B683="","", ポートフォリオ実績!B683)</f>
        <v/>
      </c>
      <c r="C682" s="10" t="str">
        <f>IF(ポートフォリオ実績!C683="","", ポートフォリオ実績!C683)</f>
        <v/>
      </c>
      <c r="D682" s="10" t="str">
        <f>IF(ポートフォリオ実績!D683="","", ポートフォリオ実績!D683)</f>
        <v/>
      </c>
      <c r="E682" s="10" t="str">
        <f>IF(ポートフォリオ実績!E683="","", ポートフォリオ実績!E683)</f>
        <v/>
      </c>
      <c r="F682" s="10" t="str">
        <f>IF(ポートフォリオ実績!F683="","", ポートフォリオ実績!F683)</f>
        <v/>
      </c>
      <c r="G682" t="str">
        <f t="shared" si="110"/>
        <v/>
      </c>
      <c r="H682">
        <f>IF(B682&lt;&gt;"", SUMIFS(ポートフォリオ実績!$D$2:$D$2001, ポートフォリオ実績!$B$2:$B$2001, B682, ポートフォリオ実績!$A$2:$A$2001, G682), 0)</f>
        <v>0</v>
      </c>
      <c r="I682">
        <f>IF(B682&lt;&gt;"", SUMIFS(ポートフォリオ実績!$C$2:$C$2001, ポートフォリオ実績!$B$2:$B$2001, B682, ポートフォリオ実績!$A$2:$A$2001, G682), 0)</f>
        <v>0</v>
      </c>
      <c r="J682">
        <f t="shared" si="111"/>
        <v>0</v>
      </c>
      <c r="K682">
        <f t="shared" si="112"/>
        <v>0</v>
      </c>
      <c r="L682">
        <f t="shared" si="113"/>
        <v>0</v>
      </c>
      <c r="M682">
        <f t="shared" si="114"/>
        <v>0</v>
      </c>
      <c r="N682">
        <f t="shared" si="115"/>
        <v>0</v>
      </c>
      <c r="O682">
        <f t="shared" si="116"/>
        <v>0</v>
      </c>
      <c r="P682" t="str">
        <f t="shared" si="117"/>
        <v/>
      </c>
      <c r="Q682" t="str">
        <f>IF(B682="","", IFERROR(VLOOKUP(B682, '基準資産配分（設定）'!$A$2:$C$2001, 3, FALSE), ""))</f>
        <v/>
      </c>
      <c r="R682" t="str">
        <f>IF(B682="","", IFERROR(VLOOKUP(B682, '基準資産配分（設定）'!$A$2:$C$2001, 2, FALSE)/100, 0))</f>
        <v/>
      </c>
      <c r="S682" t="str">
        <f>IF(B682="","", IFERROR(SUMIFS(ベンチマークリターン!$C$2:$C$2001, ベンチマークリターン!$A$2:$A$2001, A682, ベンチマークリターン!$B$2:$B$2001, Q682) / 100, 0))</f>
        <v/>
      </c>
      <c r="T682" t="str">
        <f>IF(A682="","", SUMIFS($H$2:$H$2000, $A$2:$A$2000, A682))</f>
        <v/>
      </c>
      <c r="U682" t="str">
        <f t="shared" si="118"/>
        <v/>
      </c>
      <c r="V682" t="str">
        <f t="shared" si="119"/>
        <v/>
      </c>
      <c r="W682" t="str">
        <f t="shared" si="120"/>
        <v/>
      </c>
    </row>
    <row r="683" spans="1:23" x14ac:dyDescent="0.2">
      <c r="A683" s="4" t="str">
        <f>IF(ポートフォリオ実績!A684="","", ポートフォリオ実績!A684)</f>
        <v/>
      </c>
      <c r="B683" t="str">
        <f>IF(ポートフォリオ実績!B684="","", ポートフォリオ実績!B684)</f>
        <v/>
      </c>
      <c r="C683" s="10" t="str">
        <f>IF(ポートフォリオ実績!C684="","", ポートフォリオ実績!C684)</f>
        <v/>
      </c>
      <c r="D683" s="10" t="str">
        <f>IF(ポートフォリオ実績!D684="","", ポートフォリオ実績!D684)</f>
        <v/>
      </c>
      <c r="E683" s="10" t="str">
        <f>IF(ポートフォリオ実績!E684="","", ポートフォリオ実績!E684)</f>
        <v/>
      </c>
      <c r="F683" s="10" t="str">
        <f>IF(ポートフォリオ実績!F684="","", ポートフォリオ実績!F684)</f>
        <v/>
      </c>
      <c r="G683" t="str">
        <f t="shared" si="110"/>
        <v/>
      </c>
      <c r="H683">
        <f>IF(B683&lt;&gt;"", SUMIFS(ポートフォリオ実績!$D$2:$D$2001, ポートフォリオ実績!$B$2:$B$2001, B683, ポートフォリオ実績!$A$2:$A$2001, G683), 0)</f>
        <v>0</v>
      </c>
      <c r="I683">
        <f>IF(B683&lt;&gt;"", SUMIFS(ポートフォリオ実績!$C$2:$C$2001, ポートフォリオ実績!$B$2:$B$2001, B683, ポートフォリオ実績!$A$2:$A$2001, G683), 0)</f>
        <v>0</v>
      </c>
      <c r="J683">
        <f t="shared" si="111"/>
        <v>0</v>
      </c>
      <c r="K683">
        <f t="shared" si="112"/>
        <v>0</v>
      </c>
      <c r="L683">
        <f t="shared" si="113"/>
        <v>0</v>
      </c>
      <c r="M683">
        <f t="shared" si="114"/>
        <v>0</v>
      </c>
      <c r="N683">
        <f t="shared" si="115"/>
        <v>0</v>
      </c>
      <c r="O683">
        <f t="shared" si="116"/>
        <v>0</v>
      </c>
      <c r="P683" t="str">
        <f t="shared" si="117"/>
        <v/>
      </c>
      <c r="Q683" t="str">
        <f>IF(B683="","", IFERROR(VLOOKUP(B683, '基準資産配分（設定）'!$A$2:$C$2001, 3, FALSE), ""))</f>
        <v/>
      </c>
      <c r="R683" t="str">
        <f>IF(B683="","", IFERROR(VLOOKUP(B683, '基準資産配分（設定）'!$A$2:$C$2001, 2, FALSE)/100, 0))</f>
        <v/>
      </c>
      <c r="S683" t="str">
        <f>IF(B683="","", IFERROR(SUMIFS(ベンチマークリターン!$C$2:$C$2001, ベンチマークリターン!$A$2:$A$2001, A683, ベンチマークリターン!$B$2:$B$2001, Q683) / 100, 0))</f>
        <v/>
      </c>
      <c r="T683" t="str">
        <f>IF(A683="","", SUMIFS($H$2:$H$2000, $A$2:$A$2000, A683))</f>
        <v/>
      </c>
      <c r="U683" t="str">
        <f t="shared" si="118"/>
        <v/>
      </c>
      <c r="V683" t="str">
        <f t="shared" si="119"/>
        <v/>
      </c>
      <c r="W683" t="str">
        <f t="shared" si="120"/>
        <v/>
      </c>
    </row>
    <row r="684" spans="1:23" x14ac:dyDescent="0.2">
      <c r="A684" s="4" t="str">
        <f>IF(ポートフォリオ実績!A685="","", ポートフォリオ実績!A685)</f>
        <v/>
      </c>
      <c r="B684" t="str">
        <f>IF(ポートフォリオ実績!B685="","", ポートフォリオ実績!B685)</f>
        <v/>
      </c>
      <c r="C684" s="10" t="str">
        <f>IF(ポートフォリオ実績!C685="","", ポートフォリオ実績!C685)</f>
        <v/>
      </c>
      <c r="D684" s="10" t="str">
        <f>IF(ポートフォリオ実績!D685="","", ポートフォリオ実績!D685)</f>
        <v/>
      </c>
      <c r="E684" s="10" t="str">
        <f>IF(ポートフォリオ実績!E685="","", ポートフォリオ実績!E685)</f>
        <v/>
      </c>
      <c r="F684" s="10" t="str">
        <f>IF(ポートフォリオ実績!F685="","", ポートフォリオ実績!F685)</f>
        <v/>
      </c>
      <c r="G684" t="str">
        <f t="shared" si="110"/>
        <v/>
      </c>
      <c r="H684">
        <f>IF(B684&lt;&gt;"", SUMIFS(ポートフォリオ実績!$D$2:$D$2001, ポートフォリオ実績!$B$2:$B$2001, B684, ポートフォリオ実績!$A$2:$A$2001, G684), 0)</f>
        <v>0</v>
      </c>
      <c r="I684">
        <f>IF(B684&lt;&gt;"", SUMIFS(ポートフォリオ実績!$C$2:$C$2001, ポートフォリオ実績!$B$2:$B$2001, B684, ポートフォリオ実績!$A$2:$A$2001, G684), 0)</f>
        <v>0</v>
      </c>
      <c r="J684">
        <f t="shared" si="111"/>
        <v>0</v>
      </c>
      <c r="K684">
        <f t="shared" si="112"/>
        <v>0</v>
      </c>
      <c r="L684">
        <f t="shared" si="113"/>
        <v>0</v>
      </c>
      <c r="M684">
        <f t="shared" si="114"/>
        <v>0</v>
      </c>
      <c r="N684">
        <f t="shared" si="115"/>
        <v>0</v>
      </c>
      <c r="O684">
        <f t="shared" si="116"/>
        <v>0</v>
      </c>
      <c r="P684" t="str">
        <f t="shared" si="117"/>
        <v/>
      </c>
      <c r="Q684" t="str">
        <f>IF(B684="","", IFERROR(VLOOKUP(B684, '基準資産配分（設定）'!$A$2:$C$2001, 3, FALSE), ""))</f>
        <v/>
      </c>
      <c r="R684" t="str">
        <f>IF(B684="","", IFERROR(VLOOKUP(B684, '基準資産配分（設定）'!$A$2:$C$2001, 2, FALSE)/100, 0))</f>
        <v/>
      </c>
      <c r="S684" t="str">
        <f>IF(B684="","", IFERROR(SUMIFS(ベンチマークリターン!$C$2:$C$2001, ベンチマークリターン!$A$2:$A$2001, A684, ベンチマークリターン!$B$2:$B$2001, Q684) / 100, 0))</f>
        <v/>
      </c>
      <c r="T684" t="str">
        <f>IF(A684="","", SUMIFS($H$2:$H$2000, $A$2:$A$2000, A684))</f>
        <v/>
      </c>
      <c r="U684" t="str">
        <f t="shared" si="118"/>
        <v/>
      </c>
      <c r="V684" t="str">
        <f t="shared" si="119"/>
        <v/>
      </c>
      <c r="W684" t="str">
        <f t="shared" si="120"/>
        <v/>
      </c>
    </row>
    <row r="685" spans="1:23" x14ac:dyDescent="0.2">
      <c r="A685" s="4" t="str">
        <f>IF(ポートフォリオ実績!A686="","", ポートフォリオ実績!A686)</f>
        <v/>
      </c>
      <c r="B685" t="str">
        <f>IF(ポートフォリオ実績!B686="","", ポートフォリオ実績!B686)</f>
        <v/>
      </c>
      <c r="C685" s="10" t="str">
        <f>IF(ポートフォリオ実績!C686="","", ポートフォリオ実績!C686)</f>
        <v/>
      </c>
      <c r="D685" s="10" t="str">
        <f>IF(ポートフォリオ実績!D686="","", ポートフォリオ実績!D686)</f>
        <v/>
      </c>
      <c r="E685" s="10" t="str">
        <f>IF(ポートフォリオ実績!E686="","", ポートフォリオ実績!E686)</f>
        <v/>
      </c>
      <c r="F685" s="10" t="str">
        <f>IF(ポートフォリオ実績!F686="","", ポートフォリオ実績!F686)</f>
        <v/>
      </c>
      <c r="G685" t="str">
        <f t="shared" si="110"/>
        <v/>
      </c>
      <c r="H685">
        <f>IF(B685&lt;&gt;"", SUMIFS(ポートフォリオ実績!$D$2:$D$2001, ポートフォリオ実績!$B$2:$B$2001, B685, ポートフォリオ実績!$A$2:$A$2001, G685), 0)</f>
        <v>0</v>
      </c>
      <c r="I685">
        <f>IF(B685&lt;&gt;"", SUMIFS(ポートフォリオ実績!$C$2:$C$2001, ポートフォリオ実績!$B$2:$B$2001, B685, ポートフォリオ実績!$A$2:$A$2001, G685), 0)</f>
        <v>0</v>
      </c>
      <c r="J685">
        <f t="shared" si="111"/>
        <v>0</v>
      </c>
      <c r="K685">
        <f t="shared" si="112"/>
        <v>0</v>
      </c>
      <c r="L685">
        <f t="shared" si="113"/>
        <v>0</v>
      </c>
      <c r="M685">
        <f t="shared" si="114"/>
        <v>0</v>
      </c>
      <c r="N685">
        <f t="shared" si="115"/>
        <v>0</v>
      </c>
      <c r="O685">
        <f t="shared" si="116"/>
        <v>0</v>
      </c>
      <c r="P685" t="str">
        <f t="shared" si="117"/>
        <v/>
      </c>
      <c r="Q685" t="str">
        <f>IF(B685="","", IFERROR(VLOOKUP(B685, '基準資産配分（設定）'!$A$2:$C$2001, 3, FALSE), ""))</f>
        <v/>
      </c>
      <c r="R685" t="str">
        <f>IF(B685="","", IFERROR(VLOOKUP(B685, '基準資産配分（設定）'!$A$2:$C$2001, 2, FALSE)/100, 0))</f>
        <v/>
      </c>
      <c r="S685" t="str">
        <f>IF(B685="","", IFERROR(SUMIFS(ベンチマークリターン!$C$2:$C$2001, ベンチマークリターン!$A$2:$A$2001, A685, ベンチマークリターン!$B$2:$B$2001, Q685) / 100, 0))</f>
        <v/>
      </c>
      <c r="T685" t="str">
        <f>IF(A685="","", SUMIFS($H$2:$H$2000, $A$2:$A$2000, A685))</f>
        <v/>
      </c>
      <c r="U685" t="str">
        <f t="shared" si="118"/>
        <v/>
      </c>
      <c r="V685" t="str">
        <f t="shared" si="119"/>
        <v/>
      </c>
      <c r="W685" t="str">
        <f t="shared" si="120"/>
        <v/>
      </c>
    </row>
    <row r="686" spans="1:23" x14ac:dyDescent="0.2">
      <c r="A686" s="4" t="str">
        <f>IF(ポートフォリオ実績!A687="","", ポートフォリオ実績!A687)</f>
        <v/>
      </c>
      <c r="B686" t="str">
        <f>IF(ポートフォリオ実績!B687="","", ポートフォリオ実績!B687)</f>
        <v/>
      </c>
      <c r="C686" s="10" t="str">
        <f>IF(ポートフォリオ実績!C687="","", ポートフォリオ実績!C687)</f>
        <v/>
      </c>
      <c r="D686" s="10" t="str">
        <f>IF(ポートフォリオ実績!D687="","", ポートフォリオ実績!D687)</f>
        <v/>
      </c>
      <c r="E686" s="10" t="str">
        <f>IF(ポートフォリオ実績!E687="","", ポートフォリオ実績!E687)</f>
        <v/>
      </c>
      <c r="F686" s="10" t="str">
        <f>IF(ポートフォリオ実績!F687="","", ポートフォリオ実績!F687)</f>
        <v/>
      </c>
      <c r="G686" t="str">
        <f t="shared" si="110"/>
        <v/>
      </c>
      <c r="H686">
        <f>IF(B686&lt;&gt;"", SUMIFS(ポートフォリオ実績!$D$2:$D$2001, ポートフォリオ実績!$B$2:$B$2001, B686, ポートフォリオ実績!$A$2:$A$2001, G686), 0)</f>
        <v>0</v>
      </c>
      <c r="I686">
        <f>IF(B686&lt;&gt;"", SUMIFS(ポートフォリオ実績!$C$2:$C$2001, ポートフォリオ実績!$B$2:$B$2001, B686, ポートフォリオ実績!$A$2:$A$2001, G686), 0)</f>
        <v>0</v>
      </c>
      <c r="J686">
        <f t="shared" si="111"/>
        <v>0</v>
      </c>
      <c r="K686">
        <f t="shared" si="112"/>
        <v>0</v>
      </c>
      <c r="L686">
        <f t="shared" si="113"/>
        <v>0</v>
      </c>
      <c r="M686">
        <f t="shared" si="114"/>
        <v>0</v>
      </c>
      <c r="N686">
        <f t="shared" si="115"/>
        <v>0</v>
      </c>
      <c r="O686">
        <f t="shared" si="116"/>
        <v>0</v>
      </c>
      <c r="P686" t="str">
        <f t="shared" si="117"/>
        <v/>
      </c>
      <c r="Q686" t="str">
        <f>IF(B686="","", IFERROR(VLOOKUP(B686, '基準資産配分（設定）'!$A$2:$C$2001, 3, FALSE), ""))</f>
        <v/>
      </c>
      <c r="R686" t="str">
        <f>IF(B686="","", IFERROR(VLOOKUP(B686, '基準資産配分（設定）'!$A$2:$C$2001, 2, FALSE)/100, 0))</f>
        <v/>
      </c>
      <c r="S686" t="str">
        <f>IF(B686="","", IFERROR(SUMIFS(ベンチマークリターン!$C$2:$C$2001, ベンチマークリターン!$A$2:$A$2001, A686, ベンチマークリターン!$B$2:$B$2001, Q686) / 100, 0))</f>
        <v/>
      </c>
      <c r="T686" t="str">
        <f>IF(A686="","", SUMIFS($H$2:$H$2000, $A$2:$A$2000, A686))</f>
        <v/>
      </c>
      <c r="U686" t="str">
        <f t="shared" si="118"/>
        <v/>
      </c>
      <c r="V686" t="str">
        <f t="shared" si="119"/>
        <v/>
      </c>
      <c r="W686" t="str">
        <f t="shared" si="120"/>
        <v/>
      </c>
    </row>
    <row r="687" spans="1:23" x14ac:dyDescent="0.2">
      <c r="A687" s="4" t="str">
        <f>IF(ポートフォリオ実績!A688="","", ポートフォリオ実績!A688)</f>
        <v/>
      </c>
      <c r="B687" t="str">
        <f>IF(ポートフォリオ実績!B688="","", ポートフォリオ実績!B688)</f>
        <v/>
      </c>
      <c r="C687" s="10" t="str">
        <f>IF(ポートフォリオ実績!C688="","", ポートフォリオ実績!C688)</f>
        <v/>
      </c>
      <c r="D687" s="10" t="str">
        <f>IF(ポートフォリオ実績!D688="","", ポートフォリオ実績!D688)</f>
        <v/>
      </c>
      <c r="E687" s="10" t="str">
        <f>IF(ポートフォリオ実績!E688="","", ポートフォリオ実績!E688)</f>
        <v/>
      </c>
      <c r="F687" s="10" t="str">
        <f>IF(ポートフォリオ実績!F688="","", ポートフォリオ実績!F688)</f>
        <v/>
      </c>
      <c r="G687" t="str">
        <f t="shared" si="110"/>
        <v/>
      </c>
      <c r="H687">
        <f>IF(B687&lt;&gt;"", SUMIFS(ポートフォリオ実績!$D$2:$D$2001, ポートフォリオ実績!$B$2:$B$2001, B687, ポートフォリオ実績!$A$2:$A$2001, G687), 0)</f>
        <v>0</v>
      </c>
      <c r="I687">
        <f>IF(B687&lt;&gt;"", SUMIFS(ポートフォリオ実績!$C$2:$C$2001, ポートフォリオ実績!$B$2:$B$2001, B687, ポートフォリオ実績!$A$2:$A$2001, G687), 0)</f>
        <v>0</v>
      </c>
      <c r="J687">
        <f t="shared" si="111"/>
        <v>0</v>
      </c>
      <c r="K687">
        <f t="shared" si="112"/>
        <v>0</v>
      </c>
      <c r="L687">
        <f t="shared" si="113"/>
        <v>0</v>
      </c>
      <c r="M687">
        <f t="shared" si="114"/>
        <v>0</v>
      </c>
      <c r="N687">
        <f t="shared" si="115"/>
        <v>0</v>
      </c>
      <c r="O687">
        <f t="shared" si="116"/>
        <v>0</v>
      </c>
      <c r="P687" t="str">
        <f t="shared" si="117"/>
        <v/>
      </c>
      <c r="Q687" t="str">
        <f>IF(B687="","", IFERROR(VLOOKUP(B687, '基準資産配分（設定）'!$A$2:$C$2001, 3, FALSE), ""))</f>
        <v/>
      </c>
      <c r="R687" t="str">
        <f>IF(B687="","", IFERROR(VLOOKUP(B687, '基準資産配分（設定）'!$A$2:$C$2001, 2, FALSE)/100, 0))</f>
        <v/>
      </c>
      <c r="S687" t="str">
        <f>IF(B687="","", IFERROR(SUMIFS(ベンチマークリターン!$C$2:$C$2001, ベンチマークリターン!$A$2:$A$2001, A687, ベンチマークリターン!$B$2:$B$2001, Q687) / 100, 0))</f>
        <v/>
      </c>
      <c r="T687" t="str">
        <f>IF(A687="","", SUMIFS($H$2:$H$2000, $A$2:$A$2000, A687))</f>
        <v/>
      </c>
      <c r="U687" t="str">
        <f t="shared" si="118"/>
        <v/>
      </c>
      <c r="V687" t="str">
        <f t="shared" si="119"/>
        <v/>
      </c>
      <c r="W687" t="str">
        <f t="shared" si="120"/>
        <v/>
      </c>
    </row>
    <row r="688" spans="1:23" x14ac:dyDescent="0.2">
      <c r="A688" s="4" t="str">
        <f>IF(ポートフォリオ実績!A689="","", ポートフォリオ実績!A689)</f>
        <v/>
      </c>
      <c r="B688" t="str">
        <f>IF(ポートフォリオ実績!B689="","", ポートフォリオ実績!B689)</f>
        <v/>
      </c>
      <c r="C688" s="10" t="str">
        <f>IF(ポートフォリオ実績!C689="","", ポートフォリオ実績!C689)</f>
        <v/>
      </c>
      <c r="D688" s="10" t="str">
        <f>IF(ポートフォリオ実績!D689="","", ポートフォリオ実績!D689)</f>
        <v/>
      </c>
      <c r="E688" s="10" t="str">
        <f>IF(ポートフォリオ実績!E689="","", ポートフォリオ実績!E689)</f>
        <v/>
      </c>
      <c r="F688" s="10" t="str">
        <f>IF(ポートフォリオ実績!F689="","", ポートフォリオ実績!F689)</f>
        <v/>
      </c>
      <c r="G688" t="str">
        <f t="shared" si="110"/>
        <v/>
      </c>
      <c r="H688">
        <f>IF(B688&lt;&gt;"", SUMIFS(ポートフォリオ実績!$D$2:$D$2001, ポートフォリオ実績!$B$2:$B$2001, B688, ポートフォリオ実績!$A$2:$A$2001, G688), 0)</f>
        <v>0</v>
      </c>
      <c r="I688">
        <f>IF(B688&lt;&gt;"", SUMIFS(ポートフォリオ実績!$C$2:$C$2001, ポートフォリオ実績!$B$2:$B$2001, B688, ポートフォリオ実績!$A$2:$A$2001, G688), 0)</f>
        <v>0</v>
      </c>
      <c r="J688">
        <f t="shared" si="111"/>
        <v>0</v>
      </c>
      <c r="K688">
        <f t="shared" si="112"/>
        <v>0</v>
      </c>
      <c r="L688">
        <f t="shared" si="113"/>
        <v>0</v>
      </c>
      <c r="M688">
        <f t="shared" si="114"/>
        <v>0</v>
      </c>
      <c r="N688">
        <f t="shared" si="115"/>
        <v>0</v>
      </c>
      <c r="O688">
        <f t="shared" si="116"/>
        <v>0</v>
      </c>
      <c r="P688" t="str">
        <f t="shared" si="117"/>
        <v/>
      </c>
      <c r="Q688" t="str">
        <f>IF(B688="","", IFERROR(VLOOKUP(B688, '基準資産配分（設定）'!$A$2:$C$2001, 3, FALSE), ""))</f>
        <v/>
      </c>
      <c r="R688" t="str">
        <f>IF(B688="","", IFERROR(VLOOKUP(B688, '基準資産配分（設定）'!$A$2:$C$2001, 2, FALSE)/100, 0))</f>
        <v/>
      </c>
      <c r="S688" t="str">
        <f>IF(B688="","", IFERROR(SUMIFS(ベンチマークリターン!$C$2:$C$2001, ベンチマークリターン!$A$2:$A$2001, A688, ベンチマークリターン!$B$2:$B$2001, Q688) / 100, 0))</f>
        <v/>
      </c>
      <c r="T688" t="str">
        <f>IF(A688="","", SUMIFS($H$2:$H$2000, $A$2:$A$2000, A688))</f>
        <v/>
      </c>
      <c r="U688" t="str">
        <f t="shared" si="118"/>
        <v/>
      </c>
      <c r="V688" t="str">
        <f t="shared" si="119"/>
        <v/>
      </c>
      <c r="W688" t="str">
        <f t="shared" si="120"/>
        <v/>
      </c>
    </row>
    <row r="689" spans="1:23" x14ac:dyDescent="0.2">
      <c r="A689" s="4" t="str">
        <f>IF(ポートフォリオ実績!A690="","", ポートフォリオ実績!A690)</f>
        <v/>
      </c>
      <c r="B689" t="str">
        <f>IF(ポートフォリオ実績!B690="","", ポートフォリオ実績!B690)</f>
        <v/>
      </c>
      <c r="C689" s="10" t="str">
        <f>IF(ポートフォリオ実績!C690="","", ポートフォリオ実績!C690)</f>
        <v/>
      </c>
      <c r="D689" s="10" t="str">
        <f>IF(ポートフォリオ実績!D690="","", ポートフォリオ実績!D690)</f>
        <v/>
      </c>
      <c r="E689" s="10" t="str">
        <f>IF(ポートフォリオ実績!E690="","", ポートフォリオ実績!E690)</f>
        <v/>
      </c>
      <c r="F689" s="10" t="str">
        <f>IF(ポートフォリオ実績!F690="","", ポートフォリオ実績!F690)</f>
        <v/>
      </c>
      <c r="G689" t="str">
        <f t="shared" si="110"/>
        <v/>
      </c>
      <c r="H689">
        <f>IF(B689&lt;&gt;"", SUMIFS(ポートフォリオ実績!$D$2:$D$2001, ポートフォリオ実績!$B$2:$B$2001, B689, ポートフォリオ実績!$A$2:$A$2001, G689), 0)</f>
        <v>0</v>
      </c>
      <c r="I689">
        <f>IF(B689&lt;&gt;"", SUMIFS(ポートフォリオ実績!$C$2:$C$2001, ポートフォリオ実績!$B$2:$B$2001, B689, ポートフォリオ実績!$A$2:$A$2001, G689), 0)</f>
        <v>0</v>
      </c>
      <c r="J689">
        <f t="shared" si="111"/>
        <v>0</v>
      </c>
      <c r="K689">
        <f t="shared" si="112"/>
        <v>0</v>
      </c>
      <c r="L689">
        <f t="shared" si="113"/>
        <v>0</v>
      </c>
      <c r="M689">
        <f t="shared" si="114"/>
        <v>0</v>
      </c>
      <c r="N689">
        <f t="shared" si="115"/>
        <v>0</v>
      </c>
      <c r="O689">
        <f t="shared" si="116"/>
        <v>0</v>
      </c>
      <c r="P689" t="str">
        <f t="shared" si="117"/>
        <v/>
      </c>
      <c r="Q689" t="str">
        <f>IF(B689="","", IFERROR(VLOOKUP(B689, '基準資産配分（設定）'!$A$2:$C$2001, 3, FALSE), ""))</f>
        <v/>
      </c>
      <c r="R689" t="str">
        <f>IF(B689="","", IFERROR(VLOOKUP(B689, '基準資産配分（設定）'!$A$2:$C$2001, 2, FALSE)/100, 0))</f>
        <v/>
      </c>
      <c r="S689" t="str">
        <f>IF(B689="","", IFERROR(SUMIFS(ベンチマークリターン!$C$2:$C$2001, ベンチマークリターン!$A$2:$A$2001, A689, ベンチマークリターン!$B$2:$B$2001, Q689) / 100, 0))</f>
        <v/>
      </c>
      <c r="T689" t="str">
        <f>IF(A689="","", SUMIFS($H$2:$H$2000, $A$2:$A$2000, A689))</f>
        <v/>
      </c>
      <c r="U689" t="str">
        <f t="shared" si="118"/>
        <v/>
      </c>
      <c r="V689" t="str">
        <f t="shared" si="119"/>
        <v/>
      </c>
      <c r="W689" t="str">
        <f t="shared" si="120"/>
        <v/>
      </c>
    </row>
    <row r="690" spans="1:23" x14ac:dyDescent="0.2">
      <c r="A690" s="4" t="str">
        <f>IF(ポートフォリオ実績!A691="","", ポートフォリオ実績!A691)</f>
        <v/>
      </c>
      <c r="B690" t="str">
        <f>IF(ポートフォリオ実績!B691="","", ポートフォリオ実績!B691)</f>
        <v/>
      </c>
      <c r="C690" s="10" t="str">
        <f>IF(ポートフォリオ実績!C691="","", ポートフォリオ実績!C691)</f>
        <v/>
      </c>
      <c r="D690" s="10" t="str">
        <f>IF(ポートフォリオ実績!D691="","", ポートフォリオ実績!D691)</f>
        <v/>
      </c>
      <c r="E690" s="10" t="str">
        <f>IF(ポートフォリオ実績!E691="","", ポートフォリオ実績!E691)</f>
        <v/>
      </c>
      <c r="F690" s="10" t="str">
        <f>IF(ポートフォリオ実績!F691="","", ポートフォリオ実績!F691)</f>
        <v/>
      </c>
      <c r="G690" t="str">
        <f t="shared" si="110"/>
        <v/>
      </c>
      <c r="H690">
        <f>IF(B690&lt;&gt;"", SUMIFS(ポートフォリオ実績!$D$2:$D$2001, ポートフォリオ実績!$B$2:$B$2001, B690, ポートフォリオ実績!$A$2:$A$2001, G690), 0)</f>
        <v>0</v>
      </c>
      <c r="I690">
        <f>IF(B690&lt;&gt;"", SUMIFS(ポートフォリオ実績!$C$2:$C$2001, ポートフォリオ実績!$B$2:$B$2001, B690, ポートフォリオ実績!$A$2:$A$2001, G690), 0)</f>
        <v>0</v>
      </c>
      <c r="J690">
        <f t="shared" si="111"/>
        <v>0</v>
      </c>
      <c r="K690">
        <f t="shared" si="112"/>
        <v>0</v>
      </c>
      <c r="L690">
        <f t="shared" si="113"/>
        <v>0</v>
      </c>
      <c r="M690">
        <f t="shared" si="114"/>
        <v>0</v>
      </c>
      <c r="N690">
        <f t="shared" si="115"/>
        <v>0</v>
      </c>
      <c r="O690">
        <f t="shared" si="116"/>
        <v>0</v>
      </c>
      <c r="P690" t="str">
        <f t="shared" si="117"/>
        <v/>
      </c>
      <c r="Q690" t="str">
        <f>IF(B690="","", IFERROR(VLOOKUP(B690, '基準資産配分（設定）'!$A$2:$C$2001, 3, FALSE), ""))</f>
        <v/>
      </c>
      <c r="R690" t="str">
        <f>IF(B690="","", IFERROR(VLOOKUP(B690, '基準資産配分（設定）'!$A$2:$C$2001, 2, FALSE)/100, 0))</f>
        <v/>
      </c>
      <c r="S690" t="str">
        <f>IF(B690="","", IFERROR(SUMIFS(ベンチマークリターン!$C$2:$C$2001, ベンチマークリターン!$A$2:$A$2001, A690, ベンチマークリターン!$B$2:$B$2001, Q690) / 100, 0))</f>
        <v/>
      </c>
      <c r="T690" t="str">
        <f>IF(A690="","", SUMIFS($H$2:$H$2000, $A$2:$A$2000, A690))</f>
        <v/>
      </c>
      <c r="U690" t="str">
        <f t="shared" si="118"/>
        <v/>
      </c>
      <c r="V690" t="str">
        <f t="shared" si="119"/>
        <v/>
      </c>
      <c r="W690" t="str">
        <f t="shared" si="120"/>
        <v/>
      </c>
    </row>
    <row r="691" spans="1:23" x14ac:dyDescent="0.2">
      <c r="A691" s="4" t="str">
        <f>IF(ポートフォリオ実績!A692="","", ポートフォリオ実績!A692)</f>
        <v/>
      </c>
      <c r="B691" t="str">
        <f>IF(ポートフォリオ実績!B692="","", ポートフォリオ実績!B692)</f>
        <v/>
      </c>
      <c r="C691" s="10" t="str">
        <f>IF(ポートフォリオ実績!C692="","", ポートフォリオ実績!C692)</f>
        <v/>
      </c>
      <c r="D691" s="10" t="str">
        <f>IF(ポートフォリオ実績!D692="","", ポートフォリオ実績!D692)</f>
        <v/>
      </c>
      <c r="E691" s="10" t="str">
        <f>IF(ポートフォリオ実績!E692="","", ポートフォリオ実績!E692)</f>
        <v/>
      </c>
      <c r="F691" s="10" t="str">
        <f>IF(ポートフォリオ実績!F692="","", ポートフォリオ実績!F692)</f>
        <v/>
      </c>
      <c r="G691" t="str">
        <f t="shared" si="110"/>
        <v/>
      </c>
      <c r="H691">
        <f>IF(B691&lt;&gt;"", SUMIFS(ポートフォリオ実績!$D$2:$D$2001, ポートフォリオ実績!$B$2:$B$2001, B691, ポートフォリオ実績!$A$2:$A$2001, G691), 0)</f>
        <v>0</v>
      </c>
      <c r="I691">
        <f>IF(B691&lt;&gt;"", SUMIFS(ポートフォリオ実績!$C$2:$C$2001, ポートフォリオ実績!$B$2:$B$2001, B691, ポートフォリオ実績!$A$2:$A$2001, G691), 0)</f>
        <v>0</v>
      </c>
      <c r="J691">
        <f t="shared" si="111"/>
        <v>0</v>
      </c>
      <c r="K691">
        <f t="shared" si="112"/>
        <v>0</v>
      </c>
      <c r="L691">
        <f t="shared" si="113"/>
        <v>0</v>
      </c>
      <c r="M691">
        <f t="shared" si="114"/>
        <v>0</v>
      </c>
      <c r="N691">
        <f t="shared" si="115"/>
        <v>0</v>
      </c>
      <c r="O691">
        <f t="shared" si="116"/>
        <v>0</v>
      </c>
      <c r="P691" t="str">
        <f t="shared" si="117"/>
        <v/>
      </c>
      <c r="Q691" t="str">
        <f>IF(B691="","", IFERROR(VLOOKUP(B691, '基準資産配分（設定）'!$A$2:$C$2001, 3, FALSE), ""))</f>
        <v/>
      </c>
      <c r="R691" t="str">
        <f>IF(B691="","", IFERROR(VLOOKUP(B691, '基準資産配分（設定）'!$A$2:$C$2001, 2, FALSE)/100, 0))</f>
        <v/>
      </c>
      <c r="S691" t="str">
        <f>IF(B691="","", IFERROR(SUMIFS(ベンチマークリターン!$C$2:$C$2001, ベンチマークリターン!$A$2:$A$2001, A691, ベンチマークリターン!$B$2:$B$2001, Q691) / 100, 0))</f>
        <v/>
      </c>
      <c r="T691" t="str">
        <f>IF(A691="","", SUMIFS($H$2:$H$2000, $A$2:$A$2000, A691))</f>
        <v/>
      </c>
      <c r="U691" t="str">
        <f t="shared" si="118"/>
        <v/>
      </c>
      <c r="V691" t="str">
        <f t="shared" si="119"/>
        <v/>
      </c>
      <c r="W691" t="str">
        <f t="shared" si="120"/>
        <v/>
      </c>
    </row>
    <row r="692" spans="1:23" x14ac:dyDescent="0.2">
      <c r="A692" s="4" t="str">
        <f>IF(ポートフォリオ実績!A693="","", ポートフォリオ実績!A693)</f>
        <v/>
      </c>
      <c r="B692" t="str">
        <f>IF(ポートフォリオ実績!B693="","", ポートフォリオ実績!B693)</f>
        <v/>
      </c>
      <c r="C692" s="10" t="str">
        <f>IF(ポートフォリオ実績!C693="","", ポートフォリオ実績!C693)</f>
        <v/>
      </c>
      <c r="D692" s="10" t="str">
        <f>IF(ポートフォリオ実績!D693="","", ポートフォリオ実績!D693)</f>
        <v/>
      </c>
      <c r="E692" s="10" t="str">
        <f>IF(ポートフォリオ実績!E693="","", ポートフォリオ実績!E693)</f>
        <v/>
      </c>
      <c r="F692" s="10" t="str">
        <f>IF(ポートフォリオ実績!F693="","", ポートフォリオ実績!F693)</f>
        <v/>
      </c>
      <c r="G692" t="str">
        <f t="shared" si="110"/>
        <v/>
      </c>
      <c r="H692">
        <f>IF(B692&lt;&gt;"", SUMIFS(ポートフォリオ実績!$D$2:$D$2001, ポートフォリオ実績!$B$2:$B$2001, B692, ポートフォリオ実績!$A$2:$A$2001, G692), 0)</f>
        <v>0</v>
      </c>
      <c r="I692">
        <f>IF(B692&lt;&gt;"", SUMIFS(ポートフォリオ実績!$C$2:$C$2001, ポートフォリオ実績!$B$2:$B$2001, B692, ポートフォリオ実績!$A$2:$A$2001, G692), 0)</f>
        <v>0</v>
      </c>
      <c r="J692">
        <f t="shared" si="111"/>
        <v>0</v>
      </c>
      <c r="K692">
        <f t="shared" si="112"/>
        <v>0</v>
      </c>
      <c r="L692">
        <f t="shared" si="113"/>
        <v>0</v>
      </c>
      <c r="M692">
        <f t="shared" si="114"/>
        <v>0</v>
      </c>
      <c r="N692">
        <f t="shared" si="115"/>
        <v>0</v>
      </c>
      <c r="O692">
        <f t="shared" si="116"/>
        <v>0</v>
      </c>
      <c r="P692" t="str">
        <f t="shared" si="117"/>
        <v/>
      </c>
      <c r="Q692" t="str">
        <f>IF(B692="","", IFERROR(VLOOKUP(B692, '基準資産配分（設定）'!$A$2:$C$2001, 3, FALSE), ""))</f>
        <v/>
      </c>
      <c r="R692" t="str">
        <f>IF(B692="","", IFERROR(VLOOKUP(B692, '基準資産配分（設定）'!$A$2:$C$2001, 2, FALSE)/100, 0))</f>
        <v/>
      </c>
      <c r="S692" t="str">
        <f>IF(B692="","", IFERROR(SUMIFS(ベンチマークリターン!$C$2:$C$2001, ベンチマークリターン!$A$2:$A$2001, A692, ベンチマークリターン!$B$2:$B$2001, Q692) / 100, 0))</f>
        <v/>
      </c>
      <c r="T692" t="str">
        <f>IF(A692="","", SUMIFS($H$2:$H$2000, $A$2:$A$2000, A692))</f>
        <v/>
      </c>
      <c r="U692" t="str">
        <f t="shared" si="118"/>
        <v/>
      </c>
      <c r="V692" t="str">
        <f t="shared" si="119"/>
        <v/>
      </c>
      <c r="W692" t="str">
        <f t="shared" si="120"/>
        <v/>
      </c>
    </row>
    <row r="693" spans="1:23" x14ac:dyDescent="0.2">
      <c r="A693" s="4" t="str">
        <f>IF(ポートフォリオ実績!A694="","", ポートフォリオ実績!A694)</f>
        <v/>
      </c>
      <c r="B693" t="str">
        <f>IF(ポートフォリオ実績!B694="","", ポートフォリオ実績!B694)</f>
        <v/>
      </c>
      <c r="C693" s="10" t="str">
        <f>IF(ポートフォリオ実績!C694="","", ポートフォリオ実績!C694)</f>
        <v/>
      </c>
      <c r="D693" s="10" t="str">
        <f>IF(ポートフォリオ実績!D694="","", ポートフォリオ実績!D694)</f>
        <v/>
      </c>
      <c r="E693" s="10" t="str">
        <f>IF(ポートフォリオ実績!E694="","", ポートフォリオ実績!E694)</f>
        <v/>
      </c>
      <c r="F693" s="10" t="str">
        <f>IF(ポートフォリオ実績!F694="","", ポートフォリオ実績!F694)</f>
        <v/>
      </c>
      <c r="G693" t="str">
        <f t="shared" si="110"/>
        <v/>
      </c>
      <c r="H693">
        <f>IF(B693&lt;&gt;"", SUMIFS(ポートフォリオ実績!$D$2:$D$2001, ポートフォリオ実績!$B$2:$B$2001, B693, ポートフォリオ実績!$A$2:$A$2001, G693), 0)</f>
        <v>0</v>
      </c>
      <c r="I693">
        <f>IF(B693&lt;&gt;"", SUMIFS(ポートフォリオ実績!$C$2:$C$2001, ポートフォリオ実績!$B$2:$B$2001, B693, ポートフォリオ実績!$A$2:$A$2001, G693), 0)</f>
        <v>0</v>
      </c>
      <c r="J693">
        <f t="shared" si="111"/>
        <v>0</v>
      </c>
      <c r="K693">
        <f t="shared" si="112"/>
        <v>0</v>
      </c>
      <c r="L693">
        <f t="shared" si="113"/>
        <v>0</v>
      </c>
      <c r="M693">
        <f t="shared" si="114"/>
        <v>0</v>
      </c>
      <c r="N693">
        <f t="shared" si="115"/>
        <v>0</v>
      </c>
      <c r="O693">
        <f t="shared" si="116"/>
        <v>0</v>
      </c>
      <c r="P693" t="str">
        <f t="shared" si="117"/>
        <v/>
      </c>
      <c r="Q693" t="str">
        <f>IF(B693="","", IFERROR(VLOOKUP(B693, '基準資産配分（設定）'!$A$2:$C$2001, 3, FALSE), ""))</f>
        <v/>
      </c>
      <c r="R693" t="str">
        <f>IF(B693="","", IFERROR(VLOOKUP(B693, '基準資産配分（設定）'!$A$2:$C$2001, 2, FALSE)/100, 0))</f>
        <v/>
      </c>
      <c r="S693" t="str">
        <f>IF(B693="","", IFERROR(SUMIFS(ベンチマークリターン!$C$2:$C$2001, ベンチマークリターン!$A$2:$A$2001, A693, ベンチマークリターン!$B$2:$B$2001, Q693) / 100, 0))</f>
        <v/>
      </c>
      <c r="T693" t="str">
        <f>IF(A693="","", SUMIFS($H$2:$H$2000, $A$2:$A$2000, A693))</f>
        <v/>
      </c>
      <c r="U693" t="str">
        <f t="shared" si="118"/>
        <v/>
      </c>
      <c r="V693" t="str">
        <f t="shared" si="119"/>
        <v/>
      </c>
      <c r="W693" t="str">
        <f t="shared" si="120"/>
        <v/>
      </c>
    </row>
    <row r="694" spans="1:23" x14ac:dyDescent="0.2">
      <c r="A694" s="4" t="str">
        <f>IF(ポートフォリオ実績!A695="","", ポートフォリオ実績!A695)</f>
        <v/>
      </c>
      <c r="B694" t="str">
        <f>IF(ポートフォリオ実績!B695="","", ポートフォリオ実績!B695)</f>
        <v/>
      </c>
      <c r="C694" s="10" t="str">
        <f>IF(ポートフォリオ実績!C695="","", ポートフォリオ実績!C695)</f>
        <v/>
      </c>
      <c r="D694" s="10" t="str">
        <f>IF(ポートフォリオ実績!D695="","", ポートフォリオ実績!D695)</f>
        <v/>
      </c>
      <c r="E694" s="10" t="str">
        <f>IF(ポートフォリオ実績!E695="","", ポートフォリオ実績!E695)</f>
        <v/>
      </c>
      <c r="F694" s="10" t="str">
        <f>IF(ポートフォリオ実績!F695="","", ポートフォリオ実績!F695)</f>
        <v/>
      </c>
      <c r="G694" t="str">
        <f t="shared" si="110"/>
        <v/>
      </c>
      <c r="H694">
        <f>IF(B694&lt;&gt;"", SUMIFS(ポートフォリオ実績!$D$2:$D$2001, ポートフォリオ実績!$B$2:$B$2001, B694, ポートフォリオ実績!$A$2:$A$2001, G694), 0)</f>
        <v>0</v>
      </c>
      <c r="I694">
        <f>IF(B694&lt;&gt;"", SUMIFS(ポートフォリオ実績!$C$2:$C$2001, ポートフォリオ実績!$B$2:$B$2001, B694, ポートフォリオ実績!$A$2:$A$2001, G694), 0)</f>
        <v>0</v>
      </c>
      <c r="J694">
        <f t="shared" si="111"/>
        <v>0</v>
      </c>
      <c r="K694">
        <f t="shared" si="112"/>
        <v>0</v>
      </c>
      <c r="L694">
        <f t="shared" si="113"/>
        <v>0</v>
      </c>
      <c r="M694">
        <f t="shared" si="114"/>
        <v>0</v>
      </c>
      <c r="N694">
        <f t="shared" si="115"/>
        <v>0</v>
      </c>
      <c r="O694">
        <f t="shared" si="116"/>
        <v>0</v>
      </c>
      <c r="P694" t="str">
        <f t="shared" si="117"/>
        <v/>
      </c>
      <c r="Q694" t="str">
        <f>IF(B694="","", IFERROR(VLOOKUP(B694, '基準資産配分（設定）'!$A$2:$C$2001, 3, FALSE), ""))</f>
        <v/>
      </c>
      <c r="R694" t="str">
        <f>IF(B694="","", IFERROR(VLOOKUP(B694, '基準資産配分（設定）'!$A$2:$C$2001, 2, FALSE)/100, 0))</f>
        <v/>
      </c>
      <c r="S694" t="str">
        <f>IF(B694="","", IFERROR(SUMIFS(ベンチマークリターン!$C$2:$C$2001, ベンチマークリターン!$A$2:$A$2001, A694, ベンチマークリターン!$B$2:$B$2001, Q694) / 100, 0))</f>
        <v/>
      </c>
      <c r="T694" t="str">
        <f>IF(A694="","", SUMIFS($H$2:$H$2000, $A$2:$A$2000, A694))</f>
        <v/>
      </c>
      <c r="U694" t="str">
        <f t="shared" si="118"/>
        <v/>
      </c>
      <c r="V694" t="str">
        <f t="shared" si="119"/>
        <v/>
      </c>
      <c r="W694" t="str">
        <f t="shared" si="120"/>
        <v/>
      </c>
    </row>
    <row r="695" spans="1:23" x14ac:dyDescent="0.2">
      <c r="A695" s="4" t="str">
        <f>IF(ポートフォリオ実績!A696="","", ポートフォリオ実績!A696)</f>
        <v/>
      </c>
      <c r="B695" t="str">
        <f>IF(ポートフォリオ実績!B696="","", ポートフォリオ実績!B696)</f>
        <v/>
      </c>
      <c r="C695" s="10" t="str">
        <f>IF(ポートフォリオ実績!C696="","", ポートフォリオ実績!C696)</f>
        <v/>
      </c>
      <c r="D695" s="10" t="str">
        <f>IF(ポートフォリオ実績!D696="","", ポートフォリオ実績!D696)</f>
        <v/>
      </c>
      <c r="E695" s="10" t="str">
        <f>IF(ポートフォリオ実績!E696="","", ポートフォリオ実績!E696)</f>
        <v/>
      </c>
      <c r="F695" s="10" t="str">
        <f>IF(ポートフォリオ実績!F696="","", ポートフォリオ実績!F696)</f>
        <v/>
      </c>
      <c r="G695" t="str">
        <f t="shared" si="110"/>
        <v/>
      </c>
      <c r="H695">
        <f>IF(B695&lt;&gt;"", SUMIFS(ポートフォリオ実績!$D$2:$D$2001, ポートフォリオ実績!$B$2:$B$2001, B695, ポートフォリオ実績!$A$2:$A$2001, G695), 0)</f>
        <v>0</v>
      </c>
      <c r="I695">
        <f>IF(B695&lt;&gt;"", SUMIFS(ポートフォリオ実績!$C$2:$C$2001, ポートフォリオ実績!$B$2:$B$2001, B695, ポートフォリオ実績!$A$2:$A$2001, G695), 0)</f>
        <v>0</v>
      </c>
      <c r="J695">
        <f t="shared" si="111"/>
        <v>0</v>
      </c>
      <c r="K695">
        <f t="shared" si="112"/>
        <v>0</v>
      </c>
      <c r="L695">
        <f t="shared" si="113"/>
        <v>0</v>
      </c>
      <c r="M695">
        <f t="shared" si="114"/>
        <v>0</v>
      </c>
      <c r="N695">
        <f t="shared" si="115"/>
        <v>0</v>
      </c>
      <c r="O695">
        <f t="shared" si="116"/>
        <v>0</v>
      </c>
      <c r="P695" t="str">
        <f t="shared" si="117"/>
        <v/>
      </c>
      <c r="Q695" t="str">
        <f>IF(B695="","", IFERROR(VLOOKUP(B695, '基準資産配分（設定）'!$A$2:$C$2001, 3, FALSE), ""))</f>
        <v/>
      </c>
      <c r="R695" t="str">
        <f>IF(B695="","", IFERROR(VLOOKUP(B695, '基準資産配分（設定）'!$A$2:$C$2001, 2, FALSE)/100, 0))</f>
        <v/>
      </c>
      <c r="S695" t="str">
        <f>IF(B695="","", IFERROR(SUMIFS(ベンチマークリターン!$C$2:$C$2001, ベンチマークリターン!$A$2:$A$2001, A695, ベンチマークリターン!$B$2:$B$2001, Q695) / 100, 0))</f>
        <v/>
      </c>
      <c r="T695" t="str">
        <f>IF(A695="","", SUMIFS($H$2:$H$2000, $A$2:$A$2000, A695))</f>
        <v/>
      </c>
      <c r="U695" t="str">
        <f t="shared" si="118"/>
        <v/>
      </c>
      <c r="V695" t="str">
        <f t="shared" si="119"/>
        <v/>
      </c>
      <c r="W695" t="str">
        <f t="shared" si="120"/>
        <v/>
      </c>
    </row>
    <row r="696" spans="1:23" x14ac:dyDescent="0.2">
      <c r="A696" s="4" t="str">
        <f>IF(ポートフォリオ実績!A697="","", ポートフォリオ実績!A697)</f>
        <v/>
      </c>
      <c r="B696" t="str">
        <f>IF(ポートフォリオ実績!B697="","", ポートフォリオ実績!B697)</f>
        <v/>
      </c>
      <c r="C696" s="10" t="str">
        <f>IF(ポートフォリオ実績!C697="","", ポートフォリオ実績!C697)</f>
        <v/>
      </c>
      <c r="D696" s="10" t="str">
        <f>IF(ポートフォリオ実績!D697="","", ポートフォリオ実績!D697)</f>
        <v/>
      </c>
      <c r="E696" s="10" t="str">
        <f>IF(ポートフォリオ実績!E697="","", ポートフォリオ実績!E697)</f>
        <v/>
      </c>
      <c r="F696" s="10" t="str">
        <f>IF(ポートフォリオ実績!F697="","", ポートフォリオ実績!F697)</f>
        <v/>
      </c>
      <c r="G696" t="str">
        <f t="shared" si="110"/>
        <v/>
      </c>
      <c r="H696">
        <f>IF(B696&lt;&gt;"", SUMIFS(ポートフォリオ実績!$D$2:$D$2001, ポートフォリオ実績!$B$2:$B$2001, B696, ポートフォリオ実績!$A$2:$A$2001, G696), 0)</f>
        <v>0</v>
      </c>
      <c r="I696">
        <f>IF(B696&lt;&gt;"", SUMIFS(ポートフォリオ実績!$C$2:$C$2001, ポートフォリオ実績!$B$2:$B$2001, B696, ポートフォリオ実績!$A$2:$A$2001, G696), 0)</f>
        <v>0</v>
      </c>
      <c r="J696">
        <f t="shared" si="111"/>
        <v>0</v>
      </c>
      <c r="K696">
        <f t="shared" si="112"/>
        <v>0</v>
      </c>
      <c r="L696">
        <f t="shared" si="113"/>
        <v>0</v>
      </c>
      <c r="M696">
        <f t="shared" si="114"/>
        <v>0</v>
      </c>
      <c r="N696">
        <f t="shared" si="115"/>
        <v>0</v>
      </c>
      <c r="O696">
        <f t="shared" si="116"/>
        <v>0</v>
      </c>
      <c r="P696" t="str">
        <f t="shared" si="117"/>
        <v/>
      </c>
      <c r="Q696" t="str">
        <f>IF(B696="","", IFERROR(VLOOKUP(B696, '基準資産配分（設定）'!$A$2:$C$2001, 3, FALSE), ""))</f>
        <v/>
      </c>
      <c r="R696" t="str">
        <f>IF(B696="","", IFERROR(VLOOKUP(B696, '基準資産配分（設定）'!$A$2:$C$2001, 2, FALSE)/100, 0))</f>
        <v/>
      </c>
      <c r="S696" t="str">
        <f>IF(B696="","", IFERROR(SUMIFS(ベンチマークリターン!$C$2:$C$2001, ベンチマークリターン!$A$2:$A$2001, A696, ベンチマークリターン!$B$2:$B$2001, Q696) / 100, 0))</f>
        <v/>
      </c>
      <c r="T696" t="str">
        <f>IF(A696="","", SUMIFS($H$2:$H$2000, $A$2:$A$2000, A696))</f>
        <v/>
      </c>
      <c r="U696" t="str">
        <f t="shared" si="118"/>
        <v/>
      </c>
      <c r="V696" t="str">
        <f t="shared" si="119"/>
        <v/>
      </c>
      <c r="W696" t="str">
        <f t="shared" si="120"/>
        <v/>
      </c>
    </row>
    <row r="697" spans="1:23" x14ac:dyDescent="0.2">
      <c r="A697" s="4" t="str">
        <f>IF(ポートフォリオ実績!A698="","", ポートフォリオ実績!A698)</f>
        <v/>
      </c>
      <c r="B697" t="str">
        <f>IF(ポートフォリオ実績!B698="","", ポートフォリオ実績!B698)</f>
        <v/>
      </c>
      <c r="C697" s="10" t="str">
        <f>IF(ポートフォリオ実績!C698="","", ポートフォリオ実績!C698)</f>
        <v/>
      </c>
      <c r="D697" s="10" t="str">
        <f>IF(ポートフォリオ実績!D698="","", ポートフォリオ実績!D698)</f>
        <v/>
      </c>
      <c r="E697" s="10" t="str">
        <f>IF(ポートフォリオ実績!E698="","", ポートフォリオ実績!E698)</f>
        <v/>
      </c>
      <c r="F697" s="10" t="str">
        <f>IF(ポートフォリオ実績!F698="","", ポートフォリオ実績!F698)</f>
        <v/>
      </c>
      <c r="G697" t="str">
        <f t="shared" si="110"/>
        <v/>
      </c>
      <c r="H697">
        <f>IF(B697&lt;&gt;"", SUMIFS(ポートフォリオ実績!$D$2:$D$2001, ポートフォリオ実績!$B$2:$B$2001, B697, ポートフォリオ実績!$A$2:$A$2001, G697), 0)</f>
        <v>0</v>
      </c>
      <c r="I697">
        <f>IF(B697&lt;&gt;"", SUMIFS(ポートフォリオ実績!$C$2:$C$2001, ポートフォリオ実績!$B$2:$B$2001, B697, ポートフォリオ実績!$A$2:$A$2001, G697), 0)</f>
        <v>0</v>
      </c>
      <c r="J697">
        <f t="shared" si="111"/>
        <v>0</v>
      </c>
      <c r="K697">
        <f t="shared" si="112"/>
        <v>0</v>
      </c>
      <c r="L697">
        <f t="shared" si="113"/>
        <v>0</v>
      </c>
      <c r="M697">
        <f t="shared" si="114"/>
        <v>0</v>
      </c>
      <c r="N697">
        <f t="shared" si="115"/>
        <v>0</v>
      </c>
      <c r="O697">
        <f t="shared" si="116"/>
        <v>0</v>
      </c>
      <c r="P697" t="str">
        <f t="shared" si="117"/>
        <v/>
      </c>
      <c r="Q697" t="str">
        <f>IF(B697="","", IFERROR(VLOOKUP(B697, '基準資産配分（設定）'!$A$2:$C$2001, 3, FALSE), ""))</f>
        <v/>
      </c>
      <c r="R697" t="str">
        <f>IF(B697="","", IFERROR(VLOOKUP(B697, '基準資産配分（設定）'!$A$2:$C$2001, 2, FALSE)/100, 0))</f>
        <v/>
      </c>
      <c r="S697" t="str">
        <f>IF(B697="","", IFERROR(SUMIFS(ベンチマークリターン!$C$2:$C$2001, ベンチマークリターン!$A$2:$A$2001, A697, ベンチマークリターン!$B$2:$B$2001, Q697) / 100, 0))</f>
        <v/>
      </c>
      <c r="T697" t="str">
        <f>IF(A697="","", SUMIFS($H$2:$H$2000, $A$2:$A$2000, A697))</f>
        <v/>
      </c>
      <c r="U697" t="str">
        <f t="shared" si="118"/>
        <v/>
      </c>
      <c r="V697" t="str">
        <f t="shared" si="119"/>
        <v/>
      </c>
      <c r="W697" t="str">
        <f t="shared" si="120"/>
        <v/>
      </c>
    </row>
    <row r="698" spans="1:23" x14ac:dyDescent="0.2">
      <c r="A698" s="4" t="str">
        <f>IF(ポートフォリオ実績!A699="","", ポートフォリオ実績!A699)</f>
        <v/>
      </c>
      <c r="B698" t="str">
        <f>IF(ポートフォリオ実績!B699="","", ポートフォリオ実績!B699)</f>
        <v/>
      </c>
      <c r="C698" s="10" t="str">
        <f>IF(ポートフォリオ実績!C699="","", ポートフォリオ実績!C699)</f>
        <v/>
      </c>
      <c r="D698" s="10" t="str">
        <f>IF(ポートフォリオ実績!D699="","", ポートフォリオ実績!D699)</f>
        <v/>
      </c>
      <c r="E698" s="10" t="str">
        <f>IF(ポートフォリオ実績!E699="","", ポートフォリオ実績!E699)</f>
        <v/>
      </c>
      <c r="F698" s="10" t="str">
        <f>IF(ポートフォリオ実績!F699="","", ポートフォリオ実績!F699)</f>
        <v/>
      </c>
      <c r="G698" t="str">
        <f t="shared" si="110"/>
        <v/>
      </c>
      <c r="H698">
        <f>IF(B698&lt;&gt;"", SUMIFS(ポートフォリオ実績!$D$2:$D$2001, ポートフォリオ実績!$B$2:$B$2001, B698, ポートフォリオ実績!$A$2:$A$2001, G698), 0)</f>
        <v>0</v>
      </c>
      <c r="I698">
        <f>IF(B698&lt;&gt;"", SUMIFS(ポートフォリオ実績!$C$2:$C$2001, ポートフォリオ実績!$B$2:$B$2001, B698, ポートフォリオ実績!$A$2:$A$2001, G698), 0)</f>
        <v>0</v>
      </c>
      <c r="J698">
        <f t="shared" si="111"/>
        <v>0</v>
      </c>
      <c r="K698">
        <f t="shared" si="112"/>
        <v>0</v>
      </c>
      <c r="L698">
        <f t="shared" si="113"/>
        <v>0</v>
      </c>
      <c r="M698">
        <f t="shared" si="114"/>
        <v>0</v>
      </c>
      <c r="N698">
        <f t="shared" si="115"/>
        <v>0</v>
      </c>
      <c r="O698">
        <f t="shared" si="116"/>
        <v>0</v>
      </c>
      <c r="P698" t="str">
        <f t="shared" si="117"/>
        <v/>
      </c>
      <c r="Q698" t="str">
        <f>IF(B698="","", IFERROR(VLOOKUP(B698, '基準資産配分（設定）'!$A$2:$C$2001, 3, FALSE), ""))</f>
        <v/>
      </c>
      <c r="R698" t="str">
        <f>IF(B698="","", IFERROR(VLOOKUP(B698, '基準資産配分（設定）'!$A$2:$C$2001, 2, FALSE)/100, 0))</f>
        <v/>
      </c>
      <c r="S698" t="str">
        <f>IF(B698="","", IFERROR(SUMIFS(ベンチマークリターン!$C$2:$C$2001, ベンチマークリターン!$A$2:$A$2001, A698, ベンチマークリターン!$B$2:$B$2001, Q698) / 100, 0))</f>
        <v/>
      </c>
      <c r="T698" t="str">
        <f>IF(A698="","", SUMIFS($H$2:$H$2000, $A$2:$A$2000, A698))</f>
        <v/>
      </c>
      <c r="U698" t="str">
        <f t="shared" si="118"/>
        <v/>
      </c>
      <c r="V698" t="str">
        <f t="shared" si="119"/>
        <v/>
      </c>
      <c r="W698" t="str">
        <f t="shared" si="120"/>
        <v/>
      </c>
    </row>
    <row r="699" spans="1:23" x14ac:dyDescent="0.2">
      <c r="A699" s="4" t="str">
        <f>IF(ポートフォリオ実績!A700="","", ポートフォリオ実績!A700)</f>
        <v/>
      </c>
      <c r="B699" t="str">
        <f>IF(ポートフォリオ実績!B700="","", ポートフォリオ実績!B700)</f>
        <v/>
      </c>
      <c r="C699" s="10" t="str">
        <f>IF(ポートフォリオ実績!C700="","", ポートフォリオ実績!C700)</f>
        <v/>
      </c>
      <c r="D699" s="10" t="str">
        <f>IF(ポートフォリオ実績!D700="","", ポートフォリオ実績!D700)</f>
        <v/>
      </c>
      <c r="E699" s="10" t="str">
        <f>IF(ポートフォリオ実績!E700="","", ポートフォリオ実績!E700)</f>
        <v/>
      </c>
      <c r="F699" s="10" t="str">
        <f>IF(ポートフォリオ実績!F700="","", ポートフォリオ実績!F700)</f>
        <v/>
      </c>
      <c r="G699" t="str">
        <f t="shared" si="110"/>
        <v/>
      </c>
      <c r="H699">
        <f>IF(B699&lt;&gt;"", SUMIFS(ポートフォリオ実績!$D$2:$D$2001, ポートフォリオ実績!$B$2:$B$2001, B699, ポートフォリオ実績!$A$2:$A$2001, G699), 0)</f>
        <v>0</v>
      </c>
      <c r="I699">
        <f>IF(B699&lt;&gt;"", SUMIFS(ポートフォリオ実績!$C$2:$C$2001, ポートフォリオ実績!$B$2:$B$2001, B699, ポートフォリオ実績!$A$2:$A$2001, G699), 0)</f>
        <v>0</v>
      </c>
      <c r="J699">
        <f t="shared" si="111"/>
        <v>0</v>
      </c>
      <c r="K699">
        <f t="shared" si="112"/>
        <v>0</v>
      </c>
      <c r="L699">
        <f t="shared" si="113"/>
        <v>0</v>
      </c>
      <c r="M699">
        <f t="shared" si="114"/>
        <v>0</v>
      </c>
      <c r="N699">
        <f t="shared" si="115"/>
        <v>0</v>
      </c>
      <c r="O699">
        <f t="shared" si="116"/>
        <v>0</v>
      </c>
      <c r="P699" t="str">
        <f t="shared" si="117"/>
        <v/>
      </c>
      <c r="Q699" t="str">
        <f>IF(B699="","", IFERROR(VLOOKUP(B699, '基準資産配分（設定）'!$A$2:$C$2001, 3, FALSE), ""))</f>
        <v/>
      </c>
      <c r="R699" t="str">
        <f>IF(B699="","", IFERROR(VLOOKUP(B699, '基準資産配分（設定）'!$A$2:$C$2001, 2, FALSE)/100, 0))</f>
        <v/>
      </c>
      <c r="S699" t="str">
        <f>IF(B699="","", IFERROR(SUMIFS(ベンチマークリターン!$C$2:$C$2001, ベンチマークリターン!$A$2:$A$2001, A699, ベンチマークリターン!$B$2:$B$2001, Q699) / 100, 0))</f>
        <v/>
      </c>
      <c r="T699" t="str">
        <f>IF(A699="","", SUMIFS($H$2:$H$2000, $A$2:$A$2000, A699))</f>
        <v/>
      </c>
      <c r="U699" t="str">
        <f t="shared" si="118"/>
        <v/>
      </c>
      <c r="V699" t="str">
        <f t="shared" si="119"/>
        <v/>
      </c>
      <c r="W699" t="str">
        <f t="shared" si="120"/>
        <v/>
      </c>
    </row>
    <row r="700" spans="1:23" x14ac:dyDescent="0.2">
      <c r="A700" s="4" t="str">
        <f>IF(ポートフォリオ実績!A701="","", ポートフォリオ実績!A701)</f>
        <v/>
      </c>
      <c r="B700" t="str">
        <f>IF(ポートフォリオ実績!B701="","", ポートフォリオ実績!B701)</f>
        <v/>
      </c>
      <c r="C700" s="10" t="str">
        <f>IF(ポートフォリオ実績!C701="","", ポートフォリオ実績!C701)</f>
        <v/>
      </c>
      <c r="D700" s="10" t="str">
        <f>IF(ポートフォリオ実績!D701="","", ポートフォリオ実績!D701)</f>
        <v/>
      </c>
      <c r="E700" s="10" t="str">
        <f>IF(ポートフォリオ実績!E701="","", ポートフォリオ実績!E701)</f>
        <v/>
      </c>
      <c r="F700" s="10" t="str">
        <f>IF(ポートフォリオ実績!F701="","", ポートフォリオ実績!F701)</f>
        <v/>
      </c>
      <c r="G700" t="str">
        <f t="shared" si="110"/>
        <v/>
      </c>
      <c r="H700">
        <f>IF(B700&lt;&gt;"", SUMIFS(ポートフォリオ実績!$D$2:$D$2001, ポートフォリオ実績!$B$2:$B$2001, B700, ポートフォリオ実績!$A$2:$A$2001, G700), 0)</f>
        <v>0</v>
      </c>
      <c r="I700">
        <f>IF(B700&lt;&gt;"", SUMIFS(ポートフォリオ実績!$C$2:$C$2001, ポートフォリオ実績!$B$2:$B$2001, B700, ポートフォリオ実績!$A$2:$A$2001, G700), 0)</f>
        <v>0</v>
      </c>
      <c r="J700">
        <f t="shared" si="111"/>
        <v>0</v>
      </c>
      <c r="K700">
        <f t="shared" si="112"/>
        <v>0</v>
      </c>
      <c r="L700">
        <f t="shared" si="113"/>
        <v>0</v>
      </c>
      <c r="M700">
        <f t="shared" si="114"/>
        <v>0</v>
      </c>
      <c r="N700">
        <f t="shared" si="115"/>
        <v>0</v>
      </c>
      <c r="O700">
        <f t="shared" si="116"/>
        <v>0</v>
      </c>
      <c r="P700" t="str">
        <f t="shared" si="117"/>
        <v/>
      </c>
      <c r="Q700" t="str">
        <f>IF(B700="","", IFERROR(VLOOKUP(B700, '基準資産配分（設定）'!$A$2:$C$2001, 3, FALSE), ""))</f>
        <v/>
      </c>
      <c r="R700" t="str">
        <f>IF(B700="","", IFERROR(VLOOKUP(B700, '基準資産配分（設定）'!$A$2:$C$2001, 2, FALSE)/100, 0))</f>
        <v/>
      </c>
      <c r="S700" t="str">
        <f>IF(B700="","", IFERROR(SUMIFS(ベンチマークリターン!$C$2:$C$2001, ベンチマークリターン!$A$2:$A$2001, A700, ベンチマークリターン!$B$2:$B$2001, Q700) / 100, 0))</f>
        <v/>
      </c>
      <c r="T700" t="str">
        <f>IF(A700="","", SUMIFS($H$2:$H$2000, $A$2:$A$2000, A700))</f>
        <v/>
      </c>
      <c r="U700" t="str">
        <f t="shared" si="118"/>
        <v/>
      </c>
      <c r="V700" t="str">
        <f t="shared" si="119"/>
        <v/>
      </c>
      <c r="W700" t="str">
        <f t="shared" si="120"/>
        <v/>
      </c>
    </row>
    <row r="701" spans="1:23" x14ac:dyDescent="0.2">
      <c r="A701" s="4" t="str">
        <f>IF(ポートフォリオ実績!A702="","", ポートフォリオ実績!A702)</f>
        <v/>
      </c>
      <c r="B701" t="str">
        <f>IF(ポートフォリオ実績!B702="","", ポートフォリオ実績!B702)</f>
        <v/>
      </c>
      <c r="C701" s="10" t="str">
        <f>IF(ポートフォリオ実績!C702="","", ポートフォリオ実績!C702)</f>
        <v/>
      </c>
      <c r="D701" s="10" t="str">
        <f>IF(ポートフォリオ実績!D702="","", ポートフォリオ実績!D702)</f>
        <v/>
      </c>
      <c r="E701" s="10" t="str">
        <f>IF(ポートフォリオ実績!E702="","", ポートフォリオ実績!E702)</f>
        <v/>
      </c>
      <c r="F701" s="10" t="str">
        <f>IF(ポートフォリオ実績!F702="","", ポートフォリオ実績!F702)</f>
        <v/>
      </c>
      <c r="G701" t="str">
        <f t="shared" si="110"/>
        <v/>
      </c>
      <c r="H701">
        <f>IF(B701&lt;&gt;"", SUMIFS(ポートフォリオ実績!$D$2:$D$2001, ポートフォリオ実績!$B$2:$B$2001, B701, ポートフォリオ実績!$A$2:$A$2001, G701), 0)</f>
        <v>0</v>
      </c>
      <c r="I701">
        <f>IF(B701&lt;&gt;"", SUMIFS(ポートフォリオ実績!$C$2:$C$2001, ポートフォリオ実績!$B$2:$B$2001, B701, ポートフォリオ実績!$A$2:$A$2001, G701), 0)</f>
        <v>0</v>
      </c>
      <c r="J701">
        <f t="shared" si="111"/>
        <v>0</v>
      </c>
      <c r="K701">
        <f t="shared" si="112"/>
        <v>0</v>
      </c>
      <c r="L701">
        <f t="shared" si="113"/>
        <v>0</v>
      </c>
      <c r="M701">
        <f t="shared" si="114"/>
        <v>0</v>
      </c>
      <c r="N701">
        <f t="shared" si="115"/>
        <v>0</v>
      </c>
      <c r="O701">
        <f t="shared" si="116"/>
        <v>0</v>
      </c>
      <c r="P701" t="str">
        <f t="shared" si="117"/>
        <v/>
      </c>
      <c r="Q701" t="str">
        <f>IF(B701="","", IFERROR(VLOOKUP(B701, '基準資産配分（設定）'!$A$2:$C$2001, 3, FALSE), ""))</f>
        <v/>
      </c>
      <c r="R701" t="str">
        <f>IF(B701="","", IFERROR(VLOOKUP(B701, '基準資産配分（設定）'!$A$2:$C$2001, 2, FALSE)/100, 0))</f>
        <v/>
      </c>
      <c r="S701" t="str">
        <f>IF(B701="","", IFERROR(SUMIFS(ベンチマークリターン!$C$2:$C$2001, ベンチマークリターン!$A$2:$A$2001, A701, ベンチマークリターン!$B$2:$B$2001, Q701) / 100, 0))</f>
        <v/>
      </c>
      <c r="T701" t="str">
        <f>IF(A701="","", SUMIFS($H$2:$H$2000, $A$2:$A$2000, A701))</f>
        <v/>
      </c>
      <c r="U701" t="str">
        <f t="shared" si="118"/>
        <v/>
      </c>
      <c r="V701" t="str">
        <f t="shared" si="119"/>
        <v/>
      </c>
      <c r="W701" t="str">
        <f t="shared" si="120"/>
        <v/>
      </c>
    </row>
    <row r="702" spans="1:23" x14ac:dyDescent="0.2">
      <c r="A702" s="4" t="str">
        <f>IF(ポートフォリオ実績!A703="","", ポートフォリオ実績!A703)</f>
        <v/>
      </c>
      <c r="B702" t="str">
        <f>IF(ポートフォリオ実績!B703="","", ポートフォリオ実績!B703)</f>
        <v/>
      </c>
      <c r="C702" s="10" t="str">
        <f>IF(ポートフォリオ実績!C703="","", ポートフォリオ実績!C703)</f>
        <v/>
      </c>
      <c r="D702" s="10" t="str">
        <f>IF(ポートフォリオ実績!D703="","", ポートフォリオ実績!D703)</f>
        <v/>
      </c>
      <c r="E702" s="10" t="str">
        <f>IF(ポートフォリオ実績!E703="","", ポートフォリオ実績!E703)</f>
        <v/>
      </c>
      <c r="F702" s="10" t="str">
        <f>IF(ポートフォリオ実績!F703="","", ポートフォリオ実績!F703)</f>
        <v/>
      </c>
      <c r="G702" t="str">
        <f t="shared" si="110"/>
        <v/>
      </c>
      <c r="H702">
        <f>IF(B702&lt;&gt;"", SUMIFS(ポートフォリオ実績!$D$2:$D$2001, ポートフォリオ実績!$B$2:$B$2001, B702, ポートフォリオ実績!$A$2:$A$2001, G702), 0)</f>
        <v>0</v>
      </c>
      <c r="I702">
        <f>IF(B702&lt;&gt;"", SUMIFS(ポートフォリオ実績!$C$2:$C$2001, ポートフォリオ実績!$B$2:$B$2001, B702, ポートフォリオ実績!$A$2:$A$2001, G702), 0)</f>
        <v>0</v>
      </c>
      <c r="J702">
        <f t="shared" si="111"/>
        <v>0</v>
      </c>
      <c r="K702">
        <f t="shared" si="112"/>
        <v>0</v>
      </c>
      <c r="L702">
        <f t="shared" si="113"/>
        <v>0</v>
      </c>
      <c r="M702">
        <f t="shared" si="114"/>
        <v>0</v>
      </c>
      <c r="N702">
        <f t="shared" si="115"/>
        <v>0</v>
      </c>
      <c r="O702">
        <f t="shared" si="116"/>
        <v>0</v>
      </c>
      <c r="P702" t="str">
        <f t="shared" si="117"/>
        <v/>
      </c>
      <c r="Q702" t="str">
        <f>IF(B702="","", IFERROR(VLOOKUP(B702, '基準資産配分（設定）'!$A$2:$C$2001, 3, FALSE), ""))</f>
        <v/>
      </c>
      <c r="R702" t="str">
        <f>IF(B702="","", IFERROR(VLOOKUP(B702, '基準資産配分（設定）'!$A$2:$C$2001, 2, FALSE)/100, 0))</f>
        <v/>
      </c>
      <c r="S702" t="str">
        <f>IF(B702="","", IFERROR(SUMIFS(ベンチマークリターン!$C$2:$C$2001, ベンチマークリターン!$A$2:$A$2001, A702, ベンチマークリターン!$B$2:$B$2001, Q702) / 100, 0))</f>
        <v/>
      </c>
      <c r="T702" t="str">
        <f>IF(A702="","", SUMIFS($H$2:$H$2000, $A$2:$A$2000, A702))</f>
        <v/>
      </c>
      <c r="U702" t="str">
        <f t="shared" si="118"/>
        <v/>
      </c>
      <c r="V702" t="str">
        <f t="shared" si="119"/>
        <v/>
      </c>
      <c r="W702" t="str">
        <f t="shared" si="120"/>
        <v/>
      </c>
    </row>
    <row r="703" spans="1:23" x14ac:dyDescent="0.2">
      <c r="A703" s="4" t="str">
        <f>IF(ポートフォリオ実績!A704="","", ポートフォリオ実績!A704)</f>
        <v/>
      </c>
      <c r="B703" t="str">
        <f>IF(ポートフォリオ実績!B704="","", ポートフォリオ実績!B704)</f>
        <v/>
      </c>
      <c r="C703" s="10" t="str">
        <f>IF(ポートフォリオ実績!C704="","", ポートフォリオ実績!C704)</f>
        <v/>
      </c>
      <c r="D703" s="10" t="str">
        <f>IF(ポートフォリオ実績!D704="","", ポートフォリオ実績!D704)</f>
        <v/>
      </c>
      <c r="E703" s="10" t="str">
        <f>IF(ポートフォリオ実績!E704="","", ポートフォリオ実績!E704)</f>
        <v/>
      </c>
      <c r="F703" s="10" t="str">
        <f>IF(ポートフォリオ実績!F704="","", ポートフォリオ実績!F704)</f>
        <v/>
      </c>
      <c r="G703" t="str">
        <f t="shared" si="110"/>
        <v/>
      </c>
      <c r="H703">
        <f>IF(B703&lt;&gt;"", SUMIFS(ポートフォリオ実績!$D$2:$D$2001, ポートフォリオ実績!$B$2:$B$2001, B703, ポートフォリオ実績!$A$2:$A$2001, G703), 0)</f>
        <v>0</v>
      </c>
      <c r="I703">
        <f>IF(B703&lt;&gt;"", SUMIFS(ポートフォリオ実績!$C$2:$C$2001, ポートフォリオ実績!$B$2:$B$2001, B703, ポートフォリオ実績!$A$2:$A$2001, G703), 0)</f>
        <v>0</v>
      </c>
      <c r="J703">
        <f t="shared" si="111"/>
        <v>0</v>
      </c>
      <c r="K703">
        <f t="shared" si="112"/>
        <v>0</v>
      </c>
      <c r="L703">
        <f t="shared" si="113"/>
        <v>0</v>
      </c>
      <c r="M703">
        <f t="shared" si="114"/>
        <v>0</v>
      </c>
      <c r="N703">
        <f t="shared" si="115"/>
        <v>0</v>
      </c>
      <c r="O703">
        <f t="shared" si="116"/>
        <v>0</v>
      </c>
      <c r="P703" t="str">
        <f t="shared" si="117"/>
        <v/>
      </c>
      <c r="Q703" t="str">
        <f>IF(B703="","", IFERROR(VLOOKUP(B703, '基準資産配分（設定）'!$A$2:$C$2001, 3, FALSE), ""))</f>
        <v/>
      </c>
      <c r="R703" t="str">
        <f>IF(B703="","", IFERROR(VLOOKUP(B703, '基準資産配分（設定）'!$A$2:$C$2001, 2, FALSE)/100, 0))</f>
        <v/>
      </c>
      <c r="S703" t="str">
        <f>IF(B703="","", IFERROR(SUMIFS(ベンチマークリターン!$C$2:$C$2001, ベンチマークリターン!$A$2:$A$2001, A703, ベンチマークリターン!$B$2:$B$2001, Q703) / 100, 0))</f>
        <v/>
      </c>
      <c r="T703" t="str">
        <f>IF(A703="","", SUMIFS($H$2:$H$2000, $A$2:$A$2000, A703))</f>
        <v/>
      </c>
      <c r="U703" t="str">
        <f t="shared" si="118"/>
        <v/>
      </c>
      <c r="V703" t="str">
        <f t="shared" si="119"/>
        <v/>
      </c>
      <c r="W703" t="str">
        <f t="shared" si="120"/>
        <v/>
      </c>
    </row>
    <row r="704" spans="1:23" x14ac:dyDescent="0.2">
      <c r="A704" s="4" t="str">
        <f>IF(ポートフォリオ実績!A705="","", ポートフォリオ実績!A705)</f>
        <v/>
      </c>
      <c r="B704" t="str">
        <f>IF(ポートフォリオ実績!B705="","", ポートフォリオ実績!B705)</f>
        <v/>
      </c>
      <c r="C704" s="10" t="str">
        <f>IF(ポートフォリオ実績!C705="","", ポートフォリオ実績!C705)</f>
        <v/>
      </c>
      <c r="D704" s="10" t="str">
        <f>IF(ポートフォリオ実績!D705="","", ポートフォリオ実績!D705)</f>
        <v/>
      </c>
      <c r="E704" s="10" t="str">
        <f>IF(ポートフォリオ実績!E705="","", ポートフォリオ実績!E705)</f>
        <v/>
      </c>
      <c r="F704" s="10" t="str">
        <f>IF(ポートフォリオ実績!F705="","", ポートフォリオ実績!F705)</f>
        <v/>
      </c>
      <c r="G704" t="str">
        <f t="shared" si="110"/>
        <v/>
      </c>
      <c r="H704">
        <f>IF(B704&lt;&gt;"", SUMIFS(ポートフォリオ実績!$D$2:$D$2001, ポートフォリオ実績!$B$2:$B$2001, B704, ポートフォリオ実績!$A$2:$A$2001, G704), 0)</f>
        <v>0</v>
      </c>
      <c r="I704">
        <f>IF(B704&lt;&gt;"", SUMIFS(ポートフォリオ実績!$C$2:$C$2001, ポートフォリオ実績!$B$2:$B$2001, B704, ポートフォリオ実績!$A$2:$A$2001, G704), 0)</f>
        <v>0</v>
      </c>
      <c r="J704">
        <f t="shared" si="111"/>
        <v>0</v>
      </c>
      <c r="K704">
        <f t="shared" si="112"/>
        <v>0</v>
      </c>
      <c r="L704">
        <f t="shared" si="113"/>
        <v>0</v>
      </c>
      <c r="M704">
        <f t="shared" si="114"/>
        <v>0</v>
      </c>
      <c r="N704">
        <f t="shared" si="115"/>
        <v>0</v>
      </c>
      <c r="O704">
        <f t="shared" si="116"/>
        <v>0</v>
      </c>
      <c r="P704" t="str">
        <f t="shared" si="117"/>
        <v/>
      </c>
      <c r="Q704" t="str">
        <f>IF(B704="","", IFERROR(VLOOKUP(B704, '基準資産配分（設定）'!$A$2:$C$2001, 3, FALSE), ""))</f>
        <v/>
      </c>
      <c r="R704" t="str">
        <f>IF(B704="","", IFERROR(VLOOKUP(B704, '基準資産配分（設定）'!$A$2:$C$2001, 2, FALSE)/100, 0))</f>
        <v/>
      </c>
      <c r="S704" t="str">
        <f>IF(B704="","", IFERROR(SUMIFS(ベンチマークリターン!$C$2:$C$2001, ベンチマークリターン!$A$2:$A$2001, A704, ベンチマークリターン!$B$2:$B$2001, Q704) / 100, 0))</f>
        <v/>
      </c>
      <c r="T704" t="str">
        <f>IF(A704="","", SUMIFS($H$2:$H$2000, $A$2:$A$2000, A704))</f>
        <v/>
      </c>
      <c r="U704" t="str">
        <f t="shared" si="118"/>
        <v/>
      </c>
      <c r="V704" t="str">
        <f t="shared" si="119"/>
        <v/>
      </c>
      <c r="W704" t="str">
        <f t="shared" si="120"/>
        <v/>
      </c>
    </row>
    <row r="705" spans="1:23" x14ac:dyDescent="0.2">
      <c r="A705" s="4" t="str">
        <f>IF(ポートフォリオ実績!A706="","", ポートフォリオ実績!A706)</f>
        <v/>
      </c>
      <c r="B705" t="str">
        <f>IF(ポートフォリオ実績!B706="","", ポートフォリオ実績!B706)</f>
        <v/>
      </c>
      <c r="C705" s="10" t="str">
        <f>IF(ポートフォリオ実績!C706="","", ポートフォリオ実績!C706)</f>
        <v/>
      </c>
      <c r="D705" s="10" t="str">
        <f>IF(ポートフォリオ実績!D706="","", ポートフォリオ実績!D706)</f>
        <v/>
      </c>
      <c r="E705" s="10" t="str">
        <f>IF(ポートフォリオ実績!E706="","", ポートフォリオ実績!E706)</f>
        <v/>
      </c>
      <c r="F705" s="10" t="str">
        <f>IF(ポートフォリオ実績!F706="","", ポートフォリオ実績!F706)</f>
        <v/>
      </c>
      <c r="G705" t="str">
        <f t="shared" ref="G705:G768" si="121">IF(A705&lt;&gt;"", EOMONTH(A705, -1), "")</f>
        <v/>
      </c>
      <c r="H705">
        <f>IF(B705&lt;&gt;"", SUMIFS(ポートフォリオ実績!$D$2:$D$2001, ポートフォリオ実績!$B$2:$B$2001, B705, ポートフォリオ実績!$A$2:$A$2001, G705), 0)</f>
        <v>0</v>
      </c>
      <c r="I705">
        <f>IF(B705&lt;&gt;"", SUMIFS(ポートフォリオ実績!$C$2:$C$2001, ポートフォリオ実績!$B$2:$B$2001, B705, ポートフォリオ実績!$A$2:$A$2001, G705), 0)</f>
        <v>0</v>
      </c>
      <c r="J705">
        <f t="shared" ref="J705:J768" si="122">IF(A705&lt;&gt;"", D705-C705, 0)</f>
        <v>0</v>
      </c>
      <c r="K705">
        <f t="shared" ref="K705:K768" si="123">IF(A705&lt;&gt;"", H705-I705, 0)</f>
        <v>0</v>
      </c>
      <c r="L705">
        <f t="shared" ref="L705:L768" si="124">IF(H705=0, 0, J705-K705)</f>
        <v>0</v>
      </c>
      <c r="M705">
        <f t="shared" ref="M705:M768" si="125">IF(A705&lt;&gt;"", E705+F705+L705, 0)</f>
        <v>0</v>
      </c>
      <c r="N705">
        <f t="shared" ref="N705:N768" si="126">IF(H705=0, 0, (D705-H705)-M705)</f>
        <v>0</v>
      </c>
      <c r="O705">
        <f t="shared" ref="O705:O768" si="127">IF(A705&lt;&gt;"", H705+N705*0.5, 0)</f>
        <v>0</v>
      </c>
      <c r="P705" t="str">
        <f t="shared" ref="P705:P768" si="128">IF(A705="","", IF(O705&gt;0.000001, M705/O705, IF(ABS(M705)&lt;0.000001, 0, 0)))</f>
        <v/>
      </c>
      <c r="Q705" t="str">
        <f>IF(B705="","", IFERROR(VLOOKUP(B705, '基準資産配分（設定）'!$A$2:$C$2001, 3, FALSE), ""))</f>
        <v/>
      </c>
      <c r="R705" t="str">
        <f>IF(B705="","", IFERROR(VLOOKUP(B705, '基準資産配分（設定）'!$A$2:$C$2001, 2, FALSE)/100, 0))</f>
        <v/>
      </c>
      <c r="S705" t="str">
        <f>IF(B705="","", IFERROR(SUMIFS(ベンチマークリターン!$C$2:$C$2001, ベンチマークリターン!$A$2:$A$2001, A705, ベンチマークリターン!$B$2:$B$2001, Q705) / 100, 0))</f>
        <v/>
      </c>
      <c r="T705" t="str">
        <f>IF(A705="","", SUMIFS($H$2:$H$2000, $A$2:$A$2000, A705))</f>
        <v/>
      </c>
      <c r="U705" t="str">
        <f t="shared" ref="U705:U768" si="129">IF(A705="","", IFERROR(H705/T705, 0))</f>
        <v/>
      </c>
      <c r="V705" t="str">
        <f t="shared" ref="V705:V768" si="130">IF(A705="","", U705*P705)</f>
        <v/>
      </c>
      <c r="W705" t="str">
        <f t="shared" ref="W705:W768" si="131">IF(A705="","", R705*S705)</f>
        <v/>
      </c>
    </row>
    <row r="706" spans="1:23" x14ac:dyDescent="0.2">
      <c r="A706" s="4" t="str">
        <f>IF(ポートフォリオ実績!A707="","", ポートフォリオ実績!A707)</f>
        <v/>
      </c>
      <c r="B706" t="str">
        <f>IF(ポートフォリオ実績!B707="","", ポートフォリオ実績!B707)</f>
        <v/>
      </c>
      <c r="C706" s="10" t="str">
        <f>IF(ポートフォリオ実績!C707="","", ポートフォリオ実績!C707)</f>
        <v/>
      </c>
      <c r="D706" s="10" t="str">
        <f>IF(ポートフォリオ実績!D707="","", ポートフォリオ実績!D707)</f>
        <v/>
      </c>
      <c r="E706" s="10" t="str">
        <f>IF(ポートフォリオ実績!E707="","", ポートフォリオ実績!E707)</f>
        <v/>
      </c>
      <c r="F706" s="10" t="str">
        <f>IF(ポートフォリオ実績!F707="","", ポートフォリオ実績!F707)</f>
        <v/>
      </c>
      <c r="G706" t="str">
        <f t="shared" si="121"/>
        <v/>
      </c>
      <c r="H706">
        <f>IF(B706&lt;&gt;"", SUMIFS(ポートフォリオ実績!$D$2:$D$2001, ポートフォリオ実績!$B$2:$B$2001, B706, ポートフォリオ実績!$A$2:$A$2001, G706), 0)</f>
        <v>0</v>
      </c>
      <c r="I706">
        <f>IF(B706&lt;&gt;"", SUMIFS(ポートフォリオ実績!$C$2:$C$2001, ポートフォリオ実績!$B$2:$B$2001, B706, ポートフォリオ実績!$A$2:$A$2001, G706), 0)</f>
        <v>0</v>
      </c>
      <c r="J706">
        <f t="shared" si="122"/>
        <v>0</v>
      </c>
      <c r="K706">
        <f t="shared" si="123"/>
        <v>0</v>
      </c>
      <c r="L706">
        <f t="shared" si="124"/>
        <v>0</v>
      </c>
      <c r="M706">
        <f t="shared" si="125"/>
        <v>0</v>
      </c>
      <c r="N706">
        <f t="shared" si="126"/>
        <v>0</v>
      </c>
      <c r="O706">
        <f t="shared" si="127"/>
        <v>0</v>
      </c>
      <c r="P706" t="str">
        <f t="shared" si="128"/>
        <v/>
      </c>
      <c r="Q706" t="str">
        <f>IF(B706="","", IFERROR(VLOOKUP(B706, '基準資産配分（設定）'!$A$2:$C$2001, 3, FALSE), ""))</f>
        <v/>
      </c>
      <c r="R706" t="str">
        <f>IF(B706="","", IFERROR(VLOOKUP(B706, '基準資産配分（設定）'!$A$2:$C$2001, 2, FALSE)/100, 0))</f>
        <v/>
      </c>
      <c r="S706" t="str">
        <f>IF(B706="","", IFERROR(SUMIFS(ベンチマークリターン!$C$2:$C$2001, ベンチマークリターン!$A$2:$A$2001, A706, ベンチマークリターン!$B$2:$B$2001, Q706) / 100, 0))</f>
        <v/>
      </c>
      <c r="T706" t="str">
        <f>IF(A706="","", SUMIFS($H$2:$H$2000, $A$2:$A$2000, A706))</f>
        <v/>
      </c>
      <c r="U706" t="str">
        <f t="shared" si="129"/>
        <v/>
      </c>
      <c r="V706" t="str">
        <f t="shared" si="130"/>
        <v/>
      </c>
      <c r="W706" t="str">
        <f t="shared" si="131"/>
        <v/>
      </c>
    </row>
    <row r="707" spans="1:23" x14ac:dyDescent="0.2">
      <c r="A707" s="4" t="str">
        <f>IF(ポートフォリオ実績!A708="","", ポートフォリオ実績!A708)</f>
        <v/>
      </c>
      <c r="B707" t="str">
        <f>IF(ポートフォリオ実績!B708="","", ポートフォリオ実績!B708)</f>
        <v/>
      </c>
      <c r="C707" s="10" t="str">
        <f>IF(ポートフォリオ実績!C708="","", ポートフォリオ実績!C708)</f>
        <v/>
      </c>
      <c r="D707" s="10" t="str">
        <f>IF(ポートフォリオ実績!D708="","", ポートフォリオ実績!D708)</f>
        <v/>
      </c>
      <c r="E707" s="10" t="str">
        <f>IF(ポートフォリオ実績!E708="","", ポートフォリオ実績!E708)</f>
        <v/>
      </c>
      <c r="F707" s="10" t="str">
        <f>IF(ポートフォリオ実績!F708="","", ポートフォリオ実績!F708)</f>
        <v/>
      </c>
      <c r="G707" t="str">
        <f t="shared" si="121"/>
        <v/>
      </c>
      <c r="H707">
        <f>IF(B707&lt;&gt;"", SUMIFS(ポートフォリオ実績!$D$2:$D$2001, ポートフォリオ実績!$B$2:$B$2001, B707, ポートフォリオ実績!$A$2:$A$2001, G707), 0)</f>
        <v>0</v>
      </c>
      <c r="I707">
        <f>IF(B707&lt;&gt;"", SUMIFS(ポートフォリオ実績!$C$2:$C$2001, ポートフォリオ実績!$B$2:$B$2001, B707, ポートフォリオ実績!$A$2:$A$2001, G707), 0)</f>
        <v>0</v>
      </c>
      <c r="J707">
        <f t="shared" si="122"/>
        <v>0</v>
      </c>
      <c r="K707">
        <f t="shared" si="123"/>
        <v>0</v>
      </c>
      <c r="L707">
        <f t="shared" si="124"/>
        <v>0</v>
      </c>
      <c r="M707">
        <f t="shared" si="125"/>
        <v>0</v>
      </c>
      <c r="N707">
        <f t="shared" si="126"/>
        <v>0</v>
      </c>
      <c r="O707">
        <f t="shared" si="127"/>
        <v>0</v>
      </c>
      <c r="P707" t="str">
        <f t="shared" si="128"/>
        <v/>
      </c>
      <c r="Q707" t="str">
        <f>IF(B707="","", IFERROR(VLOOKUP(B707, '基準資産配分（設定）'!$A$2:$C$2001, 3, FALSE), ""))</f>
        <v/>
      </c>
      <c r="R707" t="str">
        <f>IF(B707="","", IFERROR(VLOOKUP(B707, '基準資産配分（設定）'!$A$2:$C$2001, 2, FALSE)/100, 0))</f>
        <v/>
      </c>
      <c r="S707" t="str">
        <f>IF(B707="","", IFERROR(SUMIFS(ベンチマークリターン!$C$2:$C$2001, ベンチマークリターン!$A$2:$A$2001, A707, ベンチマークリターン!$B$2:$B$2001, Q707) / 100, 0))</f>
        <v/>
      </c>
      <c r="T707" t="str">
        <f>IF(A707="","", SUMIFS($H$2:$H$2000, $A$2:$A$2000, A707))</f>
        <v/>
      </c>
      <c r="U707" t="str">
        <f t="shared" si="129"/>
        <v/>
      </c>
      <c r="V707" t="str">
        <f t="shared" si="130"/>
        <v/>
      </c>
      <c r="W707" t="str">
        <f t="shared" si="131"/>
        <v/>
      </c>
    </row>
    <row r="708" spans="1:23" x14ac:dyDescent="0.2">
      <c r="A708" s="4" t="str">
        <f>IF(ポートフォリオ実績!A709="","", ポートフォリオ実績!A709)</f>
        <v/>
      </c>
      <c r="B708" t="str">
        <f>IF(ポートフォリオ実績!B709="","", ポートフォリオ実績!B709)</f>
        <v/>
      </c>
      <c r="C708" s="10" t="str">
        <f>IF(ポートフォリオ実績!C709="","", ポートフォリオ実績!C709)</f>
        <v/>
      </c>
      <c r="D708" s="10" t="str">
        <f>IF(ポートフォリオ実績!D709="","", ポートフォリオ実績!D709)</f>
        <v/>
      </c>
      <c r="E708" s="10" t="str">
        <f>IF(ポートフォリオ実績!E709="","", ポートフォリオ実績!E709)</f>
        <v/>
      </c>
      <c r="F708" s="10" t="str">
        <f>IF(ポートフォリオ実績!F709="","", ポートフォリオ実績!F709)</f>
        <v/>
      </c>
      <c r="G708" t="str">
        <f t="shared" si="121"/>
        <v/>
      </c>
      <c r="H708">
        <f>IF(B708&lt;&gt;"", SUMIFS(ポートフォリオ実績!$D$2:$D$2001, ポートフォリオ実績!$B$2:$B$2001, B708, ポートフォリオ実績!$A$2:$A$2001, G708), 0)</f>
        <v>0</v>
      </c>
      <c r="I708">
        <f>IF(B708&lt;&gt;"", SUMIFS(ポートフォリオ実績!$C$2:$C$2001, ポートフォリオ実績!$B$2:$B$2001, B708, ポートフォリオ実績!$A$2:$A$2001, G708), 0)</f>
        <v>0</v>
      </c>
      <c r="J708">
        <f t="shared" si="122"/>
        <v>0</v>
      </c>
      <c r="K708">
        <f t="shared" si="123"/>
        <v>0</v>
      </c>
      <c r="L708">
        <f t="shared" si="124"/>
        <v>0</v>
      </c>
      <c r="M708">
        <f t="shared" si="125"/>
        <v>0</v>
      </c>
      <c r="N708">
        <f t="shared" si="126"/>
        <v>0</v>
      </c>
      <c r="O708">
        <f t="shared" si="127"/>
        <v>0</v>
      </c>
      <c r="P708" t="str">
        <f t="shared" si="128"/>
        <v/>
      </c>
      <c r="Q708" t="str">
        <f>IF(B708="","", IFERROR(VLOOKUP(B708, '基準資産配分（設定）'!$A$2:$C$2001, 3, FALSE), ""))</f>
        <v/>
      </c>
      <c r="R708" t="str">
        <f>IF(B708="","", IFERROR(VLOOKUP(B708, '基準資産配分（設定）'!$A$2:$C$2001, 2, FALSE)/100, 0))</f>
        <v/>
      </c>
      <c r="S708" t="str">
        <f>IF(B708="","", IFERROR(SUMIFS(ベンチマークリターン!$C$2:$C$2001, ベンチマークリターン!$A$2:$A$2001, A708, ベンチマークリターン!$B$2:$B$2001, Q708) / 100, 0))</f>
        <v/>
      </c>
      <c r="T708" t="str">
        <f>IF(A708="","", SUMIFS($H$2:$H$2000, $A$2:$A$2000, A708))</f>
        <v/>
      </c>
      <c r="U708" t="str">
        <f t="shared" si="129"/>
        <v/>
      </c>
      <c r="V708" t="str">
        <f t="shared" si="130"/>
        <v/>
      </c>
      <c r="W708" t="str">
        <f t="shared" si="131"/>
        <v/>
      </c>
    </row>
    <row r="709" spans="1:23" x14ac:dyDescent="0.2">
      <c r="A709" s="4" t="str">
        <f>IF(ポートフォリオ実績!A710="","", ポートフォリオ実績!A710)</f>
        <v/>
      </c>
      <c r="B709" t="str">
        <f>IF(ポートフォリオ実績!B710="","", ポートフォリオ実績!B710)</f>
        <v/>
      </c>
      <c r="C709" s="10" t="str">
        <f>IF(ポートフォリオ実績!C710="","", ポートフォリオ実績!C710)</f>
        <v/>
      </c>
      <c r="D709" s="10" t="str">
        <f>IF(ポートフォリオ実績!D710="","", ポートフォリオ実績!D710)</f>
        <v/>
      </c>
      <c r="E709" s="10" t="str">
        <f>IF(ポートフォリオ実績!E710="","", ポートフォリオ実績!E710)</f>
        <v/>
      </c>
      <c r="F709" s="10" t="str">
        <f>IF(ポートフォリオ実績!F710="","", ポートフォリオ実績!F710)</f>
        <v/>
      </c>
      <c r="G709" t="str">
        <f t="shared" si="121"/>
        <v/>
      </c>
      <c r="H709">
        <f>IF(B709&lt;&gt;"", SUMIFS(ポートフォリオ実績!$D$2:$D$2001, ポートフォリオ実績!$B$2:$B$2001, B709, ポートフォリオ実績!$A$2:$A$2001, G709), 0)</f>
        <v>0</v>
      </c>
      <c r="I709">
        <f>IF(B709&lt;&gt;"", SUMIFS(ポートフォリオ実績!$C$2:$C$2001, ポートフォリオ実績!$B$2:$B$2001, B709, ポートフォリオ実績!$A$2:$A$2001, G709), 0)</f>
        <v>0</v>
      </c>
      <c r="J709">
        <f t="shared" si="122"/>
        <v>0</v>
      </c>
      <c r="K709">
        <f t="shared" si="123"/>
        <v>0</v>
      </c>
      <c r="L709">
        <f t="shared" si="124"/>
        <v>0</v>
      </c>
      <c r="M709">
        <f t="shared" si="125"/>
        <v>0</v>
      </c>
      <c r="N709">
        <f t="shared" si="126"/>
        <v>0</v>
      </c>
      <c r="O709">
        <f t="shared" si="127"/>
        <v>0</v>
      </c>
      <c r="P709" t="str">
        <f t="shared" si="128"/>
        <v/>
      </c>
      <c r="Q709" t="str">
        <f>IF(B709="","", IFERROR(VLOOKUP(B709, '基準資産配分（設定）'!$A$2:$C$2001, 3, FALSE), ""))</f>
        <v/>
      </c>
      <c r="R709" t="str">
        <f>IF(B709="","", IFERROR(VLOOKUP(B709, '基準資産配分（設定）'!$A$2:$C$2001, 2, FALSE)/100, 0))</f>
        <v/>
      </c>
      <c r="S709" t="str">
        <f>IF(B709="","", IFERROR(SUMIFS(ベンチマークリターン!$C$2:$C$2001, ベンチマークリターン!$A$2:$A$2001, A709, ベンチマークリターン!$B$2:$B$2001, Q709) / 100, 0))</f>
        <v/>
      </c>
      <c r="T709" t="str">
        <f>IF(A709="","", SUMIFS($H$2:$H$2000, $A$2:$A$2000, A709))</f>
        <v/>
      </c>
      <c r="U709" t="str">
        <f t="shared" si="129"/>
        <v/>
      </c>
      <c r="V709" t="str">
        <f t="shared" si="130"/>
        <v/>
      </c>
      <c r="W709" t="str">
        <f t="shared" si="131"/>
        <v/>
      </c>
    </row>
    <row r="710" spans="1:23" x14ac:dyDescent="0.2">
      <c r="A710" s="4" t="str">
        <f>IF(ポートフォリオ実績!A711="","", ポートフォリオ実績!A711)</f>
        <v/>
      </c>
      <c r="B710" t="str">
        <f>IF(ポートフォリオ実績!B711="","", ポートフォリオ実績!B711)</f>
        <v/>
      </c>
      <c r="C710" s="10" t="str">
        <f>IF(ポートフォリオ実績!C711="","", ポートフォリオ実績!C711)</f>
        <v/>
      </c>
      <c r="D710" s="10" t="str">
        <f>IF(ポートフォリオ実績!D711="","", ポートフォリオ実績!D711)</f>
        <v/>
      </c>
      <c r="E710" s="10" t="str">
        <f>IF(ポートフォリオ実績!E711="","", ポートフォリオ実績!E711)</f>
        <v/>
      </c>
      <c r="F710" s="10" t="str">
        <f>IF(ポートフォリオ実績!F711="","", ポートフォリオ実績!F711)</f>
        <v/>
      </c>
      <c r="G710" t="str">
        <f t="shared" si="121"/>
        <v/>
      </c>
      <c r="H710">
        <f>IF(B710&lt;&gt;"", SUMIFS(ポートフォリオ実績!$D$2:$D$2001, ポートフォリオ実績!$B$2:$B$2001, B710, ポートフォリオ実績!$A$2:$A$2001, G710), 0)</f>
        <v>0</v>
      </c>
      <c r="I710">
        <f>IF(B710&lt;&gt;"", SUMIFS(ポートフォリオ実績!$C$2:$C$2001, ポートフォリオ実績!$B$2:$B$2001, B710, ポートフォリオ実績!$A$2:$A$2001, G710), 0)</f>
        <v>0</v>
      </c>
      <c r="J710">
        <f t="shared" si="122"/>
        <v>0</v>
      </c>
      <c r="K710">
        <f t="shared" si="123"/>
        <v>0</v>
      </c>
      <c r="L710">
        <f t="shared" si="124"/>
        <v>0</v>
      </c>
      <c r="M710">
        <f t="shared" si="125"/>
        <v>0</v>
      </c>
      <c r="N710">
        <f t="shared" si="126"/>
        <v>0</v>
      </c>
      <c r="O710">
        <f t="shared" si="127"/>
        <v>0</v>
      </c>
      <c r="P710" t="str">
        <f t="shared" si="128"/>
        <v/>
      </c>
      <c r="Q710" t="str">
        <f>IF(B710="","", IFERROR(VLOOKUP(B710, '基準資産配分（設定）'!$A$2:$C$2001, 3, FALSE), ""))</f>
        <v/>
      </c>
      <c r="R710" t="str">
        <f>IF(B710="","", IFERROR(VLOOKUP(B710, '基準資産配分（設定）'!$A$2:$C$2001, 2, FALSE)/100, 0))</f>
        <v/>
      </c>
      <c r="S710" t="str">
        <f>IF(B710="","", IFERROR(SUMIFS(ベンチマークリターン!$C$2:$C$2001, ベンチマークリターン!$A$2:$A$2001, A710, ベンチマークリターン!$B$2:$B$2001, Q710) / 100, 0))</f>
        <v/>
      </c>
      <c r="T710" t="str">
        <f>IF(A710="","", SUMIFS($H$2:$H$2000, $A$2:$A$2000, A710))</f>
        <v/>
      </c>
      <c r="U710" t="str">
        <f t="shared" si="129"/>
        <v/>
      </c>
      <c r="V710" t="str">
        <f t="shared" si="130"/>
        <v/>
      </c>
      <c r="W710" t="str">
        <f t="shared" si="131"/>
        <v/>
      </c>
    </row>
    <row r="711" spans="1:23" x14ac:dyDescent="0.2">
      <c r="A711" s="4" t="str">
        <f>IF(ポートフォリオ実績!A712="","", ポートフォリオ実績!A712)</f>
        <v/>
      </c>
      <c r="B711" t="str">
        <f>IF(ポートフォリオ実績!B712="","", ポートフォリオ実績!B712)</f>
        <v/>
      </c>
      <c r="C711" s="10" t="str">
        <f>IF(ポートフォリオ実績!C712="","", ポートフォリオ実績!C712)</f>
        <v/>
      </c>
      <c r="D711" s="10" t="str">
        <f>IF(ポートフォリオ実績!D712="","", ポートフォリオ実績!D712)</f>
        <v/>
      </c>
      <c r="E711" s="10" t="str">
        <f>IF(ポートフォリオ実績!E712="","", ポートフォリオ実績!E712)</f>
        <v/>
      </c>
      <c r="F711" s="10" t="str">
        <f>IF(ポートフォリオ実績!F712="","", ポートフォリオ実績!F712)</f>
        <v/>
      </c>
      <c r="G711" t="str">
        <f t="shared" si="121"/>
        <v/>
      </c>
      <c r="H711">
        <f>IF(B711&lt;&gt;"", SUMIFS(ポートフォリオ実績!$D$2:$D$2001, ポートフォリオ実績!$B$2:$B$2001, B711, ポートフォリオ実績!$A$2:$A$2001, G711), 0)</f>
        <v>0</v>
      </c>
      <c r="I711">
        <f>IF(B711&lt;&gt;"", SUMIFS(ポートフォリオ実績!$C$2:$C$2001, ポートフォリオ実績!$B$2:$B$2001, B711, ポートフォリオ実績!$A$2:$A$2001, G711), 0)</f>
        <v>0</v>
      </c>
      <c r="J711">
        <f t="shared" si="122"/>
        <v>0</v>
      </c>
      <c r="K711">
        <f t="shared" si="123"/>
        <v>0</v>
      </c>
      <c r="L711">
        <f t="shared" si="124"/>
        <v>0</v>
      </c>
      <c r="M711">
        <f t="shared" si="125"/>
        <v>0</v>
      </c>
      <c r="N711">
        <f t="shared" si="126"/>
        <v>0</v>
      </c>
      <c r="O711">
        <f t="shared" si="127"/>
        <v>0</v>
      </c>
      <c r="P711" t="str">
        <f t="shared" si="128"/>
        <v/>
      </c>
      <c r="Q711" t="str">
        <f>IF(B711="","", IFERROR(VLOOKUP(B711, '基準資産配分（設定）'!$A$2:$C$2001, 3, FALSE), ""))</f>
        <v/>
      </c>
      <c r="R711" t="str">
        <f>IF(B711="","", IFERROR(VLOOKUP(B711, '基準資産配分（設定）'!$A$2:$C$2001, 2, FALSE)/100, 0))</f>
        <v/>
      </c>
      <c r="S711" t="str">
        <f>IF(B711="","", IFERROR(SUMIFS(ベンチマークリターン!$C$2:$C$2001, ベンチマークリターン!$A$2:$A$2001, A711, ベンチマークリターン!$B$2:$B$2001, Q711) / 100, 0))</f>
        <v/>
      </c>
      <c r="T711" t="str">
        <f>IF(A711="","", SUMIFS($H$2:$H$2000, $A$2:$A$2000, A711))</f>
        <v/>
      </c>
      <c r="U711" t="str">
        <f t="shared" si="129"/>
        <v/>
      </c>
      <c r="V711" t="str">
        <f t="shared" si="130"/>
        <v/>
      </c>
      <c r="W711" t="str">
        <f t="shared" si="131"/>
        <v/>
      </c>
    </row>
    <row r="712" spans="1:23" x14ac:dyDescent="0.2">
      <c r="A712" s="4" t="str">
        <f>IF(ポートフォリオ実績!A713="","", ポートフォリオ実績!A713)</f>
        <v/>
      </c>
      <c r="B712" t="str">
        <f>IF(ポートフォリオ実績!B713="","", ポートフォリオ実績!B713)</f>
        <v/>
      </c>
      <c r="C712" s="10" t="str">
        <f>IF(ポートフォリオ実績!C713="","", ポートフォリオ実績!C713)</f>
        <v/>
      </c>
      <c r="D712" s="10" t="str">
        <f>IF(ポートフォリオ実績!D713="","", ポートフォリオ実績!D713)</f>
        <v/>
      </c>
      <c r="E712" s="10" t="str">
        <f>IF(ポートフォリオ実績!E713="","", ポートフォリオ実績!E713)</f>
        <v/>
      </c>
      <c r="F712" s="10" t="str">
        <f>IF(ポートフォリオ実績!F713="","", ポートフォリオ実績!F713)</f>
        <v/>
      </c>
      <c r="G712" t="str">
        <f t="shared" si="121"/>
        <v/>
      </c>
      <c r="H712">
        <f>IF(B712&lt;&gt;"", SUMIFS(ポートフォリオ実績!$D$2:$D$2001, ポートフォリオ実績!$B$2:$B$2001, B712, ポートフォリオ実績!$A$2:$A$2001, G712), 0)</f>
        <v>0</v>
      </c>
      <c r="I712">
        <f>IF(B712&lt;&gt;"", SUMIFS(ポートフォリオ実績!$C$2:$C$2001, ポートフォリオ実績!$B$2:$B$2001, B712, ポートフォリオ実績!$A$2:$A$2001, G712), 0)</f>
        <v>0</v>
      </c>
      <c r="J712">
        <f t="shared" si="122"/>
        <v>0</v>
      </c>
      <c r="K712">
        <f t="shared" si="123"/>
        <v>0</v>
      </c>
      <c r="L712">
        <f t="shared" si="124"/>
        <v>0</v>
      </c>
      <c r="M712">
        <f t="shared" si="125"/>
        <v>0</v>
      </c>
      <c r="N712">
        <f t="shared" si="126"/>
        <v>0</v>
      </c>
      <c r="O712">
        <f t="shared" si="127"/>
        <v>0</v>
      </c>
      <c r="P712" t="str">
        <f t="shared" si="128"/>
        <v/>
      </c>
      <c r="Q712" t="str">
        <f>IF(B712="","", IFERROR(VLOOKUP(B712, '基準資産配分（設定）'!$A$2:$C$2001, 3, FALSE), ""))</f>
        <v/>
      </c>
      <c r="R712" t="str">
        <f>IF(B712="","", IFERROR(VLOOKUP(B712, '基準資産配分（設定）'!$A$2:$C$2001, 2, FALSE)/100, 0))</f>
        <v/>
      </c>
      <c r="S712" t="str">
        <f>IF(B712="","", IFERROR(SUMIFS(ベンチマークリターン!$C$2:$C$2001, ベンチマークリターン!$A$2:$A$2001, A712, ベンチマークリターン!$B$2:$B$2001, Q712) / 100, 0))</f>
        <v/>
      </c>
      <c r="T712" t="str">
        <f>IF(A712="","", SUMIFS($H$2:$H$2000, $A$2:$A$2000, A712))</f>
        <v/>
      </c>
      <c r="U712" t="str">
        <f t="shared" si="129"/>
        <v/>
      </c>
      <c r="V712" t="str">
        <f t="shared" si="130"/>
        <v/>
      </c>
      <c r="W712" t="str">
        <f t="shared" si="131"/>
        <v/>
      </c>
    </row>
    <row r="713" spans="1:23" x14ac:dyDescent="0.2">
      <c r="A713" s="4" t="str">
        <f>IF(ポートフォリオ実績!A714="","", ポートフォリオ実績!A714)</f>
        <v/>
      </c>
      <c r="B713" t="str">
        <f>IF(ポートフォリオ実績!B714="","", ポートフォリオ実績!B714)</f>
        <v/>
      </c>
      <c r="C713" s="10" t="str">
        <f>IF(ポートフォリオ実績!C714="","", ポートフォリオ実績!C714)</f>
        <v/>
      </c>
      <c r="D713" s="10" t="str">
        <f>IF(ポートフォリオ実績!D714="","", ポートフォリオ実績!D714)</f>
        <v/>
      </c>
      <c r="E713" s="10" t="str">
        <f>IF(ポートフォリオ実績!E714="","", ポートフォリオ実績!E714)</f>
        <v/>
      </c>
      <c r="F713" s="10" t="str">
        <f>IF(ポートフォリオ実績!F714="","", ポートフォリオ実績!F714)</f>
        <v/>
      </c>
      <c r="G713" t="str">
        <f t="shared" si="121"/>
        <v/>
      </c>
      <c r="H713">
        <f>IF(B713&lt;&gt;"", SUMIFS(ポートフォリオ実績!$D$2:$D$2001, ポートフォリオ実績!$B$2:$B$2001, B713, ポートフォリオ実績!$A$2:$A$2001, G713), 0)</f>
        <v>0</v>
      </c>
      <c r="I713">
        <f>IF(B713&lt;&gt;"", SUMIFS(ポートフォリオ実績!$C$2:$C$2001, ポートフォリオ実績!$B$2:$B$2001, B713, ポートフォリオ実績!$A$2:$A$2001, G713), 0)</f>
        <v>0</v>
      </c>
      <c r="J713">
        <f t="shared" si="122"/>
        <v>0</v>
      </c>
      <c r="K713">
        <f t="shared" si="123"/>
        <v>0</v>
      </c>
      <c r="L713">
        <f t="shared" si="124"/>
        <v>0</v>
      </c>
      <c r="M713">
        <f t="shared" si="125"/>
        <v>0</v>
      </c>
      <c r="N713">
        <f t="shared" si="126"/>
        <v>0</v>
      </c>
      <c r="O713">
        <f t="shared" si="127"/>
        <v>0</v>
      </c>
      <c r="P713" t="str">
        <f t="shared" si="128"/>
        <v/>
      </c>
      <c r="Q713" t="str">
        <f>IF(B713="","", IFERROR(VLOOKUP(B713, '基準資産配分（設定）'!$A$2:$C$2001, 3, FALSE), ""))</f>
        <v/>
      </c>
      <c r="R713" t="str">
        <f>IF(B713="","", IFERROR(VLOOKUP(B713, '基準資産配分（設定）'!$A$2:$C$2001, 2, FALSE)/100, 0))</f>
        <v/>
      </c>
      <c r="S713" t="str">
        <f>IF(B713="","", IFERROR(SUMIFS(ベンチマークリターン!$C$2:$C$2001, ベンチマークリターン!$A$2:$A$2001, A713, ベンチマークリターン!$B$2:$B$2001, Q713) / 100, 0))</f>
        <v/>
      </c>
      <c r="T713" t="str">
        <f>IF(A713="","", SUMIFS($H$2:$H$2000, $A$2:$A$2000, A713))</f>
        <v/>
      </c>
      <c r="U713" t="str">
        <f t="shared" si="129"/>
        <v/>
      </c>
      <c r="V713" t="str">
        <f t="shared" si="130"/>
        <v/>
      </c>
      <c r="W713" t="str">
        <f t="shared" si="131"/>
        <v/>
      </c>
    </row>
    <row r="714" spans="1:23" x14ac:dyDescent="0.2">
      <c r="A714" s="4" t="str">
        <f>IF(ポートフォリオ実績!A715="","", ポートフォリオ実績!A715)</f>
        <v/>
      </c>
      <c r="B714" t="str">
        <f>IF(ポートフォリオ実績!B715="","", ポートフォリオ実績!B715)</f>
        <v/>
      </c>
      <c r="C714" s="10" t="str">
        <f>IF(ポートフォリオ実績!C715="","", ポートフォリオ実績!C715)</f>
        <v/>
      </c>
      <c r="D714" s="10" t="str">
        <f>IF(ポートフォリオ実績!D715="","", ポートフォリオ実績!D715)</f>
        <v/>
      </c>
      <c r="E714" s="10" t="str">
        <f>IF(ポートフォリオ実績!E715="","", ポートフォリオ実績!E715)</f>
        <v/>
      </c>
      <c r="F714" s="10" t="str">
        <f>IF(ポートフォリオ実績!F715="","", ポートフォリオ実績!F715)</f>
        <v/>
      </c>
      <c r="G714" t="str">
        <f t="shared" si="121"/>
        <v/>
      </c>
      <c r="H714">
        <f>IF(B714&lt;&gt;"", SUMIFS(ポートフォリオ実績!$D$2:$D$2001, ポートフォリオ実績!$B$2:$B$2001, B714, ポートフォリオ実績!$A$2:$A$2001, G714), 0)</f>
        <v>0</v>
      </c>
      <c r="I714">
        <f>IF(B714&lt;&gt;"", SUMIFS(ポートフォリオ実績!$C$2:$C$2001, ポートフォリオ実績!$B$2:$B$2001, B714, ポートフォリオ実績!$A$2:$A$2001, G714), 0)</f>
        <v>0</v>
      </c>
      <c r="J714">
        <f t="shared" si="122"/>
        <v>0</v>
      </c>
      <c r="K714">
        <f t="shared" si="123"/>
        <v>0</v>
      </c>
      <c r="L714">
        <f t="shared" si="124"/>
        <v>0</v>
      </c>
      <c r="M714">
        <f t="shared" si="125"/>
        <v>0</v>
      </c>
      <c r="N714">
        <f t="shared" si="126"/>
        <v>0</v>
      </c>
      <c r="O714">
        <f t="shared" si="127"/>
        <v>0</v>
      </c>
      <c r="P714" t="str">
        <f t="shared" si="128"/>
        <v/>
      </c>
      <c r="Q714" t="str">
        <f>IF(B714="","", IFERROR(VLOOKUP(B714, '基準資産配分（設定）'!$A$2:$C$2001, 3, FALSE), ""))</f>
        <v/>
      </c>
      <c r="R714" t="str">
        <f>IF(B714="","", IFERROR(VLOOKUP(B714, '基準資産配分（設定）'!$A$2:$C$2001, 2, FALSE)/100, 0))</f>
        <v/>
      </c>
      <c r="S714" t="str">
        <f>IF(B714="","", IFERROR(SUMIFS(ベンチマークリターン!$C$2:$C$2001, ベンチマークリターン!$A$2:$A$2001, A714, ベンチマークリターン!$B$2:$B$2001, Q714) / 100, 0))</f>
        <v/>
      </c>
      <c r="T714" t="str">
        <f>IF(A714="","", SUMIFS($H$2:$H$2000, $A$2:$A$2000, A714))</f>
        <v/>
      </c>
      <c r="U714" t="str">
        <f t="shared" si="129"/>
        <v/>
      </c>
      <c r="V714" t="str">
        <f t="shared" si="130"/>
        <v/>
      </c>
      <c r="W714" t="str">
        <f t="shared" si="131"/>
        <v/>
      </c>
    </row>
    <row r="715" spans="1:23" x14ac:dyDescent="0.2">
      <c r="A715" s="4" t="str">
        <f>IF(ポートフォリオ実績!A716="","", ポートフォリオ実績!A716)</f>
        <v/>
      </c>
      <c r="B715" t="str">
        <f>IF(ポートフォリオ実績!B716="","", ポートフォリオ実績!B716)</f>
        <v/>
      </c>
      <c r="C715" s="10" t="str">
        <f>IF(ポートフォリオ実績!C716="","", ポートフォリオ実績!C716)</f>
        <v/>
      </c>
      <c r="D715" s="10" t="str">
        <f>IF(ポートフォリオ実績!D716="","", ポートフォリオ実績!D716)</f>
        <v/>
      </c>
      <c r="E715" s="10" t="str">
        <f>IF(ポートフォリオ実績!E716="","", ポートフォリオ実績!E716)</f>
        <v/>
      </c>
      <c r="F715" s="10" t="str">
        <f>IF(ポートフォリオ実績!F716="","", ポートフォリオ実績!F716)</f>
        <v/>
      </c>
      <c r="G715" t="str">
        <f t="shared" si="121"/>
        <v/>
      </c>
      <c r="H715">
        <f>IF(B715&lt;&gt;"", SUMIFS(ポートフォリオ実績!$D$2:$D$2001, ポートフォリオ実績!$B$2:$B$2001, B715, ポートフォリオ実績!$A$2:$A$2001, G715), 0)</f>
        <v>0</v>
      </c>
      <c r="I715">
        <f>IF(B715&lt;&gt;"", SUMIFS(ポートフォリオ実績!$C$2:$C$2001, ポートフォリオ実績!$B$2:$B$2001, B715, ポートフォリオ実績!$A$2:$A$2001, G715), 0)</f>
        <v>0</v>
      </c>
      <c r="J715">
        <f t="shared" si="122"/>
        <v>0</v>
      </c>
      <c r="K715">
        <f t="shared" si="123"/>
        <v>0</v>
      </c>
      <c r="L715">
        <f t="shared" si="124"/>
        <v>0</v>
      </c>
      <c r="M715">
        <f t="shared" si="125"/>
        <v>0</v>
      </c>
      <c r="N715">
        <f t="shared" si="126"/>
        <v>0</v>
      </c>
      <c r="O715">
        <f t="shared" si="127"/>
        <v>0</v>
      </c>
      <c r="P715" t="str">
        <f t="shared" si="128"/>
        <v/>
      </c>
      <c r="Q715" t="str">
        <f>IF(B715="","", IFERROR(VLOOKUP(B715, '基準資産配分（設定）'!$A$2:$C$2001, 3, FALSE), ""))</f>
        <v/>
      </c>
      <c r="R715" t="str">
        <f>IF(B715="","", IFERROR(VLOOKUP(B715, '基準資産配分（設定）'!$A$2:$C$2001, 2, FALSE)/100, 0))</f>
        <v/>
      </c>
      <c r="S715" t="str">
        <f>IF(B715="","", IFERROR(SUMIFS(ベンチマークリターン!$C$2:$C$2001, ベンチマークリターン!$A$2:$A$2001, A715, ベンチマークリターン!$B$2:$B$2001, Q715) / 100, 0))</f>
        <v/>
      </c>
      <c r="T715" t="str">
        <f>IF(A715="","", SUMIFS($H$2:$H$2000, $A$2:$A$2000, A715))</f>
        <v/>
      </c>
      <c r="U715" t="str">
        <f t="shared" si="129"/>
        <v/>
      </c>
      <c r="V715" t="str">
        <f t="shared" si="130"/>
        <v/>
      </c>
      <c r="W715" t="str">
        <f t="shared" si="131"/>
        <v/>
      </c>
    </row>
    <row r="716" spans="1:23" x14ac:dyDescent="0.2">
      <c r="A716" s="4" t="str">
        <f>IF(ポートフォリオ実績!A717="","", ポートフォリオ実績!A717)</f>
        <v/>
      </c>
      <c r="B716" t="str">
        <f>IF(ポートフォリオ実績!B717="","", ポートフォリオ実績!B717)</f>
        <v/>
      </c>
      <c r="C716" s="10" t="str">
        <f>IF(ポートフォリオ実績!C717="","", ポートフォリオ実績!C717)</f>
        <v/>
      </c>
      <c r="D716" s="10" t="str">
        <f>IF(ポートフォリオ実績!D717="","", ポートフォリオ実績!D717)</f>
        <v/>
      </c>
      <c r="E716" s="10" t="str">
        <f>IF(ポートフォリオ実績!E717="","", ポートフォリオ実績!E717)</f>
        <v/>
      </c>
      <c r="F716" s="10" t="str">
        <f>IF(ポートフォリオ実績!F717="","", ポートフォリオ実績!F717)</f>
        <v/>
      </c>
      <c r="G716" t="str">
        <f t="shared" si="121"/>
        <v/>
      </c>
      <c r="H716">
        <f>IF(B716&lt;&gt;"", SUMIFS(ポートフォリオ実績!$D$2:$D$2001, ポートフォリオ実績!$B$2:$B$2001, B716, ポートフォリオ実績!$A$2:$A$2001, G716), 0)</f>
        <v>0</v>
      </c>
      <c r="I716">
        <f>IF(B716&lt;&gt;"", SUMIFS(ポートフォリオ実績!$C$2:$C$2001, ポートフォリオ実績!$B$2:$B$2001, B716, ポートフォリオ実績!$A$2:$A$2001, G716), 0)</f>
        <v>0</v>
      </c>
      <c r="J716">
        <f t="shared" si="122"/>
        <v>0</v>
      </c>
      <c r="K716">
        <f t="shared" si="123"/>
        <v>0</v>
      </c>
      <c r="L716">
        <f t="shared" si="124"/>
        <v>0</v>
      </c>
      <c r="M716">
        <f t="shared" si="125"/>
        <v>0</v>
      </c>
      <c r="N716">
        <f t="shared" si="126"/>
        <v>0</v>
      </c>
      <c r="O716">
        <f t="shared" si="127"/>
        <v>0</v>
      </c>
      <c r="P716" t="str">
        <f t="shared" si="128"/>
        <v/>
      </c>
      <c r="Q716" t="str">
        <f>IF(B716="","", IFERROR(VLOOKUP(B716, '基準資産配分（設定）'!$A$2:$C$2001, 3, FALSE), ""))</f>
        <v/>
      </c>
      <c r="R716" t="str">
        <f>IF(B716="","", IFERROR(VLOOKUP(B716, '基準資産配分（設定）'!$A$2:$C$2001, 2, FALSE)/100, 0))</f>
        <v/>
      </c>
      <c r="S716" t="str">
        <f>IF(B716="","", IFERROR(SUMIFS(ベンチマークリターン!$C$2:$C$2001, ベンチマークリターン!$A$2:$A$2001, A716, ベンチマークリターン!$B$2:$B$2001, Q716) / 100, 0))</f>
        <v/>
      </c>
      <c r="T716" t="str">
        <f>IF(A716="","", SUMIFS($H$2:$H$2000, $A$2:$A$2000, A716))</f>
        <v/>
      </c>
      <c r="U716" t="str">
        <f t="shared" si="129"/>
        <v/>
      </c>
      <c r="V716" t="str">
        <f t="shared" si="130"/>
        <v/>
      </c>
      <c r="W716" t="str">
        <f t="shared" si="131"/>
        <v/>
      </c>
    </row>
    <row r="717" spans="1:23" x14ac:dyDescent="0.2">
      <c r="A717" s="4" t="str">
        <f>IF(ポートフォリオ実績!A718="","", ポートフォリオ実績!A718)</f>
        <v/>
      </c>
      <c r="B717" t="str">
        <f>IF(ポートフォリオ実績!B718="","", ポートフォリオ実績!B718)</f>
        <v/>
      </c>
      <c r="C717" s="10" t="str">
        <f>IF(ポートフォリオ実績!C718="","", ポートフォリオ実績!C718)</f>
        <v/>
      </c>
      <c r="D717" s="10" t="str">
        <f>IF(ポートフォリオ実績!D718="","", ポートフォリオ実績!D718)</f>
        <v/>
      </c>
      <c r="E717" s="10" t="str">
        <f>IF(ポートフォリオ実績!E718="","", ポートフォリオ実績!E718)</f>
        <v/>
      </c>
      <c r="F717" s="10" t="str">
        <f>IF(ポートフォリオ実績!F718="","", ポートフォリオ実績!F718)</f>
        <v/>
      </c>
      <c r="G717" t="str">
        <f t="shared" si="121"/>
        <v/>
      </c>
      <c r="H717">
        <f>IF(B717&lt;&gt;"", SUMIFS(ポートフォリオ実績!$D$2:$D$2001, ポートフォリオ実績!$B$2:$B$2001, B717, ポートフォリオ実績!$A$2:$A$2001, G717), 0)</f>
        <v>0</v>
      </c>
      <c r="I717">
        <f>IF(B717&lt;&gt;"", SUMIFS(ポートフォリオ実績!$C$2:$C$2001, ポートフォリオ実績!$B$2:$B$2001, B717, ポートフォリオ実績!$A$2:$A$2001, G717), 0)</f>
        <v>0</v>
      </c>
      <c r="J717">
        <f t="shared" si="122"/>
        <v>0</v>
      </c>
      <c r="K717">
        <f t="shared" si="123"/>
        <v>0</v>
      </c>
      <c r="L717">
        <f t="shared" si="124"/>
        <v>0</v>
      </c>
      <c r="M717">
        <f t="shared" si="125"/>
        <v>0</v>
      </c>
      <c r="N717">
        <f t="shared" si="126"/>
        <v>0</v>
      </c>
      <c r="O717">
        <f t="shared" si="127"/>
        <v>0</v>
      </c>
      <c r="P717" t="str">
        <f t="shared" si="128"/>
        <v/>
      </c>
      <c r="Q717" t="str">
        <f>IF(B717="","", IFERROR(VLOOKUP(B717, '基準資産配分（設定）'!$A$2:$C$2001, 3, FALSE), ""))</f>
        <v/>
      </c>
      <c r="R717" t="str">
        <f>IF(B717="","", IFERROR(VLOOKUP(B717, '基準資産配分（設定）'!$A$2:$C$2001, 2, FALSE)/100, 0))</f>
        <v/>
      </c>
      <c r="S717" t="str">
        <f>IF(B717="","", IFERROR(SUMIFS(ベンチマークリターン!$C$2:$C$2001, ベンチマークリターン!$A$2:$A$2001, A717, ベンチマークリターン!$B$2:$B$2001, Q717) / 100, 0))</f>
        <v/>
      </c>
      <c r="T717" t="str">
        <f>IF(A717="","", SUMIFS($H$2:$H$2000, $A$2:$A$2000, A717))</f>
        <v/>
      </c>
      <c r="U717" t="str">
        <f t="shared" si="129"/>
        <v/>
      </c>
      <c r="V717" t="str">
        <f t="shared" si="130"/>
        <v/>
      </c>
      <c r="W717" t="str">
        <f t="shared" si="131"/>
        <v/>
      </c>
    </row>
    <row r="718" spans="1:23" x14ac:dyDescent="0.2">
      <c r="A718" s="4" t="str">
        <f>IF(ポートフォリオ実績!A719="","", ポートフォリオ実績!A719)</f>
        <v/>
      </c>
      <c r="B718" t="str">
        <f>IF(ポートフォリオ実績!B719="","", ポートフォリオ実績!B719)</f>
        <v/>
      </c>
      <c r="C718" s="10" t="str">
        <f>IF(ポートフォリオ実績!C719="","", ポートフォリオ実績!C719)</f>
        <v/>
      </c>
      <c r="D718" s="10" t="str">
        <f>IF(ポートフォリオ実績!D719="","", ポートフォリオ実績!D719)</f>
        <v/>
      </c>
      <c r="E718" s="10" t="str">
        <f>IF(ポートフォリオ実績!E719="","", ポートフォリオ実績!E719)</f>
        <v/>
      </c>
      <c r="F718" s="10" t="str">
        <f>IF(ポートフォリオ実績!F719="","", ポートフォリオ実績!F719)</f>
        <v/>
      </c>
      <c r="G718" t="str">
        <f t="shared" si="121"/>
        <v/>
      </c>
      <c r="H718">
        <f>IF(B718&lt;&gt;"", SUMIFS(ポートフォリオ実績!$D$2:$D$2001, ポートフォリオ実績!$B$2:$B$2001, B718, ポートフォリオ実績!$A$2:$A$2001, G718), 0)</f>
        <v>0</v>
      </c>
      <c r="I718">
        <f>IF(B718&lt;&gt;"", SUMIFS(ポートフォリオ実績!$C$2:$C$2001, ポートフォリオ実績!$B$2:$B$2001, B718, ポートフォリオ実績!$A$2:$A$2001, G718), 0)</f>
        <v>0</v>
      </c>
      <c r="J718">
        <f t="shared" si="122"/>
        <v>0</v>
      </c>
      <c r="K718">
        <f t="shared" si="123"/>
        <v>0</v>
      </c>
      <c r="L718">
        <f t="shared" si="124"/>
        <v>0</v>
      </c>
      <c r="M718">
        <f t="shared" si="125"/>
        <v>0</v>
      </c>
      <c r="N718">
        <f t="shared" si="126"/>
        <v>0</v>
      </c>
      <c r="O718">
        <f t="shared" si="127"/>
        <v>0</v>
      </c>
      <c r="P718" t="str">
        <f t="shared" si="128"/>
        <v/>
      </c>
      <c r="Q718" t="str">
        <f>IF(B718="","", IFERROR(VLOOKUP(B718, '基準資産配分（設定）'!$A$2:$C$2001, 3, FALSE), ""))</f>
        <v/>
      </c>
      <c r="R718" t="str">
        <f>IF(B718="","", IFERROR(VLOOKUP(B718, '基準資産配分（設定）'!$A$2:$C$2001, 2, FALSE)/100, 0))</f>
        <v/>
      </c>
      <c r="S718" t="str">
        <f>IF(B718="","", IFERROR(SUMIFS(ベンチマークリターン!$C$2:$C$2001, ベンチマークリターン!$A$2:$A$2001, A718, ベンチマークリターン!$B$2:$B$2001, Q718) / 100, 0))</f>
        <v/>
      </c>
      <c r="T718" t="str">
        <f>IF(A718="","", SUMIFS($H$2:$H$2000, $A$2:$A$2000, A718))</f>
        <v/>
      </c>
      <c r="U718" t="str">
        <f t="shared" si="129"/>
        <v/>
      </c>
      <c r="V718" t="str">
        <f t="shared" si="130"/>
        <v/>
      </c>
      <c r="W718" t="str">
        <f t="shared" si="131"/>
        <v/>
      </c>
    </row>
    <row r="719" spans="1:23" x14ac:dyDescent="0.2">
      <c r="A719" s="4" t="str">
        <f>IF(ポートフォリオ実績!A720="","", ポートフォリオ実績!A720)</f>
        <v/>
      </c>
      <c r="B719" t="str">
        <f>IF(ポートフォリオ実績!B720="","", ポートフォリオ実績!B720)</f>
        <v/>
      </c>
      <c r="C719" s="10" t="str">
        <f>IF(ポートフォリオ実績!C720="","", ポートフォリオ実績!C720)</f>
        <v/>
      </c>
      <c r="D719" s="10" t="str">
        <f>IF(ポートフォリオ実績!D720="","", ポートフォリオ実績!D720)</f>
        <v/>
      </c>
      <c r="E719" s="10" t="str">
        <f>IF(ポートフォリオ実績!E720="","", ポートフォリオ実績!E720)</f>
        <v/>
      </c>
      <c r="F719" s="10" t="str">
        <f>IF(ポートフォリオ実績!F720="","", ポートフォリオ実績!F720)</f>
        <v/>
      </c>
      <c r="G719" t="str">
        <f t="shared" si="121"/>
        <v/>
      </c>
      <c r="H719">
        <f>IF(B719&lt;&gt;"", SUMIFS(ポートフォリオ実績!$D$2:$D$2001, ポートフォリオ実績!$B$2:$B$2001, B719, ポートフォリオ実績!$A$2:$A$2001, G719), 0)</f>
        <v>0</v>
      </c>
      <c r="I719">
        <f>IF(B719&lt;&gt;"", SUMIFS(ポートフォリオ実績!$C$2:$C$2001, ポートフォリオ実績!$B$2:$B$2001, B719, ポートフォリオ実績!$A$2:$A$2001, G719), 0)</f>
        <v>0</v>
      </c>
      <c r="J719">
        <f t="shared" si="122"/>
        <v>0</v>
      </c>
      <c r="K719">
        <f t="shared" si="123"/>
        <v>0</v>
      </c>
      <c r="L719">
        <f t="shared" si="124"/>
        <v>0</v>
      </c>
      <c r="M719">
        <f t="shared" si="125"/>
        <v>0</v>
      </c>
      <c r="N719">
        <f t="shared" si="126"/>
        <v>0</v>
      </c>
      <c r="O719">
        <f t="shared" si="127"/>
        <v>0</v>
      </c>
      <c r="P719" t="str">
        <f t="shared" si="128"/>
        <v/>
      </c>
      <c r="Q719" t="str">
        <f>IF(B719="","", IFERROR(VLOOKUP(B719, '基準資産配分（設定）'!$A$2:$C$2001, 3, FALSE), ""))</f>
        <v/>
      </c>
      <c r="R719" t="str">
        <f>IF(B719="","", IFERROR(VLOOKUP(B719, '基準資産配分（設定）'!$A$2:$C$2001, 2, FALSE)/100, 0))</f>
        <v/>
      </c>
      <c r="S719" t="str">
        <f>IF(B719="","", IFERROR(SUMIFS(ベンチマークリターン!$C$2:$C$2001, ベンチマークリターン!$A$2:$A$2001, A719, ベンチマークリターン!$B$2:$B$2001, Q719) / 100, 0))</f>
        <v/>
      </c>
      <c r="T719" t="str">
        <f>IF(A719="","", SUMIFS($H$2:$H$2000, $A$2:$A$2000, A719))</f>
        <v/>
      </c>
      <c r="U719" t="str">
        <f t="shared" si="129"/>
        <v/>
      </c>
      <c r="V719" t="str">
        <f t="shared" si="130"/>
        <v/>
      </c>
      <c r="W719" t="str">
        <f t="shared" si="131"/>
        <v/>
      </c>
    </row>
    <row r="720" spans="1:23" x14ac:dyDescent="0.2">
      <c r="A720" s="4" t="str">
        <f>IF(ポートフォリオ実績!A721="","", ポートフォリオ実績!A721)</f>
        <v/>
      </c>
      <c r="B720" t="str">
        <f>IF(ポートフォリオ実績!B721="","", ポートフォリオ実績!B721)</f>
        <v/>
      </c>
      <c r="C720" s="10" t="str">
        <f>IF(ポートフォリオ実績!C721="","", ポートフォリオ実績!C721)</f>
        <v/>
      </c>
      <c r="D720" s="10" t="str">
        <f>IF(ポートフォリオ実績!D721="","", ポートフォリオ実績!D721)</f>
        <v/>
      </c>
      <c r="E720" s="10" t="str">
        <f>IF(ポートフォリオ実績!E721="","", ポートフォリオ実績!E721)</f>
        <v/>
      </c>
      <c r="F720" s="10" t="str">
        <f>IF(ポートフォリオ実績!F721="","", ポートフォリオ実績!F721)</f>
        <v/>
      </c>
      <c r="G720" t="str">
        <f t="shared" si="121"/>
        <v/>
      </c>
      <c r="H720">
        <f>IF(B720&lt;&gt;"", SUMIFS(ポートフォリオ実績!$D$2:$D$2001, ポートフォリオ実績!$B$2:$B$2001, B720, ポートフォリオ実績!$A$2:$A$2001, G720), 0)</f>
        <v>0</v>
      </c>
      <c r="I720">
        <f>IF(B720&lt;&gt;"", SUMIFS(ポートフォリオ実績!$C$2:$C$2001, ポートフォリオ実績!$B$2:$B$2001, B720, ポートフォリオ実績!$A$2:$A$2001, G720), 0)</f>
        <v>0</v>
      </c>
      <c r="J720">
        <f t="shared" si="122"/>
        <v>0</v>
      </c>
      <c r="K720">
        <f t="shared" si="123"/>
        <v>0</v>
      </c>
      <c r="L720">
        <f t="shared" si="124"/>
        <v>0</v>
      </c>
      <c r="M720">
        <f t="shared" si="125"/>
        <v>0</v>
      </c>
      <c r="N720">
        <f t="shared" si="126"/>
        <v>0</v>
      </c>
      <c r="O720">
        <f t="shared" si="127"/>
        <v>0</v>
      </c>
      <c r="P720" t="str">
        <f t="shared" si="128"/>
        <v/>
      </c>
      <c r="Q720" t="str">
        <f>IF(B720="","", IFERROR(VLOOKUP(B720, '基準資産配分（設定）'!$A$2:$C$2001, 3, FALSE), ""))</f>
        <v/>
      </c>
      <c r="R720" t="str">
        <f>IF(B720="","", IFERROR(VLOOKUP(B720, '基準資産配分（設定）'!$A$2:$C$2001, 2, FALSE)/100, 0))</f>
        <v/>
      </c>
      <c r="S720" t="str">
        <f>IF(B720="","", IFERROR(SUMIFS(ベンチマークリターン!$C$2:$C$2001, ベンチマークリターン!$A$2:$A$2001, A720, ベンチマークリターン!$B$2:$B$2001, Q720) / 100, 0))</f>
        <v/>
      </c>
      <c r="T720" t="str">
        <f>IF(A720="","", SUMIFS($H$2:$H$2000, $A$2:$A$2000, A720))</f>
        <v/>
      </c>
      <c r="U720" t="str">
        <f t="shared" si="129"/>
        <v/>
      </c>
      <c r="V720" t="str">
        <f t="shared" si="130"/>
        <v/>
      </c>
      <c r="W720" t="str">
        <f t="shared" si="131"/>
        <v/>
      </c>
    </row>
    <row r="721" spans="1:23" x14ac:dyDescent="0.2">
      <c r="A721" s="4" t="str">
        <f>IF(ポートフォリオ実績!A722="","", ポートフォリオ実績!A722)</f>
        <v/>
      </c>
      <c r="B721" t="str">
        <f>IF(ポートフォリオ実績!B722="","", ポートフォリオ実績!B722)</f>
        <v/>
      </c>
      <c r="C721" s="10" t="str">
        <f>IF(ポートフォリオ実績!C722="","", ポートフォリオ実績!C722)</f>
        <v/>
      </c>
      <c r="D721" s="10" t="str">
        <f>IF(ポートフォリオ実績!D722="","", ポートフォリオ実績!D722)</f>
        <v/>
      </c>
      <c r="E721" s="10" t="str">
        <f>IF(ポートフォリオ実績!E722="","", ポートフォリオ実績!E722)</f>
        <v/>
      </c>
      <c r="F721" s="10" t="str">
        <f>IF(ポートフォリオ実績!F722="","", ポートフォリオ実績!F722)</f>
        <v/>
      </c>
      <c r="G721" t="str">
        <f t="shared" si="121"/>
        <v/>
      </c>
      <c r="H721">
        <f>IF(B721&lt;&gt;"", SUMIFS(ポートフォリオ実績!$D$2:$D$2001, ポートフォリオ実績!$B$2:$B$2001, B721, ポートフォリオ実績!$A$2:$A$2001, G721), 0)</f>
        <v>0</v>
      </c>
      <c r="I721">
        <f>IF(B721&lt;&gt;"", SUMIFS(ポートフォリオ実績!$C$2:$C$2001, ポートフォリオ実績!$B$2:$B$2001, B721, ポートフォリオ実績!$A$2:$A$2001, G721), 0)</f>
        <v>0</v>
      </c>
      <c r="J721">
        <f t="shared" si="122"/>
        <v>0</v>
      </c>
      <c r="K721">
        <f t="shared" si="123"/>
        <v>0</v>
      </c>
      <c r="L721">
        <f t="shared" si="124"/>
        <v>0</v>
      </c>
      <c r="M721">
        <f t="shared" si="125"/>
        <v>0</v>
      </c>
      <c r="N721">
        <f t="shared" si="126"/>
        <v>0</v>
      </c>
      <c r="O721">
        <f t="shared" si="127"/>
        <v>0</v>
      </c>
      <c r="P721" t="str">
        <f t="shared" si="128"/>
        <v/>
      </c>
      <c r="Q721" t="str">
        <f>IF(B721="","", IFERROR(VLOOKUP(B721, '基準資産配分（設定）'!$A$2:$C$2001, 3, FALSE), ""))</f>
        <v/>
      </c>
      <c r="R721" t="str">
        <f>IF(B721="","", IFERROR(VLOOKUP(B721, '基準資産配分（設定）'!$A$2:$C$2001, 2, FALSE)/100, 0))</f>
        <v/>
      </c>
      <c r="S721" t="str">
        <f>IF(B721="","", IFERROR(SUMIFS(ベンチマークリターン!$C$2:$C$2001, ベンチマークリターン!$A$2:$A$2001, A721, ベンチマークリターン!$B$2:$B$2001, Q721) / 100, 0))</f>
        <v/>
      </c>
      <c r="T721" t="str">
        <f>IF(A721="","", SUMIFS($H$2:$H$2000, $A$2:$A$2000, A721))</f>
        <v/>
      </c>
      <c r="U721" t="str">
        <f t="shared" si="129"/>
        <v/>
      </c>
      <c r="V721" t="str">
        <f t="shared" si="130"/>
        <v/>
      </c>
      <c r="W721" t="str">
        <f t="shared" si="131"/>
        <v/>
      </c>
    </row>
    <row r="722" spans="1:23" x14ac:dyDescent="0.2">
      <c r="A722" s="4" t="str">
        <f>IF(ポートフォリオ実績!A723="","", ポートフォリオ実績!A723)</f>
        <v/>
      </c>
      <c r="B722" t="str">
        <f>IF(ポートフォリオ実績!B723="","", ポートフォリオ実績!B723)</f>
        <v/>
      </c>
      <c r="C722" s="10" t="str">
        <f>IF(ポートフォリオ実績!C723="","", ポートフォリオ実績!C723)</f>
        <v/>
      </c>
      <c r="D722" s="10" t="str">
        <f>IF(ポートフォリオ実績!D723="","", ポートフォリオ実績!D723)</f>
        <v/>
      </c>
      <c r="E722" s="10" t="str">
        <f>IF(ポートフォリオ実績!E723="","", ポートフォリオ実績!E723)</f>
        <v/>
      </c>
      <c r="F722" s="10" t="str">
        <f>IF(ポートフォリオ実績!F723="","", ポートフォリオ実績!F723)</f>
        <v/>
      </c>
      <c r="G722" t="str">
        <f t="shared" si="121"/>
        <v/>
      </c>
      <c r="H722">
        <f>IF(B722&lt;&gt;"", SUMIFS(ポートフォリオ実績!$D$2:$D$2001, ポートフォリオ実績!$B$2:$B$2001, B722, ポートフォリオ実績!$A$2:$A$2001, G722), 0)</f>
        <v>0</v>
      </c>
      <c r="I722">
        <f>IF(B722&lt;&gt;"", SUMIFS(ポートフォリオ実績!$C$2:$C$2001, ポートフォリオ実績!$B$2:$B$2001, B722, ポートフォリオ実績!$A$2:$A$2001, G722), 0)</f>
        <v>0</v>
      </c>
      <c r="J722">
        <f t="shared" si="122"/>
        <v>0</v>
      </c>
      <c r="K722">
        <f t="shared" si="123"/>
        <v>0</v>
      </c>
      <c r="L722">
        <f t="shared" si="124"/>
        <v>0</v>
      </c>
      <c r="M722">
        <f t="shared" si="125"/>
        <v>0</v>
      </c>
      <c r="N722">
        <f t="shared" si="126"/>
        <v>0</v>
      </c>
      <c r="O722">
        <f t="shared" si="127"/>
        <v>0</v>
      </c>
      <c r="P722" t="str">
        <f t="shared" si="128"/>
        <v/>
      </c>
      <c r="Q722" t="str">
        <f>IF(B722="","", IFERROR(VLOOKUP(B722, '基準資産配分（設定）'!$A$2:$C$2001, 3, FALSE), ""))</f>
        <v/>
      </c>
      <c r="R722" t="str">
        <f>IF(B722="","", IFERROR(VLOOKUP(B722, '基準資産配分（設定）'!$A$2:$C$2001, 2, FALSE)/100, 0))</f>
        <v/>
      </c>
      <c r="S722" t="str">
        <f>IF(B722="","", IFERROR(SUMIFS(ベンチマークリターン!$C$2:$C$2001, ベンチマークリターン!$A$2:$A$2001, A722, ベンチマークリターン!$B$2:$B$2001, Q722) / 100, 0))</f>
        <v/>
      </c>
      <c r="T722" t="str">
        <f>IF(A722="","", SUMIFS($H$2:$H$2000, $A$2:$A$2000, A722))</f>
        <v/>
      </c>
      <c r="U722" t="str">
        <f t="shared" si="129"/>
        <v/>
      </c>
      <c r="V722" t="str">
        <f t="shared" si="130"/>
        <v/>
      </c>
      <c r="W722" t="str">
        <f t="shared" si="131"/>
        <v/>
      </c>
    </row>
    <row r="723" spans="1:23" x14ac:dyDescent="0.2">
      <c r="A723" s="4" t="str">
        <f>IF(ポートフォリオ実績!A724="","", ポートフォリオ実績!A724)</f>
        <v/>
      </c>
      <c r="B723" t="str">
        <f>IF(ポートフォリオ実績!B724="","", ポートフォリオ実績!B724)</f>
        <v/>
      </c>
      <c r="C723" s="10" t="str">
        <f>IF(ポートフォリオ実績!C724="","", ポートフォリオ実績!C724)</f>
        <v/>
      </c>
      <c r="D723" s="10" t="str">
        <f>IF(ポートフォリオ実績!D724="","", ポートフォリオ実績!D724)</f>
        <v/>
      </c>
      <c r="E723" s="10" t="str">
        <f>IF(ポートフォリオ実績!E724="","", ポートフォリオ実績!E724)</f>
        <v/>
      </c>
      <c r="F723" s="10" t="str">
        <f>IF(ポートフォリオ実績!F724="","", ポートフォリオ実績!F724)</f>
        <v/>
      </c>
      <c r="G723" t="str">
        <f t="shared" si="121"/>
        <v/>
      </c>
      <c r="H723">
        <f>IF(B723&lt;&gt;"", SUMIFS(ポートフォリオ実績!$D$2:$D$2001, ポートフォリオ実績!$B$2:$B$2001, B723, ポートフォリオ実績!$A$2:$A$2001, G723), 0)</f>
        <v>0</v>
      </c>
      <c r="I723">
        <f>IF(B723&lt;&gt;"", SUMIFS(ポートフォリオ実績!$C$2:$C$2001, ポートフォリオ実績!$B$2:$B$2001, B723, ポートフォリオ実績!$A$2:$A$2001, G723), 0)</f>
        <v>0</v>
      </c>
      <c r="J723">
        <f t="shared" si="122"/>
        <v>0</v>
      </c>
      <c r="K723">
        <f t="shared" si="123"/>
        <v>0</v>
      </c>
      <c r="L723">
        <f t="shared" si="124"/>
        <v>0</v>
      </c>
      <c r="M723">
        <f t="shared" si="125"/>
        <v>0</v>
      </c>
      <c r="N723">
        <f t="shared" si="126"/>
        <v>0</v>
      </c>
      <c r="O723">
        <f t="shared" si="127"/>
        <v>0</v>
      </c>
      <c r="P723" t="str">
        <f t="shared" si="128"/>
        <v/>
      </c>
      <c r="Q723" t="str">
        <f>IF(B723="","", IFERROR(VLOOKUP(B723, '基準資産配分（設定）'!$A$2:$C$2001, 3, FALSE), ""))</f>
        <v/>
      </c>
      <c r="R723" t="str">
        <f>IF(B723="","", IFERROR(VLOOKUP(B723, '基準資産配分（設定）'!$A$2:$C$2001, 2, FALSE)/100, 0))</f>
        <v/>
      </c>
      <c r="S723" t="str">
        <f>IF(B723="","", IFERROR(SUMIFS(ベンチマークリターン!$C$2:$C$2001, ベンチマークリターン!$A$2:$A$2001, A723, ベンチマークリターン!$B$2:$B$2001, Q723) / 100, 0))</f>
        <v/>
      </c>
      <c r="T723" t="str">
        <f>IF(A723="","", SUMIFS($H$2:$H$2000, $A$2:$A$2000, A723))</f>
        <v/>
      </c>
      <c r="U723" t="str">
        <f t="shared" si="129"/>
        <v/>
      </c>
      <c r="V723" t="str">
        <f t="shared" si="130"/>
        <v/>
      </c>
      <c r="W723" t="str">
        <f t="shared" si="131"/>
        <v/>
      </c>
    </row>
    <row r="724" spans="1:23" x14ac:dyDescent="0.2">
      <c r="A724" s="4" t="str">
        <f>IF(ポートフォリオ実績!A725="","", ポートフォリオ実績!A725)</f>
        <v/>
      </c>
      <c r="B724" t="str">
        <f>IF(ポートフォリオ実績!B725="","", ポートフォリオ実績!B725)</f>
        <v/>
      </c>
      <c r="C724" s="10" t="str">
        <f>IF(ポートフォリオ実績!C725="","", ポートフォリオ実績!C725)</f>
        <v/>
      </c>
      <c r="D724" s="10" t="str">
        <f>IF(ポートフォリオ実績!D725="","", ポートフォリオ実績!D725)</f>
        <v/>
      </c>
      <c r="E724" s="10" t="str">
        <f>IF(ポートフォリオ実績!E725="","", ポートフォリオ実績!E725)</f>
        <v/>
      </c>
      <c r="F724" s="10" t="str">
        <f>IF(ポートフォリオ実績!F725="","", ポートフォリオ実績!F725)</f>
        <v/>
      </c>
      <c r="G724" t="str">
        <f t="shared" si="121"/>
        <v/>
      </c>
      <c r="H724">
        <f>IF(B724&lt;&gt;"", SUMIFS(ポートフォリオ実績!$D$2:$D$2001, ポートフォリオ実績!$B$2:$B$2001, B724, ポートフォリオ実績!$A$2:$A$2001, G724), 0)</f>
        <v>0</v>
      </c>
      <c r="I724">
        <f>IF(B724&lt;&gt;"", SUMIFS(ポートフォリオ実績!$C$2:$C$2001, ポートフォリオ実績!$B$2:$B$2001, B724, ポートフォリオ実績!$A$2:$A$2001, G724), 0)</f>
        <v>0</v>
      </c>
      <c r="J724">
        <f t="shared" si="122"/>
        <v>0</v>
      </c>
      <c r="K724">
        <f t="shared" si="123"/>
        <v>0</v>
      </c>
      <c r="L724">
        <f t="shared" si="124"/>
        <v>0</v>
      </c>
      <c r="M724">
        <f t="shared" si="125"/>
        <v>0</v>
      </c>
      <c r="N724">
        <f t="shared" si="126"/>
        <v>0</v>
      </c>
      <c r="O724">
        <f t="shared" si="127"/>
        <v>0</v>
      </c>
      <c r="P724" t="str">
        <f t="shared" si="128"/>
        <v/>
      </c>
      <c r="Q724" t="str">
        <f>IF(B724="","", IFERROR(VLOOKUP(B724, '基準資産配分（設定）'!$A$2:$C$2001, 3, FALSE), ""))</f>
        <v/>
      </c>
      <c r="R724" t="str">
        <f>IF(B724="","", IFERROR(VLOOKUP(B724, '基準資産配分（設定）'!$A$2:$C$2001, 2, FALSE)/100, 0))</f>
        <v/>
      </c>
      <c r="S724" t="str">
        <f>IF(B724="","", IFERROR(SUMIFS(ベンチマークリターン!$C$2:$C$2001, ベンチマークリターン!$A$2:$A$2001, A724, ベンチマークリターン!$B$2:$B$2001, Q724) / 100, 0))</f>
        <v/>
      </c>
      <c r="T724" t="str">
        <f>IF(A724="","", SUMIFS($H$2:$H$2000, $A$2:$A$2000, A724))</f>
        <v/>
      </c>
      <c r="U724" t="str">
        <f t="shared" si="129"/>
        <v/>
      </c>
      <c r="V724" t="str">
        <f t="shared" si="130"/>
        <v/>
      </c>
      <c r="W724" t="str">
        <f t="shared" si="131"/>
        <v/>
      </c>
    </row>
    <row r="725" spans="1:23" x14ac:dyDescent="0.2">
      <c r="A725" s="4" t="str">
        <f>IF(ポートフォリオ実績!A726="","", ポートフォリオ実績!A726)</f>
        <v/>
      </c>
      <c r="B725" t="str">
        <f>IF(ポートフォリオ実績!B726="","", ポートフォリオ実績!B726)</f>
        <v/>
      </c>
      <c r="C725" s="10" t="str">
        <f>IF(ポートフォリオ実績!C726="","", ポートフォリオ実績!C726)</f>
        <v/>
      </c>
      <c r="D725" s="10" t="str">
        <f>IF(ポートフォリオ実績!D726="","", ポートフォリオ実績!D726)</f>
        <v/>
      </c>
      <c r="E725" s="10" t="str">
        <f>IF(ポートフォリオ実績!E726="","", ポートフォリオ実績!E726)</f>
        <v/>
      </c>
      <c r="F725" s="10" t="str">
        <f>IF(ポートフォリオ実績!F726="","", ポートフォリオ実績!F726)</f>
        <v/>
      </c>
      <c r="G725" t="str">
        <f t="shared" si="121"/>
        <v/>
      </c>
      <c r="H725">
        <f>IF(B725&lt;&gt;"", SUMIFS(ポートフォリオ実績!$D$2:$D$2001, ポートフォリオ実績!$B$2:$B$2001, B725, ポートフォリオ実績!$A$2:$A$2001, G725), 0)</f>
        <v>0</v>
      </c>
      <c r="I725">
        <f>IF(B725&lt;&gt;"", SUMIFS(ポートフォリオ実績!$C$2:$C$2001, ポートフォリオ実績!$B$2:$B$2001, B725, ポートフォリオ実績!$A$2:$A$2001, G725), 0)</f>
        <v>0</v>
      </c>
      <c r="J725">
        <f t="shared" si="122"/>
        <v>0</v>
      </c>
      <c r="K725">
        <f t="shared" si="123"/>
        <v>0</v>
      </c>
      <c r="L725">
        <f t="shared" si="124"/>
        <v>0</v>
      </c>
      <c r="M725">
        <f t="shared" si="125"/>
        <v>0</v>
      </c>
      <c r="N725">
        <f t="shared" si="126"/>
        <v>0</v>
      </c>
      <c r="O725">
        <f t="shared" si="127"/>
        <v>0</v>
      </c>
      <c r="P725" t="str">
        <f t="shared" si="128"/>
        <v/>
      </c>
      <c r="Q725" t="str">
        <f>IF(B725="","", IFERROR(VLOOKUP(B725, '基準資産配分（設定）'!$A$2:$C$2001, 3, FALSE), ""))</f>
        <v/>
      </c>
      <c r="R725" t="str">
        <f>IF(B725="","", IFERROR(VLOOKUP(B725, '基準資産配分（設定）'!$A$2:$C$2001, 2, FALSE)/100, 0))</f>
        <v/>
      </c>
      <c r="S725" t="str">
        <f>IF(B725="","", IFERROR(SUMIFS(ベンチマークリターン!$C$2:$C$2001, ベンチマークリターン!$A$2:$A$2001, A725, ベンチマークリターン!$B$2:$B$2001, Q725) / 100, 0))</f>
        <v/>
      </c>
      <c r="T725" t="str">
        <f>IF(A725="","", SUMIFS($H$2:$H$2000, $A$2:$A$2000, A725))</f>
        <v/>
      </c>
      <c r="U725" t="str">
        <f t="shared" si="129"/>
        <v/>
      </c>
      <c r="V725" t="str">
        <f t="shared" si="130"/>
        <v/>
      </c>
      <c r="W725" t="str">
        <f t="shared" si="131"/>
        <v/>
      </c>
    </row>
    <row r="726" spans="1:23" x14ac:dyDescent="0.2">
      <c r="A726" s="4" t="str">
        <f>IF(ポートフォリオ実績!A727="","", ポートフォリオ実績!A727)</f>
        <v/>
      </c>
      <c r="B726" t="str">
        <f>IF(ポートフォリオ実績!B727="","", ポートフォリオ実績!B727)</f>
        <v/>
      </c>
      <c r="C726" s="10" t="str">
        <f>IF(ポートフォリオ実績!C727="","", ポートフォリオ実績!C727)</f>
        <v/>
      </c>
      <c r="D726" s="10" t="str">
        <f>IF(ポートフォリオ実績!D727="","", ポートフォリオ実績!D727)</f>
        <v/>
      </c>
      <c r="E726" s="10" t="str">
        <f>IF(ポートフォリオ実績!E727="","", ポートフォリオ実績!E727)</f>
        <v/>
      </c>
      <c r="F726" s="10" t="str">
        <f>IF(ポートフォリオ実績!F727="","", ポートフォリオ実績!F727)</f>
        <v/>
      </c>
      <c r="G726" t="str">
        <f t="shared" si="121"/>
        <v/>
      </c>
      <c r="H726">
        <f>IF(B726&lt;&gt;"", SUMIFS(ポートフォリオ実績!$D$2:$D$2001, ポートフォリオ実績!$B$2:$B$2001, B726, ポートフォリオ実績!$A$2:$A$2001, G726), 0)</f>
        <v>0</v>
      </c>
      <c r="I726">
        <f>IF(B726&lt;&gt;"", SUMIFS(ポートフォリオ実績!$C$2:$C$2001, ポートフォリオ実績!$B$2:$B$2001, B726, ポートフォリオ実績!$A$2:$A$2001, G726), 0)</f>
        <v>0</v>
      </c>
      <c r="J726">
        <f t="shared" si="122"/>
        <v>0</v>
      </c>
      <c r="K726">
        <f t="shared" si="123"/>
        <v>0</v>
      </c>
      <c r="L726">
        <f t="shared" si="124"/>
        <v>0</v>
      </c>
      <c r="M726">
        <f t="shared" si="125"/>
        <v>0</v>
      </c>
      <c r="N726">
        <f t="shared" si="126"/>
        <v>0</v>
      </c>
      <c r="O726">
        <f t="shared" si="127"/>
        <v>0</v>
      </c>
      <c r="P726" t="str">
        <f t="shared" si="128"/>
        <v/>
      </c>
      <c r="Q726" t="str">
        <f>IF(B726="","", IFERROR(VLOOKUP(B726, '基準資産配分（設定）'!$A$2:$C$2001, 3, FALSE), ""))</f>
        <v/>
      </c>
      <c r="R726" t="str">
        <f>IF(B726="","", IFERROR(VLOOKUP(B726, '基準資産配分（設定）'!$A$2:$C$2001, 2, FALSE)/100, 0))</f>
        <v/>
      </c>
      <c r="S726" t="str">
        <f>IF(B726="","", IFERROR(SUMIFS(ベンチマークリターン!$C$2:$C$2001, ベンチマークリターン!$A$2:$A$2001, A726, ベンチマークリターン!$B$2:$B$2001, Q726) / 100, 0))</f>
        <v/>
      </c>
      <c r="T726" t="str">
        <f>IF(A726="","", SUMIFS($H$2:$H$2000, $A$2:$A$2000, A726))</f>
        <v/>
      </c>
      <c r="U726" t="str">
        <f t="shared" si="129"/>
        <v/>
      </c>
      <c r="V726" t="str">
        <f t="shared" si="130"/>
        <v/>
      </c>
      <c r="W726" t="str">
        <f t="shared" si="131"/>
        <v/>
      </c>
    </row>
    <row r="727" spans="1:23" x14ac:dyDescent="0.2">
      <c r="A727" s="4" t="str">
        <f>IF(ポートフォリオ実績!A728="","", ポートフォリオ実績!A728)</f>
        <v/>
      </c>
      <c r="B727" t="str">
        <f>IF(ポートフォリオ実績!B728="","", ポートフォリオ実績!B728)</f>
        <v/>
      </c>
      <c r="C727" s="10" t="str">
        <f>IF(ポートフォリオ実績!C728="","", ポートフォリオ実績!C728)</f>
        <v/>
      </c>
      <c r="D727" s="10" t="str">
        <f>IF(ポートフォリオ実績!D728="","", ポートフォリオ実績!D728)</f>
        <v/>
      </c>
      <c r="E727" s="10" t="str">
        <f>IF(ポートフォリオ実績!E728="","", ポートフォリオ実績!E728)</f>
        <v/>
      </c>
      <c r="F727" s="10" t="str">
        <f>IF(ポートフォリオ実績!F728="","", ポートフォリオ実績!F728)</f>
        <v/>
      </c>
      <c r="G727" t="str">
        <f t="shared" si="121"/>
        <v/>
      </c>
      <c r="H727">
        <f>IF(B727&lt;&gt;"", SUMIFS(ポートフォリオ実績!$D$2:$D$2001, ポートフォリオ実績!$B$2:$B$2001, B727, ポートフォリオ実績!$A$2:$A$2001, G727), 0)</f>
        <v>0</v>
      </c>
      <c r="I727">
        <f>IF(B727&lt;&gt;"", SUMIFS(ポートフォリオ実績!$C$2:$C$2001, ポートフォリオ実績!$B$2:$B$2001, B727, ポートフォリオ実績!$A$2:$A$2001, G727), 0)</f>
        <v>0</v>
      </c>
      <c r="J727">
        <f t="shared" si="122"/>
        <v>0</v>
      </c>
      <c r="K727">
        <f t="shared" si="123"/>
        <v>0</v>
      </c>
      <c r="L727">
        <f t="shared" si="124"/>
        <v>0</v>
      </c>
      <c r="M727">
        <f t="shared" si="125"/>
        <v>0</v>
      </c>
      <c r="N727">
        <f t="shared" si="126"/>
        <v>0</v>
      </c>
      <c r="O727">
        <f t="shared" si="127"/>
        <v>0</v>
      </c>
      <c r="P727" t="str">
        <f t="shared" si="128"/>
        <v/>
      </c>
      <c r="Q727" t="str">
        <f>IF(B727="","", IFERROR(VLOOKUP(B727, '基準資産配分（設定）'!$A$2:$C$2001, 3, FALSE), ""))</f>
        <v/>
      </c>
      <c r="R727" t="str">
        <f>IF(B727="","", IFERROR(VLOOKUP(B727, '基準資産配分（設定）'!$A$2:$C$2001, 2, FALSE)/100, 0))</f>
        <v/>
      </c>
      <c r="S727" t="str">
        <f>IF(B727="","", IFERROR(SUMIFS(ベンチマークリターン!$C$2:$C$2001, ベンチマークリターン!$A$2:$A$2001, A727, ベンチマークリターン!$B$2:$B$2001, Q727) / 100, 0))</f>
        <v/>
      </c>
      <c r="T727" t="str">
        <f>IF(A727="","", SUMIFS($H$2:$H$2000, $A$2:$A$2000, A727))</f>
        <v/>
      </c>
      <c r="U727" t="str">
        <f t="shared" si="129"/>
        <v/>
      </c>
      <c r="V727" t="str">
        <f t="shared" si="130"/>
        <v/>
      </c>
      <c r="W727" t="str">
        <f t="shared" si="131"/>
        <v/>
      </c>
    </row>
    <row r="728" spans="1:23" x14ac:dyDescent="0.2">
      <c r="A728" s="4" t="str">
        <f>IF(ポートフォリオ実績!A729="","", ポートフォリオ実績!A729)</f>
        <v/>
      </c>
      <c r="B728" t="str">
        <f>IF(ポートフォリオ実績!B729="","", ポートフォリオ実績!B729)</f>
        <v/>
      </c>
      <c r="C728" s="10" t="str">
        <f>IF(ポートフォリオ実績!C729="","", ポートフォリオ実績!C729)</f>
        <v/>
      </c>
      <c r="D728" s="10" t="str">
        <f>IF(ポートフォリオ実績!D729="","", ポートフォリオ実績!D729)</f>
        <v/>
      </c>
      <c r="E728" s="10" t="str">
        <f>IF(ポートフォリオ実績!E729="","", ポートフォリオ実績!E729)</f>
        <v/>
      </c>
      <c r="F728" s="10" t="str">
        <f>IF(ポートフォリオ実績!F729="","", ポートフォリオ実績!F729)</f>
        <v/>
      </c>
      <c r="G728" t="str">
        <f t="shared" si="121"/>
        <v/>
      </c>
      <c r="H728">
        <f>IF(B728&lt;&gt;"", SUMIFS(ポートフォリオ実績!$D$2:$D$2001, ポートフォリオ実績!$B$2:$B$2001, B728, ポートフォリオ実績!$A$2:$A$2001, G728), 0)</f>
        <v>0</v>
      </c>
      <c r="I728">
        <f>IF(B728&lt;&gt;"", SUMIFS(ポートフォリオ実績!$C$2:$C$2001, ポートフォリオ実績!$B$2:$B$2001, B728, ポートフォリオ実績!$A$2:$A$2001, G728), 0)</f>
        <v>0</v>
      </c>
      <c r="J728">
        <f t="shared" si="122"/>
        <v>0</v>
      </c>
      <c r="K728">
        <f t="shared" si="123"/>
        <v>0</v>
      </c>
      <c r="L728">
        <f t="shared" si="124"/>
        <v>0</v>
      </c>
      <c r="M728">
        <f t="shared" si="125"/>
        <v>0</v>
      </c>
      <c r="N728">
        <f t="shared" si="126"/>
        <v>0</v>
      </c>
      <c r="O728">
        <f t="shared" si="127"/>
        <v>0</v>
      </c>
      <c r="P728" t="str">
        <f t="shared" si="128"/>
        <v/>
      </c>
      <c r="Q728" t="str">
        <f>IF(B728="","", IFERROR(VLOOKUP(B728, '基準資産配分（設定）'!$A$2:$C$2001, 3, FALSE), ""))</f>
        <v/>
      </c>
      <c r="R728" t="str">
        <f>IF(B728="","", IFERROR(VLOOKUP(B728, '基準資産配分（設定）'!$A$2:$C$2001, 2, FALSE)/100, 0))</f>
        <v/>
      </c>
      <c r="S728" t="str">
        <f>IF(B728="","", IFERROR(SUMIFS(ベンチマークリターン!$C$2:$C$2001, ベンチマークリターン!$A$2:$A$2001, A728, ベンチマークリターン!$B$2:$B$2001, Q728) / 100, 0))</f>
        <v/>
      </c>
      <c r="T728" t="str">
        <f>IF(A728="","", SUMIFS($H$2:$H$2000, $A$2:$A$2000, A728))</f>
        <v/>
      </c>
      <c r="U728" t="str">
        <f t="shared" si="129"/>
        <v/>
      </c>
      <c r="V728" t="str">
        <f t="shared" si="130"/>
        <v/>
      </c>
      <c r="W728" t="str">
        <f t="shared" si="131"/>
        <v/>
      </c>
    </row>
    <row r="729" spans="1:23" x14ac:dyDescent="0.2">
      <c r="A729" s="4" t="str">
        <f>IF(ポートフォリオ実績!A730="","", ポートフォリオ実績!A730)</f>
        <v/>
      </c>
      <c r="B729" t="str">
        <f>IF(ポートフォリオ実績!B730="","", ポートフォリオ実績!B730)</f>
        <v/>
      </c>
      <c r="C729" s="10" t="str">
        <f>IF(ポートフォリオ実績!C730="","", ポートフォリオ実績!C730)</f>
        <v/>
      </c>
      <c r="D729" s="10" t="str">
        <f>IF(ポートフォリオ実績!D730="","", ポートフォリオ実績!D730)</f>
        <v/>
      </c>
      <c r="E729" s="10" t="str">
        <f>IF(ポートフォリオ実績!E730="","", ポートフォリオ実績!E730)</f>
        <v/>
      </c>
      <c r="F729" s="10" t="str">
        <f>IF(ポートフォリオ実績!F730="","", ポートフォリオ実績!F730)</f>
        <v/>
      </c>
      <c r="G729" t="str">
        <f t="shared" si="121"/>
        <v/>
      </c>
      <c r="H729">
        <f>IF(B729&lt;&gt;"", SUMIFS(ポートフォリオ実績!$D$2:$D$2001, ポートフォリオ実績!$B$2:$B$2001, B729, ポートフォリオ実績!$A$2:$A$2001, G729), 0)</f>
        <v>0</v>
      </c>
      <c r="I729">
        <f>IF(B729&lt;&gt;"", SUMIFS(ポートフォリオ実績!$C$2:$C$2001, ポートフォリオ実績!$B$2:$B$2001, B729, ポートフォリオ実績!$A$2:$A$2001, G729), 0)</f>
        <v>0</v>
      </c>
      <c r="J729">
        <f t="shared" si="122"/>
        <v>0</v>
      </c>
      <c r="K729">
        <f t="shared" si="123"/>
        <v>0</v>
      </c>
      <c r="L729">
        <f t="shared" si="124"/>
        <v>0</v>
      </c>
      <c r="M729">
        <f t="shared" si="125"/>
        <v>0</v>
      </c>
      <c r="N729">
        <f t="shared" si="126"/>
        <v>0</v>
      </c>
      <c r="O729">
        <f t="shared" si="127"/>
        <v>0</v>
      </c>
      <c r="P729" t="str">
        <f t="shared" si="128"/>
        <v/>
      </c>
      <c r="Q729" t="str">
        <f>IF(B729="","", IFERROR(VLOOKUP(B729, '基準資産配分（設定）'!$A$2:$C$2001, 3, FALSE), ""))</f>
        <v/>
      </c>
      <c r="R729" t="str">
        <f>IF(B729="","", IFERROR(VLOOKUP(B729, '基準資産配分（設定）'!$A$2:$C$2001, 2, FALSE)/100, 0))</f>
        <v/>
      </c>
      <c r="S729" t="str">
        <f>IF(B729="","", IFERROR(SUMIFS(ベンチマークリターン!$C$2:$C$2001, ベンチマークリターン!$A$2:$A$2001, A729, ベンチマークリターン!$B$2:$B$2001, Q729) / 100, 0))</f>
        <v/>
      </c>
      <c r="T729" t="str">
        <f>IF(A729="","", SUMIFS($H$2:$H$2000, $A$2:$A$2000, A729))</f>
        <v/>
      </c>
      <c r="U729" t="str">
        <f t="shared" si="129"/>
        <v/>
      </c>
      <c r="V729" t="str">
        <f t="shared" si="130"/>
        <v/>
      </c>
      <c r="W729" t="str">
        <f t="shared" si="131"/>
        <v/>
      </c>
    </row>
    <row r="730" spans="1:23" x14ac:dyDescent="0.2">
      <c r="A730" s="4" t="str">
        <f>IF(ポートフォリオ実績!A731="","", ポートフォリオ実績!A731)</f>
        <v/>
      </c>
      <c r="B730" t="str">
        <f>IF(ポートフォリオ実績!B731="","", ポートフォリオ実績!B731)</f>
        <v/>
      </c>
      <c r="C730" s="10" t="str">
        <f>IF(ポートフォリオ実績!C731="","", ポートフォリオ実績!C731)</f>
        <v/>
      </c>
      <c r="D730" s="10" t="str">
        <f>IF(ポートフォリオ実績!D731="","", ポートフォリオ実績!D731)</f>
        <v/>
      </c>
      <c r="E730" s="10" t="str">
        <f>IF(ポートフォリオ実績!E731="","", ポートフォリオ実績!E731)</f>
        <v/>
      </c>
      <c r="F730" s="10" t="str">
        <f>IF(ポートフォリオ実績!F731="","", ポートフォリオ実績!F731)</f>
        <v/>
      </c>
      <c r="G730" t="str">
        <f t="shared" si="121"/>
        <v/>
      </c>
      <c r="H730">
        <f>IF(B730&lt;&gt;"", SUMIFS(ポートフォリオ実績!$D$2:$D$2001, ポートフォリオ実績!$B$2:$B$2001, B730, ポートフォリオ実績!$A$2:$A$2001, G730), 0)</f>
        <v>0</v>
      </c>
      <c r="I730">
        <f>IF(B730&lt;&gt;"", SUMIFS(ポートフォリオ実績!$C$2:$C$2001, ポートフォリオ実績!$B$2:$B$2001, B730, ポートフォリオ実績!$A$2:$A$2001, G730), 0)</f>
        <v>0</v>
      </c>
      <c r="J730">
        <f t="shared" si="122"/>
        <v>0</v>
      </c>
      <c r="K730">
        <f t="shared" si="123"/>
        <v>0</v>
      </c>
      <c r="L730">
        <f t="shared" si="124"/>
        <v>0</v>
      </c>
      <c r="M730">
        <f t="shared" si="125"/>
        <v>0</v>
      </c>
      <c r="N730">
        <f t="shared" si="126"/>
        <v>0</v>
      </c>
      <c r="O730">
        <f t="shared" si="127"/>
        <v>0</v>
      </c>
      <c r="P730" t="str">
        <f t="shared" si="128"/>
        <v/>
      </c>
      <c r="Q730" t="str">
        <f>IF(B730="","", IFERROR(VLOOKUP(B730, '基準資産配分（設定）'!$A$2:$C$2001, 3, FALSE), ""))</f>
        <v/>
      </c>
      <c r="R730" t="str">
        <f>IF(B730="","", IFERROR(VLOOKUP(B730, '基準資産配分（設定）'!$A$2:$C$2001, 2, FALSE)/100, 0))</f>
        <v/>
      </c>
      <c r="S730" t="str">
        <f>IF(B730="","", IFERROR(SUMIFS(ベンチマークリターン!$C$2:$C$2001, ベンチマークリターン!$A$2:$A$2001, A730, ベンチマークリターン!$B$2:$B$2001, Q730) / 100, 0))</f>
        <v/>
      </c>
      <c r="T730" t="str">
        <f>IF(A730="","", SUMIFS($H$2:$H$2000, $A$2:$A$2000, A730))</f>
        <v/>
      </c>
      <c r="U730" t="str">
        <f t="shared" si="129"/>
        <v/>
      </c>
      <c r="V730" t="str">
        <f t="shared" si="130"/>
        <v/>
      </c>
      <c r="W730" t="str">
        <f t="shared" si="131"/>
        <v/>
      </c>
    </row>
    <row r="731" spans="1:23" x14ac:dyDescent="0.2">
      <c r="A731" s="4" t="str">
        <f>IF(ポートフォリオ実績!A732="","", ポートフォリオ実績!A732)</f>
        <v/>
      </c>
      <c r="B731" t="str">
        <f>IF(ポートフォリオ実績!B732="","", ポートフォリオ実績!B732)</f>
        <v/>
      </c>
      <c r="C731" s="10" t="str">
        <f>IF(ポートフォリオ実績!C732="","", ポートフォリオ実績!C732)</f>
        <v/>
      </c>
      <c r="D731" s="10" t="str">
        <f>IF(ポートフォリオ実績!D732="","", ポートフォリオ実績!D732)</f>
        <v/>
      </c>
      <c r="E731" s="10" t="str">
        <f>IF(ポートフォリオ実績!E732="","", ポートフォリオ実績!E732)</f>
        <v/>
      </c>
      <c r="F731" s="10" t="str">
        <f>IF(ポートフォリオ実績!F732="","", ポートフォリオ実績!F732)</f>
        <v/>
      </c>
      <c r="G731" t="str">
        <f t="shared" si="121"/>
        <v/>
      </c>
      <c r="H731">
        <f>IF(B731&lt;&gt;"", SUMIFS(ポートフォリオ実績!$D$2:$D$2001, ポートフォリオ実績!$B$2:$B$2001, B731, ポートフォリオ実績!$A$2:$A$2001, G731), 0)</f>
        <v>0</v>
      </c>
      <c r="I731">
        <f>IF(B731&lt;&gt;"", SUMIFS(ポートフォリオ実績!$C$2:$C$2001, ポートフォリオ実績!$B$2:$B$2001, B731, ポートフォリオ実績!$A$2:$A$2001, G731), 0)</f>
        <v>0</v>
      </c>
      <c r="J731">
        <f t="shared" si="122"/>
        <v>0</v>
      </c>
      <c r="K731">
        <f t="shared" si="123"/>
        <v>0</v>
      </c>
      <c r="L731">
        <f t="shared" si="124"/>
        <v>0</v>
      </c>
      <c r="M731">
        <f t="shared" si="125"/>
        <v>0</v>
      </c>
      <c r="N731">
        <f t="shared" si="126"/>
        <v>0</v>
      </c>
      <c r="O731">
        <f t="shared" si="127"/>
        <v>0</v>
      </c>
      <c r="P731" t="str">
        <f t="shared" si="128"/>
        <v/>
      </c>
      <c r="Q731" t="str">
        <f>IF(B731="","", IFERROR(VLOOKUP(B731, '基準資産配分（設定）'!$A$2:$C$2001, 3, FALSE), ""))</f>
        <v/>
      </c>
      <c r="R731" t="str">
        <f>IF(B731="","", IFERROR(VLOOKUP(B731, '基準資産配分（設定）'!$A$2:$C$2001, 2, FALSE)/100, 0))</f>
        <v/>
      </c>
      <c r="S731" t="str">
        <f>IF(B731="","", IFERROR(SUMIFS(ベンチマークリターン!$C$2:$C$2001, ベンチマークリターン!$A$2:$A$2001, A731, ベンチマークリターン!$B$2:$B$2001, Q731) / 100, 0))</f>
        <v/>
      </c>
      <c r="T731" t="str">
        <f>IF(A731="","", SUMIFS($H$2:$H$2000, $A$2:$A$2000, A731))</f>
        <v/>
      </c>
      <c r="U731" t="str">
        <f t="shared" si="129"/>
        <v/>
      </c>
      <c r="V731" t="str">
        <f t="shared" si="130"/>
        <v/>
      </c>
      <c r="W731" t="str">
        <f t="shared" si="131"/>
        <v/>
      </c>
    </row>
    <row r="732" spans="1:23" x14ac:dyDescent="0.2">
      <c r="A732" s="4" t="str">
        <f>IF(ポートフォリオ実績!A733="","", ポートフォリオ実績!A733)</f>
        <v/>
      </c>
      <c r="B732" t="str">
        <f>IF(ポートフォリオ実績!B733="","", ポートフォリオ実績!B733)</f>
        <v/>
      </c>
      <c r="C732" s="10" t="str">
        <f>IF(ポートフォリオ実績!C733="","", ポートフォリオ実績!C733)</f>
        <v/>
      </c>
      <c r="D732" s="10" t="str">
        <f>IF(ポートフォリオ実績!D733="","", ポートフォリオ実績!D733)</f>
        <v/>
      </c>
      <c r="E732" s="10" t="str">
        <f>IF(ポートフォリオ実績!E733="","", ポートフォリオ実績!E733)</f>
        <v/>
      </c>
      <c r="F732" s="10" t="str">
        <f>IF(ポートフォリオ実績!F733="","", ポートフォリオ実績!F733)</f>
        <v/>
      </c>
      <c r="G732" t="str">
        <f t="shared" si="121"/>
        <v/>
      </c>
      <c r="H732">
        <f>IF(B732&lt;&gt;"", SUMIFS(ポートフォリオ実績!$D$2:$D$2001, ポートフォリオ実績!$B$2:$B$2001, B732, ポートフォリオ実績!$A$2:$A$2001, G732), 0)</f>
        <v>0</v>
      </c>
      <c r="I732">
        <f>IF(B732&lt;&gt;"", SUMIFS(ポートフォリオ実績!$C$2:$C$2001, ポートフォリオ実績!$B$2:$B$2001, B732, ポートフォリオ実績!$A$2:$A$2001, G732), 0)</f>
        <v>0</v>
      </c>
      <c r="J732">
        <f t="shared" si="122"/>
        <v>0</v>
      </c>
      <c r="K732">
        <f t="shared" si="123"/>
        <v>0</v>
      </c>
      <c r="L732">
        <f t="shared" si="124"/>
        <v>0</v>
      </c>
      <c r="M732">
        <f t="shared" si="125"/>
        <v>0</v>
      </c>
      <c r="N732">
        <f t="shared" si="126"/>
        <v>0</v>
      </c>
      <c r="O732">
        <f t="shared" si="127"/>
        <v>0</v>
      </c>
      <c r="P732" t="str">
        <f t="shared" si="128"/>
        <v/>
      </c>
      <c r="Q732" t="str">
        <f>IF(B732="","", IFERROR(VLOOKUP(B732, '基準資産配分（設定）'!$A$2:$C$2001, 3, FALSE), ""))</f>
        <v/>
      </c>
      <c r="R732" t="str">
        <f>IF(B732="","", IFERROR(VLOOKUP(B732, '基準資産配分（設定）'!$A$2:$C$2001, 2, FALSE)/100, 0))</f>
        <v/>
      </c>
      <c r="S732" t="str">
        <f>IF(B732="","", IFERROR(SUMIFS(ベンチマークリターン!$C$2:$C$2001, ベンチマークリターン!$A$2:$A$2001, A732, ベンチマークリターン!$B$2:$B$2001, Q732) / 100, 0))</f>
        <v/>
      </c>
      <c r="T732" t="str">
        <f>IF(A732="","", SUMIFS($H$2:$H$2000, $A$2:$A$2000, A732))</f>
        <v/>
      </c>
      <c r="U732" t="str">
        <f t="shared" si="129"/>
        <v/>
      </c>
      <c r="V732" t="str">
        <f t="shared" si="130"/>
        <v/>
      </c>
      <c r="W732" t="str">
        <f t="shared" si="131"/>
        <v/>
      </c>
    </row>
    <row r="733" spans="1:23" x14ac:dyDescent="0.2">
      <c r="A733" s="4" t="str">
        <f>IF(ポートフォリオ実績!A734="","", ポートフォリオ実績!A734)</f>
        <v/>
      </c>
      <c r="B733" t="str">
        <f>IF(ポートフォリオ実績!B734="","", ポートフォリオ実績!B734)</f>
        <v/>
      </c>
      <c r="C733" s="10" t="str">
        <f>IF(ポートフォリオ実績!C734="","", ポートフォリオ実績!C734)</f>
        <v/>
      </c>
      <c r="D733" s="10" t="str">
        <f>IF(ポートフォリオ実績!D734="","", ポートフォリオ実績!D734)</f>
        <v/>
      </c>
      <c r="E733" s="10" t="str">
        <f>IF(ポートフォリオ実績!E734="","", ポートフォリオ実績!E734)</f>
        <v/>
      </c>
      <c r="F733" s="10" t="str">
        <f>IF(ポートフォリオ実績!F734="","", ポートフォリオ実績!F734)</f>
        <v/>
      </c>
      <c r="G733" t="str">
        <f t="shared" si="121"/>
        <v/>
      </c>
      <c r="H733">
        <f>IF(B733&lt;&gt;"", SUMIFS(ポートフォリオ実績!$D$2:$D$2001, ポートフォリオ実績!$B$2:$B$2001, B733, ポートフォリオ実績!$A$2:$A$2001, G733), 0)</f>
        <v>0</v>
      </c>
      <c r="I733">
        <f>IF(B733&lt;&gt;"", SUMIFS(ポートフォリオ実績!$C$2:$C$2001, ポートフォリオ実績!$B$2:$B$2001, B733, ポートフォリオ実績!$A$2:$A$2001, G733), 0)</f>
        <v>0</v>
      </c>
      <c r="J733">
        <f t="shared" si="122"/>
        <v>0</v>
      </c>
      <c r="K733">
        <f t="shared" si="123"/>
        <v>0</v>
      </c>
      <c r="L733">
        <f t="shared" si="124"/>
        <v>0</v>
      </c>
      <c r="M733">
        <f t="shared" si="125"/>
        <v>0</v>
      </c>
      <c r="N733">
        <f t="shared" si="126"/>
        <v>0</v>
      </c>
      <c r="O733">
        <f t="shared" si="127"/>
        <v>0</v>
      </c>
      <c r="P733" t="str">
        <f t="shared" si="128"/>
        <v/>
      </c>
      <c r="Q733" t="str">
        <f>IF(B733="","", IFERROR(VLOOKUP(B733, '基準資産配分（設定）'!$A$2:$C$2001, 3, FALSE), ""))</f>
        <v/>
      </c>
      <c r="R733" t="str">
        <f>IF(B733="","", IFERROR(VLOOKUP(B733, '基準資産配分（設定）'!$A$2:$C$2001, 2, FALSE)/100, 0))</f>
        <v/>
      </c>
      <c r="S733" t="str">
        <f>IF(B733="","", IFERROR(SUMIFS(ベンチマークリターン!$C$2:$C$2001, ベンチマークリターン!$A$2:$A$2001, A733, ベンチマークリターン!$B$2:$B$2001, Q733) / 100, 0))</f>
        <v/>
      </c>
      <c r="T733" t="str">
        <f>IF(A733="","", SUMIFS($H$2:$H$2000, $A$2:$A$2000, A733))</f>
        <v/>
      </c>
      <c r="U733" t="str">
        <f t="shared" si="129"/>
        <v/>
      </c>
      <c r="V733" t="str">
        <f t="shared" si="130"/>
        <v/>
      </c>
      <c r="W733" t="str">
        <f t="shared" si="131"/>
        <v/>
      </c>
    </row>
    <row r="734" spans="1:23" x14ac:dyDescent="0.2">
      <c r="A734" s="4" t="str">
        <f>IF(ポートフォリオ実績!A735="","", ポートフォリオ実績!A735)</f>
        <v/>
      </c>
      <c r="B734" t="str">
        <f>IF(ポートフォリオ実績!B735="","", ポートフォリオ実績!B735)</f>
        <v/>
      </c>
      <c r="C734" s="10" t="str">
        <f>IF(ポートフォリオ実績!C735="","", ポートフォリオ実績!C735)</f>
        <v/>
      </c>
      <c r="D734" s="10" t="str">
        <f>IF(ポートフォリオ実績!D735="","", ポートフォリオ実績!D735)</f>
        <v/>
      </c>
      <c r="E734" s="10" t="str">
        <f>IF(ポートフォリオ実績!E735="","", ポートフォリオ実績!E735)</f>
        <v/>
      </c>
      <c r="F734" s="10" t="str">
        <f>IF(ポートフォリオ実績!F735="","", ポートフォリオ実績!F735)</f>
        <v/>
      </c>
      <c r="G734" t="str">
        <f t="shared" si="121"/>
        <v/>
      </c>
      <c r="H734">
        <f>IF(B734&lt;&gt;"", SUMIFS(ポートフォリオ実績!$D$2:$D$2001, ポートフォリオ実績!$B$2:$B$2001, B734, ポートフォリオ実績!$A$2:$A$2001, G734), 0)</f>
        <v>0</v>
      </c>
      <c r="I734">
        <f>IF(B734&lt;&gt;"", SUMIFS(ポートフォリオ実績!$C$2:$C$2001, ポートフォリオ実績!$B$2:$B$2001, B734, ポートフォリオ実績!$A$2:$A$2001, G734), 0)</f>
        <v>0</v>
      </c>
      <c r="J734">
        <f t="shared" si="122"/>
        <v>0</v>
      </c>
      <c r="K734">
        <f t="shared" si="123"/>
        <v>0</v>
      </c>
      <c r="L734">
        <f t="shared" si="124"/>
        <v>0</v>
      </c>
      <c r="M734">
        <f t="shared" si="125"/>
        <v>0</v>
      </c>
      <c r="N734">
        <f t="shared" si="126"/>
        <v>0</v>
      </c>
      <c r="O734">
        <f t="shared" si="127"/>
        <v>0</v>
      </c>
      <c r="P734" t="str">
        <f t="shared" si="128"/>
        <v/>
      </c>
      <c r="Q734" t="str">
        <f>IF(B734="","", IFERROR(VLOOKUP(B734, '基準資産配分（設定）'!$A$2:$C$2001, 3, FALSE), ""))</f>
        <v/>
      </c>
      <c r="R734" t="str">
        <f>IF(B734="","", IFERROR(VLOOKUP(B734, '基準資産配分（設定）'!$A$2:$C$2001, 2, FALSE)/100, 0))</f>
        <v/>
      </c>
      <c r="S734" t="str">
        <f>IF(B734="","", IFERROR(SUMIFS(ベンチマークリターン!$C$2:$C$2001, ベンチマークリターン!$A$2:$A$2001, A734, ベンチマークリターン!$B$2:$B$2001, Q734) / 100, 0))</f>
        <v/>
      </c>
      <c r="T734" t="str">
        <f>IF(A734="","", SUMIFS($H$2:$H$2000, $A$2:$A$2000, A734))</f>
        <v/>
      </c>
      <c r="U734" t="str">
        <f t="shared" si="129"/>
        <v/>
      </c>
      <c r="V734" t="str">
        <f t="shared" si="130"/>
        <v/>
      </c>
      <c r="W734" t="str">
        <f t="shared" si="131"/>
        <v/>
      </c>
    </row>
    <row r="735" spans="1:23" x14ac:dyDescent="0.2">
      <c r="A735" s="4" t="str">
        <f>IF(ポートフォリオ実績!A736="","", ポートフォリオ実績!A736)</f>
        <v/>
      </c>
      <c r="B735" t="str">
        <f>IF(ポートフォリオ実績!B736="","", ポートフォリオ実績!B736)</f>
        <v/>
      </c>
      <c r="C735" s="10" t="str">
        <f>IF(ポートフォリオ実績!C736="","", ポートフォリオ実績!C736)</f>
        <v/>
      </c>
      <c r="D735" s="10" t="str">
        <f>IF(ポートフォリオ実績!D736="","", ポートフォリオ実績!D736)</f>
        <v/>
      </c>
      <c r="E735" s="10" t="str">
        <f>IF(ポートフォリオ実績!E736="","", ポートフォリオ実績!E736)</f>
        <v/>
      </c>
      <c r="F735" s="10" t="str">
        <f>IF(ポートフォリオ実績!F736="","", ポートフォリオ実績!F736)</f>
        <v/>
      </c>
      <c r="G735" t="str">
        <f t="shared" si="121"/>
        <v/>
      </c>
      <c r="H735">
        <f>IF(B735&lt;&gt;"", SUMIFS(ポートフォリオ実績!$D$2:$D$2001, ポートフォリオ実績!$B$2:$B$2001, B735, ポートフォリオ実績!$A$2:$A$2001, G735), 0)</f>
        <v>0</v>
      </c>
      <c r="I735">
        <f>IF(B735&lt;&gt;"", SUMIFS(ポートフォリオ実績!$C$2:$C$2001, ポートフォリオ実績!$B$2:$B$2001, B735, ポートフォリオ実績!$A$2:$A$2001, G735), 0)</f>
        <v>0</v>
      </c>
      <c r="J735">
        <f t="shared" si="122"/>
        <v>0</v>
      </c>
      <c r="K735">
        <f t="shared" si="123"/>
        <v>0</v>
      </c>
      <c r="L735">
        <f t="shared" si="124"/>
        <v>0</v>
      </c>
      <c r="M735">
        <f t="shared" si="125"/>
        <v>0</v>
      </c>
      <c r="N735">
        <f t="shared" si="126"/>
        <v>0</v>
      </c>
      <c r="O735">
        <f t="shared" si="127"/>
        <v>0</v>
      </c>
      <c r="P735" t="str">
        <f t="shared" si="128"/>
        <v/>
      </c>
      <c r="Q735" t="str">
        <f>IF(B735="","", IFERROR(VLOOKUP(B735, '基準資産配分（設定）'!$A$2:$C$2001, 3, FALSE), ""))</f>
        <v/>
      </c>
      <c r="R735" t="str">
        <f>IF(B735="","", IFERROR(VLOOKUP(B735, '基準資産配分（設定）'!$A$2:$C$2001, 2, FALSE)/100, 0))</f>
        <v/>
      </c>
      <c r="S735" t="str">
        <f>IF(B735="","", IFERROR(SUMIFS(ベンチマークリターン!$C$2:$C$2001, ベンチマークリターン!$A$2:$A$2001, A735, ベンチマークリターン!$B$2:$B$2001, Q735) / 100, 0))</f>
        <v/>
      </c>
      <c r="T735" t="str">
        <f>IF(A735="","", SUMIFS($H$2:$H$2000, $A$2:$A$2000, A735))</f>
        <v/>
      </c>
      <c r="U735" t="str">
        <f t="shared" si="129"/>
        <v/>
      </c>
      <c r="V735" t="str">
        <f t="shared" si="130"/>
        <v/>
      </c>
      <c r="W735" t="str">
        <f t="shared" si="131"/>
        <v/>
      </c>
    </row>
    <row r="736" spans="1:23" x14ac:dyDescent="0.2">
      <c r="A736" s="4" t="str">
        <f>IF(ポートフォリオ実績!A737="","", ポートフォリオ実績!A737)</f>
        <v/>
      </c>
      <c r="B736" t="str">
        <f>IF(ポートフォリオ実績!B737="","", ポートフォリオ実績!B737)</f>
        <v/>
      </c>
      <c r="C736" s="10" t="str">
        <f>IF(ポートフォリオ実績!C737="","", ポートフォリオ実績!C737)</f>
        <v/>
      </c>
      <c r="D736" s="10" t="str">
        <f>IF(ポートフォリオ実績!D737="","", ポートフォリオ実績!D737)</f>
        <v/>
      </c>
      <c r="E736" s="10" t="str">
        <f>IF(ポートフォリオ実績!E737="","", ポートフォリオ実績!E737)</f>
        <v/>
      </c>
      <c r="F736" s="10" t="str">
        <f>IF(ポートフォリオ実績!F737="","", ポートフォリオ実績!F737)</f>
        <v/>
      </c>
      <c r="G736" t="str">
        <f t="shared" si="121"/>
        <v/>
      </c>
      <c r="H736">
        <f>IF(B736&lt;&gt;"", SUMIFS(ポートフォリオ実績!$D$2:$D$2001, ポートフォリオ実績!$B$2:$B$2001, B736, ポートフォリオ実績!$A$2:$A$2001, G736), 0)</f>
        <v>0</v>
      </c>
      <c r="I736">
        <f>IF(B736&lt;&gt;"", SUMIFS(ポートフォリオ実績!$C$2:$C$2001, ポートフォリオ実績!$B$2:$B$2001, B736, ポートフォリオ実績!$A$2:$A$2001, G736), 0)</f>
        <v>0</v>
      </c>
      <c r="J736">
        <f t="shared" si="122"/>
        <v>0</v>
      </c>
      <c r="K736">
        <f t="shared" si="123"/>
        <v>0</v>
      </c>
      <c r="L736">
        <f t="shared" si="124"/>
        <v>0</v>
      </c>
      <c r="M736">
        <f t="shared" si="125"/>
        <v>0</v>
      </c>
      <c r="N736">
        <f t="shared" si="126"/>
        <v>0</v>
      </c>
      <c r="O736">
        <f t="shared" si="127"/>
        <v>0</v>
      </c>
      <c r="P736" t="str">
        <f t="shared" si="128"/>
        <v/>
      </c>
      <c r="Q736" t="str">
        <f>IF(B736="","", IFERROR(VLOOKUP(B736, '基準資産配分（設定）'!$A$2:$C$2001, 3, FALSE), ""))</f>
        <v/>
      </c>
      <c r="R736" t="str">
        <f>IF(B736="","", IFERROR(VLOOKUP(B736, '基準資産配分（設定）'!$A$2:$C$2001, 2, FALSE)/100, 0))</f>
        <v/>
      </c>
      <c r="S736" t="str">
        <f>IF(B736="","", IFERROR(SUMIFS(ベンチマークリターン!$C$2:$C$2001, ベンチマークリターン!$A$2:$A$2001, A736, ベンチマークリターン!$B$2:$B$2001, Q736) / 100, 0))</f>
        <v/>
      </c>
      <c r="T736" t="str">
        <f>IF(A736="","", SUMIFS($H$2:$H$2000, $A$2:$A$2000, A736))</f>
        <v/>
      </c>
      <c r="U736" t="str">
        <f t="shared" si="129"/>
        <v/>
      </c>
      <c r="V736" t="str">
        <f t="shared" si="130"/>
        <v/>
      </c>
      <c r="W736" t="str">
        <f t="shared" si="131"/>
        <v/>
      </c>
    </row>
    <row r="737" spans="1:23" x14ac:dyDescent="0.2">
      <c r="A737" s="4" t="str">
        <f>IF(ポートフォリオ実績!A738="","", ポートフォリオ実績!A738)</f>
        <v/>
      </c>
      <c r="B737" t="str">
        <f>IF(ポートフォリオ実績!B738="","", ポートフォリオ実績!B738)</f>
        <v/>
      </c>
      <c r="C737" s="10" t="str">
        <f>IF(ポートフォリオ実績!C738="","", ポートフォリオ実績!C738)</f>
        <v/>
      </c>
      <c r="D737" s="10" t="str">
        <f>IF(ポートフォリオ実績!D738="","", ポートフォリオ実績!D738)</f>
        <v/>
      </c>
      <c r="E737" s="10" t="str">
        <f>IF(ポートフォリオ実績!E738="","", ポートフォリオ実績!E738)</f>
        <v/>
      </c>
      <c r="F737" s="10" t="str">
        <f>IF(ポートフォリオ実績!F738="","", ポートフォリオ実績!F738)</f>
        <v/>
      </c>
      <c r="G737" t="str">
        <f t="shared" si="121"/>
        <v/>
      </c>
      <c r="H737">
        <f>IF(B737&lt;&gt;"", SUMIFS(ポートフォリオ実績!$D$2:$D$2001, ポートフォリオ実績!$B$2:$B$2001, B737, ポートフォリオ実績!$A$2:$A$2001, G737), 0)</f>
        <v>0</v>
      </c>
      <c r="I737">
        <f>IF(B737&lt;&gt;"", SUMIFS(ポートフォリオ実績!$C$2:$C$2001, ポートフォリオ実績!$B$2:$B$2001, B737, ポートフォリオ実績!$A$2:$A$2001, G737), 0)</f>
        <v>0</v>
      </c>
      <c r="J737">
        <f t="shared" si="122"/>
        <v>0</v>
      </c>
      <c r="K737">
        <f t="shared" si="123"/>
        <v>0</v>
      </c>
      <c r="L737">
        <f t="shared" si="124"/>
        <v>0</v>
      </c>
      <c r="M737">
        <f t="shared" si="125"/>
        <v>0</v>
      </c>
      <c r="N737">
        <f t="shared" si="126"/>
        <v>0</v>
      </c>
      <c r="O737">
        <f t="shared" si="127"/>
        <v>0</v>
      </c>
      <c r="P737" t="str">
        <f t="shared" si="128"/>
        <v/>
      </c>
      <c r="Q737" t="str">
        <f>IF(B737="","", IFERROR(VLOOKUP(B737, '基準資産配分（設定）'!$A$2:$C$2001, 3, FALSE), ""))</f>
        <v/>
      </c>
      <c r="R737" t="str">
        <f>IF(B737="","", IFERROR(VLOOKUP(B737, '基準資産配分（設定）'!$A$2:$C$2001, 2, FALSE)/100, 0))</f>
        <v/>
      </c>
      <c r="S737" t="str">
        <f>IF(B737="","", IFERROR(SUMIFS(ベンチマークリターン!$C$2:$C$2001, ベンチマークリターン!$A$2:$A$2001, A737, ベンチマークリターン!$B$2:$B$2001, Q737) / 100, 0))</f>
        <v/>
      </c>
      <c r="T737" t="str">
        <f>IF(A737="","", SUMIFS($H$2:$H$2000, $A$2:$A$2000, A737))</f>
        <v/>
      </c>
      <c r="U737" t="str">
        <f t="shared" si="129"/>
        <v/>
      </c>
      <c r="V737" t="str">
        <f t="shared" si="130"/>
        <v/>
      </c>
      <c r="W737" t="str">
        <f t="shared" si="131"/>
        <v/>
      </c>
    </row>
    <row r="738" spans="1:23" x14ac:dyDescent="0.2">
      <c r="A738" s="4" t="str">
        <f>IF(ポートフォリオ実績!A739="","", ポートフォリオ実績!A739)</f>
        <v/>
      </c>
      <c r="B738" t="str">
        <f>IF(ポートフォリオ実績!B739="","", ポートフォリオ実績!B739)</f>
        <v/>
      </c>
      <c r="C738" s="10" t="str">
        <f>IF(ポートフォリオ実績!C739="","", ポートフォリオ実績!C739)</f>
        <v/>
      </c>
      <c r="D738" s="10" t="str">
        <f>IF(ポートフォリオ実績!D739="","", ポートフォリオ実績!D739)</f>
        <v/>
      </c>
      <c r="E738" s="10" t="str">
        <f>IF(ポートフォリオ実績!E739="","", ポートフォリオ実績!E739)</f>
        <v/>
      </c>
      <c r="F738" s="10" t="str">
        <f>IF(ポートフォリオ実績!F739="","", ポートフォリオ実績!F739)</f>
        <v/>
      </c>
      <c r="G738" t="str">
        <f t="shared" si="121"/>
        <v/>
      </c>
      <c r="H738">
        <f>IF(B738&lt;&gt;"", SUMIFS(ポートフォリオ実績!$D$2:$D$2001, ポートフォリオ実績!$B$2:$B$2001, B738, ポートフォリオ実績!$A$2:$A$2001, G738), 0)</f>
        <v>0</v>
      </c>
      <c r="I738">
        <f>IF(B738&lt;&gt;"", SUMIFS(ポートフォリオ実績!$C$2:$C$2001, ポートフォリオ実績!$B$2:$B$2001, B738, ポートフォリオ実績!$A$2:$A$2001, G738), 0)</f>
        <v>0</v>
      </c>
      <c r="J738">
        <f t="shared" si="122"/>
        <v>0</v>
      </c>
      <c r="K738">
        <f t="shared" si="123"/>
        <v>0</v>
      </c>
      <c r="L738">
        <f t="shared" si="124"/>
        <v>0</v>
      </c>
      <c r="M738">
        <f t="shared" si="125"/>
        <v>0</v>
      </c>
      <c r="N738">
        <f t="shared" si="126"/>
        <v>0</v>
      </c>
      <c r="O738">
        <f t="shared" si="127"/>
        <v>0</v>
      </c>
      <c r="P738" t="str">
        <f t="shared" si="128"/>
        <v/>
      </c>
      <c r="Q738" t="str">
        <f>IF(B738="","", IFERROR(VLOOKUP(B738, '基準資産配分（設定）'!$A$2:$C$2001, 3, FALSE), ""))</f>
        <v/>
      </c>
      <c r="R738" t="str">
        <f>IF(B738="","", IFERROR(VLOOKUP(B738, '基準資産配分（設定）'!$A$2:$C$2001, 2, FALSE)/100, 0))</f>
        <v/>
      </c>
      <c r="S738" t="str">
        <f>IF(B738="","", IFERROR(SUMIFS(ベンチマークリターン!$C$2:$C$2001, ベンチマークリターン!$A$2:$A$2001, A738, ベンチマークリターン!$B$2:$B$2001, Q738) / 100, 0))</f>
        <v/>
      </c>
      <c r="T738" t="str">
        <f>IF(A738="","", SUMIFS($H$2:$H$2000, $A$2:$A$2000, A738))</f>
        <v/>
      </c>
      <c r="U738" t="str">
        <f t="shared" si="129"/>
        <v/>
      </c>
      <c r="V738" t="str">
        <f t="shared" si="130"/>
        <v/>
      </c>
      <c r="W738" t="str">
        <f t="shared" si="131"/>
        <v/>
      </c>
    </row>
    <row r="739" spans="1:23" x14ac:dyDescent="0.2">
      <c r="A739" s="4" t="str">
        <f>IF(ポートフォリオ実績!A740="","", ポートフォリオ実績!A740)</f>
        <v/>
      </c>
      <c r="B739" t="str">
        <f>IF(ポートフォリオ実績!B740="","", ポートフォリオ実績!B740)</f>
        <v/>
      </c>
      <c r="C739" s="10" t="str">
        <f>IF(ポートフォリオ実績!C740="","", ポートフォリオ実績!C740)</f>
        <v/>
      </c>
      <c r="D739" s="10" t="str">
        <f>IF(ポートフォリオ実績!D740="","", ポートフォリオ実績!D740)</f>
        <v/>
      </c>
      <c r="E739" s="10" t="str">
        <f>IF(ポートフォリオ実績!E740="","", ポートフォリオ実績!E740)</f>
        <v/>
      </c>
      <c r="F739" s="10" t="str">
        <f>IF(ポートフォリオ実績!F740="","", ポートフォリオ実績!F740)</f>
        <v/>
      </c>
      <c r="G739" t="str">
        <f t="shared" si="121"/>
        <v/>
      </c>
      <c r="H739">
        <f>IF(B739&lt;&gt;"", SUMIFS(ポートフォリオ実績!$D$2:$D$2001, ポートフォリオ実績!$B$2:$B$2001, B739, ポートフォリオ実績!$A$2:$A$2001, G739), 0)</f>
        <v>0</v>
      </c>
      <c r="I739">
        <f>IF(B739&lt;&gt;"", SUMIFS(ポートフォリオ実績!$C$2:$C$2001, ポートフォリオ実績!$B$2:$B$2001, B739, ポートフォリオ実績!$A$2:$A$2001, G739), 0)</f>
        <v>0</v>
      </c>
      <c r="J739">
        <f t="shared" si="122"/>
        <v>0</v>
      </c>
      <c r="K739">
        <f t="shared" si="123"/>
        <v>0</v>
      </c>
      <c r="L739">
        <f t="shared" si="124"/>
        <v>0</v>
      </c>
      <c r="M739">
        <f t="shared" si="125"/>
        <v>0</v>
      </c>
      <c r="N739">
        <f t="shared" si="126"/>
        <v>0</v>
      </c>
      <c r="O739">
        <f t="shared" si="127"/>
        <v>0</v>
      </c>
      <c r="P739" t="str">
        <f t="shared" si="128"/>
        <v/>
      </c>
      <c r="Q739" t="str">
        <f>IF(B739="","", IFERROR(VLOOKUP(B739, '基準資産配分（設定）'!$A$2:$C$2001, 3, FALSE), ""))</f>
        <v/>
      </c>
      <c r="R739" t="str">
        <f>IF(B739="","", IFERROR(VLOOKUP(B739, '基準資産配分（設定）'!$A$2:$C$2001, 2, FALSE)/100, 0))</f>
        <v/>
      </c>
      <c r="S739" t="str">
        <f>IF(B739="","", IFERROR(SUMIFS(ベンチマークリターン!$C$2:$C$2001, ベンチマークリターン!$A$2:$A$2001, A739, ベンチマークリターン!$B$2:$B$2001, Q739) / 100, 0))</f>
        <v/>
      </c>
      <c r="T739" t="str">
        <f>IF(A739="","", SUMIFS($H$2:$H$2000, $A$2:$A$2000, A739))</f>
        <v/>
      </c>
      <c r="U739" t="str">
        <f t="shared" si="129"/>
        <v/>
      </c>
      <c r="V739" t="str">
        <f t="shared" si="130"/>
        <v/>
      </c>
      <c r="W739" t="str">
        <f t="shared" si="131"/>
        <v/>
      </c>
    </row>
    <row r="740" spans="1:23" x14ac:dyDescent="0.2">
      <c r="A740" s="4" t="str">
        <f>IF(ポートフォリオ実績!A741="","", ポートフォリオ実績!A741)</f>
        <v/>
      </c>
      <c r="B740" t="str">
        <f>IF(ポートフォリオ実績!B741="","", ポートフォリオ実績!B741)</f>
        <v/>
      </c>
      <c r="C740" s="10" t="str">
        <f>IF(ポートフォリオ実績!C741="","", ポートフォリオ実績!C741)</f>
        <v/>
      </c>
      <c r="D740" s="10" t="str">
        <f>IF(ポートフォリオ実績!D741="","", ポートフォリオ実績!D741)</f>
        <v/>
      </c>
      <c r="E740" s="10" t="str">
        <f>IF(ポートフォリオ実績!E741="","", ポートフォリオ実績!E741)</f>
        <v/>
      </c>
      <c r="F740" s="10" t="str">
        <f>IF(ポートフォリオ実績!F741="","", ポートフォリオ実績!F741)</f>
        <v/>
      </c>
      <c r="G740" t="str">
        <f t="shared" si="121"/>
        <v/>
      </c>
      <c r="H740">
        <f>IF(B740&lt;&gt;"", SUMIFS(ポートフォリオ実績!$D$2:$D$2001, ポートフォリオ実績!$B$2:$B$2001, B740, ポートフォリオ実績!$A$2:$A$2001, G740), 0)</f>
        <v>0</v>
      </c>
      <c r="I740">
        <f>IF(B740&lt;&gt;"", SUMIFS(ポートフォリオ実績!$C$2:$C$2001, ポートフォリオ実績!$B$2:$B$2001, B740, ポートフォリオ実績!$A$2:$A$2001, G740), 0)</f>
        <v>0</v>
      </c>
      <c r="J740">
        <f t="shared" si="122"/>
        <v>0</v>
      </c>
      <c r="K740">
        <f t="shared" si="123"/>
        <v>0</v>
      </c>
      <c r="L740">
        <f t="shared" si="124"/>
        <v>0</v>
      </c>
      <c r="M740">
        <f t="shared" si="125"/>
        <v>0</v>
      </c>
      <c r="N740">
        <f t="shared" si="126"/>
        <v>0</v>
      </c>
      <c r="O740">
        <f t="shared" si="127"/>
        <v>0</v>
      </c>
      <c r="P740" t="str">
        <f t="shared" si="128"/>
        <v/>
      </c>
      <c r="Q740" t="str">
        <f>IF(B740="","", IFERROR(VLOOKUP(B740, '基準資産配分（設定）'!$A$2:$C$2001, 3, FALSE), ""))</f>
        <v/>
      </c>
      <c r="R740" t="str">
        <f>IF(B740="","", IFERROR(VLOOKUP(B740, '基準資産配分（設定）'!$A$2:$C$2001, 2, FALSE)/100, 0))</f>
        <v/>
      </c>
      <c r="S740" t="str">
        <f>IF(B740="","", IFERROR(SUMIFS(ベンチマークリターン!$C$2:$C$2001, ベンチマークリターン!$A$2:$A$2001, A740, ベンチマークリターン!$B$2:$B$2001, Q740) / 100, 0))</f>
        <v/>
      </c>
      <c r="T740" t="str">
        <f>IF(A740="","", SUMIFS($H$2:$H$2000, $A$2:$A$2000, A740))</f>
        <v/>
      </c>
      <c r="U740" t="str">
        <f t="shared" si="129"/>
        <v/>
      </c>
      <c r="V740" t="str">
        <f t="shared" si="130"/>
        <v/>
      </c>
      <c r="W740" t="str">
        <f t="shared" si="131"/>
        <v/>
      </c>
    </row>
    <row r="741" spans="1:23" x14ac:dyDescent="0.2">
      <c r="A741" s="4" t="str">
        <f>IF(ポートフォリオ実績!A742="","", ポートフォリオ実績!A742)</f>
        <v/>
      </c>
      <c r="B741" t="str">
        <f>IF(ポートフォリオ実績!B742="","", ポートフォリオ実績!B742)</f>
        <v/>
      </c>
      <c r="C741" s="10" t="str">
        <f>IF(ポートフォリオ実績!C742="","", ポートフォリオ実績!C742)</f>
        <v/>
      </c>
      <c r="D741" s="10" t="str">
        <f>IF(ポートフォリオ実績!D742="","", ポートフォリオ実績!D742)</f>
        <v/>
      </c>
      <c r="E741" s="10" t="str">
        <f>IF(ポートフォリオ実績!E742="","", ポートフォリオ実績!E742)</f>
        <v/>
      </c>
      <c r="F741" s="10" t="str">
        <f>IF(ポートフォリオ実績!F742="","", ポートフォリオ実績!F742)</f>
        <v/>
      </c>
      <c r="G741" t="str">
        <f t="shared" si="121"/>
        <v/>
      </c>
      <c r="H741">
        <f>IF(B741&lt;&gt;"", SUMIFS(ポートフォリオ実績!$D$2:$D$2001, ポートフォリオ実績!$B$2:$B$2001, B741, ポートフォリオ実績!$A$2:$A$2001, G741), 0)</f>
        <v>0</v>
      </c>
      <c r="I741">
        <f>IF(B741&lt;&gt;"", SUMIFS(ポートフォリオ実績!$C$2:$C$2001, ポートフォリオ実績!$B$2:$B$2001, B741, ポートフォリオ実績!$A$2:$A$2001, G741), 0)</f>
        <v>0</v>
      </c>
      <c r="J741">
        <f t="shared" si="122"/>
        <v>0</v>
      </c>
      <c r="K741">
        <f t="shared" si="123"/>
        <v>0</v>
      </c>
      <c r="L741">
        <f t="shared" si="124"/>
        <v>0</v>
      </c>
      <c r="M741">
        <f t="shared" si="125"/>
        <v>0</v>
      </c>
      <c r="N741">
        <f t="shared" si="126"/>
        <v>0</v>
      </c>
      <c r="O741">
        <f t="shared" si="127"/>
        <v>0</v>
      </c>
      <c r="P741" t="str">
        <f t="shared" si="128"/>
        <v/>
      </c>
      <c r="Q741" t="str">
        <f>IF(B741="","", IFERROR(VLOOKUP(B741, '基準資産配分（設定）'!$A$2:$C$2001, 3, FALSE), ""))</f>
        <v/>
      </c>
      <c r="R741" t="str">
        <f>IF(B741="","", IFERROR(VLOOKUP(B741, '基準資産配分（設定）'!$A$2:$C$2001, 2, FALSE)/100, 0))</f>
        <v/>
      </c>
      <c r="S741" t="str">
        <f>IF(B741="","", IFERROR(SUMIFS(ベンチマークリターン!$C$2:$C$2001, ベンチマークリターン!$A$2:$A$2001, A741, ベンチマークリターン!$B$2:$B$2001, Q741) / 100, 0))</f>
        <v/>
      </c>
      <c r="T741" t="str">
        <f>IF(A741="","", SUMIFS($H$2:$H$2000, $A$2:$A$2000, A741))</f>
        <v/>
      </c>
      <c r="U741" t="str">
        <f t="shared" si="129"/>
        <v/>
      </c>
      <c r="V741" t="str">
        <f t="shared" si="130"/>
        <v/>
      </c>
      <c r="W741" t="str">
        <f t="shared" si="131"/>
        <v/>
      </c>
    </row>
    <row r="742" spans="1:23" x14ac:dyDescent="0.2">
      <c r="A742" s="4" t="str">
        <f>IF(ポートフォリオ実績!A743="","", ポートフォリオ実績!A743)</f>
        <v/>
      </c>
      <c r="B742" t="str">
        <f>IF(ポートフォリオ実績!B743="","", ポートフォリオ実績!B743)</f>
        <v/>
      </c>
      <c r="C742" s="10" t="str">
        <f>IF(ポートフォリオ実績!C743="","", ポートフォリオ実績!C743)</f>
        <v/>
      </c>
      <c r="D742" s="10" t="str">
        <f>IF(ポートフォリオ実績!D743="","", ポートフォリオ実績!D743)</f>
        <v/>
      </c>
      <c r="E742" s="10" t="str">
        <f>IF(ポートフォリオ実績!E743="","", ポートフォリオ実績!E743)</f>
        <v/>
      </c>
      <c r="F742" s="10" t="str">
        <f>IF(ポートフォリオ実績!F743="","", ポートフォリオ実績!F743)</f>
        <v/>
      </c>
      <c r="G742" t="str">
        <f t="shared" si="121"/>
        <v/>
      </c>
      <c r="H742">
        <f>IF(B742&lt;&gt;"", SUMIFS(ポートフォリオ実績!$D$2:$D$2001, ポートフォリオ実績!$B$2:$B$2001, B742, ポートフォリオ実績!$A$2:$A$2001, G742), 0)</f>
        <v>0</v>
      </c>
      <c r="I742">
        <f>IF(B742&lt;&gt;"", SUMIFS(ポートフォリオ実績!$C$2:$C$2001, ポートフォリオ実績!$B$2:$B$2001, B742, ポートフォリオ実績!$A$2:$A$2001, G742), 0)</f>
        <v>0</v>
      </c>
      <c r="J742">
        <f t="shared" si="122"/>
        <v>0</v>
      </c>
      <c r="K742">
        <f t="shared" si="123"/>
        <v>0</v>
      </c>
      <c r="L742">
        <f t="shared" si="124"/>
        <v>0</v>
      </c>
      <c r="M742">
        <f t="shared" si="125"/>
        <v>0</v>
      </c>
      <c r="N742">
        <f t="shared" si="126"/>
        <v>0</v>
      </c>
      <c r="O742">
        <f t="shared" si="127"/>
        <v>0</v>
      </c>
      <c r="P742" t="str">
        <f t="shared" si="128"/>
        <v/>
      </c>
      <c r="Q742" t="str">
        <f>IF(B742="","", IFERROR(VLOOKUP(B742, '基準資産配分（設定）'!$A$2:$C$2001, 3, FALSE), ""))</f>
        <v/>
      </c>
      <c r="R742" t="str">
        <f>IF(B742="","", IFERROR(VLOOKUP(B742, '基準資産配分（設定）'!$A$2:$C$2001, 2, FALSE)/100, 0))</f>
        <v/>
      </c>
      <c r="S742" t="str">
        <f>IF(B742="","", IFERROR(SUMIFS(ベンチマークリターン!$C$2:$C$2001, ベンチマークリターン!$A$2:$A$2001, A742, ベンチマークリターン!$B$2:$B$2001, Q742) / 100, 0))</f>
        <v/>
      </c>
      <c r="T742" t="str">
        <f>IF(A742="","", SUMIFS($H$2:$H$2000, $A$2:$A$2000, A742))</f>
        <v/>
      </c>
      <c r="U742" t="str">
        <f t="shared" si="129"/>
        <v/>
      </c>
      <c r="V742" t="str">
        <f t="shared" si="130"/>
        <v/>
      </c>
      <c r="W742" t="str">
        <f t="shared" si="131"/>
        <v/>
      </c>
    </row>
    <row r="743" spans="1:23" x14ac:dyDescent="0.2">
      <c r="A743" s="4" t="str">
        <f>IF(ポートフォリオ実績!A744="","", ポートフォリオ実績!A744)</f>
        <v/>
      </c>
      <c r="B743" t="str">
        <f>IF(ポートフォリオ実績!B744="","", ポートフォリオ実績!B744)</f>
        <v/>
      </c>
      <c r="C743" s="10" t="str">
        <f>IF(ポートフォリオ実績!C744="","", ポートフォリオ実績!C744)</f>
        <v/>
      </c>
      <c r="D743" s="10" t="str">
        <f>IF(ポートフォリオ実績!D744="","", ポートフォリオ実績!D744)</f>
        <v/>
      </c>
      <c r="E743" s="10" t="str">
        <f>IF(ポートフォリオ実績!E744="","", ポートフォリオ実績!E744)</f>
        <v/>
      </c>
      <c r="F743" s="10" t="str">
        <f>IF(ポートフォリオ実績!F744="","", ポートフォリオ実績!F744)</f>
        <v/>
      </c>
      <c r="G743" t="str">
        <f t="shared" si="121"/>
        <v/>
      </c>
      <c r="H743">
        <f>IF(B743&lt;&gt;"", SUMIFS(ポートフォリオ実績!$D$2:$D$2001, ポートフォリオ実績!$B$2:$B$2001, B743, ポートフォリオ実績!$A$2:$A$2001, G743), 0)</f>
        <v>0</v>
      </c>
      <c r="I743">
        <f>IF(B743&lt;&gt;"", SUMIFS(ポートフォリオ実績!$C$2:$C$2001, ポートフォリオ実績!$B$2:$B$2001, B743, ポートフォリオ実績!$A$2:$A$2001, G743), 0)</f>
        <v>0</v>
      </c>
      <c r="J743">
        <f t="shared" si="122"/>
        <v>0</v>
      </c>
      <c r="K743">
        <f t="shared" si="123"/>
        <v>0</v>
      </c>
      <c r="L743">
        <f t="shared" si="124"/>
        <v>0</v>
      </c>
      <c r="M743">
        <f t="shared" si="125"/>
        <v>0</v>
      </c>
      <c r="N743">
        <f t="shared" si="126"/>
        <v>0</v>
      </c>
      <c r="O743">
        <f t="shared" si="127"/>
        <v>0</v>
      </c>
      <c r="P743" t="str">
        <f t="shared" si="128"/>
        <v/>
      </c>
      <c r="Q743" t="str">
        <f>IF(B743="","", IFERROR(VLOOKUP(B743, '基準資産配分（設定）'!$A$2:$C$2001, 3, FALSE), ""))</f>
        <v/>
      </c>
      <c r="R743" t="str">
        <f>IF(B743="","", IFERROR(VLOOKUP(B743, '基準資産配分（設定）'!$A$2:$C$2001, 2, FALSE)/100, 0))</f>
        <v/>
      </c>
      <c r="S743" t="str">
        <f>IF(B743="","", IFERROR(SUMIFS(ベンチマークリターン!$C$2:$C$2001, ベンチマークリターン!$A$2:$A$2001, A743, ベンチマークリターン!$B$2:$B$2001, Q743) / 100, 0))</f>
        <v/>
      </c>
      <c r="T743" t="str">
        <f>IF(A743="","", SUMIFS($H$2:$H$2000, $A$2:$A$2000, A743))</f>
        <v/>
      </c>
      <c r="U743" t="str">
        <f t="shared" si="129"/>
        <v/>
      </c>
      <c r="V743" t="str">
        <f t="shared" si="130"/>
        <v/>
      </c>
      <c r="W743" t="str">
        <f t="shared" si="131"/>
        <v/>
      </c>
    </row>
    <row r="744" spans="1:23" x14ac:dyDescent="0.2">
      <c r="A744" s="4" t="str">
        <f>IF(ポートフォリオ実績!A745="","", ポートフォリオ実績!A745)</f>
        <v/>
      </c>
      <c r="B744" t="str">
        <f>IF(ポートフォリオ実績!B745="","", ポートフォリオ実績!B745)</f>
        <v/>
      </c>
      <c r="C744" s="10" t="str">
        <f>IF(ポートフォリオ実績!C745="","", ポートフォリオ実績!C745)</f>
        <v/>
      </c>
      <c r="D744" s="10" t="str">
        <f>IF(ポートフォリオ実績!D745="","", ポートフォリオ実績!D745)</f>
        <v/>
      </c>
      <c r="E744" s="10" t="str">
        <f>IF(ポートフォリオ実績!E745="","", ポートフォリオ実績!E745)</f>
        <v/>
      </c>
      <c r="F744" s="10" t="str">
        <f>IF(ポートフォリオ実績!F745="","", ポートフォリオ実績!F745)</f>
        <v/>
      </c>
      <c r="G744" t="str">
        <f t="shared" si="121"/>
        <v/>
      </c>
      <c r="H744">
        <f>IF(B744&lt;&gt;"", SUMIFS(ポートフォリオ実績!$D$2:$D$2001, ポートフォリオ実績!$B$2:$B$2001, B744, ポートフォリオ実績!$A$2:$A$2001, G744), 0)</f>
        <v>0</v>
      </c>
      <c r="I744">
        <f>IF(B744&lt;&gt;"", SUMIFS(ポートフォリオ実績!$C$2:$C$2001, ポートフォリオ実績!$B$2:$B$2001, B744, ポートフォリオ実績!$A$2:$A$2001, G744), 0)</f>
        <v>0</v>
      </c>
      <c r="J744">
        <f t="shared" si="122"/>
        <v>0</v>
      </c>
      <c r="K744">
        <f t="shared" si="123"/>
        <v>0</v>
      </c>
      <c r="L744">
        <f t="shared" si="124"/>
        <v>0</v>
      </c>
      <c r="M744">
        <f t="shared" si="125"/>
        <v>0</v>
      </c>
      <c r="N744">
        <f t="shared" si="126"/>
        <v>0</v>
      </c>
      <c r="O744">
        <f t="shared" si="127"/>
        <v>0</v>
      </c>
      <c r="P744" t="str">
        <f t="shared" si="128"/>
        <v/>
      </c>
      <c r="Q744" t="str">
        <f>IF(B744="","", IFERROR(VLOOKUP(B744, '基準資産配分（設定）'!$A$2:$C$2001, 3, FALSE), ""))</f>
        <v/>
      </c>
      <c r="R744" t="str">
        <f>IF(B744="","", IFERROR(VLOOKUP(B744, '基準資産配分（設定）'!$A$2:$C$2001, 2, FALSE)/100, 0))</f>
        <v/>
      </c>
      <c r="S744" t="str">
        <f>IF(B744="","", IFERROR(SUMIFS(ベンチマークリターン!$C$2:$C$2001, ベンチマークリターン!$A$2:$A$2001, A744, ベンチマークリターン!$B$2:$B$2001, Q744) / 100, 0))</f>
        <v/>
      </c>
      <c r="T744" t="str">
        <f>IF(A744="","", SUMIFS($H$2:$H$2000, $A$2:$A$2000, A744))</f>
        <v/>
      </c>
      <c r="U744" t="str">
        <f t="shared" si="129"/>
        <v/>
      </c>
      <c r="V744" t="str">
        <f t="shared" si="130"/>
        <v/>
      </c>
      <c r="W744" t="str">
        <f t="shared" si="131"/>
        <v/>
      </c>
    </row>
    <row r="745" spans="1:23" x14ac:dyDescent="0.2">
      <c r="A745" s="4" t="str">
        <f>IF(ポートフォリオ実績!A746="","", ポートフォリオ実績!A746)</f>
        <v/>
      </c>
      <c r="B745" t="str">
        <f>IF(ポートフォリオ実績!B746="","", ポートフォリオ実績!B746)</f>
        <v/>
      </c>
      <c r="C745" s="10" t="str">
        <f>IF(ポートフォリオ実績!C746="","", ポートフォリオ実績!C746)</f>
        <v/>
      </c>
      <c r="D745" s="10" t="str">
        <f>IF(ポートフォリオ実績!D746="","", ポートフォリオ実績!D746)</f>
        <v/>
      </c>
      <c r="E745" s="10" t="str">
        <f>IF(ポートフォリオ実績!E746="","", ポートフォリオ実績!E746)</f>
        <v/>
      </c>
      <c r="F745" s="10" t="str">
        <f>IF(ポートフォリオ実績!F746="","", ポートフォリオ実績!F746)</f>
        <v/>
      </c>
      <c r="G745" t="str">
        <f t="shared" si="121"/>
        <v/>
      </c>
      <c r="H745">
        <f>IF(B745&lt;&gt;"", SUMIFS(ポートフォリオ実績!$D$2:$D$2001, ポートフォリオ実績!$B$2:$B$2001, B745, ポートフォリオ実績!$A$2:$A$2001, G745), 0)</f>
        <v>0</v>
      </c>
      <c r="I745">
        <f>IF(B745&lt;&gt;"", SUMIFS(ポートフォリオ実績!$C$2:$C$2001, ポートフォリオ実績!$B$2:$B$2001, B745, ポートフォリオ実績!$A$2:$A$2001, G745), 0)</f>
        <v>0</v>
      </c>
      <c r="J745">
        <f t="shared" si="122"/>
        <v>0</v>
      </c>
      <c r="K745">
        <f t="shared" si="123"/>
        <v>0</v>
      </c>
      <c r="L745">
        <f t="shared" si="124"/>
        <v>0</v>
      </c>
      <c r="M745">
        <f t="shared" si="125"/>
        <v>0</v>
      </c>
      <c r="N745">
        <f t="shared" si="126"/>
        <v>0</v>
      </c>
      <c r="O745">
        <f t="shared" si="127"/>
        <v>0</v>
      </c>
      <c r="P745" t="str">
        <f t="shared" si="128"/>
        <v/>
      </c>
      <c r="Q745" t="str">
        <f>IF(B745="","", IFERROR(VLOOKUP(B745, '基準資産配分（設定）'!$A$2:$C$2001, 3, FALSE), ""))</f>
        <v/>
      </c>
      <c r="R745" t="str">
        <f>IF(B745="","", IFERROR(VLOOKUP(B745, '基準資産配分（設定）'!$A$2:$C$2001, 2, FALSE)/100, 0))</f>
        <v/>
      </c>
      <c r="S745" t="str">
        <f>IF(B745="","", IFERROR(SUMIFS(ベンチマークリターン!$C$2:$C$2001, ベンチマークリターン!$A$2:$A$2001, A745, ベンチマークリターン!$B$2:$B$2001, Q745) / 100, 0))</f>
        <v/>
      </c>
      <c r="T745" t="str">
        <f>IF(A745="","", SUMIFS($H$2:$H$2000, $A$2:$A$2000, A745))</f>
        <v/>
      </c>
      <c r="U745" t="str">
        <f t="shared" si="129"/>
        <v/>
      </c>
      <c r="V745" t="str">
        <f t="shared" si="130"/>
        <v/>
      </c>
      <c r="W745" t="str">
        <f t="shared" si="131"/>
        <v/>
      </c>
    </row>
    <row r="746" spans="1:23" x14ac:dyDescent="0.2">
      <c r="A746" s="4" t="str">
        <f>IF(ポートフォリオ実績!A747="","", ポートフォリオ実績!A747)</f>
        <v/>
      </c>
      <c r="B746" t="str">
        <f>IF(ポートフォリオ実績!B747="","", ポートフォリオ実績!B747)</f>
        <v/>
      </c>
      <c r="C746" s="10" t="str">
        <f>IF(ポートフォリオ実績!C747="","", ポートフォリオ実績!C747)</f>
        <v/>
      </c>
      <c r="D746" s="10" t="str">
        <f>IF(ポートフォリオ実績!D747="","", ポートフォリオ実績!D747)</f>
        <v/>
      </c>
      <c r="E746" s="10" t="str">
        <f>IF(ポートフォリオ実績!E747="","", ポートフォリオ実績!E747)</f>
        <v/>
      </c>
      <c r="F746" s="10" t="str">
        <f>IF(ポートフォリオ実績!F747="","", ポートフォリオ実績!F747)</f>
        <v/>
      </c>
      <c r="G746" t="str">
        <f t="shared" si="121"/>
        <v/>
      </c>
      <c r="H746">
        <f>IF(B746&lt;&gt;"", SUMIFS(ポートフォリオ実績!$D$2:$D$2001, ポートフォリオ実績!$B$2:$B$2001, B746, ポートフォリオ実績!$A$2:$A$2001, G746), 0)</f>
        <v>0</v>
      </c>
      <c r="I746">
        <f>IF(B746&lt;&gt;"", SUMIFS(ポートフォリオ実績!$C$2:$C$2001, ポートフォリオ実績!$B$2:$B$2001, B746, ポートフォリオ実績!$A$2:$A$2001, G746), 0)</f>
        <v>0</v>
      </c>
      <c r="J746">
        <f t="shared" si="122"/>
        <v>0</v>
      </c>
      <c r="K746">
        <f t="shared" si="123"/>
        <v>0</v>
      </c>
      <c r="L746">
        <f t="shared" si="124"/>
        <v>0</v>
      </c>
      <c r="M746">
        <f t="shared" si="125"/>
        <v>0</v>
      </c>
      <c r="N746">
        <f t="shared" si="126"/>
        <v>0</v>
      </c>
      <c r="O746">
        <f t="shared" si="127"/>
        <v>0</v>
      </c>
      <c r="P746" t="str">
        <f t="shared" si="128"/>
        <v/>
      </c>
      <c r="Q746" t="str">
        <f>IF(B746="","", IFERROR(VLOOKUP(B746, '基準資産配分（設定）'!$A$2:$C$2001, 3, FALSE), ""))</f>
        <v/>
      </c>
      <c r="R746" t="str">
        <f>IF(B746="","", IFERROR(VLOOKUP(B746, '基準資産配分（設定）'!$A$2:$C$2001, 2, FALSE)/100, 0))</f>
        <v/>
      </c>
      <c r="S746" t="str">
        <f>IF(B746="","", IFERROR(SUMIFS(ベンチマークリターン!$C$2:$C$2001, ベンチマークリターン!$A$2:$A$2001, A746, ベンチマークリターン!$B$2:$B$2001, Q746) / 100, 0))</f>
        <v/>
      </c>
      <c r="T746" t="str">
        <f>IF(A746="","", SUMIFS($H$2:$H$2000, $A$2:$A$2000, A746))</f>
        <v/>
      </c>
      <c r="U746" t="str">
        <f t="shared" si="129"/>
        <v/>
      </c>
      <c r="V746" t="str">
        <f t="shared" si="130"/>
        <v/>
      </c>
      <c r="W746" t="str">
        <f t="shared" si="131"/>
        <v/>
      </c>
    </row>
    <row r="747" spans="1:23" x14ac:dyDescent="0.2">
      <c r="A747" s="4" t="str">
        <f>IF(ポートフォリオ実績!A748="","", ポートフォリオ実績!A748)</f>
        <v/>
      </c>
      <c r="B747" t="str">
        <f>IF(ポートフォリオ実績!B748="","", ポートフォリオ実績!B748)</f>
        <v/>
      </c>
      <c r="C747" s="10" t="str">
        <f>IF(ポートフォリオ実績!C748="","", ポートフォリオ実績!C748)</f>
        <v/>
      </c>
      <c r="D747" s="10" t="str">
        <f>IF(ポートフォリオ実績!D748="","", ポートフォリオ実績!D748)</f>
        <v/>
      </c>
      <c r="E747" s="10" t="str">
        <f>IF(ポートフォリオ実績!E748="","", ポートフォリオ実績!E748)</f>
        <v/>
      </c>
      <c r="F747" s="10" t="str">
        <f>IF(ポートフォリオ実績!F748="","", ポートフォリオ実績!F748)</f>
        <v/>
      </c>
      <c r="G747" t="str">
        <f t="shared" si="121"/>
        <v/>
      </c>
      <c r="H747">
        <f>IF(B747&lt;&gt;"", SUMIFS(ポートフォリオ実績!$D$2:$D$2001, ポートフォリオ実績!$B$2:$B$2001, B747, ポートフォリオ実績!$A$2:$A$2001, G747), 0)</f>
        <v>0</v>
      </c>
      <c r="I747">
        <f>IF(B747&lt;&gt;"", SUMIFS(ポートフォリオ実績!$C$2:$C$2001, ポートフォリオ実績!$B$2:$B$2001, B747, ポートフォリオ実績!$A$2:$A$2001, G747), 0)</f>
        <v>0</v>
      </c>
      <c r="J747">
        <f t="shared" si="122"/>
        <v>0</v>
      </c>
      <c r="K747">
        <f t="shared" si="123"/>
        <v>0</v>
      </c>
      <c r="L747">
        <f t="shared" si="124"/>
        <v>0</v>
      </c>
      <c r="M747">
        <f t="shared" si="125"/>
        <v>0</v>
      </c>
      <c r="N747">
        <f t="shared" si="126"/>
        <v>0</v>
      </c>
      <c r="O747">
        <f t="shared" si="127"/>
        <v>0</v>
      </c>
      <c r="P747" t="str">
        <f t="shared" si="128"/>
        <v/>
      </c>
      <c r="Q747" t="str">
        <f>IF(B747="","", IFERROR(VLOOKUP(B747, '基準資産配分（設定）'!$A$2:$C$2001, 3, FALSE), ""))</f>
        <v/>
      </c>
      <c r="R747" t="str">
        <f>IF(B747="","", IFERROR(VLOOKUP(B747, '基準資産配分（設定）'!$A$2:$C$2001, 2, FALSE)/100, 0))</f>
        <v/>
      </c>
      <c r="S747" t="str">
        <f>IF(B747="","", IFERROR(SUMIFS(ベンチマークリターン!$C$2:$C$2001, ベンチマークリターン!$A$2:$A$2001, A747, ベンチマークリターン!$B$2:$B$2001, Q747) / 100, 0))</f>
        <v/>
      </c>
      <c r="T747" t="str">
        <f>IF(A747="","", SUMIFS($H$2:$H$2000, $A$2:$A$2000, A747))</f>
        <v/>
      </c>
      <c r="U747" t="str">
        <f t="shared" si="129"/>
        <v/>
      </c>
      <c r="V747" t="str">
        <f t="shared" si="130"/>
        <v/>
      </c>
      <c r="W747" t="str">
        <f t="shared" si="131"/>
        <v/>
      </c>
    </row>
    <row r="748" spans="1:23" x14ac:dyDescent="0.2">
      <c r="A748" s="4" t="str">
        <f>IF(ポートフォリオ実績!A749="","", ポートフォリオ実績!A749)</f>
        <v/>
      </c>
      <c r="B748" t="str">
        <f>IF(ポートフォリオ実績!B749="","", ポートフォリオ実績!B749)</f>
        <v/>
      </c>
      <c r="C748" s="10" t="str">
        <f>IF(ポートフォリオ実績!C749="","", ポートフォリオ実績!C749)</f>
        <v/>
      </c>
      <c r="D748" s="10" t="str">
        <f>IF(ポートフォリオ実績!D749="","", ポートフォリオ実績!D749)</f>
        <v/>
      </c>
      <c r="E748" s="10" t="str">
        <f>IF(ポートフォリオ実績!E749="","", ポートフォリオ実績!E749)</f>
        <v/>
      </c>
      <c r="F748" s="10" t="str">
        <f>IF(ポートフォリオ実績!F749="","", ポートフォリオ実績!F749)</f>
        <v/>
      </c>
      <c r="G748" t="str">
        <f t="shared" si="121"/>
        <v/>
      </c>
      <c r="H748">
        <f>IF(B748&lt;&gt;"", SUMIFS(ポートフォリオ実績!$D$2:$D$2001, ポートフォリオ実績!$B$2:$B$2001, B748, ポートフォリオ実績!$A$2:$A$2001, G748), 0)</f>
        <v>0</v>
      </c>
      <c r="I748">
        <f>IF(B748&lt;&gt;"", SUMIFS(ポートフォリオ実績!$C$2:$C$2001, ポートフォリオ実績!$B$2:$B$2001, B748, ポートフォリオ実績!$A$2:$A$2001, G748), 0)</f>
        <v>0</v>
      </c>
      <c r="J748">
        <f t="shared" si="122"/>
        <v>0</v>
      </c>
      <c r="K748">
        <f t="shared" si="123"/>
        <v>0</v>
      </c>
      <c r="L748">
        <f t="shared" si="124"/>
        <v>0</v>
      </c>
      <c r="M748">
        <f t="shared" si="125"/>
        <v>0</v>
      </c>
      <c r="N748">
        <f t="shared" si="126"/>
        <v>0</v>
      </c>
      <c r="O748">
        <f t="shared" si="127"/>
        <v>0</v>
      </c>
      <c r="P748" t="str">
        <f t="shared" si="128"/>
        <v/>
      </c>
      <c r="Q748" t="str">
        <f>IF(B748="","", IFERROR(VLOOKUP(B748, '基準資産配分（設定）'!$A$2:$C$2001, 3, FALSE), ""))</f>
        <v/>
      </c>
      <c r="R748" t="str">
        <f>IF(B748="","", IFERROR(VLOOKUP(B748, '基準資産配分（設定）'!$A$2:$C$2001, 2, FALSE)/100, 0))</f>
        <v/>
      </c>
      <c r="S748" t="str">
        <f>IF(B748="","", IFERROR(SUMIFS(ベンチマークリターン!$C$2:$C$2001, ベンチマークリターン!$A$2:$A$2001, A748, ベンチマークリターン!$B$2:$B$2001, Q748) / 100, 0))</f>
        <v/>
      </c>
      <c r="T748" t="str">
        <f>IF(A748="","", SUMIFS($H$2:$H$2000, $A$2:$A$2000, A748))</f>
        <v/>
      </c>
      <c r="U748" t="str">
        <f t="shared" si="129"/>
        <v/>
      </c>
      <c r="V748" t="str">
        <f t="shared" si="130"/>
        <v/>
      </c>
      <c r="W748" t="str">
        <f t="shared" si="131"/>
        <v/>
      </c>
    </row>
    <row r="749" spans="1:23" x14ac:dyDescent="0.2">
      <c r="A749" s="4" t="str">
        <f>IF(ポートフォリオ実績!A750="","", ポートフォリオ実績!A750)</f>
        <v/>
      </c>
      <c r="B749" t="str">
        <f>IF(ポートフォリオ実績!B750="","", ポートフォリオ実績!B750)</f>
        <v/>
      </c>
      <c r="C749" s="10" t="str">
        <f>IF(ポートフォリオ実績!C750="","", ポートフォリオ実績!C750)</f>
        <v/>
      </c>
      <c r="D749" s="10" t="str">
        <f>IF(ポートフォリオ実績!D750="","", ポートフォリオ実績!D750)</f>
        <v/>
      </c>
      <c r="E749" s="10" t="str">
        <f>IF(ポートフォリオ実績!E750="","", ポートフォリオ実績!E750)</f>
        <v/>
      </c>
      <c r="F749" s="10" t="str">
        <f>IF(ポートフォリオ実績!F750="","", ポートフォリオ実績!F750)</f>
        <v/>
      </c>
      <c r="G749" t="str">
        <f t="shared" si="121"/>
        <v/>
      </c>
      <c r="H749">
        <f>IF(B749&lt;&gt;"", SUMIFS(ポートフォリオ実績!$D$2:$D$2001, ポートフォリオ実績!$B$2:$B$2001, B749, ポートフォリオ実績!$A$2:$A$2001, G749), 0)</f>
        <v>0</v>
      </c>
      <c r="I749">
        <f>IF(B749&lt;&gt;"", SUMIFS(ポートフォリオ実績!$C$2:$C$2001, ポートフォリオ実績!$B$2:$B$2001, B749, ポートフォリオ実績!$A$2:$A$2001, G749), 0)</f>
        <v>0</v>
      </c>
      <c r="J749">
        <f t="shared" si="122"/>
        <v>0</v>
      </c>
      <c r="K749">
        <f t="shared" si="123"/>
        <v>0</v>
      </c>
      <c r="L749">
        <f t="shared" si="124"/>
        <v>0</v>
      </c>
      <c r="M749">
        <f t="shared" si="125"/>
        <v>0</v>
      </c>
      <c r="N749">
        <f t="shared" si="126"/>
        <v>0</v>
      </c>
      <c r="O749">
        <f t="shared" si="127"/>
        <v>0</v>
      </c>
      <c r="P749" t="str">
        <f t="shared" si="128"/>
        <v/>
      </c>
      <c r="Q749" t="str">
        <f>IF(B749="","", IFERROR(VLOOKUP(B749, '基準資産配分（設定）'!$A$2:$C$2001, 3, FALSE), ""))</f>
        <v/>
      </c>
      <c r="R749" t="str">
        <f>IF(B749="","", IFERROR(VLOOKUP(B749, '基準資産配分（設定）'!$A$2:$C$2001, 2, FALSE)/100, 0))</f>
        <v/>
      </c>
      <c r="S749" t="str">
        <f>IF(B749="","", IFERROR(SUMIFS(ベンチマークリターン!$C$2:$C$2001, ベンチマークリターン!$A$2:$A$2001, A749, ベンチマークリターン!$B$2:$B$2001, Q749) / 100, 0))</f>
        <v/>
      </c>
      <c r="T749" t="str">
        <f>IF(A749="","", SUMIFS($H$2:$H$2000, $A$2:$A$2000, A749))</f>
        <v/>
      </c>
      <c r="U749" t="str">
        <f t="shared" si="129"/>
        <v/>
      </c>
      <c r="V749" t="str">
        <f t="shared" si="130"/>
        <v/>
      </c>
      <c r="W749" t="str">
        <f t="shared" si="131"/>
        <v/>
      </c>
    </row>
    <row r="750" spans="1:23" x14ac:dyDescent="0.2">
      <c r="A750" s="4" t="str">
        <f>IF(ポートフォリオ実績!A751="","", ポートフォリオ実績!A751)</f>
        <v/>
      </c>
      <c r="B750" t="str">
        <f>IF(ポートフォリオ実績!B751="","", ポートフォリオ実績!B751)</f>
        <v/>
      </c>
      <c r="C750" s="10" t="str">
        <f>IF(ポートフォリオ実績!C751="","", ポートフォリオ実績!C751)</f>
        <v/>
      </c>
      <c r="D750" s="10" t="str">
        <f>IF(ポートフォリオ実績!D751="","", ポートフォリオ実績!D751)</f>
        <v/>
      </c>
      <c r="E750" s="10" t="str">
        <f>IF(ポートフォリオ実績!E751="","", ポートフォリオ実績!E751)</f>
        <v/>
      </c>
      <c r="F750" s="10" t="str">
        <f>IF(ポートフォリオ実績!F751="","", ポートフォリオ実績!F751)</f>
        <v/>
      </c>
      <c r="G750" t="str">
        <f t="shared" si="121"/>
        <v/>
      </c>
      <c r="H750">
        <f>IF(B750&lt;&gt;"", SUMIFS(ポートフォリオ実績!$D$2:$D$2001, ポートフォリオ実績!$B$2:$B$2001, B750, ポートフォリオ実績!$A$2:$A$2001, G750), 0)</f>
        <v>0</v>
      </c>
      <c r="I750">
        <f>IF(B750&lt;&gt;"", SUMIFS(ポートフォリオ実績!$C$2:$C$2001, ポートフォリオ実績!$B$2:$B$2001, B750, ポートフォリオ実績!$A$2:$A$2001, G750), 0)</f>
        <v>0</v>
      </c>
      <c r="J750">
        <f t="shared" si="122"/>
        <v>0</v>
      </c>
      <c r="K750">
        <f t="shared" si="123"/>
        <v>0</v>
      </c>
      <c r="L750">
        <f t="shared" si="124"/>
        <v>0</v>
      </c>
      <c r="M750">
        <f t="shared" si="125"/>
        <v>0</v>
      </c>
      <c r="N750">
        <f t="shared" si="126"/>
        <v>0</v>
      </c>
      <c r="O750">
        <f t="shared" si="127"/>
        <v>0</v>
      </c>
      <c r="P750" t="str">
        <f t="shared" si="128"/>
        <v/>
      </c>
      <c r="Q750" t="str">
        <f>IF(B750="","", IFERROR(VLOOKUP(B750, '基準資産配分（設定）'!$A$2:$C$2001, 3, FALSE), ""))</f>
        <v/>
      </c>
      <c r="R750" t="str">
        <f>IF(B750="","", IFERROR(VLOOKUP(B750, '基準資産配分（設定）'!$A$2:$C$2001, 2, FALSE)/100, 0))</f>
        <v/>
      </c>
      <c r="S750" t="str">
        <f>IF(B750="","", IFERROR(SUMIFS(ベンチマークリターン!$C$2:$C$2001, ベンチマークリターン!$A$2:$A$2001, A750, ベンチマークリターン!$B$2:$B$2001, Q750) / 100, 0))</f>
        <v/>
      </c>
      <c r="T750" t="str">
        <f>IF(A750="","", SUMIFS($H$2:$H$2000, $A$2:$A$2000, A750))</f>
        <v/>
      </c>
      <c r="U750" t="str">
        <f t="shared" si="129"/>
        <v/>
      </c>
      <c r="V750" t="str">
        <f t="shared" si="130"/>
        <v/>
      </c>
      <c r="W750" t="str">
        <f t="shared" si="131"/>
        <v/>
      </c>
    </row>
    <row r="751" spans="1:23" x14ac:dyDescent="0.2">
      <c r="A751" s="4" t="str">
        <f>IF(ポートフォリオ実績!A752="","", ポートフォリオ実績!A752)</f>
        <v/>
      </c>
      <c r="B751" t="str">
        <f>IF(ポートフォリオ実績!B752="","", ポートフォリオ実績!B752)</f>
        <v/>
      </c>
      <c r="C751" s="10" t="str">
        <f>IF(ポートフォリオ実績!C752="","", ポートフォリオ実績!C752)</f>
        <v/>
      </c>
      <c r="D751" s="10" t="str">
        <f>IF(ポートフォリオ実績!D752="","", ポートフォリオ実績!D752)</f>
        <v/>
      </c>
      <c r="E751" s="10" t="str">
        <f>IF(ポートフォリオ実績!E752="","", ポートフォリオ実績!E752)</f>
        <v/>
      </c>
      <c r="F751" s="10" t="str">
        <f>IF(ポートフォリオ実績!F752="","", ポートフォリオ実績!F752)</f>
        <v/>
      </c>
      <c r="G751" t="str">
        <f t="shared" si="121"/>
        <v/>
      </c>
      <c r="H751">
        <f>IF(B751&lt;&gt;"", SUMIFS(ポートフォリオ実績!$D$2:$D$2001, ポートフォリオ実績!$B$2:$B$2001, B751, ポートフォリオ実績!$A$2:$A$2001, G751), 0)</f>
        <v>0</v>
      </c>
      <c r="I751">
        <f>IF(B751&lt;&gt;"", SUMIFS(ポートフォリオ実績!$C$2:$C$2001, ポートフォリオ実績!$B$2:$B$2001, B751, ポートフォリオ実績!$A$2:$A$2001, G751), 0)</f>
        <v>0</v>
      </c>
      <c r="J751">
        <f t="shared" si="122"/>
        <v>0</v>
      </c>
      <c r="K751">
        <f t="shared" si="123"/>
        <v>0</v>
      </c>
      <c r="L751">
        <f t="shared" si="124"/>
        <v>0</v>
      </c>
      <c r="M751">
        <f t="shared" si="125"/>
        <v>0</v>
      </c>
      <c r="N751">
        <f t="shared" si="126"/>
        <v>0</v>
      </c>
      <c r="O751">
        <f t="shared" si="127"/>
        <v>0</v>
      </c>
      <c r="P751" t="str">
        <f t="shared" si="128"/>
        <v/>
      </c>
      <c r="Q751" t="str">
        <f>IF(B751="","", IFERROR(VLOOKUP(B751, '基準資産配分（設定）'!$A$2:$C$2001, 3, FALSE), ""))</f>
        <v/>
      </c>
      <c r="R751" t="str">
        <f>IF(B751="","", IFERROR(VLOOKUP(B751, '基準資産配分（設定）'!$A$2:$C$2001, 2, FALSE)/100, 0))</f>
        <v/>
      </c>
      <c r="S751" t="str">
        <f>IF(B751="","", IFERROR(SUMIFS(ベンチマークリターン!$C$2:$C$2001, ベンチマークリターン!$A$2:$A$2001, A751, ベンチマークリターン!$B$2:$B$2001, Q751) / 100, 0))</f>
        <v/>
      </c>
      <c r="T751" t="str">
        <f>IF(A751="","", SUMIFS($H$2:$H$2000, $A$2:$A$2000, A751))</f>
        <v/>
      </c>
      <c r="U751" t="str">
        <f t="shared" si="129"/>
        <v/>
      </c>
      <c r="V751" t="str">
        <f t="shared" si="130"/>
        <v/>
      </c>
      <c r="W751" t="str">
        <f t="shared" si="131"/>
        <v/>
      </c>
    </row>
    <row r="752" spans="1:23" x14ac:dyDescent="0.2">
      <c r="A752" s="4" t="str">
        <f>IF(ポートフォリオ実績!A753="","", ポートフォリオ実績!A753)</f>
        <v/>
      </c>
      <c r="B752" t="str">
        <f>IF(ポートフォリオ実績!B753="","", ポートフォリオ実績!B753)</f>
        <v/>
      </c>
      <c r="C752" s="10" t="str">
        <f>IF(ポートフォリオ実績!C753="","", ポートフォリオ実績!C753)</f>
        <v/>
      </c>
      <c r="D752" s="10" t="str">
        <f>IF(ポートフォリオ実績!D753="","", ポートフォリオ実績!D753)</f>
        <v/>
      </c>
      <c r="E752" s="10" t="str">
        <f>IF(ポートフォリオ実績!E753="","", ポートフォリオ実績!E753)</f>
        <v/>
      </c>
      <c r="F752" s="10" t="str">
        <f>IF(ポートフォリオ実績!F753="","", ポートフォリオ実績!F753)</f>
        <v/>
      </c>
      <c r="G752" t="str">
        <f t="shared" si="121"/>
        <v/>
      </c>
      <c r="H752">
        <f>IF(B752&lt;&gt;"", SUMIFS(ポートフォリオ実績!$D$2:$D$2001, ポートフォリオ実績!$B$2:$B$2001, B752, ポートフォリオ実績!$A$2:$A$2001, G752), 0)</f>
        <v>0</v>
      </c>
      <c r="I752">
        <f>IF(B752&lt;&gt;"", SUMIFS(ポートフォリオ実績!$C$2:$C$2001, ポートフォリオ実績!$B$2:$B$2001, B752, ポートフォリオ実績!$A$2:$A$2001, G752), 0)</f>
        <v>0</v>
      </c>
      <c r="J752">
        <f t="shared" si="122"/>
        <v>0</v>
      </c>
      <c r="K752">
        <f t="shared" si="123"/>
        <v>0</v>
      </c>
      <c r="L752">
        <f t="shared" si="124"/>
        <v>0</v>
      </c>
      <c r="M752">
        <f t="shared" si="125"/>
        <v>0</v>
      </c>
      <c r="N752">
        <f t="shared" si="126"/>
        <v>0</v>
      </c>
      <c r="O752">
        <f t="shared" si="127"/>
        <v>0</v>
      </c>
      <c r="P752" t="str">
        <f t="shared" si="128"/>
        <v/>
      </c>
      <c r="Q752" t="str">
        <f>IF(B752="","", IFERROR(VLOOKUP(B752, '基準資産配分（設定）'!$A$2:$C$2001, 3, FALSE), ""))</f>
        <v/>
      </c>
      <c r="R752" t="str">
        <f>IF(B752="","", IFERROR(VLOOKUP(B752, '基準資産配分（設定）'!$A$2:$C$2001, 2, FALSE)/100, 0))</f>
        <v/>
      </c>
      <c r="S752" t="str">
        <f>IF(B752="","", IFERROR(SUMIFS(ベンチマークリターン!$C$2:$C$2001, ベンチマークリターン!$A$2:$A$2001, A752, ベンチマークリターン!$B$2:$B$2001, Q752) / 100, 0))</f>
        <v/>
      </c>
      <c r="T752" t="str">
        <f>IF(A752="","", SUMIFS($H$2:$H$2000, $A$2:$A$2000, A752))</f>
        <v/>
      </c>
      <c r="U752" t="str">
        <f t="shared" si="129"/>
        <v/>
      </c>
      <c r="V752" t="str">
        <f t="shared" si="130"/>
        <v/>
      </c>
      <c r="W752" t="str">
        <f t="shared" si="131"/>
        <v/>
      </c>
    </row>
    <row r="753" spans="1:23" x14ac:dyDescent="0.2">
      <c r="A753" s="4" t="str">
        <f>IF(ポートフォリオ実績!A754="","", ポートフォリオ実績!A754)</f>
        <v/>
      </c>
      <c r="B753" t="str">
        <f>IF(ポートフォリオ実績!B754="","", ポートフォリオ実績!B754)</f>
        <v/>
      </c>
      <c r="C753" s="10" t="str">
        <f>IF(ポートフォリオ実績!C754="","", ポートフォリオ実績!C754)</f>
        <v/>
      </c>
      <c r="D753" s="10" t="str">
        <f>IF(ポートフォリオ実績!D754="","", ポートフォリオ実績!D754)</f>
        <v/>
      </c>
      <c r="E753" s="10" t="str">
        <f>IF(ポートフォリオ実績!E754="","", ポートフォリオ実績!E754)</f>
        <v/>
      </c>
      <c r="F753" s="10" t="str">
        <f>IF(ポートフォリオ実績!F754="","", ポートフォリオ実績!F754)</f>
        <v/>
      </c>
      <c r="G753" t="str">
        <f t="shared" si="121"/>
        <v/>
      </c>
      <c r="H753">
        <f>IF(B753&lt;&gt;"", SUMIFS(ポートフォリオ実績!$D$2:$D$2001, ポートフォリオ実績!$B$2:$B$2001, B753, ポートフォリオ実績!$A$2:$A$2001, G753), 0)</f>
        <v>0</v>
      </c>
      <c r="I753">
        <f>IF(B753&lt;&gt;"", SUMIFS(ポートフォリオ実績!$C$2:$C$2001, ポートフォリオ実績!$B$2:$B$2001, B753, ポートフォリオ実績!$A$2:$A$2001, G753), 0)</f>
        <v>0</v>
      </c>
      <c r="J753">
        <f t="shared" si="122"/>
        <v>0</v>
      </c>
      <c r="K753">
        <f t="shared" si="123"/>
        <v>0</v>
      </c>
      <c r="L753">
        <f t="shared" si="124"/>
        <v>0</v>
      </c>
      <c r="M753">
        <f t="shared" si="125"/>
        <v>0</v>
      </c>
      <c r="N753">
        <f t="shared" si="126"/>
        <v>0</v>
      </c>
      <c r="O753">
        <f t="shared" si="127"/>
        <v>0</v>
      </c>
      <c r="P753" t="str">
        <f t="shared" si="128"/>
        <v/>
      </c>
      <c r="Q753" t="str">
        <f>IF(B753="","", IFERROR(VLOOKUP(B753, '基準資産配分（設定）'!$A$2:$C$2001, 3, FALSE), ""))</f>
        <v/>
      </c>
      <c r="R753" t="str">
        <f>IF(B753="","", IFERROR(VLOOKUP(B753, '基準資産配分（設定）'!$A$2:$C$2001, 2, FALSE)/100, 0))</f>
        <v/>
      </c>
      <c r="S753" t="str">
        <f>IF(B753="","", IFERROR(SUMIFS(ベンチマークリターン!$C$2:$C$2001, ベンチマークリターン!$A$2:$A$2001, A753, ベンチマークリターン!$B$2:$B$2001, Q753) / 100, 0))</f>
        <v/>
      </c>
      <c r="T753" t="str">
        <f>IF(A753="","", SUMIFS($H$2:$H$2000, $A$2:$A$2000, A753))</f>
        <v/>
      </c>
      <c r="U753" t="str">
        <f t="shared" si="129"/>
        <v/>
      </c>
      <c r="V753" t="str">
        <f t="shared" si="130"/>
        <v/>
      </c>
      <c r="W753" t="str">
        <f t="shared" si="131"/>
        <v/>
      </c>
    </row>
    <row r="754" spans="1:23" x14ac:dyDescent="0.2">
      <c r="A754" s="4" t="str">
        <f>IF(ポートフォリオ実績!A755="","", ポートフォリオ実績!A755)</f>
        <v/>
      </c>
      <c r="B754" t="str">
        <f>IF(ポートフォリオ実績!B755="","", ポートフォリオ実績!B755)</f>
        <v/>
      </c>
      <c r="C754" s="10" t="str">
        <f>IF(ポートフォリオ実績!C755="","", ポートフォリオ実績!C755)</f>
        <v/>
      </c>
      <c r="D754" s="10" t="str">
        <f>IF(ポートフォリオ実績!D755="","", ポートフォリオ実績!D755)</f>
        <v/>
      </c>
      <c r="E754" s="10" t="str">
        <f>IF(ポートフォリオ実績!E755="","", ポートフォリオ実績!E755)</f>
        <v/>
      </c>
      <c r="F754" s="10" t="str">
        <f>IF(ポートフォリオ実績!F755="","", ポートフォリオ実績!F755)</f>
        <v/>
      </c>
      <c r="G754" t="str">
        <f t="shared" si="121"/>
        <v/>
      </c>
      <c r="H754">
        <f>IF(B754&lt;&gt;"", SUMIFS(ポートフォリオ実績!$D$2:$D$2001, ポートフォリオ実績!$B$2:$B$2001, B754, ポートフォリオ実績!$A$2:$A$2001, G754), 0)</f>
        <v>0</v>
      </c>
      <c r="I754">
        <f>IF(B754&lt;&gt;"", SUMIFS(ポートフォリオ実績!$C$2:$C$2001, ポートフォリオ実績!$B$2:$B$2001, B754, ポートフォリオ実績!$A$2:$A$2001, G754), 0)</f>
        <v>0</v>
      </c>
      <c r="J754">
        <f t="shared" si="122"/>
        <v>0</v>
      </c>
      <c r="K754">
        <f t="shared" si="123"/>
        <v>0</v>
      </c>
      <c r="L754">
        <f t="shared" si="124"/>
        <v>0</v>
      </c>
      <c r="M754">
        <f t="shared" si="125"/>
        <v>0</v>
      </c>
      <c r="N754">
        <f t="shared" si="126"/>
        <v>0</v>
      </c>
      <c r="O754">
        <f t="shared" si="127"/>
        <v>0</v>
      </c>
      <c r="P754" t="str">
        <f t="shared" si="128"/>
        <v/>
      </c>
      <c r="Q754" t="str">
        <f>IF(B754="","", IFERROR(VLOOKUP(B754, '基準資産配分（設定）'!$A$2:$C$2001, 3, FALSE), ""))</f>
        <v/>
      </c>
      <c r="R754" t="str">
        <f>IF(B754="","", IFERROR(VLOOKUP(B754, '基準資産配分（設定）'!$A$2:$C$2001, 2, FALSE)/100, 0))</f>
        <v/>
      </c>
      <c r="S754" t="str">
        <f>IF(B754="","", IFERROR(SUMIFS(ベンチマークリターン!$C$2:$C$2001, ベンチマークリターン!$A$2:$A$2001, A754, ベンチマークリターン!$B$2:$B$2001, Q754) / 100, 0))</f>
        <v/>
      </c>
      <c r="T754" t="str">
        <f>IF(A754="","", SUMIFS($H$2:$H$2000, $A$2:$A$2000, A754))</f>
        <v/>
      </c>
      <c r="U754" t="str">
        <f t="shared" si="129"/>
        <v/>
      </c>
      <c r="V754" t="str">
        <f t="shared" si="130"/>
        <v/>
      </c>
      <c r="W754" t="str">
        <f t="shared" si="131"/>
        <v/>
      </c>
    </row>
    <row r="755" spans="1:23" x14ac:dyDescent="0.2">
      <c r="A755" s="4" t="str">
        <f>IF(ポートフォリオ実績!A756="","", ポートフォリオ実績!A756)</f>
        <v/>
      </c>
      <c r="B755" t="str">
        <f>IF(ポートフォリオ実績!B756="","", ポートフォリオ実績!B756)</f>
        <v/>
      </c>
      <c r="C755" s="10" t="str">
        <f>IF(ポートフォリオ実績!C756="","", ポートフォリオ実績!C756)</f>
        <v/>
      </c>
      <c r="D755" s="10" t="str">
        <f>IF(ポートフォリオ実績!D756="","", ポートフォリオ実績!D756)</f>
        <v/>
      </c>
      <c r="E755" s="10" t="str">
        <f>IF(ポートフォリオ実績!E756="","", ポートフォリオ実績!E756)</f>
        <v/>
      </c>
      <c r="F755" s="10" t="str">
        <f>IF(ポートフォリオ実績!F756="","", ポートフォリオ実績!F756)</f>
        <v/>
      </c>
      <c r="G755" t="str">
        <f t="shared" si="121"/>
        <v/>
      </c>
      <c r="H755">
        <f>IF(B755&lt;&gt;"", SUMIFS(ポートフォリオ実績!$D$2:$D$2001, ポートフォリオ実績!$B$2:$B$2001, B755, ポートフォリオ実績!$A$2:$A$2001, G755), 0)</f>
        <v>0</v>
      </c>
      <c r="I755">
        <f>IF(B755&lt;&gt;"", SUMIFS(ポートフォリオ実績!$C$2:$C$2001, ポートフォリオ実績!$B$2:$B$2001, B755, ポートフォリオ実績!$A$2:$A$2001, G755), 0)</f>
        <v>0</v>
      </c>
      <c r="J755">
        <f t="shared" si="122"/>
        <v>0</v>
      </c>
      <c r="K755">
        <f t="shared" si="123"/>
        <v>0</v>
      </c>
      <c r="L755">
        <f t="shared" si="124"/>
        <v>0</v>
      </c>
      <c r="M755">
        <f t="shared" si="125"/>
        <v>0</v>
      </c>
      <c r="N755">
        <f t="shared" si="126"/>
        <v>0</v>
      </c>
      <c r="O755">
        <f t="shared" si="127"/>
        <v>0</v>
      </c>
      <c r="P755" t="str">
        <f t="shared" si="128"/>
        <v/>
      </c>
      <c r="Q755" t="str">
        <f>IF(B755="","", IFERROR(VLOOKUP(B755, '基準資産配分（設定）'!$A$2:$C$2001, 3, FALSE), ""))</f>
        <v/>
      </c>
      <c r="R755" t="str">
        <f>IF(B755="","", IFERROR(VLOOKUP(B755, '基準資産配分（設定）'!$A$2:$C$2001, 2, FALSE)/100, 0))</f>
        <v/>
      </c>
      <c r="S755" t="str">
        <f>IF(B755="","", IFERROR(SUMIFS(ベンチマークリターン!$C$2:$C$2001, ベンチマークリターン!$A$2:$A$2001, A755, ベンチマークリターン!$B$2:$B$2001, Q755) / 100, 0))</f>
        <v/>
      </c>
      <c r="T755" t="str">
        <f>IF(A755="","", SUMIFS($H$2:$H$2000, $A$2:$A$2000, A755))</f>
        <v/>
      </c>
      <c r="U755" t="str">
        <f t="shared" si="129"/>
        <v/>
      </c>
      <c r="V755" t="str">
        <f t="shared" si="130"/>
        <v/>
      </c>
      <c r="W755" t="str">
        <f t="shared" si="131"/>
        <v/>
      </c>
    </row>
    <row r="756" spans="1:23" x14ac:dyDescent="0.2">
      <c r="A756" s="4" t="str">
        <f>IF(ポートフォリオ実績!A757="","", ポートフォリオ実績!A757)</f>
        <v/>
      </c>
      <c r="B756" t="str">
        <f>IF(ポートフォリオ実績!B757="","", ポートフォリオ実績!B757)</f>
        <v/>
      </c>
      <c r="C756" s="10" t="str">
        <f>IF(ポートフォリオ実績!C757="","", ポートフォリオ実績!C757)</f>
        <v/>
      </c>
      <c r="D756" s="10" t="str">
        <f>IF(ポートフォリオ実績!D757="","", ポートフォリオ実績!D757)</f>
        <v/>
      </c>
      <c r="E756" s="10" t="str">
        <f>IF(ポートフォリオ実績!E757="","", ポートフォリオ実績!E757)</f>
        <v/>
      </c>
      <c r="F756" s="10" t="str">
        <f>IF(ポートフォリオ実績!F757="","", ポートフォリオ実績!F757)</f>
        <v/>
      </c>
      <c r="G756" t="str">
        <f t="shared" si="121"/>
        <v/>
      </c>
      <c r="H756">
        <f>IF(B756&lt;&gt;"", SUMIFS(ポートフォリオ実績!$D$2:$D$2001, ポートフォリオ実績!$B$2:$B$2001, B756, ポートフォリオ実績!$A$2:$A$2001, G756), 0)</f>
        <v>0</v>
      </c>
      <c r="I756">
        <f>IF(B756&lt;&gt;"", SUMIFS(ポートフォリオ実績!$C$2:$C$2001, ポートフォリオ実績!$B$2:$B$2001, B756, ポートフォリオ実績!$A$2:$A$2001, G756), 0)</f>
        <v>0</v>
      </c>
      <c r="J756">
        <f t="shared" si="122"/>
        <v>0</v>
      </c>
      <c r="K756">
        <f t="shared" si="123"/>
        <v>0</v>
      </c>
      <c r="L756">
        <f t="shared" si="124"/>
        <v>0</v>
      </c>
      <c r="M756">
        <f t="shared" si="125"/>
        <v>0</v>
      </c>
      <c r="N756">
        <f t="shared" si="126"/>
        <v>0</v>
      </c>
      <c r="O756">
        <f t="shared" si="127"/>
        <v>0</v>
      </c>
      <c r="P756" t="str">
        <f t="shared" si="128"/>
        <v/>
      </c>
      <c r="Q756" t="str">
        <f>IF(B756="","", IFERROR(VLOOKUP(B756, '基準資産配分（設定）'!$A$2:$C$2001, 3, FALSE), ""))</f>
        <v/>
      </c>
      <c r="R756" t="str">
        <f>IF(B756="","", IFERROR(VLOOKUP(B756, '基準資産配分（設定）'!$A$2:$C$2001, 2, FALSE)/100, 0))</f>
        <v/>
      </c>
      <c r="S756" t="str">
        <f>IF(B756="","", IFERROR(SUMIFS(ベンチマークリターン!$C$2:$C$2001, ベンチマークリターン!$A$2:$A$2001, A756, ベンチマークリターン!$B$2:$B$2001, Q756) / 100, 0))</f>
        <v/>
      </c>
      <c r="T756" t="str">
        <f>IF(A756="","", SUMIFS($H$2:$H$2000, $A$2:$A$2000, A756))</f>
        <v/>
      </c>
      <c r="U756" t="str">
        <f t="shared" si="129"/>
        <v/>
      </c>
      <c r="V756" t="str">
        <f t="shared" si="130"/>
        <v/>
      </c>
      <c r="W756" t="str">
        <f t="shared" si="131"/>
        <v/>
      </c>
    </row>
    <row r="757" spans="1:23" x14ac:dyDescent="0.2">
      <c r="A757" s="4" t="str">
        <f>IF(ポートフォリオ実績!A758="","", ポートフォリオ実績!A758)</f>
        <v/>
      </c>
      <c r="B757" t="str">
        <f>IF(ポートフォリオ実績!B758="","", ポートフォリオ実績!B758)</f>
        <v/>
      </c>
      <c r="C757" s="10" t="str">
        <f>IF(ポートフォリオ実績!C758="","", ポートフォリオ実績!C758)</f>
        <v/>
      </c>
      <c r="D757" s="10" t="str">
        <f>IF(ポートフォリオ実績!D758="","", ポートフォリオ実績!D758)</f>
        <v/>
      </c>
      <c r="E757" s="10" t="str">
        <f>IF(ポートフォリオ実績!E758="","", ポートフォリオ実績!E758)</f>
        <v/>
      </c>
      <c r="F757" s="10" t="str">
        <f>IF(ポートフォリオ実績!F758="","", ポートフォリオ実績!F758)</f>
        <v/>
      </c>
      <c r="G757" t="str">
        <f t="shared" si="121"/>
        <v/>
      </c>
      <c r="H757">
        <f>IF(B757&lt;&gt;"", SUMIFS(ポートフォリオ実績!$D$2:$D$2001, ポートフォリオ実績!$B$2:$B$2001, B757, ポートフォリオ実績!$A$2:$A$2001, G757), 0)</f>
        <v>0</v>
      </c>
      <c r="I757">
        <f>IF(B757&lt;&gt;"", SUMIFS(ポートフォリオ実績!$C$2:$C$2001, ポートフォリオ実績!$B$2:$B$2001, B757, ポートフォリオ実績!$A$2:$A$2001, G757), 0)</f>
        <v>0</v>
      </c>
      <c r="J757">
        <f t="shared" si="122"/>
        <v>0</v>
      </c>
      <c r="K757">
        <f t="shared" si="123"/>
        <v>0</v>
      </c>
      <c r="L757">
        <f t="shared" si="124"/>
        <v>0</v>
      </c>
      <c r="M757">
        <f t="shared" si="125"/>
        <v>0</v>
      </c>
      <c r="N757">
        <f t="shared" si="126"/>
        <v>0</v>
      </c>
      <c r="O757">
        <f t="shared" si="127"/>
        <v>0</v>
      </c>
      <c r="P757" t="str">
        <f t="shared" si="128"/>
        <v/>
      </c>
      <c r="Q757" t="str">
        <f>IF(B757="","", IFERROR(VLOOKUP(B757, '基準資産配分（設定）'!$A$2:$C$2001, 3, FALSE), ""))</f>
        <v/>
      </c>
      <c r="R757" t="str">
        <f>IF(B757="","", IFERROR(VLOOKUP(B757, '基準資産配分（設定）'!$A$2:$C$2001, 2, FALSE)/100, 0))</f>
        <v/>
      </c>
      <c r="S757" t="str">
        <f>IF(B757="","", IFERROR(SUMIFS(ベンチマークリターン!$C$2:$C$2001, ベンチマークリターン!$A$2:$A$2001, A757, ベンチマークリターン!$B$2:$B$2001, Q757) / 100, 0))</f>
        <v/>
      </c>
      <c r="T757" t="str">
        <f>IF(A757="","", SUMIFS($H$2:$H$2000, $A$2:$A$2000, A757))</f>
        <v/>
      </c>
      <c r="U757" t="str">
        <f t="shared" si="129"/>
        <v/>
      </c>
      <c r="V757" t="str">
        <f t="shared" si="130"/>
        <v/>
      </c>
      <c r="W757" t="str">
        <f t="shared" si="131"/>
        <v/>
      </c>
    </row>
    <row r="758" spans="1:23" x14ac:dyDescent="0.2">
      <c r="A758" s="4" t="str">
        <f>IF(ポートフォリオ実績!A759="","", ポートフォリオ実績!A759)</f>
        <v/>
      </c>
      <c r="B758" t="str">
        <f>IF(ポートフォリオ実績!B759="","", ポートフォリオ実績!B759)</f>
        <v/>
      </c>
      <c r="C758" s="10" t="str">
        <f>IF(ポートフォリオ実績!C759="","", ポートフォリオ実績!C759)</f>
        <v/>
      </c>
      <c r="D758" s="10" t="str">
        <f>IF(ポートフォリオ実績!D759="","", ポートフォリオ実績!D759)</f>
        <v/>
      </c>
      <c r="E758" s="10" t="str">
        <f>IF(ポートフォリオ実績!E759="","", ポートフォリオ実績!E759)</f>
        <v/>
      </c>
      <c r="F758" s="10" t="str">
        <f>IF(ポートフォリオ実績!F759="","", ポートフォリオ実績!F759)</f>
        <v/>
      </c>
      <c r="G758" t="str">
        <f t="shared" si="121"/>
        <v/>
      </c>
      <c r="H758">
        <f>IF(B758&lt;&gt;"", SUMIFS(ポートフォリオ実績!$D$2:$D$2001, ポートフォリオ実績!$B$2:$B$2001, B758, ポートフォリオ実績!$A$2:$A$2001, G758), 0)</f>
        <v>0</v>
      </c>
      <c r="I758">
        <f>IF(B758&lt;&gt;"", SUMIFS(ポートフォリオ実績!$C$2:$C$2001, ポートフォリオ実績!$B$2:$B$2001, B758, ポートフォリオ実績!$A$2:$A$2001, G758), 0)</f>
        <v>0</v>
      </c>
      <c r="J758">
        <f t="shared" si="122"/>
        <v>0</v>
      </c>
      <c r="K758">
        <f t="shared" si="123"/>
        <v>0</v>
      </c>
      <c r="L758">
        <f t="shared" si="124"/>
        <v>0</v>
      </c>
      <c r="M758">
        <f t="shared" si="125"/>
        <v>0</v>
      </c>
      <c r="N758">
        <f t="shared" si="126"/>
        <v>0</v>
      </c>
      <c r="O758">
        <f t="shared" si="127"/>
        <v>0</v>
      </c>
      <c r="P758" t="str">
        <f t="shared" si="128"/>
        <v/>
      </c>
      <c r="Q758" t="str">
        <f>IF(B758="","", IFERROR(VLOOKUP(B758, '基準資産配分（設定）'!$A$2:$C$2001, 3, FALSE), ""))</f>
        <v/>
      </c>
      <c r="R758" t="str">
        <f>IF(B758="","", IFERROR(VLOOKUP(B758, '基準資産配分（設定）'!$A$2:$C$2001, 2, FALSE)/100, 0))</f>
        <v/>
      </c>
      <c r="S758" t="str">
        <f>IF(B758="","", IFERROR(SUMIFS(ベンチマークリターン!$C$2:$C$2001, ベンチマークリターン!$A$2:$A$2001, A758, ベンチマークリターン!$B$2:$B$2001, Q758) / 100, 0))</f>
        <v/>
      </c>
      <c r="T758" t="str">
        <f>IF(A758="","", SUMIFS($H$2:$H$2000, $A$2:$A$2000, A758))</f>
        <v/>
      </c>
      <c r="U758" t="str">
        <f t="shared" si="129"/>
        <v/>
      </c>
      <c r="V758" t="str">
        <f t="shared" si="130"/>
        <v/>
      </c>
      <c r="W758" t="str">
        <f t="shared" si="131"/>
        <v/>
      </c>
    </row>
    <row r="759" spans="1:23" x14ac:dyDescent="0.2">
      <c r="A759" s="4" t="str">
        <f>IF(ポートフォリオ実績!A760="","", ポートフォリオ実績!A760)</f>
        <v/>
      </c>
      <c r="B759" t="str">
        <f>IF(ポートフォリオ実績!B760="","", ポートフォリオ実績!B760)</f>
        <v/>
      </c>
      <c r="C759" s="10" t="str">
        <f>IF(ポートフォリオ実績!C760="","", ポートフォリオ実績!C760)</f>
        <v/>
      </c>
      <c r="D759" s="10" t="str">
        <f>IF(ポートフォリオ実績!D760="","", ポートフォリオ実績!D760)</f>
        <v/>
      </c>
      <c r="E759" s="10" t="str">
        <f>IF(ポートフォリオ実績!E760="","", ポートフォリオ実績!E760)</f>
        <v/>
      </c>
      <c r="F759" s="10" t="str">
        <f>IF(ポートフォリオ実績!F760="","", ポートフォリオ実績!F760)</f>
        <v/>
      </c>
      <c r="G759" t="str">
        <f t="shared" si="121"/>
        <v/>
      </c>
      <c r="H759">
        <f>IF(B759&lt;&gt;"", SUMIFS(ポートフォリオ実績!$D$2:$D$2001, ポートフォリオ実績!$B$2:$B$2001, B759, ポートフォリオ実績!$A$2:$A$2001, G759), 0)</f>
        <v>0</v>
      </c>
      <c r="I759">
        <f>IF(B759&lt;&gt;"", SUMIFS(ポートフォリオ実績!$C$2:$C$2001, ポートフォリオ実績!$B$2:$B$2001, B759, ポートフォリオ実績!$A$2:$A$2001, G759), 0)</f>
        <v>0</v>
      </c>
      <c r="J759">
        <f t="shared" si="122"/>
        <v>0</v>
      </c>
      <c r="K759">
        <f t="shared" si="123"/>
        <v>0</v>
      </c>
      <c r="L759">
        <f t="shared" si="124"/>
        <v>0</v>
      </c>
      <c r="M759">
        <f t="shared" si="125"/>
        <v>0</v>
      </c>
      <c r="N759">
        <f t="shared" si="126"/>
        <v>0</v>
      </c>
      <c r="O759">
        <f t="shared" si="127"/>
        <v>0</v>
      </c>
      <c r="P759" t="str">
        <f t="shared" si="128"/>
        <v/>
      </c>
      <c r="Q759" t="str">
        <f>IF(B759="","", IFERROR(VLOOKUP(B759, '基準資産配分（設定）'!$A$2:$C$2001, 3, FALSE), ""))</f>
        <v/>
      </c>
      <c r="R759" t="str">
        <f>IF(B759="","", IFERROR(VLOOKUP(B759, '基準資産配分（設定）'!$A$2:$C$2001, 2, FALSE)/100, 0))</f>
        <v/>
      </c>
      <c r="S759" t="str">
        <f>IF(B759="","", IFERROR(SUMIFS(ベンチマークリターン!$C$2:$C$2001, ベンチマークリターン!$A$2:$A$2001, A759, ベンチマークリターン!$B$2:$B$2001, Q759) / 100, 0))</f>
        <v/>
      </c>
      <c r="T759" t="str">
        <f>IF(A759="","", SUMIFS($H$2:$H$2000, $A$2:$A$2000, A759))</f>
        <v/>
      </c>
      <c r="U759" t="str">
        <f t="shared" si="129"/>
        <v/>
      </c>
      <c r="V759" t="str">
        <f t="shared" si="130"/>
        <v/>
      </c>
      <c r="W759" t="str">
        <f t="shared" si="131"/>
        <v/>
      </c>
    </row>
    <row r="760" spans="1:23" x14ac:dyDescent="0.2">
      <c r="A760" s="4" t="str">
        <f>IF(ポートフォリオ実績!A761="","", ポートフォリオ実績!A761)</f>
        <v/>
      </c>
      <c r="B760" t="str">
        <f>IF(ポートフォリオ実績!B761="","", ポートフォリオ実績!B761)</f>
        <v/>
      </c>
      <c r="C760" s="10" t="str">
        <f>IF(ポートフォリオ実績!C761="","", ポートフォリオ実績!C761)</f>
        <v/>
      </c>
      <c r="D760" s="10" t="str">
        <f>IF(ポートフォリオ実績!D761="","", ポートフォリオ実績!D761)</f>
        <v/>
      </c>
      <c r="E760" s="10" t="str">
        <f>IF(ポートフォリオ実績!E761="","", ポートフォリオ実績!E761)</f>
        <v/>
      </c>
      <c r="F760" s="10" t="str">
        <f>IF(ポートフォリオ実績!F761="","", ポートフォリオ実績!F761)</f>
        <v/>
      </c>
      <c r="G760" t="str">
        <f t="shared" si="121"/>
        <v/>
      </c>
      <c r="H760">
        <f>IF(B760&lt;&gt;"", SUMIFS(ポートフォリオ実績!$D$2:$D$2001, ポートフォリオ実績!$B$2:$B$2001, B760, ポートフォリオ実績!$A$2:$A$2001, G760), 0)</f>
        <v>0</v>
      </c>
      <c r="I760">
        <f>IF(B760&lt;&gt;"", SUMIFS(ポートフォリオ実績!$C$2:$C$2001, ポートフォリオ実績!$B$2:$B$2001, B760, ポートフォリオ実績!$A$2:$A$2001, G760), 0)</f>
        <v>0</v>
      </c>
      <c r="J760">
        <f t="shared" si="122"/>
        <v>0</v>
      </c>
      <c r="K760">
        <f t="shared" si="123"/>
        <v>0</v>
      </c>
      <c r="L760">
        <f t="shared" si="124"/>
        <v>0</v>
      </c>
      <c r="M760">
        <f t="shared" si="125"/>
        <v>0</v>
      </c>
      <c r="N760">
        <f t="shared" si="126"/>
        <v>0</v>
      </c>
      <c r="O760">
        <f t="shared" si="127"/>
        <v>0</v>
      </c>
      <c r="P760" t="str">
        <f t="shared" si="128"/>
        <v/>
      </c>
      <c r="Q760" t="str">
        <f>IF(B760="","", IFERROR(VLOOKUP(B760, '基準資産配分（設定）'!$A$2:$C$2001, 3, FALSE), ""))</f>
        <v/>
      </c>
      <c r="R760" t="str">
        <f>IF(B760="","", IFERROR(VLOOKUP(B760, '基準資産配分（設定）'!$A$2:$C$2001, 2, FALSE)/100, 0))</f>
        <v/>
      </c>
      <c r="S760" t="str">
        <f>IF(B760="","", IFERROR(SUMIFS(ベンチマークリターン!$C$2:$C$2001, ベンチマークリターン!$A$2:$A$2001, A760, ベンチマークリターン!$B$2:$B$2001, Q760) / 100, 0))</f>
        <v/>
      </c>
      <c r="T760" t="str">
        <f>IF(A760="","", SUMIFS($H$2:$H$2000, $A$2:$A$2000, A760))</f>
        <v/>
      </c>
      <c r="U760" t="str">
        <f t="shared" si="129"/>
        <v/>
      </c>
      <c r="V760" t="str">
        <f t="shared" si="130"/>
        <v/>
      </c>
      <c r="W760" t="str">
        <f t="shared" si="131"/>
        <v/>
      </c>
    </row>
    <row r="761" spans="1:23" x14ac:dyDescent="0.2">
      <c r="A761" s="4" t="str">
        <f>IF(ポートフォリオ実績!A762="","", ポートフォリオ実績!A762)</f>
        <v/>
      </c>
      <c r="B761" t="str">
        <f>IF(ポートフォリオ実績!B762="","", ポートフォリオ実績!B762)</f>
        <v/>
      </c>
      <c r="C761" s="10" t="str">
        <f>IF(ポートフォリオ実績!C762="","", ポートフォリオ実績!C762)</f>
        <v/>
      </c>
      <c r="D761" s="10" t="str">
        <f>IF(ポートフォリオ実績!D762="","", ポートフォリオ実績!D762)</f>
        <v/>
      </c>
      <c r="E761" s="10" t="str">
        <f>IF(ポートフォリオ実績!E762="","", ポートフォリオ実績!E762)</f>
        <v/>
      </c>
      <c r="F761" s="10" t="str">
        <f>IF(ポートフォリオ実績!F762="","", ポートフォリオ実績!F762)</f>
        <v/>
      </c>
      <c r="G761" t="str">
        <f t="shared" si="121"/>
        <v/>
      </c>
      <c r="H761">
        <f>IF(B761&lt;&gt;"", SUMIFS(ポートフォリオ実績!$D$2:$D$2001, ポートフォリオ実績!$B$2:$B$2001, B761, ポートフォリオ実績!$A$2:$A$2001, G761), 0)</f>
        <v>0</v>
      </c>
      <c r="I761">
        <f>IF(B761&lt;&gt;"", SUMIFS(ポートフォリオ実績!$C$2:$C$2001, ポートフォリオ実績!$B$2:$B$2001, B761, ポートフォリオ実績!$A$2:$A$2001, G761), 0)</f>
        <v>0</v>
      </c>
      <c r="J761">
        <f t="shared" si="122"/>
        <v>0</v>
      </c>
      <c r="K761">
        <f t="shared" si="123"/>
        <v>0</v>
      </c>
      <c r="L761">
        <f t="shared" si="124"/>
        <v>0</v>
      </c>
      <c r="M761">
        <f t="shared" si="125"/>
        <v>0</v>
      </c>
      <c r="N761">
        <f t="shared" si="126"/>
        <v>0</v>
      </c>
      <c r="O761">
        <f t="shared" si="127"/>
        <v>0</v>
      </c>
      <c r="P761" t="str">
        <f t="shared" si="128"/>
        <v/>
      </c>
      <c r="Q761" t="str">
        <f>IF(B761="","", IFERROR(VLOOKUP(B761, '基準資産配分（設定）'!$A$2:$C$2001, 3, FALSE), ""))</f>
        <v/>
      </c>
      <c r="R761" t="str">
        <f>IF(B761="","", IFERROR(VLOOKUP(B761, '基準資産配分（設定）'!$A$2:$C$2001, 2, FALSE)/100, 0))</f>
        <v/>
      </c>
      <c r="S761" t="str">
        <f>IF(B761="","", IFERROR(SUMIFS(ベンチマークリターン!$C$2:$C$2001, ベンチマークリターン!$A$2:$A$2001, A761, ベンチマークリターン!$B$2:$B$2001, Q761) / 100, 0))</f>
        <v/>
      </c>
      <c r="T761" t="str">
        <f>IF(A761="","", SUMIFS($H$2:$H$2000, $A$2:$A$2000, A761))</f>
        <v/>
      </c>
      <c r="U761" t="str">
        <f t="shared" si="129"/>
        <v/>
      </c>
      <c r="V761" t="str">
        <f t="shared" si="130"/>
        <v/>
      </c>
      <c r="W761" t="str">
        <f t="shared" si="131"/>
        <v/>
      </c>
    </row>
    <row r="762" spans="1:23" x14ac:dyDescent="0.2">
      <c r="A762" s="4" t="str">
        <f>IF(ポートフォリオ実績!A763="","", ポートフォリオ実績!A763)</f>
        <v/>
      </c>
      <c r="B762" t="str">
        <f>IF(ポートフォリオ実績!B763="","", ポートフォリオ実績!B763)</f>
        <v/>
      </c>
      <c r="C762" s="10" t="str">
        <f>IF(ポートフォリオ実績!C763="","", ポートフォリオ実績!C763)</f>
        <v/>
      </c>
      <c r="D762" s="10" t="str">
        <f>IF(ポートフォリオ実績!D763="","", ポートフォリオ実績!D763)</f>
        <v/>
      </c>
      <c r="E762" s="10" t="str">
        <f>IF(ポートフォリオ実績!E763="","", ポートフォリオ実績!E763)</f>
        <v/>
      </c>
      <c r="F762" s="10" t="str">
        <f>IF(ポートフォリオ実績!F763="","", ポートフォリオ実績!F763)</f>
        <v/>
      </c>
      <c r="G762" t="str">
        <f t="shared" si="121"/>
        <v/>
      </c>
      <c r="H762">
        <f>IF(B762&lt;&gt;"", SUMIFS(ポートフォリオ実績!$D$2:$D$2001, ポートフォリオ実績!$B$2:$B$2001, B762, ポートフォリオ実績!$A$2:$A$2001, G762), 0)</f>
        <v>0</v>
      </c>
      <c r="I762">
        <f>IF(B762&lt;&gt;"", SUMIFS(ポートフォリオ実績!$C$2:$C$2001, ポートフォリオ実績!$B$2:$B$2001, B762, ポートフォリオ実績!$A$2:$A$2001, G762), 0)</f>
        <v>0</v>
      </c>
      <c r="J762">
        <f t="shared" si="122"/>
        <v>0</v>
      </c>
      <c r="K762">
        <f t="shared" si="123"/>
        <v>0</v>
      </c>
      <c r="L762">
        <f t="shared" si="124"/>
        <v>0</v>
      </c>
      <c r="M762">
        <f t="shared" si="125"/>
        <v>0</v>
      </c>
      <c r="N762">
        <f t="shared" si="126"/>
        <v>0</v>
      </c>
      <c r="O762">
        <f t="shared" si="127"/>
        <v>0</v>
      </c>
      <c r="P762" t="str">
        <f t="shared" si="128"/>
        <v/>
      </c>
      <c r="Q762" t="str">
        <f>IF(B762="","", IFERROR(VLOOKUP(B762, '基準資産配分（設定）'!$A$2:$C$2001, 3, FALSE), ""))</f>
        <v/>
      </c>
      <c r="R762" t="str">
        <f>IF(B762="","", IFERROR(VLOOKUP(B762, '基準資産配分（設定）'!$A$2:$C$2001, 2, FALSE)/100, 0))</f>
        <v/>
      </c>
      <c r="S762" t="str">
        <f>IF(B762="","", IFERROR(SUMIFS(ベンチマークリターン!$C$2:$C$2001, ベンチマークリターン!$A$2:$A$2001, A762, ベンチマークリターン!$B$2:$B$2001, Q762) / 100, 0))</f>
        <v/>
      </c>
      <c r="T762" t="str">
        <f>IF(A762="","", SUMIFS($H$2:$H$2000, $A$2:$A$2000, A762))</f>
        <v/>
      </c>
      <c r="U762" t="str">
        <f t="shared" si="129"/>
        <v/>
      </c>
      <c r="V762" t="str">
        <f t="shared" si="130"/>
        <v/>
      </c>
      <c r="W762" t="str">
        <f t="shared" si="131"/>
        <v/>
      </c>
    </row>
    <row r="763" spans="1:23" x14ac:dyDescent="0.2">
      <c r="A763" s="4" t="str">
        <f>IF(ポートフォリオ実績!A764="","", ポートフォリオ実績!A764)</f>
        <v/>
      </c>
      <c r="B763" t="str">
        <f>IF(ポートフォリオ実績!B764="","", ポートフォリオ実績!B764)</f>
        <v/>
      </c>
      <c r="C763" s="10" t="str">
        <f>IF(ポートフォリオ実績!C764="","", ポートフォリオ実績!C764)</f>
        <v/>
      </c>
      <c r="D763" s="10" t="str">
        <f>IF(ポートフォリオ実績!D764="","", ポートフォリオ実績!D764)</f>
        <v/>
      </c>
      <c r="E763" s="10" t="str">
        <f>IF(ポートフォリオ実績!E764="","", ポートフォリオ実績!E764)</f>
        <v/>
      </c>
      <c r="F763" s="10" t="str">
        <f>IF(ポートフォリオ実績!F764="","", ポートフォリオ実績!F764)</f>
        <v/>
      </c>
      <c r="G763" t="str">
        <f t="shared" si="121"/>
        <v/>
      </c>
      <c r="H763">
        <f>IF(B763&lt;&gt;"", SUMIFS(ポートフォリオ実績!$D$2:$D$2001, ポートフォリオ実績!$B$2:$B$2001, B763, ポートフォリオ実績!$A$2:$A$2001, G763), 0)</f>
        <v>0</v>
      </c>
      <c r="I763">
        <f>IF(B763&lt;&gt;"", SUMIFS(ポートフォリオ実績!$C$2:$C$2001, ポートフォリオ実績!$B$2:$B$2001, B763, ポートフォリオ実績!$A$2:$A$2001, G763), 0)</f>
        <v>0</v>
      </c>
      <c r="J763">
        <f t="shared" si="122"/>
        <v>0</v>
      </c>
      <c r="K763">
        <f t="shared" si="123"/>
        <v>0</v>
      </c>
      <c r="L763">
        <f t="shared" si="124"/>
        <v>0</v>
      </c>
      <c r="M763">
        <f t="shared" si="125"/>
        <v>0</v>
      </c>
      <c r="N763">
        <f t="shared" si="126"/>
        <v>0</v>
      </c>
      <c r="O763">
        <f t="shared" si="127"/>
        <v>0</v>
      </c>
      <c r="P763" t="str">
        <f t="shared" si="128"/>
        <v/>
      </c>
      <c r="Q763" t="str">
        <f>IF(B763="","", IFERROR(VLOOKUP(B763, '基準資産配分（設定）'!$A$2:$C$2001, 3, FALSE), ""))</f>
        <v/>
      </c>
      <c r="R763" t="str">
        <f>IF(B763="","", IFERROR(VLOOKUP(B763, '基準資産配分（設定）'!$A$2:$C$2001, 2, FALSE)/100, 0))</f>
        <v/>
      </c>
      <c r="S763" t="str">
        <f>IF(B763="","", IFERROR(SUMIFS(ベンチマークリターン!$C$2:$C$2001, ベンチマークリターン!$A$2:$A$2001, A763, ベンチマークリターン!$B$2:$B$2001, Q763) / 100, 0))</f>
        <v/>
      </c>
      <c r="T763" t="str">
        <f>IF(A763="","", SUMIFS($H$2:$H$2000, $A$2:$A$2000, A763))</f>
        <v/>
      </c>
      <c r="U763" t="str">
        <f t="shared" si="129"/>
        <v/>
      </c>
      <c r="V763" t="str">
        <f t="shared" si="130"/>
        <v/>
      </c>
      <c r="W763" t="str">
        <f t="shared" si="131"/>
        <v/>
      </c>
    </row>
    <row r="764" spans="1:23" x14ac:dyDescent="0.2">
      <c r="A764" s="4" t="str">
        <f>IF(ポートフォリオ実績!A765="","", ポートフォリオ実績!A765)</f>
        <v/>
      </c>
      <c r="B764" t="str">
        <f>IF(ポートフォリオ実績!B765="","", ポートフォリオ実績!B765)</f>
        <v/>
      </c>
      <c r="C764" s="10" t="str">
        <f>IF(ポートフォリオ実績!C765="","", ポートフォリオ実績!C765)</f>
        <v/>
      </c>
      <c r="D764" s="10" t="str">
        <f>IF(ポートフォリオ実績!D765="","", ポートフォリオ実績!D765)</f>
        <v/>
      </c>
      <c r="E764" s="10" t="str">
        <f>IF(ポートフォリオ実績!E765="","", ポートフォリオ実績!E765)</f>
        <v/>
      </c>
      <c r="F764" s="10" t="str">
        <f>IF(ポートフォリオ実績!F765="","", ポートフォリオ実績!F765)</f>
        <v/>
      </c>
      <c r="G764" t="str">
        <f t="shared" si="121"/>
        <v/>
      </c>
      <c r="H764">
        <f>IF(B764&lt;&gt;"", SUMIFS(ポートフォリオ実績!$D$2:$D$2001, ポートフォリオ実績!$B$2:$B$2001, B764, ポートフォリオ実績!$A$2:$A$2001, G764), 0)</f>
        <v>0</v>
      </c>
      <c r="I764">
        <f>IF(B764&lt;&gt;"", SUMIFS(ポートフォリオ実績!$C$2:$C$2001, ポートフォリオ実績!$B$2:$B$2001, B764, ポートフォリオ実績!$A$2:$A$2001, G764), 0)</f>
        <v>0</v>
      </c>
      <c r="J764">
        <f t="shared" si="122"/>
        <v>0</v>
      </c>
      <c r="K764">
        <f t="shared" si="123"/>
        <v>0</v>
      </c>
      <c r="L764">
        <f t="shared" si="124"/>
        <v>0</v>
      </c>
      <c r="M764">
        <f t="shared" si="125"/>
        <v>0</v>
      </c>
      <c r="N764">
        <f t="shared" si="126"/>
        <v>0</v>
      </c>
      <c r="O764">
        <f t="shared" si="127"/>
        <v>0</v>
      </c>
      <c r="P764" t="str">
        <f t="shared" si="128"/>
        <v/>
      </c>
      <c r="Q764" t="str">
        <f>IF(B764="","", IFERROR(VLOOKUP(B764, '基準資産配分（設定）'!$A$2:$C$2001, 3, FALSE), ""))</f>
        <v/>
      </c>
      <c r="R764" t="str">
        <f>IF(B764="","", IFERROR(VLOOKUP(B764, '基準資産配分（設定）'!$A$2:$C$2001, 2, FALSE)/100, 0))</f>
        <v/>
      </c>
      <c r="S764" t="str">
        <f>IF(B764="","", IFERROR(SUMIFS(ベンチマークリターン!$C$2:$C$2001, ベンチマークリターン!$A$2:$A$2001, A764, ベンチマークリターン!$B$2:$B$2001, Q764) / 100, 0))</f>
        <v/>
      </c>
      <c r="T764" t="str">
        <f>IF(A764="","", SUMIFS($H$2:$H$2000, $A$2:$A$2000, A764))</f>
        <v/>
      </c>
      <c r="U764" t="str">
        <f t="shared" si="129"/>
        <v/>
      </c>
      <c r="V764" t="str">
        <f t="shared" si="130"/>
        <v/>
      </c>
      <c r="W764" t="str">
        <f t="shared" si="131"/>
        <v/>
      </c>
    </row>
    <row r="765" spans="1:23" x14ac:dyDescent="0.2">
      <c r="A765" s="4" t="str">
        <f>IF(ポートフォリオ実績!A766="","", ポートフォリオ実績!A766)</f>
        <v/>
      </c>
      <c r="B765" t="str">
        <f>IF(ポートフォリオ実績!B766="","", ポートフォリオ実績!B766)</f>
        <v/>
      </c>
      <c r="C765" s="10" t="str">
        <f>IF(ポートフォリオ実績!C766="","", ポートフォリオ実績!C766)</f>
        <v/>
      </c>
      <c r="D765" s="10" t="str">
        <f>IF(ポートフォリオ実績!D766="","", ポートフォリオ実績!D766)</f>
        <v/>
      </c>
      <c r="E765" s="10" t="str">
        <f>IF(ポートフォリオ実績!E766="","", ポートフォリオ実績!E766)</f>
        <v/>
      </c>
      <c r="F765" s="10" t="str">
        <f>IF(ポートフォリオ実績!F766="","", ポートフォリオ実績!F766)</f>
        <v/>
      </c>
      <c r="G765" t="str">
        <f t="shared" si="121"/>
        <v/>
      </c>
      <c r="H765">
        <f>IF(B765&lt;&gt;"", SUMIFS(ポートフォリオ実績!$D$2:$D$2001, ポートフォリオ実績!$B$2:$B$2001, B765, ポートフォリオ実績!$A$2:$A$2001, G765), 0)</f>
        <v>0</v>
      </c>
      <c r="I765">
        <f>IF(B765&lt;&gt;"", SUMIFS(ポートフォリオ実績!$C$2:$C$2001, ポートフォリオ実績!$B$2:$B$2001, B765, ポートフォリオ実績!$A$2:$A$2001, G765), 0)</f>
        <v>0</v>
      </c>
      <c r="J765">
        <f t="shared" si="122"/>
        <v>0</v>
      </c>
      <c r="K765">
        <f t="shared" si="123"/>
        <v>0</v>
      </c>
      <c r="L765">
        <f t="shared" si="124"/>
        <v>0</v>
      </c>
      <c r="M765">
        <f t="shared" si="125"/>
        <v>0</v>
      </c>
      <c r="N765">
        <f t="shared" si="126"/>
        <v>0</v>
      </c>
      <c r="O765">
        <f t="shared" si="127"/>
        <v>0</v>
      </c>
      <c r="P765" t="str">
        <f t="shared" si="128"/>
        <v/>
      </c>
      <c r="Q765" t="str">
        <f>IF(B765="","", IFERROR(VLOOKUP(B765, '基準資産配分（設定）'!$A$2:$C$2001, 3, FALSE), ""))</f>
        <v/>
      </c>
      <c r="R765" t="str">
        <f>IF(B765="","", IFERROR(VLOOKUP(B765, '基準資産配分（設定）'!$A$2:$C$2001, 2, FALSE)/100, 0))</f>
        <v/>
      </c>
      <c r="S765" t="str">
        <f>IF(B765="","", IFERROR(SUMIFS(ベンチマークリターン!$C$2:$C$2001, ベンチマークリターン!$A$2:$A$2001, A765, ベンチマークリターン!$B$2:$B$2001, Q765) / 100, 0))</f>
        <v/>
      </c>
      <c r="T765" t="str">
        <f>IF(A765="","", SUMIFS($H$2:$H$2000, $A$2:$A$2000, A765))</f>
        <v/>
      </c>
      <c r="U765" t="str">
        <f t="shared" si="129"/>
        <v/>
      </c>
      <c r="V765" t="str">
        <f t="shared" si="130"/>
        <v/>
      </c>
      <c r="W765" t="str">
        <f t="shared" si="131"/>
        <v/>
      </c>
    </row>
    <row r="766" spans="1:23" x14ac:dyDescent="0.2">
      <c r="A766" s="4" t="str">
        <f>IF(ポートフォリオ実績!A767="","", ポートフォリオ実績!A767)</f>
        <v/>
      </c>
      <c r="B766" t="str">
        <f>IF(ポートフォリオ実績!B767="","", ポートフォリオ実績!B767)</f>
        <v/>
      </c>
      <c r="C766" s="10" t="str">
        <f>IF(ポートフォリオ実績!C767="","", ポートフォリオ実績!C767)</f>
        <v/>
      </c>
      <c r="D766" s="10" t="str">
        <f>IF(ポートフォリオ実績!D767="","", ポートフォリオ実績!D767)</f>
        <v/>
      </c>
      <c r="E766" s="10" t="str">
        <f>IF(ポートフォリオ実績!E767="","", ポートフォリオ実績!E767)</f>
        <v/>
      </c>
      <c r="F766" s="10" t="str">
        <f>IF(ポートフォリオ実績!F767="","", ポートフォリオ実績!F767)</f>
        <v/>
      </c>
      <c r="G766" t="str">
        <f t="shared" si="121"/>
        <v/>
      </c>
      <c r="H766">
        <f>IF(B766&lt;&gt;"", SUMIFS(ポートフォリオ実績!$D$2:$D$2001, ポートフォリオ実績!$B$2:$B$2001, B766, ポートフォリオ実績!$A$2:$A$2001, G766), 0)</f>
        <v>0</v>
      </c>
      <c r="I766">
        <f>IF(B766&lt;&gt;"", SUMIFS(ポートフォリオ実績!$C$2:$C$2001, ポートフォリオ実績!$B$2:$B$2001, B766, ポートフォリオ実績!$A$2:$A$2001, G766), 0)</f>
        <v>0</v>
      </c>
      <c r="J766">
        <f t="shared" si="122"/>
        <v>0</v>
      </c>
      <c r="K766">
        <f t="shared" si="123"/>
        <v>0</v>
      </c>
      <c r="L766">
        <f t="shared" si="124"/>
        <v>0</v>
      </c>
      <c r="M766">
        <f t="shared" si="125"/>
        <v>0</v>
      </c>
      <c r="N766">
        <f t="shared" si="126"/>
        <v>0</v>
      </c>
      <c r="O766">
        <f t="shared" si="127"/>
        <v>0</v>
      </c>
      <c r="P766" t="str">
        <f t="shared" si="128"/>
        <v/>
      </c>
      <c r="Q766" t="str">
        <f>IF(B766="","", IFERROR(VLOOKUP(B766, '基準資産配分（設定）'!$A$2:$C$2001, 3, FALSE), ""))</f>
        <v/>
      </c>
      <c r="R766" t="str">
        <f>IF(B766="","", IFERROR(VLOOKUP(B766, '基準資産配分（設定）'!$A$2:$C$2001, 2, FALSE)/100, 0))</f>
        <v/>
      </c>
      <c r="S766" t="str">
        <f>IF(B766="","", IFERROR(SUMIFS(ベンチマークリターン!$C$2:$C$2001, ベンチマークリターン!$A$2:$A$2001, A766, ベンチマークリターン!$B$2:$B$2001, Q766) / 100, 0))</f>
        <v/>
      </c>
      <c r="T766" t="str">
        <f>IF(A766="","", SUMIFS($H$2:$H$2000, $A$2:$A$2000, A766))</f>
        <v/>
      </c>
      <c r="U766" t="str">
        <f t="shared" si="129"/>
        <v/>
      </c>
      <c r="V766" t="str">
        <f t="shared" si="130"/>
        <v/>
      </c>
      <c r="W766" t="str">
        <f t="shared" si="131"/>
        <v/>
      </c>
    </row>
    <row r="767" spans="1:23" x14ac:dyDescent="0.2">
      <c r="A767" s="4" t="str">
        <f>IF(ポートフォリオ実績!A768="","", ポートフォリオ実績!A768)</f>
        <v/>
      </c>
      <c r="B767" t="str">
        <f>IF(ポートフォリオ実績!B768="","", ポートフォリオ実績!B768)</f>
        <v/>
      </c>
      <c r="C767" s="10" t="str">
        <f>IF(ポートフォリオ実績!C768="","", ポートフォリオ実績!C768)</f>
        <v/>
      </c>
      <c r="D767" s="10" t="str">
        <f>IF(ポートフォリオ実績!D768="","", ポートフォリオ実績!D768)</f>
        <v/>
      </c>
      <c r="E767" s="10" t="str">
        <f>IF(ポートフォリオ実績!E768="","", ポートフォリオ実績!E768)</f>
        <v/>
      </c>
      <c r="F767" s="10" t="str">
        <f>IF(ポートフォリオ実績!F768="","", ポートフォリオ実績!F768)</f>
        <v/>
      </c>
      <c r="G767" t="str">
        <f t="shared" si="121"/>
        <v/>
      </c>
      <c r="H767">
        <f>IF(B767&lt;&gt;"", SUMIFS(ポートフォリオ実績!$D$2:$D$2001, ポートフォリオ実績!$B$2:$B$2001, B767, ポートフォリオ実績!$A$2:$A$2001, G767), 0)</f>
        <v>0</v>
      </c>
      <c r="I767">
        <f>IF(B767&lt;&gt;"", SUMIFS(ポートフォリオ実績!$C$2:$C$2001, ポートフォリオ実績!$B$2:$B$2001, B767, ポートフォリオ実績!$A$2:$A$2001, G767), 0)</f>
        <v>0</v>
      </c>
      <c r="J767">
        <f t="shared" si="122"/>
        <v>0</v>
      </c>
      <c r="K767">
        <f t="shared" si="123"/>
        <v>0</v>
      </c>
      <c r="L767">
        <f t="shared" si="124"/>
        <v>0</v>
      </c>
      <c r="M767">
        <f t="shared" si="125"/>
        <v>0</v>
      </c>
      <c r="N767">
        <f t="shared" si="126"/>
        <v>0</v>
      </c>
      <c r="O767">
        <f t="shared" si="127"/>
        <v>0</v>
      </c>
      <c r="P767" t="str">
        <f t="shared" si="128"/>
        <v/>
      </c>
      <c r="Q767" t="str">
        <f>IF(B767="","", IFERROR(VLOOKUP(B767, '基準資産配分（設定）'!$A$2:$C$2001, 3, FALSE), ""))</f>
        <v/>
      </c>
      <c r="R767" t="str">
        <f>IF(B767="","", IFERROR(VLOOKUP(B767, '基準資産配分（設定）'!$A$2:$C$2001, 2, FALSE)/100, 0))</f>
        <v/>
      </c>
      <c r="S767" t="str">
        <f>IF(B767="","", IFERROR(SUMIFS(ベンチマークリターン!$C$2:$C$2001, ベンチマークリターン!$A$2:$A$2001, A767, ベンチマークリターン!$B$2:$B$2001, Q767) / 100, 0))</f>
        <v/>
      </c>
      <c r="T767" t="str">
        <f>IF(A767="","", SUMIFS($H$2:$H$2000, $A$2:$A$2000, A767))</f>
        <v/>
      </c>
      <c r="U767" t="str">
        <f t="shared" si="129"/>
        <v/>
      </c>
      <c r="V767" t="str">
        <f t="shared" si="130"/>
        <v/>
      </c>
      <c r="W767" t="str">
        <f t="shared" si="131"/>
        <v/>
      </c>
    </row>
    <row r="768" spans="1:23" x14ac:dyDescent="0.2">
      <c r="A768" s="4" t="str">
        <f>IF(ポートフォリオ実績!A769="","", ポートフォリオ実績!A769)</f>
        <v/>
      </c>
      <c r="B768" t="str">
        <f>IF(ポートフォリオ実績!B769="","", ポートフォリオ実績!B769)</f>
        <v/>
      </c>
      <c r="C768" s="10" t="str">
        <f>IF(ポートフォリオ実績!C769="","", ポートフォリオ実績!C769)</f>
        <v/>
      </c>
      <c r="D768" s="10" t="str">
        <f>IF(ポートフォリオ実績!D769="","", ポートフォリオ実績!D769)</f>
        <v/>
      </c>
      <c r="E768" s="10" t="str">
        <f>IF(ポートフォリオ実績!E769="","", ポートフォリオ実績!E769)</f>
        <v/>
      </c>
      <c r="F768" s="10" t="str">
        <f>IF(ポートフォリオ実績!F769="","", ポートフォリオ実績!F769)</f>
        <v/>
      </c>
      <c r="G768" t="str">
        <f t="shared" si="121"/>
        <v/>
      </c>
      <c r="H768">
        <f>IF(B768&lt;&gt;"", SUMIFS(ポートフォリオ実績!$D$2:$D$2001, ポートフォリオ実績!$B$2:$B$2001, B768, ポートフォリオ実績!$A$2:$A$2001, G768), 0)</f>
        <v>0</v>
      </c>
      <c r="I768">
        <f>IF(B768&lt;&gt;"", SUMIFS(ポートフォリオ実績!$C$2:$C$2001, ポートフォリオ実績!$B$2:$B$2001, B768, ポートフォリオ実績!$A$2:$A$2001, G768), 0)</f>
        <v>0</v>
      </c>
      <c r="J768">
        <f t="shared" si="122"/>
        <v>0</v>
      </c>
      <c r="K768">
        <f t="shared" si="123"/>
        <v>0</v>
      </c>
      <c r="L768">
        <f t="shared" si="124"/>
        <v>0</v>
      </c>
      <c r="M768">
        <f t="shared" si="125"/>
        <v>0</v>
      </c>
      <c r="N768">
        <f t="shared" si="126"/>
        <v>0</v>
      </c>
      <c r="O768">
        <f t="shared" si="127"/>
        <v>0</v>
      </c>
      <c r="P768" t="str">
        <f t="shared" si="128"/>
        <v/>
      </c>
      <c r="Q768" t="str">
        <f>IF(B768="","", IFERROR(VLOOKUP(B768, '基準資産配分（設定）'!$A$2:$C$2001, 3, FALSE), ""))</f>
        <v/>
      </c>
      <c r="R768" t="str">
        <f>IF(B768="","", IFERROR(VLOOKUP(B768, '基準資産配分（設定）'!$A$2:$C$2001, 2, FALSE)/100, 0))</f>
        <v/>
      </c>
      <c r="S768" t="str">
        <f>IF(B768="","", IFERROR(SUMIFS(ベンチマークリターン!$C$2:$C$2001, ベンチマークリターン!$A$2:$A$2001, A768, ベンチマークリターン!$B$2:$B$2001, Q768) / 100, 0))</f>
        <v/>
      </c>
      <c r="T768" t="str">
        <f>IF(A768="","", SUMIFS($H$2:$H$2000, $A$2:$A$2000, A768))</f>
        <v/>
      </c>
      <c r="U768" t="str">
        <f t="shared" si="129"/>
        <v/>
      </c>
      <c r="V768" t="str">
        <f t="shared" si="130"/>
        <v/>
      </c>
      <c r="W768" t="str">
        <f t="shared" si="131"/>
        <v/>
      </c>
    </row>
    <row r="769" spans="1:23" x14ac:dyDescent="0.2">
      <c r="A769" s="4" t="str">
        <f>IF(ポートフォリオ実績!A770="","", ポートフォリオ実績!A770)</f>
        <v/>
      </c>
      <c r="B769" t="str">
        <f>IF(ポートフォリオ実績!B770="","", ポートフォリオ実績!B770)</f>
        <v/>
      </c>
      <c r="C769" s="10" t="str">
        <f>IF(ポートフォリオ実績!C770="","", ポートフォリオ実績!C770)</f>
        <v/>
      </c>
      <c r="D769" s="10" t="str">
        <f>IF(ポートフォリオ実績!D770="","", ポートフォリオ実績!D770)</f>
        <v/>
      </c>
      <c r="E769" s="10" t="str">
        <f>IF(ポートフォリオ実績!E770="","", ポートフォリオ実績!E770)</f>
        <v/>
      </c>
      <c r="F769" s="10" t="str">
        <f>IF(ポートフォリオ実績!F770="","", ポートフォリオ実績!F770)</f>
        <v/>
      </c>
      <c r="G769" t="str">
        <f t="shared" ref="G769:G832" si="132">IF(A769&lt;&gt;"", EOMONTH(A769, -1), "")</f>
        <v/>
      </c>
      <c r="H769">
        <f>IF(B769&lt;&gt;"", SUMIFS(ポートフォリオ実績!$D$2:$D$2001, ポートフォリオ実績!$B$2:$B$2001, B769, ポートフォリオ実績!$A$2:$A$2001, G769), 0)</f>
        <v>0</v>
      </c>
      <c r="I769">
        <f>IF(B769&lt;&gt;"", SUMIFS(ポートフォリオ実績!$C$2:$C$2001, ポートフォリオ実績!$B$2:$B$2001, B769, ポートフォリオ実績!$A$2:$A$2001, G769), 0)</f>
        <v>0</v>
      </c>
      <c r="J769">
        <f t="shared" ref="J769:J832" si="133">IF(A769&lt;&gt;"", D769-C769, 0)</f>
        <v>0</v>
      </c>
      <c r="K769">
        <f t="shared" ref="K769:K832" si="134">IF(A769&lt;&gt;"", H769-I769, 0)</f>
        <v>0</v>
      </c>
      <c r="L769">
        <f t="shared" ref="L769:L832" si="135">IF(H769=0, 0, J769-K769)</f>
        <v>0</v>
      </c>
      <c r="M769">
        <f t="shared" ref="M769:M832" si="136">IF(A769&lt;&gt;"", E769+F769+L769, 0)</f>
        <v>0</v>
      </c>
      <c r="N769">
        <f t="shared" ref="N769:N832" si="137">IF(H769=0, 0, (D769-H769)-M769)</f>
        <v>0</v>
      </c>
      <c r="O769">
        <f t="shared" ref="O769:O832" si="138">IF(A769&lt;&gt;"", H769+N769*0.5, 0)</f>
        <v>0</v>
      </c>
      <c r="P769" t="str">
        <f t="shared" ref="P769:P832" si="139">IF(A769="","", IF(O769&gt;0.000001, M769/O769, IF(ABS(M769)&lt;0.000001, 0, 0)))</f>
        <v/>
      </c>
      <c r="Q769" t="str">
        <f>IF(B769="","", IFERROR(VLOOKUP(B769, '基準資産配分（設定）'!$A$2:$C$2001, 3, FALSE), ""))</f>
        <v/>
      </c>
      <c r="R769" t="str">
        <f>IF(B769="","", IFERROR(VLOOKUP(B769, '基準資産配分（設定）'!$A$2:$C$2001, 2, FALSE)/100, 0))</f>
        <v/>
      </c>
      <c r="S769" t="str">
        <f>IF(B769="","", IFERROR(SUMIFS(ベンチマークリターン!$C$2:$C$2001, ベンチマークリターン!$A$2:$A$2001, A769, ベンチマークリターン!$B$2:$B$2001, Q769) / 100, 0))</f>
        <v/>
      </c>
      <c r="T769" t="str">
        <f>IF(A769="","", SUMIFS($H$2:$H$2000, $A$2:$A$2000, A769))</f>
        <v/>
      </c>
      <c r="U769" t="str">
        <f t="shared" ref="U769:U832" si="140">IF(A769="","", IFERROR(H769/T769, 0))</f>
        <v/>
      </c>
      <c r="V769" t="str">
        <f t="shared" ref="V769:V832" si="141">IF(A769="","", U769*P769)</f>
        <v/>
      </c>
      <c r="W769" t="str">
        <f t="shared" ref="W769:W832" si="142">IF(A769="","", R769*S769)</f>
        <v/>
      </c>
    </row>
    <row r="770" spans="1:23" x14ac:dyDescent="0.2">
      <c r="A770" s="4" t="str">
        <f>IF(ポートフォリオ実績!A771="","", ポートフォリオ実績!A771)</f>
        <v/>
      </c>
      <c r="B770" t="str">
        <f>IF(ポートフォリオ実績!B771="","", ポートフォリオ実績!B771)</f>
        <v/>
      </c>
      <c r="C770" s="10" t="str">
        <f>IF(ポートフォリオ実績!C771="","", ポートフォリオ実績!C771)</f>
        <v/>
      </c>
      <c r="D770" s="10" t="str">
        <f>IF(ポートフォリオ実績!D771="","", ポートフォリオ実績!D771)</f>
        <v/>
      </c>
      <c r="E770" s="10" t="str">
        <f>IF(ポートフォリオ実績!E771="","", ポートフォリオ実績!E771)</f>
        <v/>
      </c>
      <c r="F770" s="10" t="str">
        <f>IF(ポートフォリオ実績!F771="","", ポートフォリオ実績!F771)</f>
        <v/>
      </c>
      <c r="G770" t="str">
        <f t="shared" si="132"/>
        <v/>
      </c>
      <c r="H770">
        <f>IF(B770&lt;&gt;"", SUMIFS(ポートフォリオ実績!$D$2:$D$2001, ポートフォリオ実績!$B$2:$B$2001, B770, ポートフォリオ実績!$A$2:$A$2001, G770), 0)</f>
        <v>0</v>
      </c>
      <c r="I770">
        <f>IF(B770&lt;&gt;"", SUMIFS(ポートフォリオ実績!$C$2:$C$2001, ポートフォリオ実績!$B$2:$B$2001, B770, ポートフォリオ実績!$A$2:$A$2001, G770), 0)</f>
        <v>0</v>
      </c>
      <c r="J770">
        <f t="shared" si="133"/>
        <v>0</v>
      </c>
      <c r="K770">
        <f t="shared" si="134"/>
        <v>0</v>
      </c>
      <c r="L770">
        <f t="shared" si="135"/>
        <v>0</v>
      </c>
      <c r="M770">
        <f t="shared" si="136"/>
        <v>0</v>
      </c>
      <c r="N770">
        <f t="shared" si="137"/>
        <v>0</v>
      </c>
      <c r="O770">
        <f t="shared" si="138"/>
        <v>0</v>
      </c>
      <c r="P770" t="str">
        <f t="shared" si="139"/>
        <v/>
      </c>
      <c r="Q770" t="str">
        <f>IF(B770="","", IFERROR(VLOOKUP(B770, '基準資産配分（設定）'!$A$2:$C$2001, 3, FALSE), ""))</f>
        <v/>
      </c>
      <c r="R770" t="str">
        <f>IF(B770="","", IFERROR(VLOOKUP(B770, '基準資産配分（設定）'!$A$2:$C$2001, 2, FALSE)/100, 0))</f>
        <v/>
      </c>
      <c r="S770" t="str">
        <f>IF(B770="","", IFERROR(SUMIFS(ベンチマークリターン!$C$2:$C$2001, ベンチマークリターン!$A$2:$A$2001, A770, ベンチマークリターン!$B$2:$B$2001, Q770) / 100, 0))</f>
        <v/>
      </c>
      <c r="T770" t="str">
        <f>IF(A770="","", SUMIFS($H$2:$H$2000, $A$2:$A$2000, A770))</f>
        <v/>
      </c>
      <c r="U770" t="str">
        <f t="shared" si="140"/>
        <v/>
      </c>
      <c r="V770" t="str">
        <f t="shared" si="141"/>
        <v/>
      </c>
      <c r="W770" t="str">
        <f t="shared" si="142"/>
        <v/>
      </c>
    </row>
    <row r="771" spans="1:23" x14ac:dyDescent="0.2">
      <c r="A771" s="4" t="str">
        <f>IF(ポートフォリオ実績!A772="","", ポートフォリオ実績!A772)</f>
        <v/>
      </c>
      <c r="B771" t="str">
        <f>IF(ポートフォリオ実績!B772="","", ポートフォリオ実績!B772)</f>
        <v/>
      </c>
      <c r="C771" s="10" t="str">
        <f>IF(ポートフォリオ実績!C772="","", ポートフォリオ実績!C772)</f>
        <v/>
      </c>
      <c r="D771" s="10" t="str">
        <f>IF(ポートフォリオ実績!D772="","", ポートフォリオ実績!D772)</f>
        <v/>
      </c>
      <c r="E771" s="10" t="str">
        <f>IF(ポートフォリオ実績!E772="","", ポートフォリオ実績!E772)</f>
        <v/>
      </c>
      <c r="F771" s="10" t="str">
        <f>IF(ポートフォリオ実績!F772="","", ポートフォリオ実績!F772)</f>
        <v/>
      </c>
      <c r="G771" t="str">
        <f t="shared" si="132"/>
        <v/>
      </c>
      <c r="H771">
        <f>IF(B771&lt;&gt;"", SUMIFS(ポートフォリオ実績!$D$2:$D$2001, ポートフォリオ実績!$B$2:$B$2001, B771, ポートフォリオ実績!$A$2:$A$2001, G771), 0)</f>
        <v>0</v>
      </c>
      <c r="I771">
        <f>IF(B771&lt;&gt;"", SUMIFS(ポートフォリオ実績!$C$2:$C$2001, ポートフォリオ実績!$B$2:$B$2001, B771, ポートフォリオ実績!$A$2:$A$2001, G771), 0)</f>
        <v>0</v>
      </c>
      <c r="J771">
        <f t="shared" si="133"/>
        <v>0</v>
      </c>
      <c r="K771">
        <f t="shared" si="134"/>
        <v>0</v>
      </c>
      <c r="L771">
        <f t="shared" si="135"/>
        <v>0</v>
      </c>
      <c r="M771">
        <f t="shared" si="136"/>
        <v>0</v>
      </c>
      <c r="N771">
        <f t="shared" si="137"/>
        <v>0</v>
      </c>
      <c r="O771">
        <f t="shared" si="138"/>
        <v>0</v>
      </c>
      <c r="P771" t="str">
        <f t="shared" si="139"/>
        <v/>
      </c>
      <c r="Q771" t="str">
        <f>IF(B771="","", IFERROR(VLOOKUP(B771, '基準資産配分（設定）'!$A$2:$C$2001, 3, FALSE), ""))</f>
        <v/>
      </c>
      <c r="R771" t="str">
        <f>IF(B771="","", IFERROR(VLOOKUP(B771, '基準資産配分（設定）'!$A$2:$C$2001, 2, FALSE)/100, 0))</f>
        <v/>
      </c>
      <c r="S771" t="str">
        <f>IF(B771="","", IFERROR(SUMIFS(ベンチマークリターン!$C$2:$C$2001, ベンチマークリターン!$A$2:$A$2001, A771, ベンチマークリターン!$B$2:$B$2001, Q771) / 100, 0))</f>
        <v/>
      </c>
      <c r="T771" t="str">
        <f>IF(A771="","", SUMIFS($H$2:$H$2000, $A$2:$A$2000, A771))</f>
        <v/>
      </c>
      <c r="U771" t="str">
        <f t="shared" si="140"/>
        <v/>
      </c>
      <c r="V771" t="str">
        <f t="shared" si="141"/>
        <v/>
      </c>
      <c r="W771" t="str">
        <f t="shared" si="142"/>
        <v/>
      </c>
    </row>
    <row r="772" spans="1:23" x14ac:dyDescent="0.2">
      <c r="A772" s="4" t="str">
        <f>IF(ポートフォリオ実績!A773="","", ポートフォリオ実績!A773)</f>
        <v/>
      </c>
      <c r="B772" t="str">
        <f>IF(ポートフォリオ実績!B773="","", ポートフォリオ実績!B773)</f>
        <v/>
      </c>
      <c r="C772" s="10" t="str">
        <f>IF(ポートフォリオ実績!C773="","", ポートフォリオ実績!C773)</f>
        <v/>
      </c>
      <c r="D772" s="10" t="str">
        <f>IF(ポートフォリオ実績!D773="","", ポートフォリオ実績!D773)</f>
        <v/>
      </c>
      <c r="E772" s="10" t="str">
        <f>IF(ポートフォリオ実績!E773="","", ポートフォリオ実績!E773)</f>
        <v/>
      </c>
      <c r="F772" s="10" t="str">
        <f>IF(ポートフォリオ実績!F773="","", ポートフォリオ実績!F773)</f>
        <v/>
      </c>
      <c r="G772" t="str">
        <f t="shared" si="132"/>
        <v/>
      </c>
      <c r="H772">
        <f>IF(B772&lt;&gt;"", SUMIFS(ポートフォリオ実績!$D$2:$D$2001, ポートフォリオ実績!$B$2:$B$2001, B772, ポートフォリオ実績!$A$2:$A$2001, G772), 0)</f>
        <v>0</v>
      </c>
      <c r="I772">
        <f>IF(B772&lt;&gt;"", SUMIFS(ポートフォリオ実績!$C$2:$C$2001, ポートフォリオ実績!$B$2:$B$2001, B772, ポートフォリオ実績!$A$2:$A$2001, G772), 0)</f>
        <v>0</v>
      </c>
      <c r="J772">
        <f t="shared" si="133"/>
        <v>0</v>
      </c>
      <c r="K772">
        <f t="shared" si="134"/>
        <v>0</v>
      </c>
      <c r="L772">
        <f t="shared" si="135"/>
        <v>0</v>
      </c>
      <c r="M772">
        <f t="shared" si="136"/>
        <v>0</v>
      </c>
      <c r="N772">
        <f t="shared" si="137"/>
        <v>0</v>
      </c>
      <c r="O772">
        <f t="shared" si="138"/>
        <v>0</v>
      </c>
      <c r="P772" t="str">
        <f t="shared" si="139"/>
        <v/>
      </c>
      <c r="Q772" t="str">
        <f>IF(B772="","", IFERROR(VLOOKUP(B772, '基準資産配分（設定）'!$A$2:$C$2001, 3, FALSE), ""))</f>
        <v/>
      </c>
      <c r="R772" t="str">
        <f>IF(B772="","", IFERROR(VLOOKUP(B772, '基準資産配分（設定）'!$A$2:$C$2001, 2, FALSE)/100, 0))</f>
        <v/>
      </c>
      <c r="S772" t="str">
        <f>IF(B772="","", IFERROR(SUMIFS(ベンチマークリターン!$C$2:$C$2001, ベンチマークリターン!$A$2:$A$2001, A772, ベンチマークリターン!$B$2:$B$2001, Q772) / 100, 0))</f>
        <v/>
      </c>
      <c r="T772" t="str">
        <f>IF(A772="","", SUMIFS($H$2:$H$2000, $A$2:$A$2000, A772))</f>
        <v/>
      </c>
      <c r="U772" t="str">
        <f t="shared" si="140"/>
        <v/>
      </c>
      <c r="V772" t="str">
        <f t="shared" si="141"/>
        <v/>
      </c>
      <c r="W772" t="str">
        <f t="shared" si="142"/>
        <v/>
      </c>
    </row>
    <row r="773" spans="1:23" x14ac:dyDescent="0.2">
      <c r="A773" s="4" t="str">
        <f>IF(ポートフォリオ実績!A774="","", ポートフォリオ実績!A774)</f>
        <v/>
      </c>
      <c r="B773" t="str">
        <f>IF(ポートフォリオ実績!B774="","", ポートフォリオ実績!B774)</f>
        <v/>
      </c>
      <c r="C773" s="10" t="str">
        <f>IF(ポートフォリオ実績!C774="","", ポートフォリオ実績!C774)</f>
        <v/>
      </c>
      <c r="D773" s="10" t="str">
        <f>IF(ポートフォリオ実績!D774="","", ポートフォリオ実績!D774)</f>
        <v/>
      </c>
      <c r="E773" s="10" t="str">
        <f>IF(ポートフォリオ実績!E774="","", ポートフォリオ実績!E774)</f>
        <v/>
      </c>
      <c r="F773" s="10" t="str">
        <f>IF(ポートフォリオ実績!F774="","", ポートフォリオ実績!F774)</f>
        <v/>
      </c>
      <c r="G773" t="str">
        <f t="shared" si="132"/>
        <v/>
      </c>
      <c r="H773">
        <f>IF(B773&lt;&gt;"", SUMIFS(ポートフォリオ実績!$D$2:$D$2001, ポートフォリオ実績!$B$2:$B$2001, B773, ポートフォリオ実績!$A$2:$A$2001, G773), 0)</f>
        <v>0</v>
      </c>
      <c r="I773">
        <f>IF(B773&lt;&gt;"", SUMIFS(ポートフォリオ実績!$C$2:$C$2001, ポートフォリオ実績!$B$2:$B$2001, B773, ポートフォリオ実績!$A$2:$A$2001, G773), 0)</f>
        <v>0</v>
      </c>
      <c r="J773">
        <f t="shared" si="133"/>
        <v>0</v>
      </c>
      <c r="K773">
        <f t="shared" si="134"/>
        <v>0</v>
      </c>
      <c r="L773">
        <f t="shared" si="135"/>
        <v>0</v>
      </c>
      <c r="M773">
        <f t="shared" si="136"/>
        <v>0</v>
      </c>
      <c r="N773">
        <f t="shared" si="137"/>
        <v>0</v>
      </c>
      <c r="O773">
        <f t="shared" si="138"/>
        <v>0</v>
      </c>
      <c r="P773" t="str">
        <f t="shared" si="139"/>
        <v/>
      </c>
      <c r="Q773" t="str">
        <f>IF(B773="","", IFERROR(VLOOKUP(B773, '基準資産配分（設定）'!$A$2:$C$2001, 3, FALSE), ""))</f>
        <v/>
      </c>
      <c r="R773" t="str">
        <f>IF(B773="","", IFERROR(VLOOKUP(B773, '基準資産配分（設定）'!$A$2:$C$2001, 2, FALSE)/100, 0))</f>
        <v/>
      </c>
      <c r="S773" t="str">
        <f>IF(B773="","", IFERROR(SUMIFS(ベンチマークリターン!$C$2:$C$2001, ベンチマークリターン!$A$2:$A$2001, A773, ベンチマークリターン!$B$2:$B$2001, Q773) / 100, 0))</f>
        <v/>
      </c>
      <c r="T773" t="str">
        <f>IF(A773="","", SUMIFS($H$2:$H$2000, $A$2:$A$2000, A773))</f>
        <v/>
      </c>
      <c r="U773" t="str">
        <f t="shared" si="140"/>
        <v/>
      </c>
      <c r="V773" t="str">
        <f t="shared" si="141"/>
        <v/>
      </c>
      <c r="W773" t="str">
        <f t="shared" si="142"/>
        <v/>
      </c>
    </row>
    <row r="774" spans="1:23" x14ac:dyDescent="0.2">
      <c r="A774" s="4" t="str">
        <f>IF(ポートフォリオ実績!A775="","", ポートフォリオ実績!A775)</f>
        <v/>
      </c>
      <c r="B774" t="str">
        <f>IF(ポートフォリオ実績!B775="","", ポートフォリオ実績!B775)</f>
        <v/>
      </c>
      <c r="C774" s="10" t="str">
        <f>IF(ポートフォリオ実績!C775="","", ポートフォリオ実績!C775)</f>
        <v/>
      </c>
      <c r="D774" s="10" t="str">
        <f>IF(ポートフォリオ実績!D775="","", ポートフォリオ実績!D775)</f>
        <v/>
      </c>
      <c r="E774" s="10" t="str">
        <f>IF(ポートフォリオ実績!E775="","", ポートフォリオ実績!E775)</f>
        <v/>
      </c>
      <c r="F774" s="10" t="str">
        <f>IF(ポートフォリオ実績!F775="","", ポートフォリオ実績!F775)</f>
        <v/>
      </c>
      <c r="G774" t="str">
        <f t="shared" si="132"/>
        <v/>
      </c>
      <c r="H774">
        <f>IF(B774&lt;&gt;"", SUMIFS(ポートフォリオ実績!$D$2:$D$2001, ポートフォリオ実績!$B$2:$B$2001, B774, ポートフォリオ実績!$A$2:$A$2001, G774), 0)</f>
        <v>0</v>
      </c>
      <c r="I774">
        <f>IF(B774&lt;&gt;"", SUMIFS(ポートフォリオ実績!$C$2:$C$2001, ポートフォリオ実績!$B$2:$B$2001, B774, ポートフォリオ実績!$A$2:$A$2001, G774), 0)</f>
        <v>0</v>
      </c>
      <c r="J774">
        <f t="shared" si="133"/>
        <v>0</v>
      </c>
      <c r="K774">
        <f t="shared" si="134"/>
        <v>0</v>
      </c>
      <c r="L774">
        <f t="shared" si="135"/>
        <v>0</v>
      </c>
      <c r="M774">
        <f t="shared" si="136"/>
        <v>0</v>
      </c>
      <c r="N774">
        <f t="shared" si="137"/>
        <v>0</v>
      </c>
      <c r="O774">
        <f t="shared" si="138"/>
        <v>0</v>
      </c>
      <c r="P774" t="str">
        <f t="shared" si="139"/>
        <v/>
      </c>
      <c r="Q774" t="str">
        <f>IF(B774="","", IFERROR(VLOOKUP(B774, '基準資産配分（設定）'!$A$2:$C$2001, 3, FALSE), ""))</f>
        <v/>
      </c>
      <c r="R774" t="str">
        <f>IF(B774="","", IFERROR(VLOOKUP(B774, '基準資産配分（設定）'!$A$2:$C$2001, 2, FALSE)/100, 0))</f>
        <v/>
      </c>
      <c r="S774" t="str">
        <f>IF(B774="","", IFERROR(SUMIFS(ベンチマークリターン!$C$2:$C$2001, ベンチマークリターン!$A$2:$A$2001, A774, ベンチマークリターン!$B$2:$B$2001, Q774) / 100, 0))</f>
        <v/>
      </c>
      <c r="T774" t="str">
        <f>IF(A774="","", SUMIFS($H$2:$H$2000, $A$2:$A$2000, A774))</f>
        <v/>
      </c>
      <c r="U774" t="str">
        <f t="shared" si="140"/>
        <v/>
      </c>
      <c r="V774" t="str">
        <f t="shared" si="141"/>
        <v/>
      </c>
      <c r="W774" t="str">
        <f t="shared" si="142"/>
        <v/>
      </c>
    </row>
    <row r="775" spans="1:23" x14ac:dyDescent="0.2">
      <c r="A775" s="4" t="str">
        <f>IF(ポートフォリオ実績!A776="","", ポートフォリオ実績!A776)</f>
        <v/>
      </c>
      <c r="B775" t="str">
        <f>IF(ポートフォリオ実績!B776="","", ポートフォリオ実績!B776)</f>
        <v/>
      </c>
      <c r="C775" s="10" t="str">
        <f>IF(ポートフォリオ実績!C776="","", ポートフォリオ実績!C776)</f>
        <v/>
      </c>
      <c r="D775" s="10" t="str">
        <f>IF(ポートフォリオ実績!D776="","", ポートフォリオ実績!D776)</f>
        <v/>
      </c>
      <c r="E775" s="10" t="str">
        <f>IF(ポートフォリオ実績!E776="","", ポートフォリオ実績!E776)</f>
        <v/>
      </c>
      <c r="F775" s="10" t="str">
        <f>IF(ポートフォリオ実績!F776="","", ポートフォリオ実績!F776)</f>
        <v/>
      </c>
      <c r="G775" t="str">
        <f t="shared" si="132"/>
        <v/>
      </c>
      <c r="H775">
        <f>IF(B775&lt;&gt;"", SUMIFS(ポートフォリオ実績!$D$2:$D$2001, ポートフォリオ実績!$B$2:$B$2001, B775, ポートフォリオ実績!$A$2:$A$2001, G775), 0)</f>
        <v>0</v>
      </c>
      <c r="I775">
        <f>IF(B775&lt;&gt;"", SUMIFS(ポートフォリオ実績!$C$2:$C$2001, ポートフォリオ実績!$B$2:$B$2001, B775, ポートフォリオ実績!$A$2:$A$2001, G775), 0)</f>
        <v>0</v>
      </c>
      <c r="J775">
        <f t="shared" si="133"/>
        <v>0</v>
      </c>
      <c r="K775">
        <f t="shared" si="134"/>
        <v>0</v>
      </c>
      <c r="L775">
        <f t="shared" si="135"/>
        <v>0</v>
      </c>
      <c r="M775">
        <f t="shared" si="136"/>
        <v>0</v>
      </c>
      <c r="N775">
        <f t="shared" si="137"/>
        <v>0</v>
      </c>
      <c r="O775">
        <f t="shared" si="138"/>
        <v>0</v>
      </c>
      <c r="P775" t="str">
        <f t="shared" si="139"/>
        <v/>
      </c>
      <c r="Q775" t="str">
        <f>IF(B775="","", IFERROR(VLOOKUP(B775, '基準資産配分（設定）'!$A$2:$C$2001, 3, FALSE), ""))</f>
        <v/>
      </c>
      <c r="R775" t="str">
        <f>IF(B775="","", IFERROR(VLOOKUP(B775, '基準資産配分（設定）'!$A$2:$C$2001, 2, FALSE)/100, 0))</f>
        <v/>
      </c>
      <c r="S775" t="str">
        <f>IF(B775="","", IFERROR(SUMIFS(ベンチマークリターン!$C$2:$C$2001, ベンチマークリターン!$A$2:$A$2001, A775, ベンチマークリターン!$B$2:$B$2001, Q775) / 100, 0))</f>
        <v/>
      </c>
      <c r="T775" t="str">
        <f>IF(A775="","", SUMIFS($H$2:$H$2000, $A$2:$A$2000, A775))</f>
        <v/>
      </c>
      <c r="U775" t="str">
        <f t="shared" si="140"/>
        <v/>
      </c>
      <c r="V775" t="str">
        <f t="shared" si="141"/>
        <v/>
      </c>
      <c r="W775" t="str">
        <f t="shared" si="142"/>
        <v/>
      </c>
    </row>
    <row r="776" spans="1:23" x14ac:dyDescent="0.2">
      <c r="A776" s="4" t="str">
        <f>IF(ポートフォリオ実績!A777="","", ポートフォリオ実績!A777)</f>
        <v/>
      </c>
      <c r="B776" t="str">
        <f>IF(ポートフォリオ実績!B777="","", ポートフォリオ実績!B777)</f>
        <v/>
      </c>
      <c r="C776" s="10" t="str">
        <f>IF(ポートフォリオ実績!C777="","", ポートフォリオ実績!C777)</f>
        <v/>
      </c>
      <c r="D776" s="10" t="str">
        <f>IF(ポートフォリオ実績!D777="","", ポートフォリオ実績!D777)</f>
        <v/>
      </c>
      <c r="E776" s="10" t="str">
        <f>IF(ポートフォリオ実績!E777="","", ポートフォリオ実績!E777)</f>
        <v/>
      </c>
      <c r="F776" s="10" t="str">
        <f>IF(ポートフォリオ実績!F777="","", ポートフォリオ実績!F777)</f>
        <v/>
      </c>
      <c r="G776" t="str">
        <f t="shared" si="132"/>
        <v/>
      </c>
      <c r="H776">
        <f>IF(B776&lt;&gt;"", SUMIFS(ポートフォリオ実績!$D$2:$D$2001, ポートフォリオ実績!$B$2:$B$2001, B776, ポートフォリオ実績!$A$2:$A$2001, G776), 0)</f>
        <v>0</v>
      </c>
      <c r="I776">
        <f>IF(B776&lt;&gt;"", SUMIFS(ポートフォリオ実績!$C$2:$C$2001, ポートフォリオ実績!$B$2:$B$2001, B776, ポートフォリオ実績!$A$2:$A$2001, G776), 0)</f>
        <v>0</v>
      </c>
      <c r="J776">
        <f t="shared" si="133"/>
        <v>0</v>
      </c>
      <c r="K776">
        <f t="shared" si="134"/>
        <v>0</v>
      </c>
      <c r="L776">
        <f t="shared" si="135"/>
        <v>0</v>
      </c>
      <c r="M776">
        <f t="shared" si="136"/>
        <v>0</v>
      </c>
      <c r="N776">
        <f t="shared" si="137"/>
        <v>0</v>
      </c>
      <c r="O776">
        <f t="shared" si="138"/>
        <v>0</v>
      </c>
      <c r="P776" t="str">
        <f t="shared" si="139"/>
        <v/>
      </c>
      <c r="Q776" t="str">
        <f>IF(B776="","", IFERROR(VLOOKUP(B776, '基準資産配分（設定）'!$A$2:$C$2001, 3, FALSE), ""))</f>
        <v/>
      </c>
      <c r="R776" t="str">
        <f>IF(B776="","", IFERROR(VLOOKUP(B776, '基準資産配分（設定）'!$A$2:$C$2001, 2, FALSE)/100, 0))</f>
        <v/>
      </c>
      <c r="S776" t="str">
        <f>IF(B776="","", IFERROR(SUMIFS(ベンチマークリターン!$C$2:$C$2001, ベンチマークリターン!$A$2:$A$2001, A776, ベンチマークリターン!$B$2:$B$2001, Q776) / 100, 0))</f>
        <v/>
      </c>
      <c r="T776" t="str">
        <f>IF(A776="","", SUMIFS($H$2:$H$2000, $A$2:$A$2000, A776))</f>
        <v/>
      </c>
      <c r="U776" t="str">
        <f t="shared" si="140"/>
        <v/>
      </c>
      <c r="V776" t="str">
        <f t="shared" si="141"/>
        <v/>
      </c>
      <c r="W776" t="str">
        <f t="shared" si="142"/>
        <v/>
      </c>
    </row>
    <row r="777" spans="1:23" x14ac:dyDescent="0.2">
      <c r="A777" s="4" t="str">
        <f>IF(ポートフォリオ実績!A778="","", ポートフォリオ実績!A778)</f>
        <v/>
      </c>
      <c r="B777" t="str">
        <f>IF(ポートフォリオ実績!B778="","", ポートフォリオ実績!B778)</f>
        <v/>
      </c>
      <c r="C777" s="10" t="str">
        <f>IF(ポートフォリオ実績!C778="","", ポートフォリオ実績!C778)</f>
        <v/>
      </c>
      <c r="D777" s="10" t="str">
        <f>IF(ポートフォリオ実績!D778="","", ポートフォリオ実績!D778)</f>
        <v/>
      </c>
      <c r="E777" s="10" t="str">
        <f>IF(ポートフォリオ実績!E778="","", ポートフォリオ実績!E778)</f>
        <v/>
      </c>
      <c r="F777" s="10" t="str">
        <f>IF(ポートフォリオ実績!F778="","", ポートフォリオ実績!F778)</f>
        <v/>
      </c>
      <c r="G777" t="str">
        <f t="shared" si="132"/>
        <v/>
      </c>
      <c r="H777">
        <f>IF(B777&lt;&gt;"", SUMIFS(ポートフォリオ実績!$D$2:$D$2001, ポートフォリオ実績!$B$2:$B$2001, B777, ポートフォリオ実績!$A$2:$A$2001, G777), 0)</f>
        <v>0</v>
      </c>
      <c r="I777">
        <f>IF(B777&lt;&gt;"", SUMIFS(ポートフォリオ実績!$C$2:$C$2001, ポートフォリオ実績!$B$2:$B$2001, B777, ポートフォリオ実績!$A$2:$A$2001, G777), 0)</f>
        <v>0</v>
      </c>
      <c r="J777">
        <f t="shared" si="133"/>
        <v>0</v>
      </c>
      <c r="K777">
        <f t="shared" si="134"/>
        <v>0</v>
      </c>
      <c r="L777">
        <f t="shared" si="135"/>
        <v>0</v>
      </c>
      <c r="M777">
        <f t="shared" si="136"/>
        <v>0</v>
      </c>
      <c r="N777">
        <f t="shared" si="137"/>
        <v>0</v>
      </c>
      <c r="O777">
        <f t="shared" si="138"/>
        <v>0</v>
      </c>
      <c r="P777" t="str">
        <f t="shared" si="139"/>
        <v/>
      </c>
      <c r="Q777" t="str">
        <f>IF(B777="","", IFERROR(VLOOKUP(B777, '基準資産配分（設定）'!$A$2:$C$2001, 3, FALSE), ""))</f>
        <v/>
      </c>
      <c r="R777" t="str">
        <f>IF(B777="","", IFERROR(VLOOKUP(B777, '基準資産配分（設定）'!$A$2:$C$2001, 2, FALSE)/100, 0))</f>
        <v/>
      </c>
      <c r="S777" t="str">
        <f>IF(B777="","", IFERROR(SUMIFS(ベンチマークリターン!$C$2:$C$2001, ベンチマークリターン!$A$2:$A$2001, A777, ベンチマークリターン!$B$2:$B$2001, Q777) / 100, 0))</f>
        <v/>
      </c>
      <c r="T777" t="str">
        <f>IF(A777="","", SUMIFS($H$2:$H$2000, $A$2:$A$2000, A777))</f>
        <v/>
      </c>
      <c r="U777" t="str">
        <f t="shared" si="140"/>
        <v/>
      </c>
      <c r="V777" t="str">
        <f t="shared" si="141"/>
        <v/>
      </c>
      <c r="W777" t="str">
        <f t="shared" si="142"/>
        <v/>
      </c>
    </row>
    <row r="778" spans="1:23" x14ac:dyDescent="0.2">
      <c r="A778" s="4" t="str">
        <f>IF(ポートフォリオ実績!A779="","", ポートフォリオ実績!A779)</f>
        <v/>
      </c>
      <c r="B778" t="str">
        <f>IF(ポートフォリオ実績!B779="","", ポートフォリオ実績!B779)</f>
        <v/>
      </c>
      <c r="C778" s="10" t="str">
        <f>IF(ポートフォリオ実績!C779="","", ポートフォリオ実績!C779)</f>
        <v/>
      </c>
      <c r="D778" s="10" t="str">
        <f>IF(ポートフォリオ実績!D779="","", ポートフォリオ実績!D779)</f>
        <v/>
      </c>
      <c r="E778" s="10" t="str">
        <f>IF(ポートフォリオ実績!E779="","", ポートフォリオ実績!E779)</f>
        <v/>
      </c>
      <c r="F778" s="10" t="str">
        <f>IF(ポートフォリオ実績!F779="","", ポートフォリオ実績!F779)</f>
        <v/>
      </c>
      <c r="G778" t="str">
        <f t="shared" si="132"/>
        <v/>
      </c>
      <c r="H778">
        <f>IF(B778&lt;&gt;"", SUMIFS(ポートフォリオ実績!$D$2:$D$2001, ポートフォリオ実績!$B$2:$B$2001, B778, ポートフォリオ実績!$A$2:$A$2001, G778), 0)</f>
        <v>0</v>
      </c>
      <c r="I778">
        <f>IF(B778&lt;&gt;"", SUMIFS(ポートフォリオ実績!$C$2:$C$2001, ポートフォリオ実績!$B$2:$B$2001, B778, ポートフォリオ実績!$A$2:$A$2001, G778), 0)</f>
        <v>0</v>
      </c>
      <c r="J778">
        <f t="shared" si="133"/>
        <v>0</v>
      </c>
      <c r="K778">
        <f t="shared" si="134"/>
        <v>0</v>
      </c>
      <c r="L778">
        <f t="shared" si="135"/>
        <v>0</v>
      </c>
      <c r="M778">
        <f t="shared" si="136"/>
        <v>0</v>
      </c>
      <c r="N778">
        <f t="shared" si="137"/>
        <v>0</v>
      </c>
      <c r="O778">
        <f t="shared" si="138"/>
        <v>0</v>
      </c>
      <c r="P778" t="str">
        <f t="shared" si="139"/>
        <v/>
      </c>
      <c r="Q778" t="str">
        <f>IF(B778="","", IFERROR(VLOOKUP(B778, '基準資産配分（設定）'!$A$2:$C$2001, 3, FALSE), ""))</f>
        <v/>
      </c>
      <c r="R778" t="str">
        <f>IF(B778="","", IFERROR(VLOOKUP(B778, '基準資産配分（設定）'!$A$2:$C$2001, 2, FALSE)/100, 0))</f>
        <v/>
      </c>
      <c r="S778" t="str">
        <f>IF(B778="","", IFERROR(SUMIFS(ベンチマークリターン!$C$2:$C$2001, ベンチマークリターン!$A$2:$A$2001, A778, ベンチマークリターン!$B$2:$B$2001, Q778) / 100, 0))</f>
        <v/>
      </c>
      <c r="T778" t="str">
        <f>IF(A778="","", SUMIFS($H$2:$H$2000, $A$2:$A$2000, A778))</f>
        <v/>
      </c>
      <c r="U778" t="str">
        <f t="shared" si="140"/>
        <v/>
      </c>
      <c r="V778" t="str">
        <f t="shared" si="141"/>
        <v/>
      </c>
      <c r="W778" t="str">
        <f t="shared" si="142"/>
        <v/>
      </c>
    </row>
    <row r="779" spans="1:23" x14ac:dyDescent="0.2">
      <c r="A779" s="4" t="str">
        <f>IF(ポートフォリオ実績!A780="","", ポートフォリオ実績!A780)</f>
        <v/>
      </c>
      <c r="B779" t="str">
        <f>IF(ポートフォリオ実績!B780="","", ポートフォリオ実績!B780)</f>
        <v/>
      </c>
      <c r="C779" s="10" t="str">
        <f>IF(ポートフォリオ実績!C780="","", ポートフォリオ実績!C780)</f>
        <v/>
      </c>
      <c r="D779" s="10" t="str">
        <f>IF(ポートフォリオ実績!D780="","", ポートフォリオ実績!D780)</f>
        <v/>
      </c>
      <c r="E779" s="10" t="str">
        <f>IF(ポートフォリオ実績!E780="","", ポートフォリオ実績!E780)</f>
        <v/>
      </c>
      <c r="F779" s="10" t="str">
        <f>IF(ポートフォリオ実績!F780="","", ポートフォリオ実績!F780)</f>
        <v/>
      </c>
      <c r="G779" t="str">
        <f t="shared" si="132"/>
        <v/>
      </c>
      <c r="H779">
        <f>IF(B779&lt;&gt;"", SUMIFS(ポートフォリオ実績!$D$2:$D$2001, ポートフォリオ実績!$B$2:$B$2001, B779, ポートフォリオ実績!$A$2:$A$2001, G779), 0)</f>
        <v>0</v>
      </c>
      <c r="I779">
        <f>IF(B779&lt;&gt;"", SUMIFS(ポートフォリオ実績!$C$2:$C$2001, ポートフォリオ実績!$B$2:$B$2001, B779, ポートフォリオ実績!$A$2:$A$2001, G779), 0)</f>
        <v>0</v>
      </c>
      <c r="J779">
        <f t="shared" si="133"/>
        <v>0</v>
      </c>
      <c r="K779">
        <f t="shared" si="134"/>
        <v>0</v>
      </c>
      <c r="L779">
        <f t="shared" si="135"/>
        <v>0</v>
      </c>
      <c r="M779">
        <f t="shared" si="136"/>
        <v>0</v>
      </c>
      <c r="N779">
        <f t="shared" si="137"/>
        <v>0</v>
      </c>
      <c r="O779">
        <f t="shared" si="138"/>
        <v>0</v>
      </c>
      <c r="P779" t="str">
        <f t="shared" si="139"/>
        <v/>
      </c>
      <c r="Q779" t="str">
        <f>IF(B779="","", IFERROR(VLOOKUP(B779, '基準資産配分（設定）'!$A$2:$C$2001, 3, FALSE), ""))</f>
        <v/>
      </c>
      <c r="R779" t="str">
        <f>IF(B779="","", IFERROR(VLOOKUP(B779, '基準資産配分（設定）'!$A$2:$C$2001, 2, FALSE)/100, 0))</f>
        <v/>
      </c>
      <c r="S779" t="str">
        <f>IF(B779="","", IFERROR(SUMIFS(ベンチマークリターン!$C$2:$C$2001, ベンチマークリターン!$A$2:$A$2001, A779, ベンチマークリターン!$B$2:$B$2001, Q779) / 100, 0))</f>
        <v/>
      </c>
      <c r="T779" t="str">
        <f>IF(A779="","", SUMIFS($H$2:$H$2000, $A$2:$A$2000, A779))</f>
        <v/>
      </c>
      <c r="U779" t="str">
        <f t="shared" si="140"/>
        <v/>
      </c>
      <c r="V779" t="str">
        <f t="shared" si="141"/>
        <v/>
      </c>
      <c r="W779" t="str">
        <f t="shared" si="142"/>
        <v/>
      </c>
    </row>
    <row r="780" spans="1:23" x14ac:dyDescent="0.2">
      <c r="A780" s="4" t="str">
        <f>IF(ポートフォリオ実績!A781="","", ポートフォリオ実績!A781)</f>
        <v/>
      </c>
      <c r="B780" t="str">
        <f>IF(ポートフォリオ実績!B781="","", ポートフォリオ実績!B781)</f>
        <v/>
      </c>
      <c r="C780" s="10" t="str">
        <f>IF(ポートフォリオ実績!C781="","", ポートフォリオ実績!C781)</f>
        <v/>
      </c>
      <c r="D780" s="10" t="str">
        <f>IF(ポートフォリオ実績!D781="","", ポートフォリオ実績!D781)</f>
        <v/>
      </c>
      <c r="E780" s="10" t="str">
        <f>IF(ポートフォリオ実績!E781="","", ポートフォリオ実績!E781)</f>
        <v/>
      </c>
      <c r="F780" s="10" t="str">
        <f>IF(ポートフォリオ実績!F781="","", ポートフォリオ実績!F781)</f>
        <v/>
      </c>
      <c r="G780" t="str">
        <f t="shared" si="132"/>
        <v/>
      </c>
      <c r="H780">
        <f>IF(B780&lt;&gt;"", SUMIFS(ポートフォリオ実績!$D$2:$D$2001, ポートフォリオ実績!$B$2:$B$2001, B780, ポートフォリオ実績!$A$2:$A$2001, G780), 0)</f>
        <v>0</v>
      </c>
      <c r="I780">
        <f>IF(B780&lt;&gt;"", SUMIFS(ポートフォリオ実績!$C$2:$C$2001, ポートフォリオ実績!$B$2:$B$2001, B780, ポートフォリオ実績!$A$2:$A$2001, G780), 0)</f>
        <v>0</v>
      </c>
      <c r="J780">
        <f t="shared" si="133"/>
        <v>0</v>
      </c>
      <c r="K780">
        <f t="shared" si="134"/>
        <v>0</v>
      </c>
      <c r="L780">
        <f t="shared" si="135"/>
        <v>0</v>
      </c>
      <c r="M780">
        <f t="shared" si="136"/>
        <v>0</v>
      </c>
      <c r="N780">
        <f t="shared" si="137"/>
        <v>0</v>
      </c>
      <c r="O780">
        <f t="shared" si="138"/>
        <v>0</v>
      </c>
      <c r="P780" t="str">
        <f t="shared" si="139"/>
        <v/>
      </c>
      <c r="Q780" t="str">
        <f>IF(B780="","", IFERROR(VLOOKUP(B780, '基準資産配分（設定）'!$A$2:$C$2001, 3, FALSE), ""))</f>
        <v/>
      </c>
      <c r="R780" t="str">
        <f>IF(B780="","", IFERROR(VLOOKUP(B780, '基準資産配分（設定）'!$A$2:$C$2001, 2, FALSE)/100, 0))</f>
        <v/>
      </c>
      <c r="S780" t="str">
        <f>IF(B780="","", IFERROR(SUMIFS(ベンチマークリターン!$C$2:$C$2001, ベンチマークリターン!$A$2:$A$2001, A780, ベンチマークリターン!$B$2:$B$2001, Q780) / 100, 0))</f>
        <v/>
      </c>
      <c r="T780" t="str">
        <f>IF(A780="","", SUMIFS($H$2:$H$2000, $A$2:$A$2000, A780))</f>
        <v/>
      </c>
      <c r="U780" t="str">
        <f t="shared" si="140"/>
        <v/>
      </c>
      <c r="V780" t="str">
        <f t="shared" si="141"/>
        <v/>
      </c>
      <c r="W780" t="str">
        <f t="shared" si="142"/>
        <v/>
      </c>
    </row>
    <row r="781" spans="1:23" x14ac:dyDescent="0.2">
      <c r="A781" s="4" t="str">
        <f>IF(ポートフォリオ実績!A782="","", ポートフォリオ実績!A782)</f>
        <v/>
      </c>
      <c r="B781" t="str">
        <f>IF(ポートフォリオ実績!B782="","", ポートフォリオ実績!B782)</f>
        <v/>
      </c>
      <c r="C781" s="10" t="str">
        <f>IF(ポートフォリオ実績!C782="","", ポートフォリオ実績!C782)</f>
        <v/>
      </c>
      <c r="D781" s="10" t="str">
        <f>IF(ポートフォリオ実績!D782="","", ポートフォリオ実績!D782)</f>
        <v/>
      </c>
      <c r="E781" s="10" t="str">
        <f>IF(ポートフォリオ実績!E782="","", ポートフォリオ実績!E782)</f>
        <v/>
      </c>
      <c r="F781" s="10" t="str">
        <f>IF(ポートフォリオ実績!F782="","", ポートフォリオ実績!F782)</f>
        <v/>
      </c>
      <c r="G781" t="str">
        <f t="shared" si="132"/>
        <v/>
      </c>
      <c r="H781">
        <f>IF(B781&lt;&gt;"", SUMIFS(ポートフォリオ実績!$D$2:$D$2001, ポートフォリオ実績!$B$2:$B$2001, B781, ポートフォリオ実績!$A$2:$A$2001, G781), 0)</f>
        <v>0</v>
      </c>
      <c r="I781">
        <f>IF(B781&lt;&gt;"", SUMIFS(ポートフォリオ実績!$C$2:$C$2001, ポートフォリオ実績!$B$2:$B$2001, B781, ポートフォリオ実績!$A$2:$A$2001, G781), 0)</f>
        <v>0</v>
      </c>
      <c r="J781">
        <f t="shared" si="133"/>
        <v>0</v>
      </c>
      <c r="K781">
        <f t="shared" si="134"/>
        <v>0</v>
      </c>
      <c r="L781">
        <f t="shared" si="135"/>
        <v>0</v>
      </c>
      <c r="M781">
        <f t="shared" si="136"/>
        <v>0</v>
      </c>
      <c r="N781">
        <f t="shared" si="137"/>
        <v>0</v>
      </c>
      <c r="O781">
        <f t="shared" si="138"/>
        <v>0</v>
      </c>
      <c r="P781" t="str">
        <f t="shared" si="139"/>
        <v/>
      </c>
      <c r="Q781" t="str">
        <f>IF(B781="","", IFERROR(VLOOKUP(B781, '基準資産配分（設定）'!$A$2:$C$2001, 3, FALSE), ""))</f>
        <v/>
      </c>
      <c r="R781" t="str">
        <f>IF(B781="","", IFERROR(VLOOKUP(B781, '基準資産配分（設定）'!$A$2:$C$2001, 2, FALSE)/100, 0))</f>
        <v/>
      </c>
      <c r="S781" t="str">
        <f>IF(B781="","", IFERROR(SUMIFS(ベンチマークリターン!$C$2:$C$2001, ベンチマークリターン!$A$2:$A$2001, A781, ベンチマークリターン!$B$2:$B$2001, Q781) / 100, 0))</f>
        <v/>
      </c>
      <c r="T781" t="str">
        <f>IF(A781="","", SUMIFS($H$2:$H$2000, $A$2:$A$2000, A781))</f>
        <v/>
      </c>
      <c r="U781" t="str">
        <f t="shared" si="140"/>
        <v/>
      </c>
      <c r="V781" t="str">
        <f t="shared" si="141"/>
        <v/>
      </c>
      <c r="W781" t="str">
        <f t="shared" si="142"/>
        <v/>
      </c>
    </row>
    <row r="782" spans="1:23" x14ac:dyDescent="0.2">
      <c r="A782" s="4" t="str">
        <f>IF(ポートフォリオ実績!A783="","", ポートフォリオ実績!A783)</f>
        <v/>
      </c>
      <c r="B782" t="str">
        <f>IF(ポートフォリオ実績!B783="","", ポートフォリオ実績!B783)</f>
        <v/>
      </c>
      <c r="C782" s="10" t="str">
        <f>IF(ポートフォリオ実績!C783="","", ポートフォリオ実績!C783)</f>
        <v/>
      </c>
      <c r="D782" s="10" t="str">
        <f>IF(ポートフォリオ実績!D783="","", ポートフォリオ実績!D783)</f>
        <v/>
      </c>
      <c r="E782" s="10" t="str">
        <f>IF(ポートフォリオ実績!E783="","", ポートフォリオ実績!E783)</f>
        <v/>
      </c>
      <c r="F782" s="10" t="str">
        <f>IF(ポートフォリオ実績!F783="","", ポートフォリオ実績!F783)</f>
        <v/>
      </c>
      <c r="G782" t="str">
        <f t="shared" si="132"/>
        <v/>
      </c>
      <c r="H782">
        <f>IF(B782&lt;&gt;"", SUMIFS(ポートフォリオ実績!$D$2:$D$2001, ポートフォリオ実績!$B$2:$B$2001, B782, ポートフォリオ実績!$A$2:$A$2001, G782), 0)</f>
        <v>0</v>
      </c>
      <c r="I782">
        <f>IF(B782&lt;&gt;"", SUMIFS(ポートフォリオ実績!$C$2:$C$2001, ポートフォリオ実績!$B$2:$B$2001, B782, ポートフォリオ実績!$A$2:$A$2001, G782), 0)</f>
        <v>0</v>
      </c>
      <c r="J782">
        <f t="shared" si="133"/>
        <v>0</v>
      </c>
      <c r="K782">
        <f t="shared" si="134"/>
        <v>0</v>
      </c>
      <c r="L782">
        <f t="shared" si="135"/>
        <v>0</v>
      </c>
      <c r="M782">
        <f t="shared" si="136"/>
        <v>0</v>
      </c>
      <c r="N782">
        <f t="shared" si="137"/>
        <v>0</v>
      </c>
      <c r="O782">
        <f t="shared" si="138"/>
        <v>0</v>
      </c>
      <c r="P782" t="str">
        <f t="shared" si="139"/>
        <v/>
      </c>
      <c r="Q782" t="str">
        <f>IF(B782="","", IFERROR(VLOOKUP(B782, '基準資産配分（設定）'!$A$2:$C$2001, 3, FALSE), ""))</f>
        <v/>
      </c>
      <c r="R782" t="str">
        <f>IF(B782="","", IFERROR(VLOOKUP(B782, '基準資産配分（設定）'!$A$2:$C$2001, 2, FALSE)/100, 0))</f>
        <v/>
      </c>
      <c r="S782" t="str">
        <f>IF(B782="","", IFERROR(SUMIFS(ベンチマークリターン!$C$2:$C$2001, ベンチマークリターン!$A$2:$A$2001, A782, ベンチマークリターン!$B$2:$B$2001, Q782) / 100, 0))</f>
        <v/>
      </c>
      <c r="T782" t="str">
        <f>IF(A782="","", SUMIFS($H$2:$H$2000, $A$2:$A$2000, A782))</f>
        <v/>
      </c>
      <c r="U782" t="str">
        <f t="shared" si="140"/>
        <v/>
      </c>
      <c r="V782" t="str">
        <f t="shared" si="141"/>
        <v/>
      </c>
      <c r="W782" t="str">
        <f t="shared" si="142"/>
        <v/>
      </c>
    </row>
    <row r="783" spans="1:23" x14ac:dyDescent="0.2">
      <c r="A783" s="4" t="str">
        <f>IF(ポートフォリオ実績!A784="","", ポートフォリオ実績!A784)</f>
        <v/>
      </c>
      <c r="B783" t="str">
        <f>IF(ポートフォリオ実績!B784="","", ポートフォリオ実績!B784)</f>
        <v/>
      </c>
      <c r="C783" s="10" t="str">
        <f>IF(ポートフォリオ実績!C784="","", ポートフォリオ実績!C784)</f>
        <v/>
      </c>
      <c r="D783" s="10" t="str">
        <f>IF(ポートフォリオ実績!D784="","", ポートフォリオ実績!D784)</f>
        <v/>
      </c>
      <c r="E783" s="10" t="str">
        <f>IF(ポートフォリオ実績!E784="","", ポートフォリオ実績!E784)</f>
        <v/>
      </c>
      <c r="F783" s="10" t="str">
        <f>IF(ポートフォリオ実績!F784="","", ポートフォリオ実績!F784)</f>
        <v/>
      </c>
      <c r="G783" t="str">
        <f t="shared" si="132"/>
        <v/>
      </c>
      <c r="H783">
        <f>IF(B783&lt;&gt;"", SUMIFS(ポートフォリオ実績!$D$2:$D$2001, ポートフォリオ実績!$B$2:$B$2001, B783, ポートフォリオ実績!$A$2:$A$2001, G783), 0)</f>
        <v>0</v>
      </c>
      <c r="I783">
        <f>IF(B783&lt;&gt;"", SUMIFS(ポートフォリオ実績!$C$2:$C$2001, ポートフォリオ実績!$B$2:$B$2001, B783, ポートフォリオ実績!$A$2:$A$2001, G783), 0)</f>
        <v>0</v>
      </c>
      <c r="J783">
        <f t="shared" si="133"/>
        <v>0</v>
      </c>
      <c r="K783">
        <f t="shared" si="134"/>
        <v>0</v>
      </c>
      <c r="L783">
        <f t="shared" si="135"/>
        <v>0</v>
      </c>
      <c r="M783">
        <f t="shared" si="136"/>
        <v>0</v>
      </c>
      <c r="N783">
        <f t="shared" si="137"/>
        <v>0</v>
      </c>
      <c r="O783">
        <f t="shared" si="138"/>
        <v>0</v>
      </c>
      <c r="P783" t="str">
        <f t="shared" si="139"/>
        <v/>
      </c>
      <c r="Q783" t="str">
        <f>IF(B783="","", IFERROR(VLOOKUP(B783, '基準資産配分（設定）'!$A$2:$C$2001, 3, FALSE), ""))</f>
        <v/>
      </c>
      <c r="R783" t="str">
        <f>IF(B783="","", IFERROR(VLOOKUP(B783, '基準資産配分（設定）'!$A$2:$C$2001, 2, FALSE)/100, 0))</f>
        <v/>
      </c>
      <c r="S783" t="str">
        <f>IF(B783="","", IFERROR(SUMIFS(ベンチマークリターン!$C$2:$C$2001, ベンチマークリターン!$A$2:$A$2001, A783, ベンチマークリターン!$B$2:$B$2001, Q783) / 100, 0))</f>
        <v/>
      </c>
      <c r="T783" t="str">
        <f>IF(A783="","", SUMIFS($H$2:$H$2000, $A$2:$A$2000, A783))</f>
        <v/>
      </c>
      <c r="U783" t="str">
        <f t="shared" si="140"/>
        <v/>
      </c>
      <c r="V783" t="str">
        <f t="shared" si="141"/>
        <v/>
      </c>
      <c r="W783" t="str">
        <f t="shared" si="142"/>
        <v/>
      </c>
    </row>
    <row r="784" spans="1:23" x14ac:dyDescent="0.2">
      <c r="A784" s="4" t="str">
        <f>IF(ポートフォリオ実績!A785="","", ポートフォリオ実績!A785)</f>
        <v/>
      </c>
      <c r="B784" t="str">
        <f>IF(ポートフォリオ実績!B785="","", ポートフォリオ実績!B785)</f>
        <v/>
      </c>
      <c r="C784" s="10" t="str">
        <f>IF(ポートフォリオ実績!C785="","", ポートフォリオ実績!C785)</f>
        <v/>
      </c>
      <c r="D784" s="10" t="str">
        <f>IF(ポートフォリオ実績!D785="","", ポートフォリオ実績!D785)</f>
        <v/>
      </c>
      <c r="E784" s="10" t="str">
        <f>IF(ポートフォリオ実績!E785="","", ポートフォリオ実績!E785)</f>
        <v/>
      </c>
      <c r="F784" s="10" t="str">
        <f>IF(ポートフォリオ実績!F785="","", ポートフォリオ実績!F785)</f>
        <v/>
      </c>
      <c r="G784" t="str">
        <f t="shared" si="132"/>
        <v/>
      </c>
      <c r="H784">
        <f>IF(B784&lt;&gt;"", SUMIFS(ポートフォリオ実績!$D$2:$D$2001, ポートフォリオ実績!$B$2:$B$2001, B784, ポートフォリオ実績!$A$2:$A$2001, G784), 0)</f>
        <v>0</v>
      </c>
      <c r="I784">
        <f>IF(B784&lt;&gt;"", SUMIFS(ポートフォリオ実績!$C$2:$C$2001, ポートフォリオ実績!$B$2:$B$2001, B784, ポートフォリオ実績!$A$2:$A$2001, G784), 0)</f>
        <v>0</v>
      </c>
      <c r="J784">
        <f t="shared" si="133"/>
        <v>0</v>
      </c>
      <c r="K784">
        <f t="shared" si="134"/>
        <v>0</v>
      </c>
      <c r="L784">
        <f t="shared" si="135"/>
        <v>0</v>
      </c>
      <c r="M784">
        <f t="shared" si="136"/>
        <v>0</v>
      </c>
      <c r="N784">
        <f t="shared" si="137"/>
        <v>0</v>
      </c>
      <c r="O784">
        <f t="shared" si="138"/>
        <v>0</v>
      </c>
      <c r="P784" t="str">
        <f t="shared" si="139"/>
        <v/>
      </c>
      <c r="Q784" t="str">
        <f>IF(B784="","", IFERROR(VLOOKUP(B784, '基準資産配分（設定）'!$A$2:$C$2001, 3, FALSE), ""))</f>
        <v/>
      </c>
      <c r="R784" t="str">
        <f>IF(B784="","", IFERROR(VLOOKUP(B784, '基準資産配分（設定）'!$A$2:$C$2001, 2, FALSE)/100, 0))</f>
        <v/>
      </c>
      <c r="S784" t="str">
        <f>IF(B784="","", IFERROR(SUMIFS(ベンチマークリターン!$C$2:$C$2001, ベンチマークリターン!$A$2:$A$2001, A784, ベンチマークリターン!$B$2:$B$2001, Q784) / 100, 0))</f>
        <v/>
      </c>
      <c r="T784" t="str">
        <f>IF(A784="","", SUMIFS($H$2:$H$2000, $A$2:$A$2000, A784))</f>
        <v/>
      </c>
      <c r="U784" t="str">
        <f t="shared" si="140"/>
        <v/>
      </c>
      <c r="V784" t="str">
        <f t="shared" si="141"/>
        <v/>
      </c>
      <c r="W784" t="str">
        <f t="shared" si="142"/>
        <v/>
      </c>
    </row>
    <row r="785" spans="1:23" x14ac:dyDescent="0.2">
      <c r="A785" s="4" t="str">
        <f>IF(ポートフォリオ実績!A786="","", ポートフォリオ実績!A786)</f>
        <v/>
      </c>
      <c r="B785" t="str">
        <f>IF(ポートフォリオ実績!B786="","", ポートフォリオ実績!B786)</f>
        <v/>
      </c>
      <c r="C785" s="10" t="str">
        <f>IF(ポートフォリオ実績!C786="","", ポートフォリオ実績!C786)</f>
        <v/>
      </c>
      <c r="D785" s="10" t="str">
        <f>IF(ポートフォリオ実績!D786="","", ポートフォリオ実績!D786)</f>
        <v/>
      </c>
      <c r="E785" s="10" t="str">
        <f>IF(ポートフォリオ実績!E786="","", ポートフォリオ実績!E786)</f>
        <v/>
      </c>
      <c r="F785" s="10" t="str">
        <f>IF(ポートフォリオ実績!F786="","", ポートフォリオ実績!F786)</f>
        <v/>
      </c>
      <c r="G785" t="str">
        <f t="shared" si="132"/>
        <v/>
      </c>
      <c r="H785">
        <f>IF(B785&lt;&gt;"", SUMIFS(ポートフォリオ実績!$D$2:$D$2001, ポートフォリオ実績!$B$2:$B$2001, B785, ポートフォリオ実績!$A$2:$A$2001, G785), 0)</f>
        <v>0</v>
      </c>
      <c r="I785">
        <f>IF(B785&lt;&gt;"", SUMIFS(ポートフォリオ実績!$C$2:$C$2001, ポートフォリオ実績!$B$2:$B$2001, B785, ポートフォリオ実績!$A$2:$A$2001, G785), 0)</f>
        <v>0</v>
      </c>
      <c r="J785">
        <f t="shared" si="133"/>
        <v>0</v>
      </c>
      <c r="K785">
        <f t="shared" si="134"/>
        <v>0</v>
      </c>
      <c r="L785">
        <f t="shared" si="135"/>
        <v>0</v>
      </c>
      <c r="M785">
        <f t="shared" si="136"/>
        <v>0</v>
      </c>
      <c r="N785">
        <f t="shared" si="137"/>
        <v>0</v>
      </c>
      <c r="O785">
        <f t="shared" si="138"/>
        <v>0</v>
      </c>
      <c r="P785" t="str">
        <f t="shared" si="139"/>
        <v/>
      </c>
      <c r="Q785" t="str">
        <f>IF(B785="","", IFERROR(VLOOKUP(B785, '基準資産配分（設定）'!$A$2:$C$2001, 3, FALSE), ""))</f>
        <v/>
      </c>
      <c r="R785" t="str">
        <f>IF(B785="","", IFERROR(VLOOKUP(B785, '基準資産配分（設定）'!$A$2:$C$2001, 2, FALSE)/100, 0))</f>
        <v/>
      </c>
      <c r="S785" t="str">
        <f>IF(B785="","", IFERROR(SUMIFS(ベンチマークリターン!$C$2:$C$2001, ベンチマークリターン!$A$2:$A$2001, A785, ベンチマークリターン!$B$2:$B$2001, Q785) / 100, 0))</f>
        <v/>
      </c>
      <c r="T785" t="str">
        <f>IF(A785="","", SUMIFS($H$2:$H$2000, $A$2:$A$2000, A785))</f>
        <v/>
      </c>
      <c r="U785" t="str">
        <f t="shared" si="140"/>
        <v/>
      </c>
      <c r="V785" t="str">
        <f t="shared" si="141"/>
        <v/>
      </c>
      <c r="W785" t="str">
        <f t="shared" si="142"/>
        <v/>
      </c>
    </row>
    <row r="786" spans="1:23" x14ac:dyDescent="0.2">
      <c r="A786" s="4" t="str">
        <f>IF(ポートフォリオ実績!A787="","", ポートフォリオ実績!A787)</f>
        <v/>
      </c>
      <c r="B786" t="str">
        <f>IF(ポートフォリオ実績!B787="","", ポートフォリオ実績!B787)</f>
        <v/>
      </c>
      <c r="C786" s="10" t="str">
        <f>IF(ポートフォリオ実績!C787="","", ポートフォリオ実績!C787)</f>
        <v/>
      </c>
      <c r="D786" s="10" t="str">
        <f>IF(ポートフォリオ実績!D787="","", ポートフォリオ実績!D787)</f>
        <v/>
      </c>
      <c r="E786" s="10" t="str">
        <f>IF(ポートフォリオ実績!E787="","", ポートフォリオ実績!E787)</f>
        <v/>
      </c>
      <c r="F786" s="10" t="str">
        <f>IF(ポートフォリオ実績!F787="","", ポートフォリオ実績!F787)</f>
        <v/>
      </c>
      <c r="G786" t="str">
        <f t="shared" si="132"/>
        <v/>
      </c>
      <c r="H786">
        <f>IF(B786&lt;&gt;"", SUMIFS(ポートフォリオ実績!$D$2:$D$2001, ポートフォリオ実績!$B$2:$B$2001, B786, ポートフォリオ実績!$A$2:$A$2001, G786), 0)</f>
        <v>0</v>
      </c>
      <c r="I786">
        <f>IF(B786&lt;&gt;"", SUMIFS(ポートフォリオ実績!$C$2:$C$2001, ポートフォリオ実績!$B$2:$B$2001, B786, ポートフォリオ実績!$A$2:$A$2001, G786), 0)</f>
        <v>0</v>
      </c>
      <c r="J786">
        <f t="shared" si="133"/>
        <v>0</v>
      </c>
      <c r="K786">
        <f t="shared" si="134"/>
        <v>0</v>
      </c>
      <c r="L786">
        <f t="shared" si="135"/>
        <v>0</v>
      </c>
      <c r="M786">
        <f t="shared" si="136"/>
        <v>0</v>
      </c>
      <c r="N786">
        <f t="shared" si="137"/>
        <v>0</v>
      </c>
      <c r="O786">
        <f t="shared" si="138"/>
        <v>0</v>
      </c>
      <c r="P786" t="str">
        <f t="shared" si="139"/>
        <v/>
      </c>
      <c r="Q786" t="str">
        <f>IF(B786="","", IFERROR(VLOOKUP(B786, '基準資産配分（設定）'!$A$2:$C$2001, 3, FALSE), ""))</f>
        <v/>
      </c>
      <c r="R786" t="str">
        <f>IF(B786="","", IFERROR(VLOOKUP(B786, '基準資産配分（設定）'!$A$2:$C$2001, 2, FALSE)/100, 0))</f>
        <v/>
      </c>
      <c r="S786" t="str">
        <f>IF(B786="","", IFERROR(SUMIFS(ベンチマークリターン!$C$2:$C$2001, ベンチマークリターン!$A$2:$A$2001, A786, ベンチマークリターン!$B$2:$B$2001, Q786) / 100, 0))</f>
        <v/>
      </c>
      <c r="T786" t="str">
        <f>IF(A786="","", SUMIFS($H$2:$H$2000, $A$2:$A$2000, A786))</f>
        <v/>
      </c>
      <c r="U786" t="str">
        <f t="shared" si="140"/>
        <v/>
      </c>
      <c r="V786" t="str">
        <f t="shared" si="141"/>
        <v/>
      </c>
      <c r="W786" t="str">
        <f t="shared" si="142"/>
        <v/>
      </c>
    </row>
    <row r="787" spans="1:23" x14ac:dyDescent="0.2">
      <c r="A787" s="4" t="str">
        <f>IF(ポートフォリオ実績!A788="","", ポートフォリオ実績!A788)</f>
        <v/>
      </c>
      <c r="B787" t="str">
        <f>IF(ポートフォリオ実績!B788="","", ポートフォリオ実績!B788)</f>
        <v/>
      </c>
      <c r="C787" s="10" t="str">
        <f>IF(ポートフォリオ実績!C788="","", ポートフォリオ実績!C788)</f>
        <v/>
      </c>
      <c r="D787" s="10" t="str">
        <f>IF(ポートフォリオ実績!D788="","", ポートフォリオ実績!D788)</f>
        <v/>
      </c>
      <c r="E787" s="10" t="str">
        <f>IF(ポートフォリオ実績!E788="","", ポートフォリオ実績!E788)</f>
        <v/>
      </c>
      <c r="F787" s="10" t="str">
        <f>IF(ポートフォリオ実績!F788="","", ポートフォリオ実績!F788)</f>
        <v/>
      </c>
      <c r="G787" t="str">
        <f t="shared" si="132"/>
        <v/>
      </c>
      <c r="H787">
        <f>IF(B787&lt;&gt;"", SUMIFS(ポートフォリオ実績!$D$2:$D$2001, ポートフォリオ実績!$B$2:$B$2001, B787, ポートフォリオ実績!$A$2:$A$2001, G787), 0)</f>
        <v>0</v>
      </c>
      <c r="I787">
        <f>IF(B787&lt;&gt;"", SUMIFS(ポートフォリオ実績!$C$2:$C$2001, ポートフォリオ実績!$B$2:$B$2001, B787, ポートフォリオ実績!$A$2:$A$2001, G787), 0)</f>
        <v>0</v>
      </c>
      <c r="J787">
        <f t="shared" si="133"/>
        <v>0</v>
      </c>
      <c r="K787">
        <f t="shared" si="134"/>
        <v>0</v>
      </c>
      <c r="L787">
        <f t="shared" si="135"/>
        <v>0</v>
      </c>
      <c r="M787">
        <f t="shared" si="136"/>
        <v>0</v>
      </c>
      <c r="N787">
        <f t="shared" si="137"/>
        <v>0</v>
      </c>
      <c r="O787">
        <f t="shared" si="138"/>
        <v>0</v>
      </c>
      <c r="P787" t="str">
        <f t="shared" si="139"/>
        <v/>
      </c>
      <c r="Q787" t="str">
        <f>IF(B787="","", IFERROR(VLOOKUP(B787, '基準資産配分（設定）'!$A$2:$C$2001, 3, FALSE), ""))</f>
        <v/>
      </c>
      <c r="R787" t="str">
        <f>IF(B787="","", IFERROR(VLOOKUP(B787, '基準資産配分（設定）'!$A$2:$C$2001, 2, FALSE)/100, 0))</f>
        <v/>
      </c>
      <c r="S787" t="str">
        <f>IF(B787="","", IFERROR(SUMIFS(ベンチマークリターン!$C$2:$C$2001, ベンチマークリターン!$A$2:$A$2001, A787, ベンチマークリターン!$B$2:$B$2001, Q787) / 100, 0))</f>
        <v/>
      </c>
      <c r="T787" t="str">
        <f>IF(A787="","", SUMIFS($H$2:$H$2000, $A$2:$A$2000, A787))</f>
        <v/>
      </c>
      <c r="U787" t="str">
        <f t="shared" si="140"/>
        <v/>
      </c>
      <c r="V787" t="str">
        <f t="shared" si="141"/>
        <v/>
      </c>
      <c r="W787" t="str">
        <f t="shared" si="142"/>
        <v/>
      </c>
    </row>
    <row r="788" spans="1:23" x14ac:dyDescent="0.2">
      <c r="A788" s="4" t="str">
        <f>IF(ポートフォリオ実績!A789="","", ポートフォリオ実績!A789)</f>
        <v/>
      </c>
      <c r="B788" t="str">
        <f>IF(ポートフォリオ実績!B789="","", ポートフォリオ実績!B789)</f>
        <v/>
      </c>
      <c r="C788" s="10" t="str">
        <f>IF(ポートフォリオ実績!C789="","", ポートフォリオ実績!C789)</f>
        <v/>
      </c>
      <c r="D788" s="10" t="str">
        <f>IF(ポートフォリオ実績!D789="","", ポートフォリオ実績!D789)</f>
        <v/>
      </c>
      <c r="E788" s="10" t="str">
        <f>IF(ポートフォリオ実績!E789="","", ポートフォリオ実績!E789)</f>
        <v/>
      </c>
      <c r="F788" s="10" t="str">
        <f>IF(ポートフォリオ実績!F789="","", ポートフォリオ実績!F789)</f>
        <v/>
      </c>
      <c r="G788" t="str">
        <f t="shared" si="132"/>
        <v/>
      </c>
      <c r="H788">
        <f>IF(B788&lt;&gt;"", SUMIFS(ポートフォリオ実績!$D$2:$D$2001, ポートフォリオ実績!$B$2:$B$2001, B788, ポートフォリオ実績!$A$2:$A$2001, G788), 0)</f>
        <v>0</v>
      </c>
      <c r="I788">
        <f>IF(B788&lt;&gt;"", SUMIFS(ポートフォリオ実績!$C$2:$C$2001, ポートフォリオ実績!$B$2:$B$2001, B788, ポートフォリオ実績!$A$2:$A$2001, G788), 0)</f>
        <v>0</v>
      </c>
      <c r="J788">
        <f t="shared" si="133"/>
        <v>0</v>
      </c>
      <c r="K788">
        <f t="shared" si="134"/>
        <v>0</v>
      </c>
      <c r="L788">
        <f t="shared" si="135"/>
        <v>0</v>
      </c>
      <c r="M788">
        <f t="shared" si="136"/>
        <v>0</v>
      </c>
      <c r="N788">
        <f t="shared" si="137"/>
        <v>0</v>
      </c>
      <c r="O788">
        <f t="shared" si="138"/>
        <v>0</v>
      </c>
      <c r="P788" t="str">
        <f t="shared" si="139"/>
        <v/>
      </c>
      <c r="Q788" t="str">
        <f>IF(B788="","", IFERROR(VLOOKUP(B788, '基準資産配分（設定）'!$A$2:$C$2001, 3, FALSE), ""))</f>
        <v/>
      </c>
      <c r="R788" t="str">
        <f>IF(B788="","", IFERROR(VLOOKUP(B788, '基準資産配分（設定）'!$A$2:$C$2001, 2, FALSE)/100, 0))</f>
        <v/>
      </c>
      <c r="S788" t="str">
        <f>IF(B788="","", IFERROR(SUMIFS(ベンチマークリターン!$C$2:$C$2001, ベンチマークリターン!$A$2:$A$2001, A788, ベンチマークリターン!$B$2:$B$2001, Q788) / 100, 0))</f>
        <v/>
      </c>
      <c r="T788" t="str">
        <f>IF(A788="","", SUMIFS($H$2:$H$2000, $A$2:$A$2000, A788))</f>
        <v/>
      </c>
      <c r="U788" t="str">
        <f t="shared" si="140"/>
        <v/>
      </c>
      <c r="V788" t="str">
        <f t="shared" si="141"/>
        <v/>
      </c>
      <c r="W788" t="str">
        <f t="shared" si="142"/>
        <v/>
      </c>
    </row>
    <row r="789" spans="1:23" x14ac:dyDescent="0.2">
      <c r="A789" s="4" t="str">
        <f>IF(ポートフォリオ実績!A790="","", ポートフォリオ実績!A790)</f>
        <v/>
      </c>
      <c r="B789" t="str">
        <f>IF(ポートフォリオ実績!B790="","", ポートフォリオ実績!B790)</f>
        <v/>
      </c>
      <c r="C789" s="10" t="str">
        <f>IF(ポートフォリオ実績!C790="","", ポートフォリオ実績!C790)</f>
        <v/>
      </c>
      <c r="D789" s="10" t="str">
        <f>IF(ポートフォリオ実績!D790="","", ポートフォリオ実績!D790)</f>
        <v/>
      </c>
      <c r="E789" s="10" t="str">
        <f>IF(ポートフォリオ実績!E790="","", ポートフォリオ実績!E790)</f>
        <v/>
      </c>
      <c r="F789" s="10" t="str">
        <f>IF(ポートフォリオ実績!F790="","", ポートフォリオ実績!F790)</f>
        <v/>
      </c>
      <c r="G789" t="str">
        <f t="shared" si="132"/>
        <v/>
      </c>
      <c r="H789">
        <f>IF(B789&lt;&gt;"", SUMIFS(ポートフォリオ実績!$D$2:$D$2001, ポートフォリオ実績!$B$2:$B$2001, B789, ポートフォリオ実績!$A$2:$A$2001, G789), 0)</f>
        <v>0</v>
      </c>
      <c r="I789">
        <f>IF(B789&lt;&gt;"", SUMIFS(ポートフォリオ実績!$C$2:$C$2001, ポートフォリオ実績!$B$2:$B$2001, B789, ポートフォリオ実績!$A$2:$A$2001, G789), 0)</f>
        <v>0</v>
      </c>
      <c r="J789">
        <f t="shared" si="133"/>
        <v>0</v>
      </c>
      <c r="K789">
        <f t="shared" si="134"/>
        <v>0</v>
      </c>
      <c r="L789">
        <f t="shared" si="135"/>
        <v>0</v>
      </c>
      <c r="M789">
        <f t="shared" si="136"/>
        <v>0</v>
      </c>
      <c r="N789">
        <f t="shared" si="137"/>
        <v>0</v>
      </c>
      <c r="O789">
        <f t="shared" si="138"/>
        <v>0</v>
      </c>
      <c r="P789" t="str">
        <f t="shared" si="139"/>
        <v/>
      </c>
      <c r="Q789" t="str">
        <f>IF(B789="","", IFERROR(VLOOKUP(B789, '基準資産配分（設定）'!$A$2:$C$2001, 3, FALSE), ""))</f>
        <v/>
      </c>
      <c r="R789" t="str">
        <f>IF(B789="","", IFERROR(VLOOKUP(B789, '基準資産配分（設定）'!$A$2:$C$2001, 2, FALSE)/100, 0))</f>
        <v/>
      </c>
      <c r="S789" t="str">
        <f>IF(B789="","", IFERROR(SUMIFS(ベンチマークリターン!$C$2:$C$2001, ベンチマークリターン!$A$2:$A$2001, A789, ベンチマークリターン!$B$2:$B$2001, Q789) / 100, 0))</f>
        <v/>
      </c>
      <c r="T789" t="str">
        <f>IF(A789="","", SUMIFS($H$2:$H$2000, $A$2:$A$2000, A789))</f>
        <v/>
      </c>
      <c r="U789" t="str">
        <f t="shared" si="140"/>
        <v/>
      </c>
      <c r="V789" t="str">
        <f t="shared" si="141"/>
        <v/>
      </c>
      <c r="W789" t="str">
        <f t="shared" si="142"/>
        <v/>
      </c>
    </row>
    <row r="790" spans="1:23" x14ac:dyDescent="0.2">
      <c r="A790" s="4" t="str">
        <f>IF(ポートフォリオ実績!A791="","", ポートフォリオ実績!A791)</f>
        <v/>
      </c>
      <c r="B790" t="str">
        <f>IF(ポートフォリオ実績!B791="","", ポートフォリオ実績!B791)</f>
        <v/>
      </c>
      <c r="C790" s="10" t="str">
        <f>IF(ポートフォリオ実績!C791="","", ポートフォリオ実績!C791)</f>
        <v/>
      </c>
      <c r="D790" s="10" t="str">
        <f>IF(ポートフォリオ実績!D791="","", ポートフォリオ実績!D791)</f>
        <v/>
      </c>
      <c r="E790" s="10" t="str">
        <f>IF(ポートフォリオ実績!E791="","", ポートフォリオ実績!E791)</f>
        <v/>
      </c>
      <c r="F790" s="10" t="str">
        <f>IF(ポートフォリオ実績!F791="","", ポートフォリオ実績!F791)</f>
        <v/>
      </c>
      <c r="G790" t="str">
        <f t="shared" si="132"/>
        <v/>
      </c>
      <c r="H790">
        <f>IF(B790&lt;&gt;"", SUMIFS(ポートフォリオ実績!$D$2:$D$2001, ポートフォリオ実績!$B$2:$B$2001, B790, ポートフォリオ実績!$A$2:$A$2001, G790), 0)</f>
        <v>0</v>
      </c>
      <c r="I790">
        <f>IF(B790&lt;&gt;"", SUMIFS(ポートフォリオ実績!$C$2:$C$2001, ポートフォリオ実績!$B$2:$B$2001, B790, ポートフォリオ実績!$A$2:$A$2001, G790), 0)</f>
        <v>0</v>
      </c>
      <c r="J790">
        <f t="shared" si="133"/>
        <v>0</v>
      </c>
      <c r="K790">
        <f t="shared" si="134"/>
        <v>0</v>
      </c>
      <c r="L790">
        <f t="shared" si="135"/>
        <v>0</v>
      </c>
      <c r="M790">
        <f t="shared" si="136"/>
        <v>0</v>
      </c>
      <c r="N790">
        <f t="shared" si="137"/>
        <v>0</v>
      </c>
      <c r="O790">
        <f t="shared" si="138"/>
        <v>0</v>
      </c>
      <c r="P790" t="str">
        <f t="shared" si="139"/>
        <v/>
      </c>
      <c r="Q790" t="str">
        <f>IF(B790="","", IFERROR(VLOOKUP(B790, '基準資産配分（設定）'!$A$2:$C$2001, 3, FALSE), ""))</f>
        <v/>
      </c>
      <c r="R790" t="str">
        <f>IF(B790="","", IFERROR(VLOOKUP(B790, '基準資産配分（設定）'!$A$2:$C$2001, 2, FALSE)/100, 0))</f>
        <v/>
      </c>
      <c r="S790" t="str">
        <f>IF(B790="","", IFERROR(SUMIFS(ベンチマークリターン!$C$2:$C$2001, ベンチマークリターン!$A$2:$A$2001, A790, ベンチマークリターン!$B$2:$B$2001, Q790) / 100, 0))</f>
        <v/>
      </c>
      <c r="T790" t="str">
        <f>IF(A790="","", SUMIFS($H$2:$H$2000, $A$2:$A$2000, A790))</f>
        <v/>
      </c>
      <c r="U790" t="str">
        <f t="shared" si="140"/>
        <v/>
      </c>
      <c r="V790" t="str">
        <f t="shared" si="141"/>
        <v/>
      </c>
      <c r="W790" t="str">
        <f t="shared" si="142"/>
        <v/>
      </c>
    </row>
    <row r="791" spans="1:23" x14ac:dyDescent="0.2">
      <c r="A791" s="4" t="str">
        <f>IF(ポートフォリオ実績!A792="","", ポートフォリオ実績!A792)</f>
        <v/>
      </c>
      <c r="B791" t="str">
        <f>IF(ポートフォリオ実績!B792="","", ポートフォリオ実績!B792)</f>
        <v/>
      </c>
      <c r="C791" s="10" t="str">
        <f>IF(ポートフォリオ実績!C792="","", ポートフォリオ実績!C792)</f>
        <v/>
      </c>
      <c r="D791" s="10" t="str">
        <f>IF(ポートフォリオ実績!D792="","", ポートフォリオ実績!D792)</f>
        <v/>
      </c>
      <c r="E791" s="10" t="str">
        <f>IF(ポートフォリオ実績!E792="","", ポートフォリオ実績!E792)</f>
        <v/>
      </c>
      <c r="F791" s="10" t="str">
        <f>IF(ポートフォリオ実績!F792="","", ポートフォリオ実績!F792)</f>
        <v/>
      </c>
      <c r="G791" t="str">
        <f t="shared" si="132"/>
        <v/>
      </c>
      <c r="H791">
        <f>IF(B791&lt;&gt;"", SUMIFS(ポートフォリオ実績!$D$2:$D$2001, ポートフォリオ実績!$B$2:$B$2001, B791, ポートフォリオ実績!$A$2:$A$2001, G791), 0)</f>
        <v>0</v>
      </c>
      <c r="I791">
        <f>IF(B791&lt;&gt;"", SUMIFS(ポートフォリオ実績!$C$2:$C$2001, ポートフォリオ実績!$B$2:$B$2001, B791, ポートフォリオ実績!$A$2:$A$2001, G791), 0)</f>
        <v>0</v>
      </c>
      <c r="J791">
        <f t="shared" si="133"/>
        <v>0</v>
      </c>
      <c r="K791">
        <f t="shared" si="134"/>
        <v>0</v>
      </c>
      <c r="L791">
        <f t="shared" si="135"/>
        <v>0</v>
      </c>
      <c r="M791">
        <f t="shared" si="136"/>
        <v>0</v>
      </c>
      <c r="N791">
        <f t="shared" si="137"/>
        <v>0</v>
      </c>
      <c r="O791">
        <f t="shared" si="138"/>
        <v>0</v>
      </c>
      <c r="P791" t="str">
        <f t="shared" si="139"/>
        <v/>
      </c>
      <c r="Q791" t="str">
        <f>IF(B791="","", IFERROR(VLOOKUP(B791, '基準資産配分（設定）'!$A$2:$C$2001, 3, FALSE), ""))</f>
        <v/>
      </c>
      <c r="R791" t="str">
        <f>IF(B791="","", IFERROR(VLOOKUP(B791, '基準資産配分（設定）'!$A$2:$C$2001, 2, FALSE)/100, 0))</f>
        <v/>
      </c>
      <c r="S791" t="str">
        <f>IF(B791="","", IFERROR(SUMIFS(ベンチマークリターン!$C$2:$C$2001, ベンチマークリターン!$A$2:$A$2001, A791, ベンチマークリターン!$B$2:$B$2001, Q791) / 100, 0))</f>
        <v/>
      </c>
      <c r="T791" t="str">
        <f>IF(A791="","", SUMIFS($H$2:$H$2000, $A$2:$A$2000, A791))</f>
        <v/>
      </c>
      <c r="U791" t="str">
        <f t="shared" si="140"/>
        <v/>
      </c>
      <c r="V791" t="str">
        <f t="shared" si="141"/>
        <v/>
      </c>
      <c r="W791" t="str">
        <f t="shared" si="142"/>
        <v/>
      </c>
    </row>
    <row r="792" spans="1:23" x14ac:dyDescent="0.2">
      <c r="A792" s="4" t="str">
        <f>IF(ポートフォリオ実績!A793="","", ポートフォリオ実績!A793)</f>
        <v/>
      </c>
      <c r="B792" t="str">
        <f>IF(ポートフォリオ実績!B793="","", ポートフォリオ実績!B793)</f>
        <v/>
      </c>
      <c r="C792" s="10" t="str">
        <f>IF(ポートフォリオ実績!C793="","", ポートフォリオ実績!C793)</f>
        <v/>
      </c>
      <c r="D792" s="10" t="str">
        <f>IF(ポートフォリオ実績!D793="","", ポートフォリオ実績!D793)</f>
        <v/>
      </c>
      <c r="E792" s="10" t="str">
        <f>IF(ポートフォリオ実績!E793="","", ポートフォリオ実績!E793)</f>
        <v/>
      </c>
      <c r="F792" s="10" t="str">
        <f>IF(ポートフォリオ実績!F793="","", ポートフォリオ実績!F793)</f>
        <v/>
      </c>
      <c r="G792" t="str">
        <f t="shared" si="132"/>
        <v/>
      </c>
      <c r="H792">
        <f>IF(B792&lt;&gt;"", SUMIFS(ポートフォリオ実績!$D$2:$D$2001, ポートフォリオ実績!$B$2:$B$2001, B792, ポートフォリオ実績!$A$2:$A$2001, G792), 0)</f>
        <v>0</v>
      </c>
      <c r="I792">
        <f>IF(B792&lt;&gt;"", SUMIFS(ポートフォリオ実績!$C$2:$C$2001, ポートフォリオ実績!$B$2:$B$2001, B792, ポートフォリオ実績!$A$2:$A$2001, G792), 0)</f>
        <v>0</v>
      </c>
      <c r="J792">
        <f t="shared" si="133"/>
        <v>0</v>
      </c>
      <c r="K792">
        <f t="shared" si="134"/>
        <v>0</v>
      </c>
      <c r="L792">
        <f t="shared" si="135"/>
        <v>0</v>
      </c>
      <c r="M792">
        <f t="shared" si="136"/>
        <v>0</v>
      </c>
      <c r="N792">
        <f t="shared" si="137"/>
        <v>0</v>
      </c>
      <c r="O792">
        <f t="shared" si="138"/>
        <v>0</v>
      </c>
      <c r="P792" t="str">
        <f t="shared" si="139"/>
        <v/>
      </c>
      <c r="Q792" t="str">
        <f>IF(B792="","", IFERROR(VLOOKUP(B792, '基準資産配分（設定）'!$A$2:$C$2001, 3, FALSE), ""))</f>
        <v/>
      </c>
      <c r="R792" t="str">
        <f>IF(B792="","", IFERROR(VLOOKUP(B792, '基準資産配分（設定）'!$A$2:$C$2001, 2, FALSE)/100, 0))</f>
        <v/>
      </c>
      <c r="S792" t="str">
        <f>IF(B792="","", IFERROR(SUMIFS(ベンチマークリターン!$C$2:$C$2001, ベンチマークリターン!$A$2:$A$2001, A792, ベンチマークリターン!$B$2:$B$2001, Q792) / 100, 0))</f>
        <v/>
      </c>
      <c r="T792" t="str">
        <f>IF(A792="","", SUMIFS($H$2:$H$2000, $A$2:$A$2000, A792))</f>
        <v/>
      </c>
      <c r="U792" t="str">
        <f t="shared" si="140"/>
        <v/>
      </c>
      <c r="V792" t="str">
        <f t="shared" si="141"/>
        <v/>
      </c>
      <c r="W792" t="str">
        <f t="shared" si="142"/>
        <v/>
      </c>
    </row>
    <row r="793" spans="1:23" x14ac:dyDescent="0.2">
      <c r="A793" s="4" t="str">
        <f>IF(ポートフォリオ実績!A794="","", ポートフォリオ実績!A794)</f>
        <v/>
      </c>
      <c r="B793" t="str">
        <f>IF(ポートフォリオ実績!B794="","", ポートフォリオ実績!B794)</f>
        <v/>
      </c>
      <c r="C793" s="10" t="str">
        <f>IF(ポートフォリオ実績!C794="","", ポートフォリオ実績!C794)</f>
        <v/>
      </c>
      <c r="D793" s="10" t="str">
        <f>IF(ポートフォリオ実績!D794="","", ポートフォリオ実績!D794)</f>
        <v/>
      </c>
      <c r="E793" s="10" t="str">
        <f>IF(ポートフォリオ実績!E794="","", ポートフォリオ実績!E794)</f>
        <v/>
      </c>
      <c r="F793" s="10" t="str">
        <f>IF(ポートフォリオ実績!F794="","", ポートフォリオ実績!F794)</f>
        <v/>
      </c>
      <c r="G793" t="str">
        <f t="shared" si="132"/>
        <v/>
      </c>
      <c r="H793">
        <f>IF(B793&lt;&gt;"", SUMIFS(ポートフォリオ実績!$D$2:$D$2001, ポートフォリオ実績!$B$2:$B$2001, B793, ポートフォリオ実績!$A$2:$A$2001, G793), 0)</f>
        <v>0</v>
      </c>
      <c r="I793">
        <f>IF(B793&lt;&gt;"", SUMIFS(ポートフォリオ実績!$C$2:$C$2001, ポートフォリオ実績!$B$2:$B$2001, B793, ポートフォリオ実績!$A$2:$A$2001, G793), 0)</f>
        <v>0</v>
      </c>
      <c r="J793">
        <f t="shared" si="133"/>
        <v>0</v>
      </c>
      <c r="K793">
        <f t="shared" si="134"/>
        <v>0</v>
      </c>
      <c r="L793">
        <f t="shared" si="135"/>
        <v>0</v>
      </c>
      <c r="M793">
        <f t="shared" si="136"/>
        <v>0</v>
      </c>
      <c r="N793">
        <f t="shared" si="137"/>
        <v>0</v>
      </c>
      <c r="O793">
        <f t="shared" si="138"/>
        <v>0</v>
      </c>
      <c r="P793" t="str">
        <f t="shared" si="139"/>
        <v/>
      </c>
      <c r="Q793" t="str">
        <f>IF(B793="","", IFERROR(VLOOKUP(B793, '基準資産配分（設定）'!$A$2:$C$2001, 3, FALSE), ""))</f>
        <v/>
      </c>
      <c r="R793" t="str">
        <f>IF(B793="","", IFERROR(VLOOKUP(B793, '基準資産配分（設定）'!$A$2:$C$2001, 2, FALSE)/100, 0))</f>
        <v/>
      </c>
      <c r="S793" t="str">
        <f>IF(B793="","", IFERROR(SUMIFS(ベンチマークリターン!$C$2:$C$2001, ベンチマークリターン!$A$2:$A$2001, A793, ベンチマークリターン!$B$2:$B$2001, Q793) / 100, 0))</f>
        <v/>
      </c>
      <c r="T793" t="str">
        <f>IF(A793="","", SUMIFS($H$2:$H$2000, $A$2:$A$2000, A793))</f>
        <v/>
      </c>
      <c r="U793" t="str">
        <f t="shared" si="140"/>
        <v/>
      </c>
      <c r="V793" t="str">
        <f t="shared" si="141"/>
        <v/>
      </c>
      <c r="W793" t="str">
        <f t="shared" si="142"/>
        <v/>
      </c>
    </row>
    <row r="794" spans="1:23" x14ac:dyDescent="0.2">
      <c r="A794" s="4" t="str">
        <f>IF(ポートフォリオ実績!A795="","", ポートフォリオ実績!A795)</f>
        <v/>
      </c>
      <c r="B794" t="str">
        <f>IF(ポートフォリオ実績!B795="","", ポートフォリオ実績!B795)</f>
        <v/>
      </c>
      <c r="C794" s="10" t="str">
        <f>IF(ポートフォリオ実績!C795="","", ポートフォリオ実績!C795)</f>
        <v/>
      </c>
      <c r="D794" s="10" t="str">
        <f>IF(ポートフォリオ実績!D795="","", ポートフォリオ実績!D795)</f>
        <v/>
      </c>
      <c r="E794" s="10" t="str">
        <f>IF(ポートフォリオ実績!E795="","", ポートフォリオ実績!E795)</f>
        <v/>
      </c>
      <c r="F794" s="10" t="str">
        <f>IF(ポートフォリオ実績!F795="","", ポートフォリオ実績!F795)</f>
        <v/>
      </c>
      <c r="G794" t="str">
        <f t="shared" si="132"/>
        <v/>
      </c>
      <c r="H794">
        <f>IF(B794&lt;&gt;"", SUMIFS(ポートフォリオ実績!$D$2:$D$2001, ポートフォリオ実績!$B$2:$B$2001, B794, ポートフォリオ実績!$A$2:$A$2001, G794), 0)</f>
        <v>0</v>
      </c>
      <c r="I794">
        <f>IF(B794&lt;&gt;"", SUMIFS(ポートフォリオ実績!$C$2:$C$2001, ポートフォリオ実績!$B$2:$B$2001, B794, ポートフォリオ実績!$A$2:$A$2001, G794), 0)</f>
        <v>0</v>
      </c>
      <c r="J794">
        <f t="shared" si="133"/>
        <v>0</v>
      </c>
      <c r="K794">
        <f t="shared" si="134"/>
        <v>0</v>
      </c>
      <c r="L794">
        <f t="shared" si="135"/>
        <v>0</v>
      </c>
      <c r="M794">
        <f t="shared" si="136"/>
        <v>0</v>
      </c>
      <c r="N794">
        <f t="shared" si="137"/>
        <v>0</v>
      </c>
      <c r="O794">
        <f t="shared" si="138"/>
        <v>0</v>
      </c>
      <c r="P794" t="str">
        <f t="shared" si="139"/>
        <v/>
      </c>
      <c r="Q794" t="str">
        <f>IF(B794="","", IFERROR(VLOOKUP(B794, '基準資産配分（設定）'!$A$2:$C$2001, 3, FALSE), ""))</f>
        <v/>
      </c>
      <c r="R794" t="str">
        <f>IF(B794="","", IFERROR(VLOOKUP(B794, '基準資産配分（設定）'!$A$2:$C$2001, 2, FALSE)/100, 0))</f>
        <v/>
      </c>
      <c r="S794" t="str">
        <f>IF(B794="","", IFERROR(SUMIFS(ベンチマークリターン!$C$2:$C$2001, ベンチマークリターン!$A$2:$A$2001, A794, ベンチマークリターン!$B$2:$B$2001, Q794) / 100, 0))</f>
        <v/>
      </c>
      <c r="T794" t="str">
        <f>IF(A794="","", SUMIFS($H$2:$H$2000, $A$2:$A$2000, A794))</f>
        <v/>
      </c>
      <c r="U794" t="str">
        <f t="shared" si="140"/>
        <v/>
      </c>
      <c r="V794" t="str">
        <f t="shared" si="141"/>
        <v/>
      </c>
      <c r="W794" t="str">
        <f t="shared" si="142"/>
        <v/>
      </c>
    </row>
    <row r="795" spans="1:23" x14ac:dyDescent="0.2">
      <c r="A795" s="4" t="str">
        <f>IF(ポートフォリオ実績!A796="","", ポートフォリオ実績!A796)</f>
        <v/>
      </c>
      <c r="B795" t="str">
        <f>IF(ポートフォリオ実績!B796="","", ポートフォリオ実績!B796)</f>
        <v/>
      </c>
      <c r="C795" s="10" t="str">
        <f>IF(ポートフォリオ実績!C796="","", ポートフォリオ実績!C796)</f>
        <v/>
      </c>
      <c r="D795" s="10" t="str">
        <f>IF(ポートフォリオ実績!D796="","", ポートフォリオ実績!D796)</f>
        <v/>
      </c>
      <c r="E795" s="10" t="str">
        <f>IF(ポートフォリオ実績!E796="","", ポートフォリオ実績!E796)</f>
        <v/>
      </c>
      <c r="F795" s="10" t="str">
        <f>IF(ポートフォリオ実績!F796="","", ポートフォリオ実績!F796)</f>
        <v/>
      </c>
      <c r="G795" t="str">
        <f t="shared" si="132"/>
        <v/>
      </c>
      <c r="H795">
        <f>IF(B795&lt;&gt;"", SUMIFS(ポートフォリオ実績!$D$2:$D$2001, ポートフォリオ実績!$B$2:$B$2001, B795, ポートフォリオ実績!$A$2:$A$2001, G795), 0)</f>
        <v>0</v>
      </c>
      <c r="I795">
        <f>IF(B795&lt;&gt;"", SUMIFS(ポートフォリオ実績!$C$2:$C$2001, ポートフォリオ実績!$B$2:$B$2001, B795, ポートフォリオ実績!$A$2:$A$2001, G795), 0)</f>
        <v>0</v>
      </c>
      <c r="J795">
        <f t="shared" si="133"/>
        <v>0</v>
      </c>
      <c r="K795">
        <f t="shared" si="134"/>
        <v>0</v>
      </c>
      <c r="L795">
        <f t="shared" si="135"/>
        <v>0</v>
      </c>
      <c r="M795">
        <f t="shared" si="136"/>
        <v>0</v>
      </c>
      <c r="N795">
        <f t="shared" si="137"/>
        <v>0</v>
      </c>
      <c r="O795">
        <f t="shared" si="138"/>
        <v>0</v>
      </c>
      <c r="P795" t="str">
        <f t="shared" si="139"/>
        <v/>
      </c>
      <c r="Q795" t="str">
        <f>IF(B795="","", IFERROR(VLOOKUP(B795, '基準資産配分（設定）'!$A$2:$C$2001, 3, FALSE), ""))</f>
        <v/>
      </c>
      <c r="R795" t="str">
        <f>IF(B795="","", IFERROR(VLOOKUP(B795, '基準資産配分（設定）'!$A$2:$C$2001, 2, FALSE)/100, 0))</f>
        <v/>
      </c>
      <c r="S795" t="str">
        <f>IF(B795="","", IFERROR(SUMIFS(ベンチマークリターン!$C$2:$C$2001, ベンチマークリターン!$A$2:$A$2001, A795, ベンチマークリターン!$B$2:$B$2001, Q795) / 100, 0))</f>
        <v/>
      </c>
      <c r="T795" t="str">
        <f>IF(A795="","", SUMIFS($H$2:$H$2000, $A$2:$A$2000, A795))</f>
        <v/>
      </c>
      <c r="U795" t="str">
        <f t="shared" si="140"/>
        <v/>
      </c>
      <c r="V795" t="str">
        <f t="shared" si="141"/>
        <v/>
      </c>
      <c r="W795" t="str">
        <f t="shared" si="142"/>
        <v/>
      </c>
    </row>
    <row r="796" spans="1:23" x14ac:dyDescent="0.2">
      <c r="A796" s="4" t="str">
        <f>IF(ポートフォリオ実績!A797="","", ポートフォリオ実績!A797)</f>
        <v/>
      </c>
      <c r="B796" t="str">
        <f>IF(ポートフォリオ実績!B797="","", ポートフォリオ実績!B797)</f>
        <v/>
      </c>
      <c r="C796" s="10" t="str">
        <f>IF(ポートフォリオ実績!C797="","", ポートフォリオ実績!C797)</f>
        <v/>
      </c>
      <c r="D796" s="10" t="str">
        <f>IF(ポートフォリオ実績!D797="","", ポートフォリオ実績!D797)</f>
        <v/>
      </c>
      <c r="E796" s="10" t="str">
        <f>IF(ポートフォリオ実績!E797="","", ポートフォリオ実績!E797)</f>
        <v/>
      </c>
      <c r="F796" s="10" t="str">
        <f>IF(ポートフォリオ実績!F797="","", ポートフォリオ実績!F797)</f>
        <v/>
      </c>
      <c r="G796" t="str">
        <f t="shared" si="132"/>
        <v/>
      </c>
      <c r="H796">
        <f>IF(B796&lt;&gt;"", SUMIFS(ポートフォリオ実績!$D$2:$D$2001, ポートフォリオ実績!$B$2:$B$2001, B796, ポートフォリオ実績!$A$2:$A$2001, G796), 0)</f>
        <v>0</v>
      </c>
      <c r="I796">
        <f>IF(B796&lt;&gt;"", SUMIFS(ポートフォリオ実績!$C$2:$C$2001, ポートフォリオ実績!$B$2:$B$2001, B796, ポートフォリオ実績!$A$2:$A$2001, G796), 0)</f>
        <v>0</v>
      </c>
      <c r="J796">
        <f t="shared" si="133"/>
        <v>0</v>
      </c>
      <c r="K796">
        <f t="shared" si="134"/>
        <v>0</v>
      </c>
      <c r="L796">
        <f t="shared" si="135"/>
        <v>0</v>
      </c>
      <c r="M796">
        <f t="shared" si="136"/>
        <v>0</v>
      </c>
      <c r="N796">
        <f t="shared" si="137"/>
        <v>0</v>
      </c>
      <c r="O796">
        <f t="shared" si="138"/>
        <v>0</v>
      </c>
      <c r="P796" t="str">
        <f t="shared" si="139"/>
        <v/>
      </c>
      <c r="Q796" t="str">
        <f>IF(B796="","", IFERROR(VLOOKUP(B796, '基準資産配分（設定）'!$A$2:$C$2001, 3, FALSE), ""))</f>
        <v/>
      </c>
      <c r="R796" t="str">
        <f>IF(B796="","", IFERROR(VLOOKUP(B796, '基準資産配分（設定）'!$A$2:$C$2001, 2, FALSE)/100, 0))</f>
        <v/>
      </c>
      <c r="S796" t="str">
        <f>IF(B796="","", IFERROR(SUMIFS(ベンチマークリターン!$C$2:$C$2001, ベンチマークリターン!$A$2:$A$2001, A796, ベンチマークリターン!$B$2:$B$2001, Q796) / 100, 0))</f>
        <v/>
      </c>
      <c r="T796" t="str">
        <f>IF(A796="","", SUMIFS($H$2:$H$2000, $A$2:$A$2000, A796))</f>
        <v/>
      </c>
      <c r="U796" t="str">
        <f t="shared" si="140"/>
        <v/>
      </c>
      <c r="V796" t="str">
        <f t="shared" si="141"/>
        <v/>
      </c>
      <c r="W796" t="str">
        <f t="shared" si="142"/>
        <v/>
      </c>
    </row>
    <row r="797" spans="1:23" x14ac:dyDescent="0.2">
      <c r="A797" s="4" t="str">
        <f>IF(ポートフォリオ実績!A798="","", ポートフォリオ実績!A798)</f>
        <v/>
      </c>
      <c r="B797" t="str">
        <f>IF(ポートフォリオ実績!B798="","", ポートフォリオ実績!B798)</f>
        <v/>
      </c>
      <c r="C797" s="10" t="str">
        <f>IF(ポートフォリオ実績!C798="","", ポートフォリオ実績!C798)</f>
        <v/>
      </c>
      <c r="D797" s="10" t="str">
        <f>IF(ポートフォリオ実績!D798="","", ポートフォリオ実績!D798)</f>
        <v/>
      </c>
      <c r="E797" s="10" t="str">
        <f>IF(ポートフォリオ実績!E798="","", ポートフォリオ実績!E798)</f>
        <v/>
      </c>
      <c r="F797" s="10" t="str">
        <f>IF(ポートフォリオ実績!F798="","", ポートフォリオ実績!F798)</f>
        <v/>
      </c>
      <c r="G797" t="str">
        <f t="shared" si="132"/>
        <v/>
      </c>
      <c r="H797">
        <f>IF(B797&lt;&gt;"", SUMIFS(ポートフォリオ実績!$D$2:$D$2001, ポートフォリオ実績!$B$2:$B$2001, B797, ポートフォリオ実績!$A$2:$A$2001, G797), 0)</f>
        <v>0</v>
      </c>
      <c r="I797">
        <f>IF(B797&lt;&gt;"", SUMIFS(ポートフォリオ実績!$C$2:$C$2001, ポートフォリオ実績!$B$2:$B$2001, B797, ポートフォリオ実績!$A$2:$A$2001, G797), 0)</f>
        <v>0</v>
      </c>
      <c r="J797">
        <f t="shared" si="133"/>
        <v>0</v>
      </c>
      <c r="K797">
        <f t="shared" si="134"/>
        <v>0</v>
      </c>
      <c r="L797">
        <f t="shared" si="135"/>
        <v>0</v>
      </c>
      <c r="M797">
        <f t="shared" si="136"/>
        <v>0</v>
      </c>
      <c r="N797">
        <f t="shared" si="137"/>
        <v>0</v>
      </c>
      <c r="O797">
        <f t="shared" si="138"/>
        <v>0</v>
      </c>
      <c r="P797" t="str">
        <f t="shared" si="139"/>
        <v/>
      </c>
      <c r="Q797" t="str">
        <f>IF(B797="","", IFERROR(VLOOKUP(B797, '基準資産配分（設定）'!$A$2:$C$2001, 3, FALSE), ""))</f>
        <v/>
      </c>
      <c r="R797" t="str">
        <f>IF(B797="","", IFERROR(VLOOKUP(B797, '基準資産配分（設定）'!$A$2:$C$2001, 2, FALSE)/100, 0))</f>
        <v/>
      </c>
      <c r="S797" t="str">
        <f>IF(B797="","", IFERROR(SUMIFS(ベンチマークリターン!$C$2:$C$2001, ベンチマークリターン!$A$2:$A$2001, A797, ベンチマークリターン!$B$2:$B$2001, Q797) / 100, 0))</f>
        <v/>
      </c>
      <c r="T797" t="str">
        <f>IF(A797="","", SUMIFS($H$2:$H$2000, $A$2:$A$2000, A797))</f>
        <v/>
      </c>
      <c r="U797" t="str">
        <f t="shared" si="140"/>
        <v/>
      </c>
      <c r="V797" t="str">
        <f t="shared" si="141"/>
        <v/>
      </c>
      <c r="W797" t="str">
        <f t="shared" si="142"/>
        <v/>
      </c>
    </row>
    <row r="798" spans="1:23" x14ac:dyDescent="0.2">
      <c r="A798" s="4" t="str">
        <f>IF(ポートフォリオ実績!A799="","", ポートフォリオ実績!A799)</f>
        <v/>
      </c>
      <c r="B798" t="str">
        <f>IF(ポートフォリオ実績!B799="","", ポートフォリオ実績!B799)</f>
        <v/>
      </c>
      <c r="C798" s="10" t="str">
        <f>IF(ポートフォリオ実績!C799="","", ポートフォリオ実績!C799)</f>
        <v/>
      </c>
      <c r="D798" s="10" t="str">
        <f>IF(ポートフォリオ実績!D799="","", ポートフォリオ実績!D799)</f>
        <v/>
      </c>
      <c r="E798" s="10" t="str">
        <f>IF(ポートフォリオ実績!E799="","", ポートフォリオ実績!E799)</f>
        <v/>
      </c>
      <c r="F798" s="10" t="str">
        <f>IF(ポートフォリオ実績!F799="","", ポートフォリオ実績!F799)</f>
        <v/>
      </c>
      <c r="G798" t="str">
        <f t="shared" si="132"/>
        <v/>
      </c>
      <c r="H798">
        <f>IF(B798&lt;&gt;"", SUMIFS(ポートフォリオ実績!$D$2:$D$2001, ポートフォリオ実績!$B$2:$B$2001, B798, ポートフォリオ実績!$A$2:$A$2001, G798), 0)</f>
        <v>0</v>
      </c>
      <c r="I798">
        <f>IF(B798&lt;&gt;"", SUMIFS(ポートフォリオ実績!$C$2:$C$2001, ポートフォリオ実績!$B$2:$B$2001, B798, ポートフォリオ実績!$A$2:$A$2001, G798), 0)</f>
        <v>0</v>
      </c>
      <c r="J798">
        <f t="shared" si="133"/>
        <v>0</v>
      </c>
      <c r="K798">
        <f t="shared" si="134"/>
        <v>0</v>
      </c>
      <c r="L798">
        <f t="shared" si="135"/>
        <v>0</v>
      </c>
      <c r="M798">
        <f t="shared" si="136"/>
        <v>0</v>
      </c>
      <c r="N798">
        <f t="shared" si="137"/>
        <v>0</v>
      </c>
      <c r="O798">
        <f t="shared" si="138"/>
        <v>0</v>
      </c>
      <c r="P798" t="str">
        <f t="shared" si="139"/>
        <v/>
      </c>
      <c r="Q798" t="str">
        <f>IF(B798="","", IFERROR(VLOOKUP(B798, '基準資産配分（設定）'!$A$2:$C$2001, 3, FALSE), ""))</f>
        <v/>
      </c>
      <c r="R798" t="str">
        <f>IF(B798="","", IFERROR(VLOOKUP(B798, '基準資産配分（設定）'!$A$2:$C$2001, 2, FALSE)/100, 0))</f>
        <v/>
      </c>
      <c r="S798" t="str">
        <f>IF(B798="","", IFERROR(SUMIFS(ベンチマークリターン!$C$2:$C$2001, ベンチマークリターン!$A$2:$A$2001, A798, ベンチマークリターン!$B$2:$B$2001, Q798) / 100, 0))</f>
        <v/>
      </c>
      <c r="T798" t="str">
        <f>IF(A798="","", SUMIFS($H$2:$H$2000, $A$2:$A$2000, A798))</f>
        <v/>
      </c>
      <c r="U798" t="str">
        <f t="shared" si="140"/>
        <v/>
      </c>
      <c r="V798" t="str">
        <f t="shared" si="141"/>
        <v/>
      </c>
      <c r="W798" t="str">
        <f t="shared" si="142"/>
        <v/>
      </c>
    </row>
    <row r="799" spans="1:23" x14ac:dyDescent="0.2">
      <c r="A799" s="4" t="str">
        <f>IF(ポートフォリオ実績!A800="","", ポートフォリオ実績!A800)</f>
        <v/>
      </c>
      <c r="B799" t="str">
        <f>IF(ポートフォリオ実績!B800="","", ポートフォリオ実績!B800)</f>
        <v/>
      </c>
      <c r="C799" s="10" t="str">
        <f>IF(ポートフォリオ実績!C800="","", ポートフォリオ実績!C800)</f>
        <v/>
      </c>
      <c r="D799" s="10" t="str">
        <f>IF(ポートフォリオ実績!D800="","", ポートフォリオ実績!D800)</f>
        <v/>
      </c>
      <c r="E799" s="10" t="str">
        <f>IF(ポートフォリオ実績!E800="","", ポートフォリオ実績!E800)</f>
        <v/>
      </c>
      <c r="F799" s="10" t="str">
        <f>IF(ポートフォリオ実績!F800="","", ポートフォリオ実績!F800)</f>
        <v/>
      </c>
      <c r="G799" t="str">
        <f t="shared" si="132"/>
        <v/>
      </c>
      <c r="H799">
        <f>IF(B799&lt;&gt;"", SUMIFS(ポートフォリオ実績!$D$2:$D$2001, ポートフォリオ実績!$B$2:$B$2001, B799, ポートフォリオ実績!$A$2:$A$2001, G799), 0)</f>
        <v>0</v>
      </c>
      <c r="I799">
        <f>IF(B799&lt;&gt;"", SUMIFS(ポートフォリオ実績!$C$2:$C$2001, ポートフォリオ実績!$B$2:$B$2001, B799, ポートフォリオ実績!$A$2:$A$2001, G799), 0)</f>
        <v>0</v>
      </c>
      <c r="J799">
        <f t="shared" si="133"/>
        <v>0</v>
      </c>
      <c r="K799">
        <f t="shared" si="134"/>
        <v>0</v>
      </c>
      <c r="L799">
        <f t="shared" si="135"/>
        <v>0</v>
      </c>
      <c r="M799">
        <f t="shared" si="136"/>
        <v>0</v>
      </c>
      <c r="N799">
        <f t="shared" si="137"/>
        <v>0</v>
      </c>
      <c r="O799">
        <f t="shared" si="138"/>
        <v>0</v>
      </c>
      <c r="P799" t="str">
        <f t="shared" si="139"/>
        <v/>
      </c>
      <c r="Q799" t="str">
        <f>IF(B799="","", IFERROR(VLOOKUP(B799, '基準資産配分（設定）'!$A$2:$C$2001, 3, FALSE), ""))</f>
        <v/>
      </c>
      <c r="R799" t="str">
        <f>IF(B799="","", IFERROR(VLOOKUP(B799, '基準資産配分（設定）'!$A$2:$C$2001, 2, FALSE)/100, 0))</f>
        <v/>
      </c>
      <c r="S799" t="str">
        <f>IF(B799="","", IFERROR(SUMIFS(ベンチマークリターン!$C$2:$C$2001, ベンチマークリターン!$A$2:$A$2001, A799, ベンチマークリターン!$B$2:$B$2001, Q799) / 100, 0))</f>
        <v/>
      </c>
      <c r="T799" t="str">
        <f>IF(A799="","", SUMIFS($H$2:$H$2000, $A$2:$A$2000, A799))</f>
        <v/>
      </c>
      <c r="U799" t="str">
        <f t="shared" si="140"/>
        <v/>
      </c>
      <c r="V799" t="str">
        <f t="shared" si="141"/>
        <v/>
      </c>
      <c r="W799" t="str">
        <f t="shared" si="142"/>
        <v/>
      </c>
    </row>
    <row r="800" spans="1:23" x14ac:dyDescent="0.2">
      <c r="A800" s="4" t="str">
        <f>IF(ポートフォリオ実績!A801="","", ポートフォリオ実績!A801)</f>
        <v/>
      </c>
      <c r="B800" t="str">
        <f>IF(ポートフォリオ実績!B801="","", ポートフォリオ実績!B801)</f>
        <v/>
      </c>
      <c r="C800" s="10" t="str">
        <f>IF(ポートフォリオ実績!C801="","", ポートフォリオ実績!C801)</f>
        <v/>
      </c>
      <c r="D800" s="10" t="str">
        <f>IF(ポートフォリオ実績!D801="","", ポートフォリオ実績!D801)</f>
        <v/>
      </c>
      <c r="E800" s="10" t="str">
        <f>IF(ポートフォリオ実績!E801="","", ポートフォリオ実績!E801)</f>
        <v/>
      </c>
      <c r="F800" s="10" t="str">
        <f>IF(ポートフォリオ実績!F801="","", ポートフォリオ実績!F801)</f>
        <v/>
      </c>
      <c r="G800" t="str">
        <f t="shared" si="132"/>
        <v/>
      </c>
      <c r="H800">
        <f>IF(B800&lt;&gt;"", SUMIFS(ポートフォリオ実績!$D$2:$D$2001, ポートフォリオ実績!$B$2:$B$2001, B800, ポートフォリオ実績!$A$2:$A$2001, G800), 0)</f>
        <v>0</v>
      </c>
      <c r="I800">
        <f>IF(B800&lt;&gt;"", SUMIFS(ポートフォリオ実績!$C$2:$C$2001, ポートフォリオ実績!$B$2:$B$2001, B800, ポートフォリオ実績!$A$2:$A$2001, G800), 0)</f>
        <v>0</v>
      </c>
      <c r="J800">
        <f t="shared" si="133"/>
        <v>0</v>
      </c>
      <c r="K800">
        <f t="shared" si="134"/>
        <v>0</v>
      </c>
      <c r="L800">
        <f t="shared" si="135"/>
        <v>0</v>
      </c>
      <c r="M800">
        <f t="shared" si="136"/>
        <v>0</v>
      </c>
      <c r="N800">
        <f t="shared" si="137"/>
        <v>0</v>
      </c>
      <c r="O800">
        <f t="shared" si="138"/>
        <v>0</v>
      </c>
      <c r="P800" t="str">
        <f t="shared" si="139"/>
        <v/>
      </c>
      <c r="Q800" t="str">
        <f>IF(B800="","", IFERROR(VLOOKUP(B800, '基準資産配分（設定）'!$A$2:$C$2001, 3, FALSE), ""))</f>
        <v/>
      </c>
      <c r="R800" t="str">
        <f>IF(B800="","", IFERROR(VLOOKUP(B800, '基準資産配分（設定）'!$A$2:$C$2001, 2, FALSE)/100, 0))</f>
        <v/>
      </c>
      <c r="S800" t="str">
        <f>IF(B800="","", IFERROR(SUMIFS(ベンチマークリターン!$C$2:$C$2001, ベンチマークリターン!$A$2:$A$2001, A800, ベンチマークリターン!$B$2:$B$2001, Q800) / 100, 0))</f>
        <v/>
      </c>
      <c r="T800" t="str">
        <f>IF(A800="","", SUMIFS($H$2:$H$2000, $A$2:$A$2000, A800))</f>
        <v/>
      </c>
      <c r="U800" t="str">
        <f t="shared" si="140"/>
        <v/>
      </c>
      <c r="V800" t="str">
        <f t="shared" si="141"/>
        <v/>
      </c>
      <c r="W800" t="str">
        <f t="shared" si="142"/>
        <v/>
      </c>
    </row>
    <row r="801" spans="1:23" x14ac:dyDescent="0.2">
      <c r="A801" s="4" t="str">
        <f>IF(ポートフォリオ実績!A802="","", ポートフォリオ実績!A802)</f>
        <v/>
      </c>
      <c r="B801" t="str">
        <f>IF(ポートフォリオ実績!B802="","", ポートフォリオ実績!B802)</f>
        <v/>
      </c>
      <c r="C801" s="10" t="str">
        <f>IF(ポートフォリオ実績!C802="","", ポートフォリオ実績!C802)</f>
        <v/>
      </c>
      <c r="D801" s="10" t="str">
        <f>IF(ポートフォリオ実績!D802="","", ポートフォリオ実績!D802)</f>
        <v/>
      </c>
      <c r="E801" s="10" t="str">
        <f>IF(ポートフォリオ実績!E802="","", ポートフォリオ実績!E802)</f>
        <v/>
      </c>
      <c r="F801" s="10" t="str">
        <f>IF(ポートフォリオ実績!F802="","", ポートフォリオ実績!F802)</f>
        <v/>
      </c>
      <c r="G801" t="str">
        <f t="shared" si="132"/>
        <v/>
      </c>
      <c r="H801">
        <f>IF(B801&lt;&gt;"", SUMIFS(ポートフォリオ実績!$D$2:$D$2001, ポートフォリオ実績!$B$2:$B$2001, B801, ポートフォリオ実績!$A$2:$A$2001, G801), 0)</f>
        <v>0</v>
      </c>
      <c r="I801">
        <f>IF(B801&lt;&gt;"", SUMIFS(ポートフォリオ実績!$C$2:$C$2001, ポートフォリオ実績!$B$2:$B$2001, B801, ポートフォリオ実績!$A$2:$A$2001, G801), 0)</f>
        <v>0</v>
      </c>
      <c r="J801">
        <f t="shared" si="133"/>
        <v>0</v>
      </c>
      <c r="K801">
        <f t="shared" si="134"/>
        <v>0</v>
      </c>
      <c r="L801">
        <f t="shared" si="135"/>
        <v>0</v>
      </c>
      <c r="M801">
        <f t="shared" si="136"/>
        <v>0</v>
      </c>
      <c r="N801">
        <f t="shared" si="137"/>
        <v>0</v>
      </c>
      <c r="O801">
        <f t="shared" si="138"/>
        <v>0</v>
      </c>
      <c r="P801" t="str">
        <f t="shared" si="139"/>
        <v/>
      </c>
      <c r="Q801" t="str">
        <f>IF(B801="","", IFERROR(VLOOKUP(B801, '基準資産配分（設定）'!$A$2:$C$2001, 3, FALSE), ""))</f>
        <v/>
      </c>
      <c r="R801" t="str">
        <f>IF(B801="","", IFERROR(VLOOKUP(B801, '基準資産配分（設定）'!$A$2:$C$2001, 2, FALSE)/100, 0))</f>
        <v/>
      </c>
      <c r="S801" t="str">
        <f>IF(B801="","", IFERROR(SUMIFS(ベンチマークリターン!$C$2:$C$2001, ベンチマークリターン!$A$2:$A$2001, A801, ベンチマークリターン!$B$2:$B$2001, Q801) / 100, 0))</f>
        <v/>
      </c>
      <c r="T801" t="str">
        <f>IF(A801="","", SUMIFS($H$2:$H$2000, $A$2:$A$2000, A801))</f>
        <v/>
      </c>
      <c r="U801" t="str">
        <f t="shared" si="140"/>
        <v/>
      </c>
      <c r="V801" t="str">
        <f t="shared" si="141"/>
        <v/>
      </c>
      <c r="W801" t="str">
        <f t="shared" si="142"/>
        <v/>
      </c>
    </row>
    <row r="802" spans="1:23" x14ac:dyDescent="0.2">
      <c r="A802" s="4" t="str">
        <f>IF(ポートフォリオ実績!A803="","", ポートフォリオ実績!A803)</f>
        <v/>
      </c>
      <c r="B802" t="str">
        <f>IF(ポートフォリオ実績!B803="","", ポートフォリオ実績!B803)</f>
        <v/>
      </c>
      <c r="C802" s="10" t="str">
        <f>IF(ポートフォリオ実績!C803="","", ポートフォリオ実績!C803)</f>
        <v/>
      </c>
      <c r="D802" s="10" t="str">
        <f>IF(ポートフォリオ実績!D803="","", ポートフォリオ実績!D803)</f>
        <v/>
      </c>
      <c r="E802" s="10" t="str">
        <f>IF(ポートフォリオ実績!E803="","", ポートフォリオ実績!E803)</f>
        <v/>
      </c>
      <c r="F802" s="10" t="str">
        <f>IF(ポートフォリオ実績!F803="","", ポートフォリオ実績!F803)</f>
        <v/>
      </c>
      <c r="G802" t="str">
        <f t="shared" si="132"/>
        <v/>
      </c>
      <c r="H802">
        <f>IF(B802&lt;&gt;"", SUMIFS(ポートフォリオ実績!$D$2:$D$2001, ポートフォリオ実績!$B$2:$B$2001, B802, ポートフォリオ実績!$A$2:$A$2001, G802), 0)</f>
        <v>0</v>
      </c>
      <c r="I802">
        <f>IF(B802&lt;&gt;"", SUMIFS(ポートフォリオ実績!$C$2:$C$2001, ポートフォリオ実績!$B$2:$B$2001, B802, ポートフォリオ実績!$A$2:$A$2001, G802), 0)</f>
        <v>0</v>
      </c>
      <c r="J802">
        <f t="shared" si="133"/>
        <v>0</v>
      </c>
      <c r="K802">
        <f t="shared" si="134"/>
        <v>0</v>
      </c>
      <c r="L802">
        <f t="shared" si="135"/>
        <v>0</v>
      </c>
      <c r="M802">
        <f t="shared" si="136"/>
        <v>0</v>
      </c>
      <c r="N802">
        <f t="shared" si="137"/>
        <v>0</v>
      </c>
      <c r="O802">
        <f t="shared" si="138"/>
        <v>0</v>
      </c>
      <c r="P802" t="str">
        <f t="shared" si="139"/>
        <v/>
      </c>
      <c r="Q802" t="str">
        <f>IF(B802="","", IFERROR(VLOOKUP(B802, '基準資産配分（設定）'!$A$2:$C$2001, 3, FALSE), ""))</f>
        <v/>
      </c>
      <c r="R802" t="str">
        <f>IF(B802="","", IFERROR(VLOOKUP(B802, '基準資産配分（設定）'!$A$2:$C$2001, 2, FALSE)/100, 0))</f>
        <v/>
      </c>
      <c r="S802" t="str">
        <f>IF(B802="","", IFERROR(SUMIFS(ベンチマークリターン!$C$2:$C$2001, ベンチマークリターン!$A$2:$A$2001, A802, ベンチマークリターン!$B$2:$B$2001, Q802) / 100, 0))</f>
        <v/>
      </c>
      <c r="T802" t="str">
        <f>IF(A802="","", SUMIFS($H$2:$H$2000, $A$2:$A$2000, A802))</f>
        <v/>
      </c>
      <c r="U802" t="str">
        <f t="shared" si="140"/>
        <v/>
      </c>
      <c r="V802" t="str">
        <f t="shared" si="141"/>
        <v/>
      </c>
      <c r="W802" t="str">
        <f t="shared" si="142"/>
        <v/>
      </c>
    </row>
    <row r="803" spans="1:23" x14ac:dyDescent="0.2">
      <c r="A803" s="4" t="str">
        <f>IF(ポートフォリオ実績!A804="","", ポートフォリオ実績!A804)</f>
        <v/>
      </c>
      <c r="B803" t="str">
        <f>IF(ポートフォリオ実績!B804="","", ポートフォリオ実績!B804)</f>
        <v/>
      </c>
      <c r="C803" s="10" t="str">
        <f>IF(ポートフォリオ実績!C804="","", ポートフォリオ実績!C804)</f>
        <v/>
      </c>
      <c r="D803" s="10" t="str">
        <f>IF(ポートフォリオ実績!D804="","", ポートフォリオ実績!D804)</f>
        <v/>
      </c>
      <c r="E803" s="10" t="str">
        <f>IF(ポートフォリオ実績!E804="","", ポートフォリオ実績!E804)</f>
        <v/>
      </c>
      <c r="F803" s="10" t="str">
        <f>IF(ポートフォリオ実績!F804="","", ポートフォリオ実績!F804)</f>
        <v/>
      </c>
      <c r="G803" t="str">
        <f t="shared" si="132"/>
        <v/>
      </c>
      <c r="H803">
        <f>IF(B803&lt;&gt;"", SUMIFS(ポートフォリオ実績!$D$2:$D$2001, ポートフォリオ実績!$B$2:$B$2001, B803, ポートフォリオ実績!$A$2:$A$2001, G803), 0)</f>
        <v>0</v>
      </c>
      <c r="I803">
        <f>IF(B803&lt;&gt;"", SUMIFS(ポートフォリオ実績!$C$2:$C$2001, ポートフォリオ実績!$B$2:$B$2001, B803, ポートフォリオ実績!$A$2:$A$2001, G803), 0)</f>
        <v>0</v>
      </c>
      <c r="J803">
        <f t="shared" si="133"/>
        <v>0</v>
      </c>
      <c r="K803">
        <f t="shared" si="134"/>
        <v>0</v>
      </c>
      <c r="L803">
        <f t="shared" si="135"/>
        <v>0</v>
      </c>
      <c r="M803">
        <f t="shared" si="136"/>
        <v>0</v>
      </c>
      <c r="N803">
        <f t="shared" si="137"/>
        <v>0</v>
      </c>
      <c r="O803">
        <f t="shared" si="138"/>
        <v>0</v>
      </c>
      <c r="P803" t="str">
        <f t="shared" si="139"/>
        <v/>
      </c>
      <c r="Q803" t="str">
        <f>IF(B803="","", IFERROR(VLOOKUP(B803, '基準資産配分（設定）'!$A$2:$C$2001, 3, FALSE), ""))</f>
        <v/>
      </c>
      <c r="R803" t="str">
        <f>IF(B803="","", IFERROR(VLOOKUP(B803, '基準資産配分（設定）'!$A$2:$C$2001, 2, FALSE)/100, 0))</f>
        <v/>
      </c>
      <c r="S803" t="str">
        <f>IF(B803="","", IFERROR(SUMIFS(ベンチマークリターン!$C$2:$C$2001, ベンチマークリターン!$A$2:$A$2001, A803, ベンチマークリターン!$B$2:$B$2001, Q803) / 100, 0))</f>
        <v/>
      </c>
      <c r="T803" t="str">
        <f>IF(A803="","", SUMIFS($H$2:$H$2000, $A$2:$A$2000, A803))</f>
        <v/>
      </c>
      <c r="U803" t="str">
        <f t="shared" si="140"/>
        <v/>
      </c>
      <c r="V803" t="str">
        <f t="shared" si="141"/>
        <v/>
      </c>
      <c r="W803" t="str">
        <f t="shared" si="142"/>
        <v/>
      </c>
    </row>
    <row r="804" spans="1:23" x14ac:dyDescent="0.2">
      <c r="A804" s="4" t="str">
        <f>IF(ポートフォリオ実績!A805="","", ポートフォリオ実績!A805)</f>
        <v/>
      </c>
      <c r="B804" t="str">
        <f>IF(ポートフォリオ実績!B805="","", ポートフォリオ実績!B805)</f>
        <v/>
      </c>
      <c r="C804" s="10" t="str">
        <f>IF(ポートフォリオ実績!C805="","", ポートフォリオ実績!C805)</f>
        <v/>
      </c>
      <c r="D804" s="10" t="str">
        <f>IF(ポートフォリオ実績!D805="","", ポートフォリオ実績!D805)</f>
        <v/>
      </c>
      <c r="E804" s="10" t="str">
        <f>IF(ポートフォリオ実績!E805="","", ポートフォリオ実績!E805)</f>
        <v/>
      </c>
      <c r="F804" s="10" t="str">
        <f>IF(ポートフォリオ実績!F805="","", ポートフォリオ実績!F805)</f>
        <v/>
      </c>
      <c r="G804" t="str">
        <f t="shared" si="132"/>
        <v/>
      </c>
      <c r="H804">
        <f>IF(B804&lt;&gt;"", SUMIFS(ポートフォリオ実績!$D$2:$D$2001, ポートフォリオ実績!$B$2:$B$2001, B804, ポートフォリオ実績!$A$2:$A$2001, G804), 0)</f>
        <v>0</v>
      </c>
      <c r="I804">
        <f>IF(B804&lt;&gt;"", SUMIFS(ポートフォリオ実績!$C$2:$C$2001, ポートフォリオ実績!$B$2:$B$2001, B804, ポートフォリオ実績!$A$2:$A$2001, G804), 0)</f>
        <v>0</v>
      </c>
      <c r="J804">
        <f t="shared" si="133"/>
        <v>0</v>
      </c>
      <c r="K804">
        <f t="shared" si="134"/>
        <v>0</v>
      </c>
      <c r="L804">
        <f t="shared" si="135"/>
        <v>0</v>
      </c>
      <c r="M804">
        <f t="shared" si="136"/>
        <v>0</v>
      </c>
      <c r="N804">
        <f t="shared" si="137"/>
        <v>0</v>
      </c>
      <c r="O804">
        <f t="shared" si="138"/>
        <v>0</v>
      </c>
      <c r="P804" t="str">
        <f t="shared" si="139"/>
        <v/>
      </c>
      <c r="Q804" t="str">
        <f>IF(B804="","", IFERROR(VLOOKUP(B804, '基準資産配分（設定）'!$A$2:$C$2001, 3, FALSE), ""))</f>
        <v/>
      </c>
      <c r="R804" t="str">
        <f>IF(B804="","", IFERROR(VLOOKUP(B804, '基準資産配分（設定）'!$A$2:$C$2001, 2, FALSE)/100, 0))</f>
        <v/>
      </c>
      <c r="S804" t="str">
        <f>IF(B804="","", IFERROR(SUMIFS(ベンチマークリターン!$C$2:$C$2001, ベンチマークリターン!$A$2:$A$2001, A804, ベンチマークリターン!$B$2:$B$2001, Q804) / 100, 0))</f>
        <v/>
      </c>
      <c r="T804" t="str">
        <f>IF(A804="","", SUMIFS($H$2:$H$2000, $A$2:$A$2000, A804))</f>
        <v/>
      </c>
      <c r="U804" t="str">
        <f t="shared" si="140"/>
        <v/>
      </c>
      <c r="V804" t="str">
        <f t="shared" si="141"/>
        <v/>
      </c>
      <c r="W804" t="str">
        <f t="shared" si="142"/>
        <v/>
      </c>
    </row>
    <row r="805" spans="1:23" x14ac:dyDescent="0.2">
      <c r="A805" s="4" t="str">
        <f>IF(ポートフォリオ実績!A806="","", ポートフォリオ実績!A806)</f>
        <v/>
      </c>
      <c r="B805" t="str">
        <f>IF(ポートフォリオ実績!B806="","", ポートフォリオ実績!B806)</f>
        <v/>
      </c>
      <c r="C805" s="10" t="str">
        <f>IF(ポートフォリオ実績!C806="","", ポートフォリオ実績!C806)</f>
        <v/>
      </c>
      <c r="D805" s="10" t="str">
        <f>IF(ポートフォリオ実績!D806="","", ポートフォリオ実績!D806)</f>
        <v/>
      </c>
      <c r="E805" s="10" t="str">
        <f>IF(ポートフォリオ実績!E806="","", ポートフォリオ実績!E806)</f>
        <v/>
      </c>
      <c r="F805" s="10" t="str">
        <f>IF(ポートフォリオ実績!F806="","", ポートフォリオ実績!F806)</f>
        <v/>
      </c>
      <c r="G805" t="str">
        <f t="shared" si="132"/>
        <v/>
      </c>
      <c r="H805">
        <f>IF(B805&lt;&gt;"", SUMIFS(ポートフォリオ実績!$D$2:$D$2001, ポートフォリオ実績!$B$2:$B$2001, B805, ポートフォリオ実績!$A$2:$A$2001, G805), 0)</f>
        <v>0</v>
      </c>
      <c r="I805">
        <f>IF(B805&lt;&gt;"", SUMIFS(ポートフォリオ実績!$C$2:$C$2001, ポートフォリオ実績!$B$2:$B$2001, B805, ポートフォリオ実績!$A$2:$A$2001, G805), 0)</f>
        <v>0</v>
      </c>
      <c r="J805">
        <f t="shared" si="133"/>
        <v>0</v>
      </c>
      <c r="K805">
        <f t="shared" si="134"/>
        <v>0</v>
      </c>
      <c r="L805">
        <f t="shared" si="135"/>
        <v>0</v>
      </c>
      <c r="M805">
        <f t="shared" si="136"/>
        <v>0</v>
      </c>
      <c r="N805">
        <f t="shared" si="137"/>
        <v>0</v>
      </c>
      <c r="O805">
        <f t="shared" si="138"/>
        <v>0</v>
      </c>
      <c r="P805" t="str">
        <f t="shared" si="139"/>
        <v/>
      </c>
      <c r="Q805" t="str">
        <f>IF(B805="","", IFERROR(VLOOKUP(B805, '基準資産配分（設定）'!$A$2:$C$2001, 3, FALSE), ""))</f>
        <v/>
      </c>
      <c r="R805" t="str">
        <f>IF(B805="","", IFERROR(VLOOKUP(B805, '基準資産配分（設定）'!$A$2:$C$2001, 2, FALSE)/100, 0))</f>
        <v/>
      </c>
      <c r="S805" t="str">
        <f>IF(B805="","", IFERROR(SUMIFS(ベンチマークリターン!$C$2:$C$2001, ベンチマークリターン!$A$2:$A$2001, A805, ベンチマークリターン!$B$2:$B$2001, Q805) / 100, 0))</f>
        <v/>
      </c>
      <c r="T805" t="str">
        <f>IF(A805="","", SUMIFS($H$2:$H$2000, $A$2:$A$2000, A805))</f>
        <v/>
      </c>
      <c r="U805" t="str">
        <f t="shared" si="140"/>
        <v/>
      </c>
      <c r="V805" t="str">
        <f t="shared" si="141"/>
        <v/>
      </c>
      <c r="W805" t="str">
        <f t="shared" si="142"/>
        <v/>
      </c>
    </row>
    <row r="806" spans="1:23" x14ac:dyDescent="0.2">
      <c r="A806" s="4" t="str">
        <f>IF(ポートフォリオ実績!A807="","", ポートフォリオ実績!A807)</f>
        <v/>
      </c>
      <c r="B806" t="str">
        <f>IF(ポートフォリオ実績!B807="","", ポートフォリオ実績!B807)</f>
        <v/>
      </c>
      <c r="C806" s="10" t="str">
        <f>IF(ポートフォリオ実績!C807="","", ポートフォリオ実績!C807)</f>
        <v/>
      </c>
      <c r="D806" s="10" t="str">
        <f>IF(ポートフォリオ実績!D807="","", ポートフォリオ実績!D807)</f>
        <v/>
      </c>
      <c r="E806" s="10" t="str">
        <f>IF(ポートフォリオ実績!E807="","", ポートフォリオ実績!E807)</f>
        <v/>
      </c>
      <c r="F806" s="10" t="str">
        <f>IF(ポートフォリオ実績!F807="","", ポートフォリオ実績!F807)</f>
        <v/>
      </c>
      <c r="G806" t="str">
        <f t="shared" si="132"/>
        <v/>
      </c>
      <c r="H806">
        <f>IF(B806&lt;&gt;"", SUMIFS(ポートフォリオ実績!$D$2:$D$2001, ポートフォリオ実績!$B$2:$B$2001, B806, ポートフォリオ実績!$A$2:$A$2001, G806), 0)</f>
        <v>0</v>
      </c>
      <c r="I806">
        <f>IF(B806&lt;&gt;"", SUMIFS(ポートフォリオ実績!$C$2:$C$2001, ポートフォリオ実績!$B$2:$B$2001, B806, ポートフォリオ実績!$A$2:$A$2001, G806), 0)</f>
        <v>0</v>
      </c>
      <c r="J806">
        <f t="shared" si="133"/>
        <v>0</v>
      </c>
      <c r="K806">
        <f t="shared" si="134"/>
        <v>0</v>
      </c>
      <c r="L806">
        <f t="shared" si="135"/>
        <v>0</v>
      </c>
      <c r="M806">
        <f t="shared" si="136"/>
        <v>0</v>
      </c>
      <c r="N806">
        <f t="shared" si="137"/>
        <v>0</v>
      </c>
      <c r="O806">
        <f t="shared" si="138"/>
        <v>0</v>
      </c>
      <c r="P806" t="str">
        <f t="shared" si="139"/>
        <v/>
      </c>
      <c r="Q806" t="str">
        <f>IF(B806="","", IFERROR(VLOOKUP(B806, '基準資産配分（設定）'!$A$2:$C$2001, 3, FALSE), ""))</f>
        <v/>
      </c>
      <c r="R806" t="str">
        <f>IF(B806="","", IFERROR(VLOOKUP(B806, '基準資産配分（設定）'!$A$2:$C$2001, 2, FALSE)/100, 0))</f>
        <v/>
      </c>
      <c r="S806" t="str">
        <f>IF(B806="","", IFERROR(SUMIFS(ベンチマークリターン!$C$2:$C$2001, ベンチマークリターン!$A$2:$A$2001, A806, ベンチマークリターン!$B$2:$B$2001, Q806) / 100, 0))</f>
        <v/>
      </c>
      <c r="T806" t="str">
        <f>IF(A806="","", SUMIFS($H$2:$H$2000, $A$2:$A$2000, A806))</f>
        <v/>
      </c>
      <c r="U806" t="str">
        <f t="shared" si="140"/>
        <v/>
      </c>
      <c r="V806" t="str">
        <f t="shared" si="141"/>
        <v/>
      </c>
      <c r="W806" t="str">
        <f t="shared" si="142"/>
        <v/>
      </c>
    </row>
    <row r="807" spans="1:23" x14ac:dyDescent="0.2">
      <c r="A807" s="4" t="str">
        <f>IF(ポートフォリオ実績!A808="","", ポートフォリオ実績!A808)</f>
        <v/>
      </c>
      <c r="B807" t="str">
        <f>IF(ポートフォリオ実績!B808="","", ポートフォリオ実績!B808)</f>
        <v/>
      </c>
      <c r="C807" s="10" t="str">
        <f>IF(ポートフォリオ実績!C808="","", ポートフォリオ実績!C808)</f>
        <v/>
      </c>
      <c r="D807" s="10" t="str">
        <f>IF(ポートフォリオ実績!D808="","", ポートフォリオ実績!D808)</f>
        <v/>
      </c>
      <c r="E807" s="10" t="str">
        <f>IF(ポートフォリオ実績!E808="","", ポートフォリオ実績!E808)</f>
        <v/>
      </c>
      <c r="F807" s="10" t="str">
        <f>IF(ポートフォリオ実績!F808="","", ポートフォリオ実績!F808)</f>
        <v/>
      </c>
      <c r="G807" t="str">
        <f t="shared" si="132"/>
        <v/>
      </c>
      <c r="H807">
        <f>IF(B807&lt;&gt;"", SUMIFS(ポートフォリオ実績!$D$2:$D$2001, ポートフォリオ実績!$B$2:$B$2001, B807, ポートフォリオ実績!$A$2:$A$2001, G807), 0)</f>
        <v>0</v>
      </c>
      <c r="I807">
        <f>IF(B807&lt;&gt;"", SUMIFS(ポートフォリオ実績!$C$2:$C$2001, ポートフォリオ実績!$B$2:$B$2001, B807, ポートフォリオ実績!$A$2:$A$2001, G807), 0)</f>
        <v>0</v>
      </c>
      <c r="J807">
        <f t="shared" si="133"/>
        <v>0</v>
      </c>
      <c r="K807">
        <f t="shared" si="134"/>
        <v>0</v>
      </c>
      <c r="L807">
        <f t="shared" si="135"/>
        <v>0</v>
      </c>
      <c r="M807">
        <f t="shared" si="136"/>
        <v>0</v>
      </c>
      <c r="N807">
        <f t="shared" si="137"/>
        <v>0</v>
      </c>
      <c r="O807">
        <f t="shared" si="138"/>
        <v>0</v>
      </c>
      <c r="P807" t="str">
        <f t="shared" si="139"/>
        <v/>
      </c>
      <c r="Q807" t="str">
        <f>IF(B807="","", IFERROR(VLOOKUP(B807, '基準資産配分（設定）'!$A$2:$C$2001, 3, FALSE), ""))</f>
        <v/>
      </c>
      <c r="R807" t="str">
        <f>IF(B807="","", IFERROR(VLOOKUP(B807, '基準資産配分（設定）'!$A$2:$C$2001, 2, FALSE)/100, 0))</f>
        <v/>
      </c>
      <c r="S807" t="str">
        <f>IF(B807="","", IFERROR(SUMIFS(ベンチマークリターン!$C$2:$C$2001, ベンチマークリターン!$A$2:$A$2001, A807, ベンチマークリターン!$B$2:$B$2001, Q807) / 100, 0))</f>
        <v/>
      </c>
      <c r="T807" t="str">
        <f>IF(A807="","", SUMIFS($H$2:$H$2000, $A$2:$A$2000, A807))</f>
        <v/>
      </c>
      <c r="U807" t="str">
        <f t="shared" si="140"/>
        <v/>
      </c>
      <c r="V807" t="str">
        <f t="shared" si="141"/>
        <v/>
      </c>
      <c r="W807" t="str">
        <f t="shared" si="142"/>
        <v/>
      </c>
    </row>
    <row r="808" spans="1:23" x14ac:dyDescent="0.2">
      <c r="A808" s="4" t="str">
        <f>IF(ポートフォリオ実績!A809="","", ポートフォリオ実績!A809)</f>
        <v/>
      </c>
      <c r="B808" t="str">
        <f>IF(ポートフォリオ実績!B809="","", ポートフォリオ実績!B809)</f>
        <v/>
      </c>
      <c r="C808" s="10" t="str">
        <f>IF(ポートフォリオ実績!C809="","", ポートフォリオ実績!C809)</f>
        <v/>
      </c>
      <c r="D808" s="10" t="str">
        <f>IF(ポートフォリオ実績!D809="","", ポートフォリオ実績!D809)</f>
        <v/>
      </c>
      <c r="E808" s="10" t="str">
        <f>IF(ポートフォリオ実績!E809="","", ポートフォリオ実績!E809)</f>
        <v/>
      </c>
      <c r="F808" s="10" t="str">
        <f>IF(ポートフォリオ実績!F809="","", ポートフォリオ実績!F809)</f>
        <v/>
      </c>
      <c r="G808" t="str">
        <f t="shared" si="132"/>
        <v/>
      </c>
      <c r="H808">
        <f>IF(B808&lt;&gt;"", SUMIFS(ポートフォリオ実績!$D$2:$D$2001, ポートフォリオ実績!$B$2:$B$2001, B808, ポートフォリオ実績!$A$2:$A$2001, G808), 0)</f>
        <v>0</v>
      </c>
      <c r="I808">
        <f>IF(B808&lt;&gt;"", SUMIFS(ポートフォリオ実績!$C$2:$C$2001, ポートフォリオ実績!$B$2:$B$2001, B808, ポートフォリオ実績!$A$2:$A$2001, G808), 0)</f>
        <v>0</v>
      </c>
      <c r="J808">
        <f t="shared" si="133"/>
        <v>0</v>
      </c>
      <c r="K808">
        <f t="shared" si="134"/>
        <v>0</v>
      </c>
      <c r="L808">
        <f t="shared" si="135"/>
        <v>0</v>
      </c>
      <c r="M808">
        <f t="shared" si="136"/>
        <v>0</v>
      </c>
      <c r="N808">
        <f t="shared" si="137"/>
        <v>0</v>
      </c>
      <c r="O808">
        <f t="shared" si="138"/>
        <v>0</v>
      </c>
      <c r="P808" t="str">
        <f t="shared" si="139"/>
        <v/>
      </c>
      <c r="Q808" t="str">
        <f>IF(B808="","", IFERROR(VLOOKUP(B808, '基準資産配分（設定）'!$A$2:$C$2001, 3, FALSE), ""))</f>
        <v/>
      </c>
      <c r="R808" t="str">
        <f>IF(B808="","", IFERROR(VLOOKUP(B808, '基準資産配分（設定）'!$A$2:$C$2001, 2, FALSE)/100, 0))</f>
        <v/>
      </c>
      <c r="S808" t="str">
        <f>IF(B808="","", IFERROR(SUMIFS(ベンチマークリターン!$C$2:$C$2001, ベンチマークリターン!$A$2:$A$2001, A808, ベンチマークリターン!$B$2:$B$2001, Q808) / 100, 0))</f>
        <v/>
      </c>
      <c r="T808" t="str">
        <f>IF(A808="","", SUMIFS($H$2:$H$2000, $A$2:$A$2000, A808))</f>
        <v/>
      </c>
      <c r="U808" t="str">
        <f t="shared" si="140"/>
        <v/>
      </c>
      <c r="V808" t="str">
        <f t="shared" si="141"/>
        <v/>
      </c>
      <c r="W808" t="str">
        <f t="shared" si="142"/>
        <v/>
      </c>
    </row>
    <row r="809" spans="1:23" x14ac:dyDescent="0.2">
      <c r="A809" s="4" t="str">
        <f>IF(ポートフォリオ実績!A810="","", ポートフォリオ実績!A810)</f>
        <v/>
      </c>
      <c r="B809" t="str">
        <f>IF(ポートフォリオ実績!B810="","", ポートフォリオ実績!B810)</f>
        <v/>
      </c>
      <c r="C809" s="10" t="str">
        <f>IF(ポートフォリオ実績!C810="","", ポートフォリオ実績!C810)</f>
        <v/>
      </c>
      <c r="D809" s="10" t="str">
        <f>IF(ポートフォリオ実績!D810="","", ポートフォリオ実績!D810)</f>
        <v/>
      </c>
      <c r="E809" s="10" t="str">
        <f>IF(ポートフォリオ実績!E810="","", ポートフォリオ実績!E810)</f>
        <v/>
      </c>
      <c r="F809" s="10" t="str">
        <f>IF(ポートフォリオ実績!F810="","", ポートフォリオ実績!F810)</f>
        <v/>
      </c>
      <c r="G809" t="str">
        <f t="shared" si="132"/>
        <v/>
      </c>
      <c r="H809">
        <f>IF(B809&lt;&gt;"", SUMIFS(ポートフォリオ実績!$D$2:$D$2001, ポートフォリオ実績!$B$2:$B$2001, B809, ポートフォリオ実績!$A$2:$A$2001, G809), 0)</f>
        <v>0</v>
      </c>
      <c r="I809">
        <f>IF(B809&lt;&gt;"", SUMIFS(ポートフォリオ実績!$C$2:$C$2001, ポートフォリオ実績!$B$2:$B$2001, B809, ポートフォリオ実績!$A$2:$A$2001, G809), 0)</f>
        <v>0</v>
      </c>
      <c r="J809">
        <f t="shared" si="133"/>
        <v>0</v>
      </c>
      <c r="K809">
        <f t="shared" si="134"/>
        <v>0</v>
      </c>
      <c r="L809">
        <f t="shared" si="135"/>
        <v>0</v>
      </c>
      <c r="M809">
        <f t="shared" si="136"/>
        <v>0</v>
      </c>
      <c r="N809">
        <f t="shared" si="137"/>
        <v>0</v>
      </c>
      <c r="O809">
        <f t="shared" si="138"/>
        <v>0</v>
      </c>
      <c r="P809" t="str">
        <f t="shared" si="139"/>
        <v/>
      </c>
      <c r="Q809" t="str">
        <f>IF(B809="","", IFERROR(VLOOKUP(B809, '基準資産配分（設定）'!$A$2:$C$2001, 3, FALSE), ""))</f>
        <v/>
      </c>
      <c r="R809" t="str">
        <f>IF(B809="","", IFERROR(VLOOKUP(B809, '基準資産配分（設定）'!$A$2:$C$2001, 2, FALSE)/100, 0))</f>
        <v/>
      </c>
      <c r="S809" t="str">
        <f>IF(B809="","", IFERROR(SUMIFS(ベンチマークリターン!$C$2:$C$2001, ベンチマークリターン!$A$2:$A$2001, A809, ベンチマークリターン!$B$2:$B$2001, Q809) / 100, 0))</f>
        <v/>
      </c>
      <c r="T809" t="str">
        <f>IF(A809="","", SUMIFS($H$2:$H$2000, $A$2:$A$2000, A809))</f>
        <v/>
      </c>
      <c r="U809" t="str">
        <f t="shared" si="140"/>
        <v/>
      </c>
      <c r="V809" t="str">
        <f t="shared" si="141"/>
        <v/>
      </c>
      <c r="W809" t="str">
        <f t="shared" si="142"/>
        <v/>
      </c>
    </row>
    <row r="810" spans="1:23" x14ac:dyDescent="0.2">
      <c r="A810" s="4" t="str">
        <f>IF(ポートフォリオ実績!A811="","", ポートフォリオ実績!A811)</f>
        <v/>
      </c>
      <c r="B810" t="str">
        <f>IF(ポートフォリオ実績!B811="","", ポートフォリオ実績!B811)</f>
        <v/>
      </c>
      <c r="C810" s="10" t="str">
        <f>IF(ポートフォリオ実績!C811="","", ポートフォリオ実績!C811)</f>
        <v/>
      </c>
      <c r="D810" s="10" t="str">
        <f>IF(ポートフォリオ実績!D811="","", ポートフォリオ実績!D811)</f>
        <v/>
      </c>
      <c r="E810" s="10" t="str">
        <f>IF(ポートフォリオ実績!E811="","", ポートフォリオ実績!E811)</f>
        <v/>
      </c>
      <c r="F810" s="10" t="str">
        <f>IF(ポートフォリオ実績!F811="","", ポートフォリオ実績!F811)</f>
        <v/>
      </c>
      <c r="G810" t="str">
        <f t="shared" si="132"/>
        <v/>
      </c>
      <c r="H810">
        <f>IF(B810&lt;&gt;"", SUMIFS(ポートフォリオ実績!$D$2:$D$2001, ポートフォリオ実績!$B$2:$B$2001, B810, ポートフォリオ実績!$A$2:$A$2001, G810), 0)</f>
        <v>0</v>
      </c>
      <c r="I810">
        <f>IF(B810&lt;&gt;"", SUMIFS(ポートフォリオ実績!$C$2:$C$2001, ポートフォリオ実績!$B$2:$B$2001, B810, ポートフォリオ実績!$A$2:$A$2001, G810), 0)</f>
        <v>0</v>
      </c>
      <c r="J810">
        <f t="shared" si="133"/>
        <v>0</v>
      </c>
      <c r="K810">
        <f t="shared" si="134"/>
        <v>0</v>
      </c>
      <c r="L810">
        <f t="shared" si="135"/>
        <v>0</v>
      </c>
      <c r="M810">
        <f t="shared" si="136"/>
        <v>0</v>
      </c>
      <c r="N810">
        <f t="shared" si="137"/>
        <v>0</v>
      </c>
      <c r="O810">
        <f t="shared" si="138"/>
        <v>0</v>
      </c>
      <c r="P810" t="str">
        <f t="shared" si="139"/>
        <v/>
      </c>
      <c r="Q810" t="str">
        <f>IF(B810="","", IFERROR(VLOOKUP(B810, '基準資産配分（設定）'!$A$2:$C$2001, 3, FALSE), ""))</f>
        <v/>
      </c>
      <c r="R810" t="str">
        <f>IF(B810="","", IFERROR(VLOOKUP(B810, '基準資産配分（設定）'!$A$2:$C$2001, 2, FALSE)/100, 0))</f>
        <v/>
      </c>
      <c r="S810" t="str">
        <f>IF(B810="","", IFERROR(SUMIFS(ベンチマークリターン!$C$2:$C$2001, ベンチマークリターン!$A$2:$A$2001, A810, ベンチマークリターン!$B$2:$B$2001, Q810) / 100, 0))</f>
        <v/>
      </c>
      <c r="T810" t="str">
        <f>IF(A810="","", SUMIFS($H$2:$H$2000, $A$2:$A$2000, A810))</f>
        <v/>
      </c>
      <c r="U810" t="str">
        <f t="shared" si="140"/>
        <v/>
      </c>
      <c r="V810" t="str">
        <f t="shared" si="141"/>
        <v/>
      </c>
      <c r="W810" t="str">
        <f t="shared" si="142"/>
        <v/>
      </c>
    </row>
    <row r="811" spans="1:23" x14ac:dyDescent="0.2">
      <c r="A811" s="4" t="str">
        <f>IF(ポートフォリオ実績!A812="","", ポートフォリオ実績!A812)</f>
        <v/>
      </c>
      <c r="B811" t="str">
        <f>IF(ポートフォリオ実績!B812="","", ポートフォリオ実績!B812)</f>
        <v/>
      </c>
      <c r="C811" s="10" t="str">
        <f>IF(ポートフォリオ実績!C812="","", ポートフォリオ実績!C812)</f>
        <v/>
      </c>
      <c r="D811" s="10" t="str">
        <f>IF(ポートフォリオ実績!D812="","", ポートフォリオ実績!D812)</f>
        <v/>
      </c>
      <c r="E811" s="10" t="str">
        <f>IF(ポートフォリオ実績!E812="","", ポートフォリオ実績!E812)</f>
        <v/>
      </c>
      <c r="F811" s="10" t="str">
        <f>IF(ポートフォリオ実績!F812="","", ポートフォリオ実績!F812)</f>
        <v/>
      </c>
      <c r="G811" t="str">
        <f t="shared" si="132"/>
        <v/>
      </c>
      <c r="H811">
        <f>IF(B811&lt;&gt;"", SUMIFS(ポートフォリオ実績!$D$2:$D$2001, ポートフォリオ実績!$B$2:$B$2001, B811, ポートフォリオ実績!$A$2:$A$2001, G811), 0)</f>
        <v>0</v>
      </c>
      <c r="I811">
        <f>IF(B811&lt;&gt;"", SUMIFS(ポートフォリオ実績!$C$2:$C$2001, ポートフォリオ実績!$B$2:$B$2001, B811, ポートフォリオ実績!$A$2:$A$2001, G811), 0)</f>
        <v>0</v>
      </c>
      <c r="J811">
        <f t="shared" si="133"/>
        <v>0</v>
      </c>
      <c r="K811">
        <f t="shared" si="134"/>
        <v>0</v>
      </c>
      <c r="L811">
        <f t="shared" si="135"/>
        <v>0</v>
      </c>
      <c r="M811">
        <f t="shared" si="136"/>
        <v>0</v>
      </c>
      <c r="N811">
        <f t="shared" si="137"/>
        <v>0</v>
      </c>
      <c r="O811">
        <f t="shared" si="138"/>
        <v>0</v>
      </c>
      <c r="P811" t="str">
        <f t="shared" si="139"/>
        <v/>
      </c>
      <c r="Q811" t="str">
        <f>IF(B811="","", IFERROR(VLOOKUP(B811, '基準資産配分（設定）'!$A$2:$C$2001, 3, FALSE), ""))</f>
        <v/>
      </c>
      <c r="R811" t="str">
        <f>IF(B811="","", IFERROR(VLOOKUP(B811, '基準資産配分（設定）'!$A$2:$C$2001, 2, FALSE)/100, 0))</f>
        <v/>
      </c>
      <c r="S811" t="str">
        <f>IF(B811="","", IFERROR(SUMIFS(ベンチマークリターン!$C$2:$C$2001, ベンチマークリターン!$A$2:$A$2001, A811, ベンチマークリターン!$B$2:$B$2001, Q811) / 100, 0))</f>
        <v/>
      </c>
      <c r="T811" t="str">
        <f>IF(A811="","", SUMIFS($H$2:$H$2000, $A$2:$A$2000, A811))</f>
        <v/>
      </c>
      <c r="U811" t="str">
        <f t="shared" si="140"/>
        <v/>
      </c>
      <c r="V811" t="str">
        <f t="shared" si="141"/>
        <v/>
      </c>
      <c r="W811" t="str">
        <f t="shared" si="142"/>
        <v/>
      </c>
    </row>
    <row r="812" spans="1:23" x14ac:dyDescent="0.2">
      <c r="A812" s="4" t="str">
        <f>IF(ポートフォリオ実績!A813="","", ポートフォリオ実績!A813)</f>
        <v/>
      </c>
      <c r="B812" t="str">
        <f>IF(ポートフォリオ実績!B813="","", ポートフォリオ実績!B813)</f>
        <v/>
      </c>
      <c r="C812" s="10" t="str">
        <f>IF(ポートフォリオ実績!C813="","", ポートフォリオ実績!C813)</f>
        <v/>
      </c>
      <c r="D812" s="10" t="str">
        <f>IF(ポートフォリオ実績!D813="","", ポートフォリオ実績!D813)</f>
        <v/>
      </c>
      <c r="E812" s="10" t="str">
        <f>IF(ポートフォリオ実績!E813="","", ポートフォリオ実績!E813)</f>
        <v/>
      </c>
      <c r="F812" s="10" t="str">
        <f>IF(ポートフォリオ実績!F813="","", ポートフォリオ実績!F813)</f>
        <v/>
      </c>
      <c r="G812" t="str">
        <f t="shared" si="132"/>
        <v/>
      </c>
      <c r="H812">
        <f>IF(B812&lt;&gt;"", SUMIFS(ポートフォリオ実績!$D$2:$D$2001, ポートフォリオ実績!$B$2:$B$2001, B812, ポートフォリオ実績!$A$2:$A$2001, G812), 0)</f>
        <v>0</v>
      </c>
      <c r="I812">
        <f>IF(B812&lt;&gt;"", SUMIFS(ポートフォリオ実績!$C$2:$C$2001, ポートフォリオ実績!$B$2:$B$2001, B812, ポートフォリオ実績!$A$2:$A$2001, G812), 0)</f>
        <v>0</v>
      </c>
      <c r="J812">
        <f t="shared" si="133"/>
        <v>0</v>
      </c>
      <c r="K812">
        <f t="shared" si="134"/>
        <v>0</v>
      </c>
      <c r="L812">
        <f t="shared" si="135"/>
        <v>0</v>
      </c>
      <c r="M812">
        <f t="shared" si="136"/>
        <v>0</v>
      </c>
      <c r="N812">
        <f t="shared" si="137"/>
        <v>0</v>
      </c>
      <c r="O812">
        <f t="shared" si="138"/>
        <v>0</v>
      </c>
      <c r="P812" t="str">
        <f t="shared" si="139"/>
        <v/>
      </c>
      <c r="Q812" t="str">
        <f>IF(B812="","", IFERROR(VLOOKUP(B812, '基準資産配分（設定）'!$A$2:$C$2001, 3, FALSE), ""))</f>
        <v/>
      </c>
      <c r="R812" t="str">
        <f>IF(B812="","", IFERROR(VLOOKUP(B812, '基準資産配分（設定）'!$A$2:$C$2001, 2, FALSE)/100, 0))</f>
        <v/>
      </c>
      <c r="S812" t="str">
        <f>IF(B812="","", IFERROR(SUMIFS(ベンチマークリターン!$C$2:$C$2001, ベンチマークリターン!$A$2:$A$2001, A812, ベンチマークリターン!$B$2:$B$2001, Q812) / 100, 0))</f>
        <v/>
      </c>
      <c r="T812" t="str">
        <f>IF(A812="","", SUMIFS($H$2:$H$2000, $A$2:$A$2000, A812))</f>
        <v/>
      </c>
      <c r="U812" t="str">
        <f t="shared" si="140"/>
        <v/>
      </c>
      <c r="V812" t="str">
        <f t="shared" si="141"/>
        <v/>
      </c>
      <c r="W812" t="str">
        <f t="shared" si="142"/>
        <v/>
      </c>
    </row>
    <row r="813" spans="1:23" x14ac:dyDescent="0.2">
      <c r="A813" s="4" t="str">
        <f>IF(ポートフォリオ実績!A814="","", ポートフォリオ実績!A814)</f>
        <v/>
      </c>
      <c r="B813" t="str">
        <f>IF(ポートフォリオ実績!B814="","", ポートフォリオ実績!B814)</f>
        <v/>
      </c>
      <c r="C813" s="10" t="str">
        <f>IF(ポートフォリオ実績!C814="","", ポートフォリオ実績!C814)</f>
        <v/>
      </c>
      <c r="D813" s="10" t="str">
        <f>IF(ポートフォリオ実績!D814="","", ポートフォリオ実績!D814)</f>
        <v/>
      </c>
      <c r="E813" s="10" t="str">
        <f>IF(ポートフォリオ実績!E814="","", ポートフォリオ実績!E814)</f>
        <v/>
      </c>
      <c r="F813" s="10" t="str">
        <f>IF(ポートフォリオ実績!F814="","", ポートフォリオ実績!F814)</f>
        <v/>
      </c>
      <c r="G813" t="str">
        <f t="shared" si="132"/>
        <v/>
      </c>
      <c r="H813">
        <f>IF(B813&lt;&gt;"", SUMIFS(ポートフォリオ実績!$D$2:$D$2001, ポートフォリオ実績!$B$2:$B$2001, B813, ポートフォリオ実績!$A$2:$A$2001, G813), 0)</f>
        <v>0</v>
      </c>
      <c r="I813">
        <f>IF(B813&lt;&gt;"", SUMIFS(ポートフォリオ実績!$C$2:$C$2001, ポートフォリオ実績!$B$2:$B$2001, B813, ポートフォリオ実績!$A$2:$A$2001, G813), 0)</f>
        <v>0</v>
      </c>
      <c r="J813">
        <f t="shared" si="133"/>
        <v>0</v>
      </c>
      <c r="K813">
        <f t="shared" si="134"/>
        <v>0</v>
      </c>
      <c r="L813">
        <f t="shared" si="135"/>
        <v>0</v>
      </c>
      <c r="M813">
        <f t="shared" si="136"/>
        <v>0</v>
      </c>
      <c r="N813">
        <f t="shared" si="137"/>
        <v>0</v>
      </c>
      <c r="O813">
        <f t="shared" si="138"/>
        <v>0</v>
      </c>
      <c r="P813" t="str">
        <f t="shared" si="139"/>
        <v/>
      </c>
      <c r="Q813" t="str">
        <f>IF(B813="","", IFERROR(VLOOKUP(B813, '基準資産配分（設定）'!$A$2:$C$2001, 3, FALSE), ""))</f>
        <v/>
      </c>
      <c r="R813" t="str">
        <f>IF(B813="","", IFERROR(VLOOKUP(B813, '基準資産配分（設定）'!$A$2:$C$2001, 2, FALSE)/100, 0))</f>
        <v/>
      </c>
      <c r="S813" t="str">
        <f>IF(B813="","", IFERROR(SUMIFS(ベンチマークリターン!$C$2:$C$2001, ベンチマークリターン!$A$2:$A$2001, A813, ベンチマークリターン!$B$2:$B$2001, Q813) / 100, 0))</f>
        <v/>
      </c>
      <c r="T813" t="str">
        <f>IF(A813="","", SUMIFS($H$2:$H$2000, $A$2:$A$2000, A813))</f>
        <v/>
      </c>
      <c r="U813" t="str">
        <f t="shared" si="140"/>
        <v/>
      </c>
      <c r="V813" t="str">
        <f t="shared" si="141"/>
        <v/>
      </c>
      <c r="W813" t="str">
        <f t="shared" si="142"/>
        <v/>
      </c>
    </row>
    <row r="814" spans="1:23" x14ac:dyDescent="0.2">
      <c r="A814" s="4" t="str">
        <f>IF(ポートフォリオ実績!A815="","", ポートフォリオ実績!A815)</f>
        <v/>
      </c>
      <c r="B814" t="str">
        <f>IF(ポートフォリオ実績!B815="","", ポートフォリオ実績!B815)</f>
        <v/>
      </c>
      <c r="C814" s="10" t="str">
        <f>IF(ポートフォリオ実績!C815="","", ポートフォリオ実績!C815)</f>
        <v/>
      </c>
      <c r="D814" s="10" t="str">
        <f>IF(ポートフォリオ実績!D815="","", ポートフォリオ実績!D815)</f>
        <v/>
      </c>
      <c r="E814" s="10" t="str">
        <f>IF(ポートフォリオ実績!E815="","", ポートフォリオ実績!E815)</f>
        <v/>
      </c>
      <c r="F814" s="10" t="str">
        <f>IF(ポートフォリオ実績!F815="","", ポートフォリオ実績!F815)</f>
        <v/>
      </c>
      <c r="G814" t="str">
        <f t="shared" si="132"/>
        <v/>
      </c>
      <c r="H814">
        <f>IF(B814&lt;&gt;"", SUMIFS(ポートフォリオ実績!$D$2:$D$2001, ポートフォリオ実績!$B$2:$B$2001, B814, ポートフォリオ実績!$A$2:$A$2001, G814), 0)</f>
        <v>0</v>
      </c>
      <c r="I814">
        <f>IF(B814&lt;&gt;"", SUMIFS(ポートフォリオ実績!$C$2:$C$2001, ポートフォリオ実績!$B$2:$B$2001, B814, ポートフォリオ実績!$A$2:$A$2001, G814), 0)</f>
        <v>0</v>
      </c>
      <c r="J814">
        <f t="shared" si="133"/>
        <v>0</v>
      </c>
      <c r="K814">
        <f t="shared" si="134"/>
        <v>0</v>
      </c>
      <c r="L814">
        <f t="shared" si="135"/>
        <v>0</v>
      </c>
      <c r="M814">
        <f t="shared" si="136"/>
        <v>0</v>
      </c>
      <c r="N814">
        <f t="shared" si="137"/>
        <v>0</v>
      </c>
      <c r="O814">
        <f t="shared" si="138"/>
        <v>0</v>
      </c>
      <c r="P814" t="str">
        <f t="shared" si="139"/>
        <v/>
      </c>
      <c r="Q814" t="str">
        <f>IF(B814="","", IFERROR(VLOOKUP(B814, '基準資産配分（設定）'!$A$2:$C$2001, 3, FALSE), ""))</f>
        <v/>
      </c>
      <c r="R814" t="str">
        <f>IF(B814="","", IFERROR(VLOOKUP(B814, '基準資産配分（設定）'!$A$2:$C$2001, 2, FALSE)/100, 0))</f>
        <v/>
      </c>
      <c r="S814" t="str">
        <f>IF(B814="","", IFERROR(SUMIFS(ベンチマークリターン!$C$2:$C$2001, ベンチマークリターン!$A$2:$A$2001, A814, ベンチマークリターン!$B$2:$B$2001, Q814) / 100, 0))</f>
        <v/>
      </c>
      <c r="T814" t="str">
        <f>IF(A814="","", SUMIFS($H$2:$H$2000, $A$2:$A$2000, A814))</f>
        <v/>
      </c>
      <c r="U814" t="str">
        <f t="shared" si="140"/>
        <v/>
      </c>
      <c r="V814" t="str">
        <f t="shared" si="141"/>
        <v/>
      </c>
      <c r="W814" t="str">
        <f t="shared" si="142"/>
        <v/>
      </c>
    </row>
    <row r="815" spans="1:23" x14ac:dyDescent="0.2">
      <c r="A815" s="4" t="str">
        <f>IF(ポートフォリオ実績!A816="","", ポートフォリオ実績!A816)</f>
        <v/>
      </c>
      <c r="B815" t="str">
        <f>IF(ポートフォリオ実績!B816="","", ポートフォリオ実績!B816)</f>
        <v/>
      </c>
      <c r="C815" s="10" t="str">
        <f>IF(ポートフォリオ実績!C816="","", ポートフォリオ実績!C816)</f>
        <v/>
      </c>
      <c r="D815" s="10" t="str">
        <f>IF(ポートフォリオ実績!D816="","", ポートフォリオ実績!D816)</f>
        <v/>
      </c>
      <c r="E815" s="10" t="str">
        <f>IF(ポートフォリオ実績!E816="","", ポートフォリオ実績!E816)</f>
        <v/>
      </c>
      <c r="F815" s="10" t="str">
        <f>IF(ポートフォリオ実績!F816="","", ポートフォリオ実績!F816)</f>
        <v/>
      </c>
      <c r="G815" t="str">
        <f t="shared" si="132"/>
        <v/>
      </c>
      <c r="H815">
        <f>IF(B815&lt;&gt;"", SUMIFS(ポートフォリオ実績!$D$2:$D$2001, ポートフォリオ実績!$B$2:$B$2001, B815, ポートフォリオ実績!$A$2:$A$2001, G815), 0)</f>
        <v>0</v>
      </c>
      <c r="I815">
        <f>IF(B815&lt;&gt;"", SUMIFS(ポートフォリオ実績!$C$2:$C$2001, ポートフォリオ実績!$B$2:$B$2001, B815, ポートフォリオ実績!$A$2:$A$2001, G815), 0)</f>
        <v>0</v>
      </c>
      <c r="J815">
        <f t="shared" si="133"/>
        <v>0</v>
      </c>
      <c r="K815">
        <f t="shared" si="134"/>
        <v>0</v>
      </c>
      <c r="L815">
        <f t="shared" si="135"/>
        <v>0</v>
      </c>
      <c r="M815">
        <f t="shared" si="136"/>
        <v>0</v>
      </c>
      <c r="N815">
        <f t="shared" si="137"/>
        <v>0</v>
      </c>
      <c r="O815">
        <f t="shared" si="138"/>
        <v>0</v>
      </c>
      <c r="P815" t="str">
        <f t="shared" si="139"/>
        <v/>
      </c>
      <c r="Q815" t="str">
        <f>IF(B815="","", IFERROR(VLOOKUP(B815, '基準資産配分（設定）'!$A$2:$C$2001, 3, FALSE), ""))</f>
        <v/>
      </c>
      <c r="R815" t="str">
        <f>IF(B815="","", IFERROR(VLOOKUP(B815, '基準資産配分（設定）'!$A$2:$C$2001, 2, FALSE)/100, 0))</f>
        <v/>
      </c>
      <c r="S815" t="str">
        <f>IF(B815="","", IFERROR(SUMIFS(ベンチマークリターン!$C$2:$C$2001, ベンチマークリターン!$A$2:$A$2001, A815, ベンチマークリターン!$B$2:$B$2001, Q815) / 100, 0))</f>
        <v/>
      </c>
      <c r="T815" t="str">
        <f>IF(A815="","", SUMIFS($H$2:$H$2000, $A$2:$A$2000, A815))</f>
        <v/>
      </c>
      <c r="U815" t="str">
        <f t="shared" si="140"/>
        <v/>
      </c>
      <c r="V815" t="str">
        <f t="shared" si="141"/>
        <v/>
      </c>
      <c r="W815" t="str">
        <f t="shared" si="142"/>
        <v/>
      </c>
    </row>
    <row r="816" spans="1:23" x14ac:dyDescent="0.2">
      <c r="A816" s="4" t="str">
        <f>IF(ポートフォリオ実績!A817="","", ポートフォリオ実績!A817)</f>
        <v/>
      </c>
      <c r="B816" t="str">
        <f>IF(ポートフォリオ実績!B817="","", ポートフォリオ実績!B817)</f>
        <v/>
      </c>
      <c r="C816" s="10" t="str">
        <f>IF(ポートフォリオ実績!C817="","", ポートフォリオ実績!C817)</f>
        <v/>
      </c>
      <c r="D816" s="10" t="str">
        <f>IF(ポートフォリオ実績!D817="","", ポートフォリオ実績!D817)</f>
        <v/>
      </c>
      <c r="E816" s="10" t="str">
        <f>IF(ポートフォリオ実績!E817="","", ポートフォリオ実績!E817)</f>
        <v/>
      </c>
      <c r="F816" s="10" t="str">
        <f>IF(ポートフォリオ実績!F817="","", ポートフォリオ実績!F817)</f>
        <v/>
      </c>
      <c r="G816" t="str">
        <f t="shared" si="132"/>
        <v/>
      </c>
      <c r="H816">
        <f>IF(B816&lt;&gt;"", SUMIFS(ポートフォリオ実績!$D$2:$D$2001, ポートフォリオ実績!$B$2:$B$2001, B816, ポートフォリオ実績!$A$2:$A$2001, G816), 0)</f>
        <v>0</v>
      </c>
      <c r="I816">
        <f>IF(B816&lt;&gt;"", SUMIFS(ポートフォリオ実績!$C$2:$C$2001, ポートフォリオ実績!$B$2:$B$2001, B816, ポートフォリオ実績!$A$2:$A$2001, G816), 0)</f>
        <v>0</v>
      </c>
      <c r="J816">
        <f t="shared" si="133"/>
        <v>0</v>
      </c>
      <c r="K816">
        <f t="shared" si="134"/>
        <v>0</v>
      </c>
      <c r="L816">
        <f t="shared" si="135"/>
        <v>0</v>
      </c>
      <c r="M816">
        <f t="shared" si="136"/>
        <v>0</v>
      </c>
      <c r="N816">
        <f t="shared" si="137"/>
        <v>0</v>
      </c>
      <c r="O816">
        <f t="shared" si="138"/>
        <v>0</v>
      </c>
      <c r="P816" t="str">
        <f t="shared" si="139"/>
        <v/>
      </c>
      <c r="Q816" t="str">
        <f>IF(B816="","", IFERROR(VLOOKUP(B816, '基準資産配分（設定）'!$A$2:$C$2001, 3, FALSE), ""))</f>
        <v/>
      </c>
      <c r="R816" t="str">
        <f>IF(B816="","", IFERROR(VLOOKUP(B816, '基準資産配分（設定）'!$A$2:$C$2001, 2, FALSE)/100, 0))</f>
        <v/>
      </c>
      <c r="S816" t="str">
        <f>IF(B816="","", IFERROR(SUMIFS(ベンチマークリターン!$C$2:$C$2001, ベンチマークリターン!$A$2:$A$2001, A816, ベンチマークリターン!$B$2:$B$2001, Q816) / 100, 0))</f>
        <v/>
      </c>
      <c r="T816" t="str">
        <f>IF(A816="","", SUMIFS($H$2:$H$2000, $A$2:$A$2000, A816))</f>
        <v/>
      </c>
      <c r="U816" t="str">
        <f t="shared" si="140"/>
        <v/>
      </c>
      <c r="V816" t="str">
        <f t="shared" si="141"/>
        <v/>
      </c>
      <c r="W816" t="str">
        <f t="shared" si="142"/>
        <v/>
      </c>
    </row>
    <row r="817" spans="1:23" x14ac:dyDescent="0.2">
      <c r="A817" s="4" t="str">
        <f>IF(ポートフォリオ実績!A818="","", ポートフォリオ実績!A818)</f>
        <v/>
      </c>
      <c r="B817" t="str">
        <f>IF(ポートフォリオ実績!B818="","", ポートフォリオ実績!B818)</f>
        <v/>
      </c>
      <c r="C817" s="10" t="str">
        <f>IF(ポートフォリオ実績!C818="","", ポートフォリオ実績!C818)</f>
        <v/>
      </c>
      <c r="D817" s="10" t="str">
        <f>IF(ポートフォリオ実績!D818="","", ポートフォリオ実績!D818)</f>
        <v/>
      </c>
      <c r="E817" s="10" t="str">
        <f>IF(ポートフォリオ実績!E818="","", ポートフォリオ実績!E818)</f>
        <v/>
      </c>
      <c r="F817" s="10" t="str">
        <f>IF(ポートフォリオ実績!F818="","", ポートフォリオ実績!F818)</f>
        <v/>
      </c>
      <c r="G817" t="str">
        <f t="shared" si="132"/>
        <v/>
      </c>
      <c r="H817">
        <f>IF(B817&lt;&gt;"", SUMIFS(ポートフォリオ実績!$D$2:$D$2001, ポートフォリオ実績!$B$2:$B$2001, B817, ポートフォリオ実績!$A$2:$A$2001, G817), 0)</f>
        <v>0</v>
      </c>
      <c r="I817">
        <f>IF(B817&lt;&gt;"", SUMIFS(ポートフォリオ実績!$C$2:$C$2001, ポートフォリオ実績!$B$2:$B$2001, B817, ポートフォリオ実績!$A$2:$A$2001, G817), 0)</f>
        <v>0</v>
      </c>
      <c r="J817">
        <f t="shared" si="133"/>
        <v>0</v>
      </c>
      <c r="K817">
        <f t="shared" si="134"/>
        <v>0</v>
      </c>
      <c r="L817">
        <f t="shared" si="135"/>
        <v>0</v>
      </c>
      <c r="M817">
        <f t="shared" si="136"/>
        <v>0</v>
      </c>
      <c r="N817">
        <f t="shared" si="137"/>
        <v>0</v>
      </c>
      <c r="O817">
        <f t="shared" si="138"/>
        <v>0</v>
      </c>
      <c r="P817" t="str">
        <f t="shared" si="139"/>
        <v/>
      </c>
      <c r="Q817" t="str">
        <f>IF(B817="","", IFERROR(VLOOKUP(B817, '基準資産配分（設定）'!$A$2:$C$2001, 3, FALSE), ""))</f>
        <v/>
      </c>
      <c r="R817" t="str">
        <f>IF(B817="","", IFERROR(VLOOKUP(B817, '基準資産配分（設定）'!$A$2:$C$2001, 2, FALSE)/100, 0))</f>
        <v/>
      </c>
      <c r="S817" t="str">
        <f>IF(B817="","", IFERROR(SUMIFS(ベンチマークリターン!$C$2:$C$2001, ベンチマークリターン!$A$2:$A$2001, A817, ベンチマークリターン!$B$2:$B$2001, Q817) / 100, 0))</f>
        <v/>
      </c>
      <c r="T817" t="str">
        <f>IF(A817="","", SUMIFS($H$2:$H$2000, $A$2:$A$2000, A817))</f>
        <v/>
      </c>
      <c r="U817" t="str">
        <f t="shared" si="140"/>
        <v/>
      </c>
      <c r="V817" t="str">
        <f t="shared" si="141"/>
        <v/>
      </c>
      <c r="W817" t="str">
        <f t="shared" si="142"/>
        <v/>
      </c>
    </row>
    <row r="818" spans="1:23" x14ac:dyDescent="0.2">
      <c r="A818" s="4" t="str">
        <f>IF(ポートフォリオ実績!A819="","", ポートフォリオ実績!A819)</f>
        <v/>
      </c>
      <c r="B818" t="str">
        <f>IF(ポートフォリオ実績!B819="","", ポートフォリオ実績!B819)</f>
        <v/>
      </c>
      <c r="C818" s="10" t="str">
        <f>IF(ポートフォリオ実績!C819="","", ポートフォリオ実績!C819)</f>
        <v/>
      </c>
      <c r="D818" s="10" t="str">
        <f>IF(ポートフォリオ実績!D819="","", ポートフォリオ実績!D819)</f>
        <v/>
      </c>
      <c r="E818" s="10" t="str">
        <f>IF(ポートフォリオ実績!E819="","", ポートフォリオ実績!E819)</f>
        <v/>
      </c>
      <c r="F818" s="10" t="str">
        <f>IF(ポートフォリオ実績!F819="","", ポートフォリオ実績!F819)</f>
        <v/>
      </c>
      <c r="G818" t="str">
        <f t="shared" si="132"/>
        <v/>
      </c>
      <c r="H818">
        <f>IF(B818&lt;&gt;"", SUMIFS(ポートフォリオ実績!$D$2:$D$2001, ポートフォリオ実績!$B$2:$B$2001, B818, ポートフォリオ実績!$A$2:$A$2001, G818), 0)</f>
        <v>0</v>
      </c>
      <c r="I818">
        <f>IF(B818&lt;&gt;"", SUMIFS(ポートフォリオ実績!$C$2:$C$2001, ポートフォリオ実績!$B$2:$B$2001, B818, ポートフォリオ実績!$A$2:$A$2001, G818), 0)</f>
        <v>0</v>
      </c>
      <c r="J818">
        <f t="shared" si="133"/>
        <v>0</v>
      </c>
      <c r="K818">
        <f t="shared" si="134"/>
        <v>0</v>
      </c>
      <c r="L818">
        <f t="shared" si="135"/>
        <v>0</v>
      </c>
      <c r="M818">
        <f t="shared" si="136"/>
        <v>0</v>
      </c>
      <c r="N818">
        <f t="shared" si="137"/>
        <v>0</v>
      </c>
      <c r="O818">
        <f t="shared" si="138"/>
        <v>0</v>
      </c>
      <c r="P818" t="str">
        <f t="shared" si="139"/>
        <v/>
      </c>
      <c r="Q818" t="str">
        <f>IF(B818="","", IFERROR(VLOOKUP(B818, '基準資産配分（設定）'!$A$2:$C$2001, 3, FALSE), ""))</f>
        <v/>
      </c>
      <c r="R818" t="str">
        <f>IF(B818="","", IFERROR(VLOOKUP(B818, '基準資産配分（設定）'!$A$2:$C$2001, 2, FALSE)/100, 0))</f>
        <v/>
      </c>
      <c r="S818" t="str">
        <f>IF(B818="","", IFERROR(SUMIFS(ベンチマークリターン!$C$2:$C$2001, ベンチマークリターン!$A$2:$A$2001, A818, ベンチマークリターン!$B$2:$B$2001, Q818) / 100, 0))</f>
        <v/>
      </c>
      <c r="T818" t="str">
        <f>IF(A818="","", SUMIFS($H$2:$H$2000, $A$2:$A$2000, A818))</f>
        <v/>
      </c>
      <c r="U818" t="str">
        <f t="shared" si="140"/>
        <v/>
      </c>
      <c r="V818" t="str">
        <f t="shared" si="141"/>
        <v/>
      </c>
      <c r="W818" t="str">
        <f t="shared" si="142"/>
        <v/>
      </c>
    </row>
    <row r="819" spans="1:23" x14ac:dyDescent="0.2">
      <c r="A819" s="4" t="str">
        <f>IF(ポートフォリオ実績!A820="","", ポートフォリオ実績!A820)</f>
        <v/>
      </c>
      <c r="B819" t="str">
        <f>IF(ポートフォリオ実績!B820="","", ポートフォリオ実績!B820)</f>
        <v/>
      </c>
      <c r="C819" s="10" t="str">
        <f>IF(ポートフォリオ実績!C820="","", ポートフォリオ実績!C820)</f>
        <v/>
      </c>
      <c r="D819" s="10" t="str">
        <f>IF(ポートフォリオ実績!D820="","", ポートフォリオ実績!D820)</f>
        <v/>
      </c>
      <c r="E819" s="10" t="str">
        <f>IF(ポートフォリオ実績!E820="","", ポートフォリオ実績!E820)</f>
        <v/>
      </c>
      <c r="F819" s="10" t="str">
        <f>IF(ポートフォリオ実績!F820="","", ポートフォリオ実績!F820)</f>
        <v/>
      </c>
      <c r="G819" t="str">
        <f t="shared" si="132"/>
        <v/>
      </c>
      <c r="H819">
        <f>IF(B819&lt;&gt;"", SUMIFS(ポートフォリオ実績!$D$2:$D$2001, ポートフォリオ実績!$B$2:$B$2001, B819, ポートフォリオ実績!$A$2:$A$2001, G819), 0)</f>
        <v>0</v>
      </c>
      <c r="I819">
        <f>IF(B819&lt;&gt;"", SUMIFS(ポートフォリオ実績!$C$2:$C$2001, ポートフォリオ実績!$B$2:$B$2001, B819, ポートフォリオ実績!$A$2:$A$2001, G819), 0)</f>
        <v>0</v>
      </c>
      <c r="J819">
        <f t="shared" si="133"/>
        <v>0</v>
      </c>
      <c r="K819">
        <f t="shared" si="134"/>
        <v>0</v>
      </c>
      <c r="L819">
        <f t="shared" si="135"/>
        <v>0</v>
      </c>
      <c r="M819">
        <f t="shared" si="136"/>
        <v>0</v>
      </c>
      <c r="N819">
        <f t="shared" si="137"/>
        <v>0</v>
      </c>
      <c r="O819">
        <f t="shared" si="138"/>
        <v>0</v>
      </c>
      <c r="P819" t="str">
        <f t="shared" si="139"/>
        <v/>
      </c>
      <c r="Q819" t="str">
        <f>IF(B819="","", IFERROR(VLOOKUP(B819, '基準資産配分（設定）'!$A$2:$C$2001, 3, FALSE), ""))</f>
        <v/>
      </c>
      <c r="R819" t="str">
        <f>IF(B819="","", IFERROR(VLOOKUP(B819, '基準資産配分（設定）'!$A$2:$C$2001, 2, FALSE)/100, 0))</f>
        <v/>
      </c>
      <c r="S819" t="str">
        <f>IF(B819="","", IFERROR(SUMIFS(ベンチマークリターン!$C$2:$C$2001, ベンチマークリターン!$A$2:$A$2001, A819, ベンチマークリターン!$B$2:$B$2001, Q819) / 100, 0))</f>
        <v/>
      </c>
      <c r="T819" t="str">
        <f>IF(A819="","", SUMIFS($H$2:$H$2000, $A$2:$A$2000, A819))</f>
        <v/>
      </c>
      <c r="U819" t="str">
        <f t="shared" si="140"/>
        <v/>
      </c>
      <c r="V819" t="str">
        <f t="shared" si="141"/>
        <v/>
      </c>
      <c r="W819" t="str">
        <f t="shared" si="142"/>
        <v/>
      </c>
    </row>
    <row r="820" spans="1:23" x14ac:dyDescent="0.2">
      <c r="A820" s="4" t="str">
        <f>IF(ポートフォリオ実績!A821="","", ポートフォリオ実績!A821)</f>
        <v/>
      </c>
      <c r="B820" t="str">
        <f>IF(ポートフォリオ実績!B821="","", ポートフォリオ実績!B821)</f>
        <v/>
      </c>
      <c r="C820" s="10" t="str">
        <f>IF(ポートフォリオ実績!C821="","", ポートフォリオ実績!C821)</f>
        <v/>
      </c>
      <c r="D820" s="10" t="str">
        <f>IF(ポートフォリオ実績!D821="","", ポートフォリオ実績!D821)</f>
        <v/>
      </c>
      <c r="E820" s="10" t="str">
        <f>IF(ポートフォリオ実績!E821="","", ポートフォリオ実績!E821)</f>
        <v/>
      </c>
      <c r="F820" s="10" t="str">
        <f>IF(ポートフォリオ実績!F821="","", ポートフォリオ実績!F821)</f>
        <v/>
      </c>
      <c r="G820" t="str">
        <f t="shared" si="132"/>
        <v/>
      </c>
      <c r="H820">
        <f>IF(B820&lt;&gt;"", SUMIFS(ポートフォリオ実績!$D$2:$D$2001, ポートフォリオ実績!$B$2:$B$2001, B820, ポートフォリオ実績!$A$2:$A$2001, G820), 0)</f>
        <v>0</v>
      </c>
      <c r="I820">
        <f>IF(B820&lt;&gt;"", SUMIFS(ポートフォリオ実績!$C$2:$C$2001, ポートフォリオ実績!$B$2:$B$2001, B820, ポートフォリオ実績!$A$2:$A$2001, G820), 0)</f>
        <v>0</v>
      </c>
      <c r="J820">
        <f t="shared" si="133"/>
        <v>0</v>
      </c>
      <c r="K820">
        <f t="shared" si="134"/>
        <v>0</v>
      </c>
      <c r="L820">
        <f t="shared" si="135"/>
        <v>0</v>
      </c>
      <c r="M820">
        <f t="shared" si="136"/>
        <v>0</v>
      </c>
      <c r="N820">
        <f t="shared" si="137"/>
        <v>0</v>
      </c>
      <c r="O820">
        <f t="shared" si="138"/>
        <v>0</v>
      </c>
      <c r="P820" t="str">
        <f t="shared" si="139"/>
        <v/>
      </c>
      <c r="Q820" t="str">
        <f>IF(B820="","", IFERROR(VLOOKUP(B820, '基準資産配分（設定）'!$A$2:$C$2001, 3, FALSE), ""))</f>
        <v/>
      </c>
      <c r="R820" t="str">
        <f>IF(B820="","", IFERROR(VLOOKUP(B820, '基準資産配分（設定）'!$A$2:$C$2001, 2, FALSE)/100, 0))</f>
        <v/>
      </c>
      <c r="S820" t="str">
        <f>IF(B820="","", IFERROR(SUMIFS(ベンチマークリターン!$C$2:$C$2001, ベンチマークリターン!$A$2:$A$2001, A820, ベンチマークリターン!$B$2:$B$2001, Q820) / 100, 0))</f>
        <v/>
      </c>
      <c r="T820" t="str">
        <f>IF(A820="","", SUMIFS($H$2:$H$2000, $A$2:$A$2000, A820))</f>
        <v/>
      </c>
      <c r="U820" t="str">
        <f t="shared" si="140"/>
        <v/>
      </c>
      <c r="V820" t="str">
        <f t="shared" si="141"/>
        <v/>
      </c>
      <c r="W820" t="str">
        <f t="shared" si="142"/>
        <v/>
      </c>
    </row>
    <row r="821" spans="1:23" x14ac:dyDescent="0.2">
      <c r="A821" s="4" t="str">
        <f>IF(ポートフォリオ実績!A822="","", ポートフォリオ実績!A822)</f>
        <v/>
      </c>
      <c r="B821" t="str">
        <f>IF(ポートフォリオ実績!B822="","", ポートフォリオ実績!B822)</f>
        <v/>
      </c>
      <c r="C821" s="10" t="str">
        <f>IF(ポートフォリオ実績!C822="","", ポートフォリオ実績!C822)</f>
        <v/>
      </c>
      <c r="D821" s="10" t="str">
        <f>IF(ポートフォリオ実績!D822="","", ポートフォリオ実績!D822)</f>
        <v/>
      </c>
      <c r="E821" s="10" t="str">
        <f>IF(ポートフォリオ実績!E822="","", ポートフォリオ実績!E822)</f>
        <v/>
      </c>
      <c r="F821" s="10" t="str">
        <f>IF(ポートフォリオ実績!F822="","", ポートフォリオ実績!F822)</f>
        <v/>
      </c>
      <c r="G821" t="str">
        <f t="shared" si="132"/>
        <v/>
      </c>
      <c r="H821">
        <f>IF(B821&lt;&gt;"", SUMIFS(ポートフォリオ実績!$D$2:$D$2001, ポートフォリオ実績!$B$2:$B$2001, B821, ポートフォリオ実績!$A$2:$A$2001, G821), 0)</f>
        <v>0</v>
      </c>
      <c r="I821">
        <f>IF(B821&lt;&gt;"", SUMIFS(ポートフォリオ実績!$C$2:$C$2001, ポートフォリオ実績!$B$2:$B$2001, B821, ポートフォリオ実績!$A$2:$A$2001, G821), 0)</f>
        <v>0</v>
      </c>
      <c r="J821">
        <f t="shared" si="133"/>
        <v>0</v>
      </c>
      <c r="K821">
        <f t="shared" si="134"/>
        <v>0</v>
      </c>
      <c r="L821">
        <f t="shared" si="135"/>
        <v>0</v>
      </c>
      <c r="M821">
        <f t="shared" si="136"/>
        <v>0</v>
      </c>
      <c r="N821">
        <f t="shared" si="137"/>
        <v>0</v>
      </c>
      <c r="O821">
        <f t="shared" si="138"/>
        <v>0</v>
      </c>
      <c r="P821" t="str">
        <f t="shared" si="139"/>
        <v/>
      </c>
      <c r="Q821" t="str">
        <f>IF(B821="","", IFERROR(VLOOKUP(B821, '基準資産配分（設定）'!$A$2:$C$2001, 3, FALSE), ""))</f>
        <v/>
      </c>
      <c r="R821" t="str">
        <f>IF(B821="","", IFERROR(VLOOKUP(B821, '基準資産配分（設定）'!$A$2:$C$2001, 2, FALSE)/100, 0))</f>
        <v/>
      </c>
      <c r="S821" t="str">
        <f>IF(B821="","", IFERROR(SUMIFS(ベンチマークリターン!$C$2:$C$2001, ベンチマークリターン!$A$2:$A$2001, A821, ベンチマークリターン!$B$2:$B$2001, Q821) / 100, 0))</f>
        <v/>
      </c>
      <c r="T821" t="str">
        <f>IF(A821="","", SUMIFS($H$2:$H$2000, $A$2:$A$2000, A821))</f>
        <v/>
      </c>
      <c r="U821" t="str">
        <f t="shared" si="140"/>
        <v/>
      </c>
      <c r="V821" t="str">
        <f t="shared" si="141"/>
        <v/>
      </c>
      <c r="W821" t="str">
        <f t="shared" si="142"/>
        <v/>
      </c>
    </row>
    <row r="822" spans="1:23" x14ac:dyDescent="0.2">
      <c r="A822" s="4" t="str">
        <f>IF(ポートフォリオ実績!A823="","", ポートフォリオ実績!A823)</f>
        <v/>
      </c>
      <c r="B822" t="str">
        <f>IF(ポートフォリオ実績!B823="","", ポートフォリオ実績!B823)</f>
        <v/>
      </c>
      <c r="C822" s="10" t="str">
        <f>IF(ポートフォリオ実績!C823="","", ポートフォリオ実績!C823)</f>
        <v/>
      </c>
      <c r="D822" s="10" t="str">
        <f>IF(ポートフォリオ実績!D823="","", ポートフォリオ実績!D823)</f>
        <v/>
      </c>
      <c r="E822" s="10" t="str">
        <f>IF(ポートフォリオ実績!E823="","", ポートフォリオ実績!E823)</f>
        <v/>
      </c>
      <c r="F822" s="10" t="str">
        <f>IF(ポートフォリオ実績!F823="","", ポートフォリオ実績!F823)</f>
        <v/>
      </c>
      <c r="G822" t="str">
        <f t="shared" si="132"/>
        <v/>
      </c>
      <c r="H822">
        <f>IF(B822&lt;&gt;"", SUMIFS(ポートフォリオ実績!$D$2:$D$2001, ポートフォリオ実績!$B$2:$B$2001, B822, ポートフォリオ実績!$A$2:$A$2001, G822), 0)</f>
        <v>0</v>
      </c>
      <c r="I822">
        <f>IF(B822&lt;&gt;"", SUMIFS(ポートフォリオ実績!$C$2:$C$2001, ポートフォリオ実績!$B$2:$B$2001, B822, ポートフォリオ実績!$A$2:$A$2001, G822), 0)</f>
        <v>0</v>
      </c>
      <c r="J822">
        <f t="shared" si="133"/>
        <v>0</v>
      </c>
      <c r="K822">
        <f t="shared" si="134"/>
        <v>0</v>
      </c>
      <c r="L822">
        <f t="shared" si="135"/>
        <v>0</v>
      </c>
      <c r="M822">
        <f t="shared" si="136"/>
        <v>0</v>
      </c>
      <c r="N822">
        <f t="shared" si="137"/>
        <v>0</v>
      </c>
      <c r="O822">
        <f t="shared" si="138"/>
        <v>0</v>
      </c>
      <c r="P822" t="str">
        <f t="shared" si="139"/>
        <v/>
      </c>
      <c r="Q822" t="str">
        <f>IF(B822="","", IFERROR(VLOOKUP(B822, '基準資産配分（設定）'!$A$2:$C$2001, 3, FALSE), ""))</f>
        <v/>
      </c>
      <c r="R822" t="str">
        <f>IF(B822="","", IFERROR(VLOOKUP(B822, '基準資産配分（設定）'!$A$2:$C$2001, 2, FALSE)/100, 0))</f>
        <v/>
      </c>
      <c r="S822" t="str">
        <f>IF(B822="","", IFERROR(SUMIFS(ベンチマークリターン!$C$2:$C$2001, ベンチマークリターン!$A$2:$A$2001, A822, ベンチマークリターン!$B$2:$B$2001, Q822) / 100, 0))</f>
        <v/>
      </c>
      <c r="T822" t="str">
        <f>IF(A822="","", SUMIFS($H$2:$H$2000, $A$2:$A$2000, A822))</f>
        <v/>
      </c>
      <c r="U822" t="str">
        <f t="shared" si="140"/>
        <v/>
      </c>
      <c r="V822" t="str">
        <f t="shared" si="141"/>
        <v/>
      </c>
      <c r="W822" t="str">
        <f t="shared" si="142"/>
        <v/>
      </c>
    </row>
    <row r="823" spans="1:23" x14ac:dyDescent="0.2">
      <c r="A823" s="4" t="str">
        <f>IF(ポートフォリオ実績!A824="","", ポートフォリオ実績!A824)</f>
        <v/>
      </c>
      <c r="B823" t="str">
        <f>IF(ポートフォリオ実績!B824="","", ポートフォリオ実績!B824)</f>
        <v/>
      </c>
      <c r="C823" s="10" t="str">
        <f>IF(ポートフォリオ実績!C824="","", ポートフォリオ実績!C824)</f>
        <v/>
      </c>
      <c r="D823" s="10" t="str">
        <f>IF(ポートフォリオ実績!D824="","", ポートフォリオ実績!D824)</f>
        <v/>
      </c>
      <c r="E823" s="10" t="str">
        <f>IF(ポートフォリオ実績!E824="","", ポートフォリオ実績!E824)</f>
        <v/>
      </c>
      <c r="F823" s="10" t="str">
        <f>IF(ポートフォリオ実績!F824="","", ポートフォリオ実績!F824)</f>
        <v/>
      </c>
      <c r="G823" t="str">
        <f t="shared" si="132"/>
        <v/>
      </c>
      <c r="H823">
        <f>IF(B823&lt;&gt;"", SUMIFS(ポートフォリオ実績!$D$2:$D$2001, ポートフォリオ実績!$B$2:$B$2001, B823, ポートフォリオ実績!$A$2:$A$2001, G823), 0)</f>
        <v>0</v>
      </c>
      <c r="I823">
        <f>IF(B823&lt;&gt;"", SUMIFS(ポートフォリオ実績!$C$2:$C$2001, ポートフォリオ実績!$B$2:$B$2001, B823, ポートフォリオ実績!$A$2:$A$2001, G823), 0)</f>
        <v>0</v>
      </c>
      <c r="J823">
        <f t="shared" si="133"/>
        <v>0</v>
      </c>
      <c r="K823">
        <f t="shared" si="134"/>
        <v>0</v>
      </c>
      <c r="L823">
        <f t="shared" si="135"/>
        <v>0</v>
      </c>
      <c r="M823">
        <f t="shared" si="136"/>
        <v>0</v>
      </c>
      <c r="N823">
        <f t="shared" si="137"/>
        <v>0</v>
      </c>
      <c r="O823">
        <f t="shared" si="138"/>
        <v>0</v>
      </c>
      <c r="P823" t="str">
        <f t="shared" si="139"/>
        <v/>
      </c>
      <c r="Q823" t="str">
        <f>IF(B823="","", IFERROR(VLOOKUP(B823, '基準資産配分（設定）'!$A$2:$C$2001, 3, FALSE), ""))</f>
        <v/>
      </c>
      <c r="R823" t="str">
        <f>IF(B823="","", IFERROR(VLOOKUP(B823, '基準資産配分（設定）'!$A$2:$C$2001, 2, FALSE)/100, 0))</f>
        <v/>
      </c>
      <c r="S823" t="str">
        <f>IF(B823="","", IFERROR(SUMIFS(ベンチマークリターン!$C$2:$C$2001, ベンチマークリターン!$A$2:$A$2001, A823, ベンチマークリターン!$B$2:$B$2001, Q823) / 100, 0))</f>
        <v/>
      </c>
      <c r="T823" t="str">
        <f>IF(A823="","", SUMIFS($H$2:$H$2000, $A$2:$A$2000, A823))</f>
        <v/>
      </c>
      <c r="U823" t="str">
        <f t="shared" si="140"/>
        <v/>
      </c>
      <c r="V823" t="str">
        <f t="shared" si="141"/>
        <v/>
      </c>
      <c r="W823" t="str">
        <f t="shared" si="142"/>
        <v/>
      </c>
    </row>
    <row r="824" spans="1:23" x14ac:dyDescent="0.2">
      <c r="A824" s="4" t="str">
        <f>IF(ポートフォリオ実績!A825="","", ポートフォリオ実績!A825)</f>
        <v/>
      </c>
      <c r="B824" t="str">
        <f>IF(ポートフォリオ実績!B825="","", ポートフォリオ実績!B825)</f>
        <v/>
      </c>
      <c r="C824" s="10" t="str">
        <f>IF(ポートフォリオ実績!C825="","", ポートフォリオ実績!C825)</f>
        <v/>
      </c>
      <c r="D824" s="10" t="str">
        <f>IF(ポートフォリオ実績!D825="","", ポートフォリオ実績!D825)</f>
        <v/>
      </c>
      <c r="E824" s="10" t="str">
        <f>IF(ポートフォリオ実績!E825="","", ポートフォリオ実績!E825)</f>
        <v/>
      </c>
      <c r="F824" s="10" t="str">
        <f>IF(ポートフォリオ実績!F825="","", ポートフォリオ実績!F825)</f>
        <v/>
      </c>
      <c r="G824" t="str">
        <f t="shared" si="132"/>
        <v/>
      </c>
      <c r="H824">
        <f>IF(B824&lt;&gt;"", SUMIFS(ポートフォリオ実績!$D$2:$D$2001, ポートフォリオ実績!$B$2:$B$2001, B824, ポートフォリオ実績!$A$2:$A$2001, G824), 0)</f>
        <v>0</v>
      </c>
      <c r="I824">
        <f>IF(B824&lt;&gt;"", SUMIFS(ポートフォリオ実績!$C$2:$C$2001, ポートフォリオ実績!$B$2:$B$2001, B824, ポートフォリオ実績!$A$2:$A$2001, G824), 0)</f>
        <v>0</v>
      </c>
      <c r="J824">
        <f t="shared" si="133"/>
        <v>0</v>
      </c>
      <c r="K824">
        <f t="shared" si="134"/>
        <v>0</v>
      </c>
      <c r="L824">
        <f t="shared" si="135"/>
        <v>0</v>
      </c>
      <c r="M824">
        <f t="shared" si="136"/>
        <v>0</v>
      </c>
      <c r="N824">
        <f t="shared" si="137"/>
        <v>0</v>
      </c>
      <c r="O824">
        <f t="shared" si="138"/>
        <v>0</v>
      </c>
      <c r="P824" t="str">
        <f t="shared" si="139"/>
        <v/>
      </c>
      <c r="Q824" t="str">
        <f>IF(B824="","", IFERROR(VLOOKUP(B824, '基準資産配分（設定）'!$A$2:$C$2001, 3, FALSE), ""))</f>
        <v/>
      </c>
      <c r="R824" t="str">
        <f>IF(B824="","", IFERROR(VLOOKUP(B824, '基準資産配分（設定）'!$A$2:$C$2001, 2, FALSE)/100, 0))</f>
        <v/>
      </c>
      <c r="S824" t="str">
        <f>IF(B824="","", IFERROR(SUMIFS(ベンチマークリターン!$C$2:$C$2001, ベンチマークリターン!$A$2:$A$2001, A824, ベンチマークリターン!$B$2:$B$2001, Q824) / 100, 0))</f>
        <v/>
      </c>
      <c r="T824" t="str">
        <f>IF(A824="","", SUMIFS($H$2:$H$2000, $A$2:$A$2000, A824))</f>
        <v/>
      </c>
      <c r="U824" t="str">
        <f t="shared" si="140"/>
        <v/>
      </c>
      <c r="V824" t="str">
        <f t="shared" si="141"/>
        <v/>
      </c>
      <c r="W824" t="str">
        <f t="shared" si="142"/>
        <v/>
      </c>
    </row>
    <row r="825" spans="1:23" x14ac:dyDescent="0.2">
      <c r="A825" s="4" t="str">
        <f>IF(ポートフォリオ実績!A826="","", ポートフォリオ実績!A826)</f>
        <v/>
      </c>
      <c r="B825" t="str">
        <f>IF(ポートフォリオ実績!B826="","", ポートフォリオ実績!B826)</f>
        <v/>
      </c>
      <c r="C825" s="10" t="str">
        <f>IF(ポートフォリオ実績!C826="","", ポートフォリオ実績!C826)</f>
        <v/>
      </c>
      <c r="D825" s="10" t="str">
        <f>IF(ポートフォリオ実績!D826="","", ポートフォリオ実績!D826)</f>
        <v/>
      </c>
      <c r="E825" s="10" t="str">
        <f>IF(ポートフォリオ実績!E826="","", ポートフォリオ実績!E826)</f>
        <v/>
      </c>
      <c r="F825" s="10" t="str">
        <f>IF(ポートフォリオ実績!F826="","", ポートフォリオ実績!F826)</f>
        <v/>
      </c>
      <c r="G825" t="str">
        <f t="shared" si="132"/>
        <v/>
      </c>
      <c r="H825">
        <f>IF(B825&lt;&gt;"", SUMIFS(ポートフォリオ実績!$D$2:$D$2001, ポートフォリオ実績!$B$2:$B$2001, B825, ポートフォリオ実績!$A$2:$A$2001, G825), 0)</f>
        <v>0</v>
      </c>
      <c r="I825">
        <f>IF(B825&lt;&gt;"", SUMIFS(ポートフォリオ実績!$C$2:$C$2001, ポートフォリオ実績!$B$2:$B$2001, B825, ポートフォリオ実績!$A$2:$A$2001, G825), 0)</f>
        <v>0</v>
      </c>
      <c r="J825">
        <f t="shared" si="133"/>
        <v>0</v>
      </c>
      <c r="K825">
        <f t="shared" si="134"/>
        <v>0</v>
      </c>
      <c r="L825">
        <f t="shared" si="135"/>
        <v>0</v>
      </c>
      <c r="M825">
        <f t="shared" si="136"/>
        <v>0</v>
      </c>
      <c r="N825">
        <f t="shared" si="137"/>
        <v>0</v>
      </c>
      <c r="O825">
        <f t="shared" si="138"/>
        <v>0</v>
      </c>
      <c r="P825" t="str">
        <f t="shared" si="139"/>
        <v/>
      </c>
      <c r="Q825" t="str">
        <f>IF(B825="","", IFERROR(VLOOKUP(B825, '基準資産配分（設定）'!$A$2:$C$2001, 3, FALSE), ""))</f>
        <v/>
      </c>
      <c r="R825" t="str">
        <f>IF(B825="","", IFERROR(VLOOKUP(B825, '基準資産配分（設定）'!$A$2:$C$2001, 2, FALSE)/100, 0))</f>
        <v/>
      </c>
      <c r="S825" t="str">
        <f>IF(B825="","", IFERROR(SUMIFS(ベンチマークリターン!$C$2:$C$2001, ベンチマークリターン!$A$2:$A$2001, A825, ベンチマークリターン!$B$2:$B$2001, Q825) / 100, 0))</f>
        <v/>
      </c>
      <c r="T825" t="str">
        <f>IF(A825="","", SUMIFS($H$2:$H$2000, $A$2:$A$2000, A825))</f>
        <v/>
      </c>
      <c r="U825" t="str">
        <f t="shared" si="140"/>
        <v/>
      </c>
      <c r="V825" t="str">
        <f t="shared" si="141"/>
        <v/>
      </c>
      <c r="W825" t="str">
        <f t="shared" si="142"/>
        <v/>
      </c>
    </row>
    <row r="826" spans="1:23" x14ac:dyDescent="0.2">
      <c r="A826" s="4" t="str">
        <f>IF(ポートフォリオ実績!A827="","", ポートフォリオ実績!A827)</f>
        <v/>
      </c>
      <c r="B826" t="str">
        <f>IF(ポートフォリオ実績!B827="","", ポートフォリオ実績!B827)</f>
        <v/>
      </c>
      <c r="C826" s="10" t="str">
        <f>IF(ポートフォリオ実績!C827="","", ポートフォリオ実績!C827)</f>
        <v/>
      </c>
      <c r="D826" s="10" t="str">
        <f>IF(ポートフォリオ実績!D827="","", ポートフォリオ実績!D827)</f>
        <v/>
      </c>
      <c r="E826" s="10" t="str">
        <f>IF(ポートフォリオ実績!E827="","", ポートフォリオ実績!E827)</f>
        <v/>
      </c>
      <c r="F826" s="10" t="str">
        <f>IF(ポートフォリオ実績!F827="","", ポートフォリオ実績!F827)</f>
        <v/>
      </c>
      <c r="G826" t="str">
        <f t="shared" si="132"/>
        <v/>
      </c>
      <c r="H826">
        <f>IF(B826&lt;&gt;"", SUMIFS(ポートフォリオ実績!$D$2:$D$2001, ポートフォリオ実績!$B$2:$B$2001, B826, ポートフォリオ実績!$A$2:$A$2001, G826), 0)</f>
        <v>0</v>
      </c>
      <c r="I826">
        <f>IF(B826&lt;&gt;"", SUMIFS(ポートフォリオ実績!$C$2:$C$2001, ポートフォリオ実績!$B$2:$B$2001, B826, ポートフォリオ実績!$A$2:$A$2001, G826), 0)</f>
        <v>0</v>
      </c>
      <c r="J826">
        <f t="shared" si="133"/>
        <v>0</v>
      </c>
      <c r="K826">
        <f t="shared" si="134"/>
        <v>0</v>
      </c>
      <c r="L826">
        <f t="shared" si="135"/>
        <v>0</v>
      </c>
      <c r="M826">
        <f t="shared" si="136"/>
        <v>0</v>
      </c>
      <c r="N826">
        <f t="shared" si="137"/>
        <v>0</v>
      </c>
      <c r="O826">
        <f t="shared" si="138"/>
        <v>0</v>
      </c>
      <c r="P826" t="str">
        <f t="shared" si="139"/>
        <v/>
      </c>
      <c r="Q826" t="str">
        <f>IF(B826="","", IFERROR(VLOOKUP(B826, '基準資産配分（設定）'!$A$2:$C$2001, 3, FALSE), ""))</f>
        <v/>
      </c>
      <c r="R826" t="str">
        <f>IF(B826="","", IFERROR(VLOOKUP(B826, '基準資産配分（設定）'!$A$2:$C$2001, 2, FALSE)/100, 0))</f>
        <v/>
      </c>
      <c r="S826" t="str">
        <f>IF(B826="","", IFERROR(SUMIFS(ベンチマークリターン!$C$2:$C$2001, ベンチマークリターン!$A$2:$A$2001, A826, ベンチマークリターン!$B$2:$B$2001, Q826) / 100, 0))</f>
        <v/>
      </c>
      <c r="T826" t="str">
        <f>IF(A826="","", SUMIFS($H$2:$H$2000, $A$2:$A$2000, A826))</f>
        <v/>
      </c>
      <c r="U826" t="str">
        <f t="shared" si="140"/>
        <v/>
      </c>
      <c r="V826" t="str">
        <f t="shared" si="141"/>
        <v/>
      </c>
      <c r="W826" t="str">
        <f t="shared" si="142"/>
        <v/>
      </c>
    </row>
    <row r="827" spans="1:23" x14ac:dyDescent="0.2">
      <c r="A827" s="4" t="str">
        <f>IF(ポートフォリオ実績!A828="","", ポートフォリオ実績!A828)</f>
        <v/>
      </c>
      <c r="B827" t="str">
        <f>IF(ポートフォリオ実績!B828="","", ポートフォリオ実績!B828)</f>
        <v/>
      </c>
      <c r="C827" s="10" t="str">
        <f>IF(ポートフォリオ実績!C828="","", ポートフォリオ実績!C828)</f>
        <v/>
      </c>
      <c r="D827" s="10" t="str">
        <f>IF(ポートフォリオ実績!D828="","", ポートフォリオ実績!D828)</f>
        <v/>
      </c>
      <c r="E827" s="10" t="str">
        <f>IF(ポートフォリオ実績!E828="","", ポートフォリオ実績!E828)</f>
        <v/>
      </c>
      <c r="F827" s="10" t="str">
        <f>IF(ポートフォリオ実績!F828="","", ポートフォリオ実績!F828)</f>
        <v/>
      </c>
      <c r="G827" t="str">
        <f t="shared" si="132"/>
        <v/>
      </c>
      <c r="H827">
        <f>IF(B827&lt;&gt;"", SUMIFS(ポートフォリオ実績!$D$2:$D$2001, ポートフォリオ実績!$B$2:$B$2001, B827, ポートフォリオ実績!$A$2:$A$2001, G827), 0)</f>
        <v>0</v>
      </c>
      <c r="I827">
        <f>IF(B827&lt;&gt;"", SUMIFS(ポートフォリオ実績!$C$2:$C$2001, ポートフォリオ実績!$B$2:$B$2001, B827, ポートフォリオ実績!$A$2:$A$2001, G827), 0)</f>
        <v>0</v>
      </c>
      <c r="J827">
        <f t="shared" si="133"/>
        <v>0</v>
      </c>
      <c r="K827">
        <f t="shared" si="134"/>
        <v>0</v>
      </c>
      <c r="L827">
        <f t="shared" si="135"/>
        <v>0</v>
      </c>
      <c r="M827">
        <f t="shared" si="136"/>
        <v>0</v>
      </c>
      <c r="N827">
        <f t="shared" si="137"/>
        <v>0</v>
      </c>
      <c r="O827">
        <f t="shared" si="138"/>
        <v>0</v>
      </c>
      <c r="P827" t="str">
        <f t="shared" si="139"/>
        <v/>
      </c>
      <c r="Q827" t="str">
        <f>IF(B827="","", IFERROR(VLOOKUP(B827, '基準資産配分（設定）'!$A$2:$C$2001, 3, FALSE), ""))</f>
        <v/>
      </c>
      <c r="R827" t="str">
        <f>IF(B827="","", IFERROR(VLOOKUP(B827, '基準資産配分（設定）'!$A$2:$C$2001, 2, FALSE)/100, 0))</f>
        <v/>
      </c>
      <c r="S827" t="str">
        <f>IF(B827="","", IFERROR(SUMIFS(ベンチマークリターン!$C$2:$C$2001, ベンチマークリターン!$A$2:$A$2001, A827, ベンチマークリターン!$B$2:$B$2001, Q827) / 100, 0))</f>
        <v/>
      </c>
      <c r="T827" t="str">
        <f>IF(A827="","", SUMIFS($H$2:$H$2000, $A$2:$A$2000, A827))</f>
        <v/>
      </c>
      <c r="U827" t="str">
        <f t="shared" si="140"/>
        <v/>
      </c>
      <c r="V827" t="str">
        <f t="shared" si="141"/>
        <v/>
      </c>
      <c r="W827" t="str">
        <f t="shared" si="142"/>
        <v/>
      </c>
    </row>
    <row r="828" spans="1:23" x14ac:dyDescent="0.2">
      <c r="A828" s="4" t="str">
        <f>IF(ポートフォリオ実績!A829="","", ポートフォリオ実績!A829)</f>
        <v/>
      </c>
      <c r="B828" t="str">
        <f>IF(ポートフォリオ実績!B829="","", ポートフォリオ実績!B829)</f>
        <v/>
      </c>
      <c r="C828" s="10" t="str">
        <f>IF(ポートフォリオ実績!C829="","", ポートフォリオ実績!C829)</f>
        <v/>
      </c>
      <c r="D828" s="10" t="str">
        <f>IF(ポートフォリオ実績!D829="","", ポートフォリオ実績!D829)</f>
        <v/>
      </c>
      <c r="E828" s="10" t="str">
        <f>IF(ポートフォリオ実績!E829="","", ポートフォリオ実績!E829)</f>
        <v/>
      </c>
      <c r="F828" s="10" t="str">
        <f>IF(ポートフォリオ実績!F829="","", ポートフォリオ実績!F829)</f>
        <v/>
      </c>
      <c r="G828" t="str">
        <f t="shared" si="132"/>
        <v/>
      </c>
      <c r="H828">
        <f>IF(B828&lt;&gt;"", SUMIFS(ポートフォリオ実績!$D$2:$D$2001, ポートフォリオ実績!$B$2:$B$2001, B828, ポートフォリオ実績!$A$2:$A$2001, G828), 0)</f>
        <v>0</v>
      </c>
      <c r="I828">
        <f>IF(B828&lt;&gt;"", SUMIFS(ポートフォリオ実績!$C$2:$C$2001, ポートフォリオ実績!$B$2:$B$2001, B828, ポートフォリオ実績!$A$2:$A$2001, G828), 0)</f>
        <v>0</v>
      </c>
      <c r="J828">
        <f t="shared" si="133"/>
        <v>0</v>
      </c>
      <c r="K828">
        <f t="shared" si="134"/>
        <v>0</v>
      </c>
      <c r="L828">
        <f t="shared" si="135"/>
        <v>0</v>
      </c>
      <c r="M828">
        <f t="shared" si="136"/>
        <v>0</v>
      </c>
      <c r="N828">
        <f t="shared" si="137"/>
        <v>0</v>
      </c>
      <c r="O828">
        <f t="shared" si="138"/>
        <v>0</v>
      </c>
      <c r="P828" t="str">
        <f t="shared" si="139"/>
        <v/>
      </c>
      <c r="Q828" t="str">
        <f>IF(B828="","", IFERROR(VLOOKUP(B828, '基準資産配分（設定）'!$A$2:$C$2001, 3, FALSE), ""))</f>
        <v/>
      </c>
      <c r="R828" t="str">
        <f>IF(B828="","", IFERROR(VLOOKUP(B828, '基準資産配分（設定）'!$A$2:$C$2001, 2, FALSE)/100, 0))</f>
        <v/>
      </c>
      <c r="S828" t="str">
        <f>IF(B828="","", IFERROR(SUMIFS(ベンチマークリターン!$C$2:$C$2001, ベンチマークリターン!$A$2:$A$2001, A828, ベンチマークリターン!$B$2:$B$2001, Q828) / 100, 0))</f>
        <v/>
      </c>
      <c r="T828" t="str">
        <f>IF(A828="","", SUMIFS($H$2:$H$2000, $A$2:$A$2000, A828))</f>
        <v/>
      </c>
      <c r="U828" t="str">
        <f t="shared" si="140"/>
        <v/>
      </c>
      <c r="V828" t="str">
        <f t="shared" si="141"/>
        <v/>
      </c>
      <c r="W828" t="str">
        <f t="shared" si="142"/>
        <v/>
      </c>
    </row>
    <row r="829" spans="1:23" x14ac:dyDescent="0.2">
      <c r="A829" s="4" t="str">
        <f>IF(ポートフォリオ実績!A830="","", ポートフォリオ実績!A830)</f>
        <v/>
      </c>
      <c r="B829" t="str">
        <f>IF(ポートフォリオ実績!B830="","", ポートフォリオ実績!B830)</f>
        <v/>
      </c>
      <c r="C829" s="10" t="str">
        <f>IF(ポートフォリオ実績!C830="","", ポートフォリオ実績!C830)</f>
        <v/>
      </c>
      <c r="D829" s="10" t="str">
        <f>IF(ポートフォリオ実績!D830="","", ポートフォリオ実績!D830)</f>
        <v/>
      </c>
      <c r="E829" s="10" t="str">
        <f>IF(ポートフォリオ実績!E830="","", ポートフォリオ実績!E830)</f>
        <v/>
      </c>
      <c r="F829" s="10" t="str">
        <f>IF(ポートフォリオ実績!F830="","", ポートフォリオ実績!F830)</f>
        <v/>
      </c>
      <c r="G829" t="str">
        <f t="shared" si="132"/>
        <v/>
      </c>
      <c r="H829">
        <f>IF(B829&lt;&gt;"", SUMIFS(ポートフォリオ実績!$D$2:$D$2001, ポートフォリオ実績!$B$2:$B$2001, B829, ポートフォリオ実績!$A$2:$A$2001, G829), 0)</f>
        <v>0</v>
      </c>
      <c r="I829">
        <f>IF(B829&lt;&gt;"", SUMIFS(ポートフォリオ実績!$C$2:$C$2001, ポートフォリオ実績!$B$2:$B$2001, B829, ポートフォリオ実績!$A$2:$A$2001, G829), 0)</f>
        <v>0</v>
      </c>
      <c r="J829">
        <f t="shared" si="133"/>
        <v>0</v>
      </c>
      <c r="K829">
        <f t="shared" si="134"/>
        <v>0</v>
      </c>
      <c r="L829">
        <f t="shared" si="135"/>
        <v>0</v>
      </c>
      <c r="M829">
        <f t="shared" si="136"/>
        <v>0</v>
      </c>
      <c r="N829">
        <f t="shared" si="137"/>
        <v>0</v>
      </c>
      <c r="O829">
        <f t="shared" si="138"/>
        <v>0</v>
      </c>
      <c r="P829" t="str">
        <f t="shared" si="139"/>
        <v/>
      </c>
      <c r="Q829" t="str">
        <f>IF(B829="","", IFERROR(VLOOKUP(B829, '基準資産配分（設定）'!$A$2:$C$2001, 3, FALSE), ""))</f>
        <v/>
      </c>
      <c r="R829" t="str">
        <f>IF(B829="","", IFERROR(VLOOKUP(B829, '基準資産配分（設定）'!$A$2:$C$2001, 2, FALSE)/100, 0))</f>
        <v/>
      </c>
      <c r="S829" t="str">
        <f>IF(B829="","", IFERROR(SUMIFS(ベンチマークリターン!$C$2:$C$2001, ベンチマークリターン!$A$2:$A$2001, A829, ベンチマークリターン!$B$2:$B$2001, Q829) / 100, 0))</f>
        <v/>
      </c>
      <c r="T829" t="str">
        <f>IF(A829="","", SUMIFS($H$2:$H$2000, $A$2:$A$2000, A829))</f>
        <v/>
      </c>
      <c r="U829" t="str">
        <f t="shared" si="140"/>
        <v/>
      </c>
      <c r="V829" t="str">
        <f t="shared" si="141"/>
        <v/>
      </c>
      <c r="W829" t="str">
        <f t="shared" si="142"/>
        <v/>
      </c>
    </row>
    <row r="830" spans="1:23" x14ac:dyDescent="0.2">
      <c r="A830" s="4" t="str">
        <f>IF(ポートフォリオ実績!A831="","", ポートフォリオ実績!A831)</f>
        <v/>
      </c>
      <c r="B830" t="str">
        <f>IF(ポートフォリオ実績!B831="","", ポートフォリオ実績!B831)</f>
        <v/>
      </c>
      <c r="C830" s="10" t="str">
        <f>IF(ポートフォリオ実績!C831="","", ポートフォリオ実績!C831)</f>
        <v/>
      </c>
      <c r="D830" s="10" t="str">
        <f>IF(ポートフォリオ実績!D831="","", ポートフォリオ実績!D831)</f>
        <v/>
      </c>
      <c r="E830" s="10" t="str">
        <f>IF(ポートフォリオ実績!E831="","", ポートフォリオ実績!E831)</f>
        <v/>
      </c>
      <c r="F830" s="10" t="str">
        <f>IF(ポートフォリオ実績!F831="","", ポートフォリオ実績!F831)</f>
        <v/>
      </c>
      <c r="G830" t="str">
        <f t="shared" si="132"/>
        <v/>
      </c>
      <c r="H830">
        <f>IF(B830&lt;&gt;"", SUMIFS(ポートフォリオ実績!$D$2:$D$2001, ポートフォリオ実績!$B$2:$B$2001, B830, ポートフォリオ実績!$A$2:$A$2001, G830), 0)</f>
        <v>0</v>
      </c>
      <c r="I830">
        <f>IF(B830&lt;&gt;"", SUMIFS(ポートフォリオ実績!$C$2:$C$2001, ポートフォリオ実績!$B$2:$B$2001, B830, ポートフォリオ実績!$A$2:$A$2001, G830), 0)</f>
        <v>0</v>
      </c>
      <c r="J830">
        <f t="shared" si="133"/>
        <v>0</v>
      </c>
      <c r="K830">
        <f t="shared" si="134"/>
        <v>0</v>
      </c>
      <c r="L830">
        <f t="shared" si="135"/>
        <v>0</v>
      </c>
      <c r="M830">
        <f t="shared" si="136"/>
        <v>0</v>
      </c>
      <c r="N830">
        <f t="shared" si="137"/>
        <v>0</v>
      </c>
      <c r="O830">
        <f t="shared" si="138"/>
        <v>0</v>
      </c>
      <c r="P830" t="str">
        <f t="shared" si="139"/>
        <v/>
      </c>
      <c r="Q830" t="str">
        <f>IF(B830="","", IFERROR(VLOOKUP(B830, '基準資産配分（設定）'!$A$2:$C$2001, 3, FALSE), ""))</f>
        <v/>
      </c>
      <c r="R830" t="str">
        <f>IF(B830="","", IFERROR(VLOOKUP(B830, '基準資産配分（設定）'!$A$2:$C$2001, 2, FALSE)/100, 0))</f>
        <v/>
      </c>
      <c r="S830" t="str">
        <f>IF(B830="","", IFERROR(SUMIFS(ベンチマークリターン!$C$2:$C$2001, ベンチマークリターン!$A$2:$A$2001, A830, ベンチマークリターン!$B$2:$B$2001, Q830) / 100, 0))</f>
        <v/>
      </c>
      <c r="T830" t="str">
        <f>IF(A830="","", SUMIFS($H$2:$H$2000, $A$2:$A$2000, A830))</f>
        <v/>
      </c>
      <c r="U830" t="str">
        <f t="shared" si="140"/>
        <v/>
      </c>
      <c r="V830" t="str">
        <f t="shared" si="141"/>
        <v/>
      </c>
      <c r="W830" t="str">
        <f t="shared" si="142"/>
        <v/>
      </c>
    </row>
    <row r="831" spans="1:23" x14ac:dyDescent="0.2">
      <c r="A831" s="4" t="str">
        <f>IF(ポートフォリオ実績!A832="","", ポートフォリオ実績!A832)</f>
        <v/>
      </c>
      <c r="B831" t="str">
        <f>IF(ポートフォリオ実績!B832="","", ポートフォリオ実績!B832)</f>
        <v/>
      </c>
      <c r="C831" s="10" t="str">
        <f>IF(ポートフォリオ実績!C832="","", ポートフォリオ実績!C832)</f>
        <v/>
      </c>
      <c r="D831" s="10" t="str">
        <f>IF(ポートフォリオ実績!D832="","", ポートフォリオ実績!D832)</f>
        <v/>
      </c>
      <c r="E831" s="10" t="str">
        <f>IF(ポートフォリオ実績!E832="","", ポートフォリオ実績!E832)</f>
        <v/>
      </c>
      <c r="F831" s="10" t="str">
        <f>IF(ポートフォリオ実績!F832="","", ポートフォリオ実績!F832)</f>
        <v/>
      </c>
      <c r="G831" t="str">
        <f t="shared" si="132"/>
        <v/>
      </c>
      <c r="H831">
        <f>IF(B831&lt;&gt;"", SUMIFS(ポートフォリオ実績!$D$2:$D$2001, ポートフォリオ実績!$B$2:$B$2001, B831, ポートフォリオ実績!$A$2:$A$2001, G831), 0)</f>
        <v>0</v>
      </c>
      <c r="I831">
        <f>IF(B831&lt;&gt;"", SUMIFS(ポートフォリオ実績!$C$2:$C$2001, ポートフォリオ実績!$B$2:$B$2001, B831, ポートフォリオ実績!$A$2:$A$2001, G831), 0)</f>
        <v>0</v>
      </c>
      <c r="J831">
        <f t="shared" si="133"/>
        <v>0</v>
      </c>
      <c r="K831">
        <f t="shared" si="134"/>
        <v>0</v>
      </c>
      <c r="L831">
        <f t="shared" si="135"/>
        <v>0</v>
      </c>
      <c r="M831">
        <f t="shared" si="136"/>
        <v>0</v>
      </c>
      <c r="N831">
        <f t="shared" si="137"/>
        <v>0</v>
      </c>
      <c r="O831">
        <f t="shared" si="138"/>
        <v>0</v>
      </c>
      <c r="P831" t="str">
        <f t="shared" si="139"/>
        <v/>
      </c>
      <c r="Q831" t="str">
        <f>IF(B831="","", IFERROR(VLOOKUP(B831, '基準資産配分（設定）'!$A$2:$C$2001, 3, FALSE), ""))</f>
        <v/>
      </c>
      <c r="R831" t="str">
        <f>IF(B831="","", IFERROR(VLOOKUP(B831, '基準資産配分（設定）'!$A$2:$C$2001, 2, FALSE)/100, 0))</f>
        <v/>
      </c>
      <c r="S831" t="str">
        <f>IF(B831="","", IFERROR(SUMIFS(ベンチマークリターン!$C$2:$C$2001, ベンチマークリターン!$A$2:$A$2001, A831, ベンチマークリターン!$B$2:$B$2001, Q831) / 100, 0))</f>
        <v/>
      </c>
      <c r="T831" t="str">
        <f>IF(A831="","", SUMIFS($H$2:$H$2000, $A$2:$A$2000, A831))</f>
        <v/>
      </c>
      <c r="U831" t="str">
        <f t="shared" si="140"/>
        <v/>
      </c>
      <c r="V831" t="str">
        <f t="shared" si="141"/>
        <v/>
      </c>
      <c r="W831" t="str">
        <f t="shared" si="142"/>
        <v/>
      </c>
    </row>
    <row r="832" spans="1:23" x14ac:dyDescent="0.2">
      <c r="A832" s="4" t="str">
        <f>IF(ポートフォリオ実績!A833="","", ポートフォリオ実績!A833)</f>
        <v/>
      </c>
      <c r="B832" t="str">
        <f>IF(ポートフォリオ実績!B833="","", ポートフォリオ実績!B833)</f>
        <v/>
      </c>
      <c r="C832" s="10" t="str">
        <f>IF(ポートフォリオ実績!C833="","", ポートフォリオ実績!C833)</f>
        <v/>
      </c>
      <c r="D832" s="10" t="str">
        <f>IF(ポートフォリオ実績!D833="","", ポートフォリオ実績!D833)</f>
        <v/>
      </c>
      <c r="E832" s="10" t="str">
        <f>IF(ポートフォリオ実績!E833="","", ポートフォリオ実績!E833)</f>
        <v/>
      </c>
      <c r="F832" s="10" t="str">
        <f>IF(ポートフォリオ実績!F833="","", ポートフォリオ実績!F833)</f>
        <v/>
      </c>
      <c r="G832" t="str">
        <f t="shared" si="132"/>
        <v/>
      </c>
      <c r="H832">
        <f>IF(B832&lt;&gt;"", SUMIFS(ポートフォリオ実績!$D$2:$D$2001, ポートフォリオ実績!$B$2:$B$2001, B832, ポートフォリオ実績!$A$2:$A$2001, G832), 0)</f>
        <v>0</v>
      </c>
      <c r="I832">
        <f>IF(B832&lt;&gt;"", SUMIFS(ポートフォリオ実績!$C$2:$C$2001, ポートフォリオ実績!$B$2:$B$2001, B832, ポートフォリオ実績!$A$2:$A$2001, G832), 0)</f>
        <v>0</v>
      </c>
      <c r="J832">
        <f t="shared" si="133"/>
        <v>0</v>
      </c>
      <c r="K832">
        <f t="shared" si="134"/>
        <v>0</v>
      </c>
      <c r="L832">
        <f t="shared" si="135"/>
        <v>0</v>
      </c>
      <c r="M832">
        <f t="shared" si="136"/>
        <v>0</v>
      </c>
      <c r="N832">
        <f t="shared" si="137"/>
        <v>0</v>
      </c>
      <c r="O832">
        <f t="shared" si="138"/>
        <v>0</v>
      </c>
      <c r="P832" t="str">
        <f t="shared" si="139"/>
        <v/>
      </c>
      <c r="Q832" t="str">
        <f>IF(B832="","", IFERROR(VLOOKUP(B832, '基準資産配分（設定）'!$A$2:$C$2001, 3, FALSE), ""))</f>
        <v/>
      </c>
      <c r="R832" t="str">
        <f>IF(B832="","", IFERROR(VLOOKUP(B832, '基準資産配分（設定）'!$A$2:$C$2001, 2, FALSE)/100, 0))</f>
        <v/>
      </c>
      <c r="S832" t="str">
        <f>IF(B832="","", IFERROR(SUMIFS(ベンチマークリターン!$C$2:$C$2001, ベンチマークリターン!$A$2:$A$2001, A832, ベンチマークリターン!$B$2:$B$2001, Q832) / 100, 0))</f>
        <v/>
      </c>
      <c r="T832" t="str">
        <f>IF(A832="","", SUMIFS($H$2:$H$2000, $A$2:$A$2000, A832))</f>
        <v/>
      </c>
      <c r="U832" t="str">
        <f t="shared" si="140"/>
        <v/>
      </c>
      <c r="V832" t="str">
        <f t="shared" si="141"/>
        <v/>
      </c>
      <c r="W832" t="str">
        <f t="shared" si="142"/>
        <v/>
      </c>
    </row>
    <row r="833" spans="1:23" x14ac:dyDescent="0.2">
      <c r="A833" s="4" t="str">
        <f>IF(ポートフォリオ実績!A834="","", ポートフォリオ実績!A834)</f>
        <v/>
      </c>
      <c r="B833" t="str">
        <f>IF(ポートフォリオ実績!B834="","", ポートフォリオ実績!B834)</f>
        <v/>
      </c>
      <c r="C833" s="10" t="str">
        <f>IF(ポートフォリオ実績!C834="","", ポートフォリオ実績!C834)</f>
        <v/>
      </c>
      <c r="D833" s="10" t="str">
        <f>IF(ポートフォリオ実績!D834="","", ポートフォリオ実績!D834)</f>
        <v/>
      </c>
      <c r="E833" s="10" t="str">
        <f>IF(ポートフォリオ実績!E834="","", ポートフォリオ実績!E834)</f>
        <v/>
      </c>
      <c r="F833" s="10" t="str">
        <f>IF(ポートフォリオ実績!F834="","", ポートフォリオ実績!F834)</f>
        <v/>
      </c>
      <c r="G833" t="str">
        <f t="shared" ref="G833:G896" si="143">IF(A833&lt;&gt;"", EOMONTH(A833, -1), "")</f>
        <v/>
      </c>
      <c r="H833">
        <f>IF(B833&lt;&gt;"", SUMIFS(ポートフォリオ実績!$D$2:$D$2001, ポートフォリオ実績!$B$2:$B$2001, B833, ポートフォリオ実績!$A$2:$A$2001, G833), 0)</f>
        <v>0</v>
      </c>
      <c r="I833">
        <f>IF(B833&lt;&gt;"", SUMIFS(ポートフォリオ実績!$C$2:$C$2001, ポートフォリオ実績!$B$2:$B$2001, B833, ポートフォリオ実績!$A$2:$A$2001, G833), 0)</f>
        <v>0</v>
      </c>
      <c r="J833">
        <f t="shared" ref="J833:J896" si="144">IF(A833&lt;&gt;"", D833-C833, 0)</f>
        <v>0</v>
      </c>
      <c r="K833">
        <f t="shared" ref="K833:K896" si="145">IF(A833&lt;&gt;"", H833-I833, 0)</f>
        <v>0</v>
      </c>
      <c r="L833">
        <f t="shared" ref="L833:L896" si="146">IF(H833=0, 0, J833-K833)</f>
        <v>0</v>
      </c>
      <c r="M833">
        <f t="shared" ref="M833:M896" si="147">IF(A833&lt;&gt;"", E833+F833+L833, 0)</f>
        <v>0</v>
      </c>
      <c r="N833">
        <f t="shared" ref="N833:N896" si="148">IF(H833=0, 0, (D833-H833)-M833)</f>
        <v>0</v>
      </c>
      <c r="O833">
        <f t="shared" ref="O833:O896" si="149">IF(A833&lt;&gt;"", H833+N833*0.5, 0)</f>
        <v>0</v>
      </c>
      <c r="P833" t="str">
        <f t="shared" ref="P833:P896" si="150">IF(A833="","", IF(O833&gt;0.000001, M833/O833, IF(ABS(M833)&lt;0.000001, 0, 0)))</f>
        <v/>
      </c>
      <c r="Q833" t="str">
        <f>IF(B833="","", IFERROR(VLOOKUP(B833, '基準資産配分（設定）'!$A$2:$C$2001, 3, FALSE), ""))</f>
        <v/>
      </c>
      <c r="R833" t="str">
        <f>IF(B833="","", IFERROR(VLOOKUP(B833, '基準資産配分（設定）'!$A$2:$C$2001, 2, FALSE)/100, 0))</f>
        <v/>
      </c>
      <c r="S833" t="str">
        <f>IF(B833="","", IFERROR(SUMIFS(ベンチマークリターン!$C$2:$C$2001, ベンチマークリターン!$A$2:$A$2001, A833, ベンチマークリターン!$B$2:$B$2001, Q833) / 100, 0))</f>
        <v/>
      </c>
      <c r="T833" t="str">
        <f>IF(A833="","", SUMIFS($H$2:$H$2000, $A$2:$A$2000, A833))</f>
        <v/>
      </c>
      <c r="U833" t="str">
        <f t="shared" ref="U833:U896" si="151">IF(A833="","", IFERROR(H833/T833, 0))</f>
        <v/>
      </c>
      <c r="V833" t="str">
        <f t="shared" ref="V833:V896" si="152">IF(A833="","", U833*P833)</f>
        <v/>
      </c>
      <c r="W833" t="str">
        <f t="shared" ref="W833:W896" si="153">IF(A833="","", R833*S833)</f>
        <v/>
      </c>
    </row>
    <row r="834" spans="1:23" x14ac:dyDescent="0.2">
      <c r="A834" s="4" t="str">
        <f>IF(ポートフォリオ実績!A835="","", ポートフォリオ実績!A835)</f>
        <v/>
      </c>
      <c r="B834" t="str">
        <f>IF(ポートフォリオ実績!B835="","", ポートフォリオ実績!B835)</f>
        <v/>
      </c>
      <c r="C834" s="10" t="str">
        <f>IF(ポートフォリオ実績!C835="","", ポートフォリオ実績!C835)</f>
        <v/>
      </c>
      <c r="D834" s="10" t="str">
        <f>IF(ポートフォリオ実績!D835="","", ポートフォリオ実績!D835)</f>
        <v/>
      </c>
      <c r="E834" s="10" t="str">
        <f>IF(ポートフォリオ実績!E835="","", ポートフォリオ実績!E835)</f>
        <v/>
      </c>
      <c r="F834" s="10" t="str">
        <f>IF(ポートフォリオ実績!F835="","", ポートフォリオ実績!F835)</f>
        <v/>
      </c>
      <c r="G834" t="str">
        <f t="shared" si="143"/>
        <v/>
      </c>
      <c r="H834">
        <f>IF(B834&lt;&gt;"", SUMIFS(ポートフォリオ実績!$D$2:$D$2001, ポートフォリオ実績!$B$2:$B$2001, B834, ポートフォリオ実績!$A$2:$A$2001, G834), 0)</f>
        <v>0</v>
      </c>
      <c r="I834">
        <f>IF(B834&lt;&gt;"", SUMIFS(ポートフォリオ実績!$C$2:$C$2001, ポートフォリオ実績!$B$2:$B$2001, B834, ポートフォリオ実績!$A$2:$A$2001, G834), 0)</f>
        <v>0</v>
      </c>
      <c r="J834">
        <f t="shared" si="144"/>
        <v>0</v>
      </c>
      <c r="K834">
        <f t="shared" si="145"/>
        <v>0</v>
      </c>
      <c r="L834">
        <f t="shared" si="146"/>
        <v>0</v>
      </c>
      <c r="M834">
        <f t="shared" si="147"/>
        <v>0</v>
      </c>
      <c r="N834">
        <f t="shared" si="148"/>
        <v>0</v>
      </c>
      <c r="O834">
        <f t="shared" si="149"/>
        <v>0</v>
      </c>
      <c r="P834" t="str">
        <f t="shared" si="150"/>
        <v/>
      </c>
      <c r="Q834" t="str">
        <f>IF(B834="","", IFERROR(VLOOKUP(B834, '基準資産配分（設定）'!$A$2:$C$2001, 3, FALSE), ""))</f>
        <v/>
      </c>
      <c r="R834" t="str">
        <f>IF(B834="","", IFERROR(VLOOKUP(B834, '基準資産配分（設定）'!$A$2:$C$2001, 2, FALSE)/100, 0))</f>
        <v/>
      </c>
      <c r="S834" t="str">
        <f>IF(B834="","", IFERROR(SUMIFS(ベンチマークリターン!$C$2:$C$2001, ベンチマークリターン!$A$2:$A$2001, A834, ベンチマークリターン!$B$2:$B$2001, Q834) / 100, 0))</f>
        <v/>
      </c>
      <c r="T834" t="str">
        <f>IF(A834="","", SUMIFS($H$2:$H$2000, $A$2:$A$2000, A834))</f>
        <v/>
      </c>
      <c r="U834" t="str">
        <f t="shared" si="151"/>
        <v/>
      </c>
      <c r="V834" t="str">
        <f t="shared" si="152"/>
        <v/>
      </c>
      <c r="W834" t="str">
        <f t="shared" si="153"/>
        <v/>
      </c>
    </row>
    <row r="835" spans="1:23" x14ac:dyDescent="0.2">
      <c r="A835" s="4" t="str">
        <f>IF(ポートフォリオ実績!A836="","", ポートフォリオ実績!A836)</f>
        <v/>
      </c>
      <c r="B835" t="str">
        <f>IF(ポートフォリオ実績!B836="","", ポートフォリオ実績!B836)</f>
        <v/>
      </c>
      <c r="C835" s="10" t="str">
        <f>IF(ポートフォリオ実績!C836="","", ポートフォリオ実績!C836)</f>
        <v/>
      </c>
      <c r="D835" s="10" t="str">
        <f>IF(ポートフォリオ実績!D836="","", ポートフォリオ実績!D836)</f>
        <v/>
      </c>
      <c r="E835" s="10" t="str">
        <f>IF(ポートフォリオ実績!E836="","", ポートフォリオ実績!E836)</f>
        <v/>
      </c>
      <c r="F835" s="10" t="str">
        <f>IF(ポートフォリオ実績!F836="","", ポートフォリオ実績!F836)</f>
        <v/>
      </c>
      <c r="G835" t="str">
        <f t="shared" si="143"/>
        <v/>
      </c>
      <c r="H835">
        <f>IF(B835&lt;&gt;"", SUMIFS(ポートフォリオ実績!$D$2:$D$2001, ポートフォリオ実績!$B$2:$B$2001, B835, ポートフォリオ実績!$A$2:$A$2001, G835), 0)</f>
        <v>0</v>
      </c>
      <c r="I835">
        <f>IF(B835&lt;&gt;"", SUMIFS(ポートフォリオ実績!$C$2:$C$2001, ポートフォリオ実績!$B$2:$B$2001, B835, ポートフォリオ実績!$A$2:$A$2001, G835), 0)</f>
        <v>0</v>
      </c>
      <c r="J835">
        <f t="shared" si="144"/>
        <v>0</v>
      </c>
      <c r="K835">
        <f t="shared" si="145"/>
        <v>0</v>
      </c>
      <c r="L835">
        <f t="shared" si="146"/>
        <v>0</v>
      </c>
      <c r="M835">
        <f t="shared" si="147"/>
        <v>0</v>
      </c>
      <c r="N835">
        <f t="shared" si="148"/>
        <v>0</v>
      </c>
      <c r="O835">
        <f t="shared" si="149"/>
        <v>0</v>
      </c>
      <c r="P835" t="str">
        <f t="shared" si="150"/>
        <v/>
      </c>
      <c r="Q835" t="str">
        <f>IF(B835="","", IFERROR(VLOOKUP(B835, '基準資産配分（設定）'!$A$2:$C$2001, 3, FALSE), ""))</f>
        <v/>
      </c>
      <c r="R835" t="str">
        <f>IF(B835="","", IFERROR(VLOOKUP(B835, '基準資産配分（設定）'!$A$2:$C$2001, 2, FALSE)/100, 0))</f>
        <v/>
      </c>
      <c r="S835" t="str">
        <f>IF(B835="","", IFERROR(SUMIFS(ベンチマークリターン!$C$2:$C$2001, ベンチマークリターン!$A$2:$A$2001, A835, ベンチマークリターン!$B$2:$B$2001, Q835) / 100, 0))</f>
        <v/>
      </c>
      <c r="T835" t="str">
        <f>IF(A835="","", SUMIFS($H$2:$H$2000, $A$2:$A$2000, A835))</f>
        <v/>
      </c>
      <c r="U835" t="str">
        <f t="shared" si="151"/>
        <v/>
      </c>
      <c r="V835" t="str">
        <f t="shared" si="152"/>
        <v/>
      </c>
      <c r="W835" t="str">
        <f t="shared" si="153"/>
        <v/>
      </c>
    </row>
    <row r="836" spans="1:23" x14ac:dyDescent="0.2">
      <c r="A836" s="4" t="str">
        <f>IF(ポートフォリオ実績!A837="","", ポートフォリオ実績!A837)</f>
        <v/>
      </c>
      <c r="B836" t="str">
        <f>IF(ポートフォリオ実績!B837="","", ポートフォリオ実績!B837)</f>
        <v/>
      </c>
      <c r="C836" s="10" t="str">
        <f>IF(ポートフォリオ実績!C837="","", ポートフォリオ実績!C837)</f>
        <v/>
      </c>
      <c r="D836" s="10" t="str">
        <f>IF(ポートフォリオ実績!D837="","", ポートフォリオ実績!D837)</f>
        <v/>
      </c>
      <c r="E836" s="10" t="str">
        <f>IF(ポートフォリオ実績!E837="","", ポートフォリオ実績!E837)</f>
        <v/>
      </c>
      <c r="F836" s="10" t="str">
        <f>IF(ポートフォリオ実績!F837="","", ポートフォリオ実績!F837)</f>
        <v/>
      </c>
      <c r="G836" t="str">
        <f t="shared" si="143"/>
        <v/>
      </c>
      <c r="H836">
        <f>IF(B836&lt;&gt;"", SUMIFS(ポートフォリオ実績!$D$2:$D$2001, ポートフォリオ実績!$B$2:$B$2001, B836, ポートフォリオ実績!$A$2:$A$2001, G836), 0)</f>
        <v>0</v>
      </c>
      <c r="I836">
        <f>IF(B836&lt;&gt;"", SUMIFS(ポートフォリオ実績!$C$2:$C$2001, ポートフォリオ実績!$B$2:$B$2001, B836, ポートフォリオ実績!$A$2:$A$2001, G836), 0)</f>
        <v>0</v>
      </c>
      <c r="J836">
        <f t="shared" si="144"/>
        <v>0</v>
      </c>
      <c r="K836">
        <f t="shared" si="145"/>
        <v>0</v>
      </c>
      <c r="L836">
        <f t="shared" si="146"/>
        <v>0</v>
      </c>
      <c r="M836">
        <f t="shared" si="147"/>
        <v>0</v>
      </c>
      <c r="N836">
        <f t="shared" si="148"/>
        <v>0</v>
      </c>
      <c r="O836">
        <f t="shared" si="149"/>
        <v>0</v>
      </c>
      <c r="P836" t="str">
        <f t="shared" si="150"/>
        <v/>
      </c>
      <c r="Q836" t="str">
        <f>IF(B836="","", IFERROR(VLOOKUP(B836, '基準資産配分（設定）'!$A$2:$C$2001, 3, FALSE), ""))</f>
        <v/>
      </c>
      <c r="R836" t="str">
        <f>IF(B836="","", IFERROR(VLOOKUP(B836, '基準資産配分（設定）'!$A$2:$C$2001, 2, FALSE)/100, 0))</f>
        <v/>
      </c>
      <c r="S836" t="str">
        <f>IF(B836="","", IFERROR(SUMIFS(ベンチマークリターン!$C$2:$C$2001, ベンチマークリターン!$A$2:$A$2001, A836, ベンチマークリターン!$B$2:$B$2001, Q836) / 100, 0))</f>
        <v/>
      </c>
      <c r="T836" t="str">
        <f>IF(A836="","", SUMIFS($H$2:$H$2000, $A$2:$A$2000, A836))</f>
        <v/>
      </c>
      <c r="U836" t="str">
        <f t="shared" si="151"/>
        <v/>
      </c>
      <c r="V836" t="str">
        <f t="shared" si="152"/>
        <v/>
      </c>
      <c r="W836" t="str">
        <f t="shared" si="153"/>
        <v/>
      </c>
    </row>
    <row r="837" spans="1:23" x14ac:dyDescent="0.2">
      <c r="A837" s="4" t="str">
        <f>IF(ポートフォリオ実績!A838="","", ポートフォリオ実績!A838)</f>
        <v/>
      </c>
      <c r="B837" t="str">
        <f>IF(ポートフォリオ実績!B838="","", ポートフォリオ実績!B838)</f>
        <v/>
      </c>
      <c r="C837" s="10" t="str">
        <f>IF(ポートフォリオ実績!C838="","", ポートフォリオ実績!C838)</f>
        <v/>
      </c>
      <c r="D837" s="10" t="str">
        <f>IF(ポートフォリオ実績!D838="","", ポートフォリオ実績!D838)</f>
        <v/>
      </c>
      <c r="E837" s="10" t="str">
        <f>IF(ポートフォリオ実績!E838="","", ポートフォリオ実績!E838)</f>
        <v/>
      </c>
      <c r="F837" s="10" t="str">
        <f>IF(ポートフォリオ実績!F838="","", ポートフォリオ実績!F838)</f>
        <v/>
      </c>
      <c r="G837" t="str">
        <f t="shared" si="143"/>
        <v/>
      </c>
      <c r="H837">
        <f>IF(B837&lt;&gt;"", SUMIFS(ポートフォリオ実績!$D$2:$D$2001, ポートフォリオ実績!$B$2:$B$2001, B837, ポートフォリオ実績!$A$2:$A$2001, G837), 0)</f>
        <v>0</v>
      </c>
      <c r="I837">
        <f>IF(B837&lt;&gt;"", SUMIFS(ポートフォリオ実績!$C$2:$C$2001, ポートフォリオ実績!$B$2:$B$2001, B837, ポートフォリオ実績!$A$2:$A$2001, G837), 0)</f>
        <v>0</v>
      </c>
      <c r="J837">
        <f t="shared" si="144"/>
        <v>0</v>
      </c>
      <c r="K837">
        <f t="shared" si="145"/>
        <v>0</v>
      </c>
      <c r="L837">
        <f t="shared" si="146"/>
        <v>0</v>
      </c>
      <c r="M837">
        <f t="shared" si="147"/>
        <v>0</v>
      </c>
      <c r="N837">
        <f t="shared" si="148"/>
        <v>0</v>
      </c>
      <c r="O837">
        <f t="shared" si="149"/>
        <v>0</v>
      </c>
      <c r="P837" t="str">
        <f t="shared" si="150"/>
        <v/>
      </c>
      <c r="Q837" t="str">
        <f>IF(B837="","", IFERROR(VLOOKUP(B837, '基準資産配分（設定）'!$A$2:$C$2001, 3, FALSE), ""))</f>
        <v/>
      </c>
      <c r="R837" t="str">
        <f>IF(B837="","", IFERROR(VLOOKUP(B837, '基準資産配分（設定）'!$A$2:$C$2001, 2, FALSE)/100, 0))</f>
        <v/>
      </c>
      <c r="S837" t="str">
        <f>IF(B837="","", IFERROR(SUMIFS(ベンチマークリターン!$C$2:$C$2001, ベンチマークリターン!$A$2:$A$2001, A837, ベンチマークリターン!$B$2:$B$2001, Q837) / 100, 0))</f>
        <v/>
      </c>
      <c r="T837" t="str">
        <f>IF(A837="","", SUMIFS($H$2:$H$2000, $A$2:$A$2000, A837))</f>
        <v/>
      </c>
      <c r="U837" t="str">
        <f t="shared" si="151"/>
        <v/>
      </c>
      <c r="V837" t="str">
        <f t="shared" si="152"/>
        <v/>
      </c>
      <c r="W837" t="str">
        <f t="shared" si="153"/>
        <v/>
      </c>
    </row>
    <row r="838" spans="1:23" x14ac:dyDescent="0.2">
      <c r="A838" s="4" t="str">
        <f>IF(ポートフォリオ実績!A839="","", ポートフォリオ実績!A839)</f>
        <v/>
      </c>
      <c r="B838" t="str">
        <f>IF(ポートフォリオ実績!B839="","", ポートフォリオ実績!B839)</f>
        <v/>
      </c>
      <c r="C838" s="10" t="str">
        <f>IF(ポートフォリオ実績!C839="","", ポートフォリオ実績!C839)</f>
        <v/>
      </c>
      <c r="D838" s="10" t="str">
        <f>IF(ポートフォリオ実績!D839="","", ポートフォリオ実績!D839)</f>
        <v/>
      </c>
      <c r="E838" s="10" t="str">
        <f>IF(ポートフォリオ実績!E839="","", ポートフォリオ実績!E839)</f>
        <v/>
      </c>
      <c r="F838" s="10" t="str">
        <f>IF(ポートフォリオ実績!F839="","", ポートフォリオ実績!F839)</f>
        <v/>
      </c>
      <c r="G838" t="str">
        <f t="shared" si="143"/>
        <v/>
      </c>
      <c r="H838">
        <f>IF(B838&lt;&gt;"", SUMIFS(ポートフォリオ実績!$D$2:$D$2001, ポートフォリオ実績!$B$2:$B$2001, B838, ポートフォリオ実績!$A$2:$A$2001, G838), 0)</f>
        <v>0</v>
      </c>
      <c r="I838">
        <f>IF(B838&lt;&gt;"", SUMIFS(ポートフォリオ実績!$C$2:$C$2001, ポートフォリオ実績!$B$2:$B$2001, B838, ポートフォリオ実績!$A$2:$A$2001, G838), 0)</f>
        <v>0</v>
      </c>
      <c r="J838">
        <f t="shared" si="144"/>
        <v>0</v>
      </c>
      <c r="K838">
        <f t="shared" si="145"/>
        <v>0</v>
      </c>
      <c r="L838">
        <f t="shared" si="146"/>
        <v>0</v>
      </c>
      <c r="M838">
        <f t="shared" si="147"/>
        <v>0</v>
      </c>
      <c r="N838">
        <f t="shared" si="148"/>
        <v>0</v>
      </c>
      <c r="O838">
        <f t="shared" si="149"/>
        <v>0</v>
      </c>
      <c r="P838" t="str">
        <f t="shared" si="150"/>
        <v/>
      </c>
      <c r="Q838" t="str">
        <f>IF(B838="","", IFERROR(VLOOKUP(B838, '基準資産配分（設定）'!$A$2:$C$2001, 3, FALSE), ""))</f>
        <v/>
      </c>
      <c r="R838" t="str">
        <f>IF(B838="","", IFERROR(VLOOKUP(B838, '基準資産配分（設定）'!$A$2:$C$2001, 2, FALSE)/100, 0))</f>
        <v/>
      </c>
      <c r="S838" t="str">
        <f>IF(B838="","", IFERROR(SUMIFS(ベンチマークリターン!$C$2:$C$2001, ベンチマークリターン!$A$2:$A$2001, A838, ベンチマークリターン!$B$2:$B$2001, Q838) / 100, 0))</f>
        <v/>
      </c>
      <c r="T838" t="str">
        <f>IF(A838="","", SUMIFS($H$2:$H$2000, $A$2:$A$2000, A838))</f>
        <v/>
      </c>
      <c r="U838" t="str">
        <f t="shared" si="151"/>
        <v/>
      </c>
      <c r="V838" t="str">
        <f t="shared" si="152"/>
        <v/>
      </c>
      <c r="W838" t="str">
        <f t="shared" si="153"/>
        <v/>
      </c>
    </row>
    <row r="839" spans="1:23" x14ac:dyDescent="0.2">
      <c r="A839" s="4" t="str">
        <f>IF(ポートフォリオ実績!A840="","", ポートフォリオ実績!A840)</f>
        <v/>
      </c>
      <c r="B839" t="str">
        <f>IF(ポートフォリオ実績!B840="","", ポートフォリオ実績!B840)</f>
        <v/>
      </c>
      <c r="C839" s="10" t="str">
        <f>IF(ポートフォリオ実績!C840="","", ポートフォリオ実績!C840)</f>
        <v/>
      </c>
      <c r="D839" s="10" t="str">
        <f>IF(ポートフォリオ実績!D840="","", ポートフォリオ実績!D840)</f>
        <v/>
      </c>
      <c r="E839" s="10" t="str">
        <f>IF(ポートフォリオ実績!E840="","", ポートフォリオ実績!E840)</f>
        <v/>
      </c>
      <c r="F839" s="10" t="str">
        <f>IF(ポートフォリオ実績!F840="","", ポートフォリオ実績!F840)</f>
        <v/>
      </c>
      <c r="G839" t="str">
        <f t="shared" si="143"/>
        <v/>
      </c>
      <c r="H839">
        <f>IF(B839&lt;&gt;"", SUMIFS(ポートフォリオ実績!$D$2:$D$2001, ポートフォリオ実績!$B$2:$B$2001, B839, ポートフォリオ実績!$A$2:$A$2001, G839), 0)</f>
        <v>0</v>
      </c>
      <c r="I839">
        <f>IF(B839&lt;&gt;"", SUMIFS(ポートフォリオ実績!$C$2:$C$2001, ポートフォリオ実績!$B$2:$B$2001, B839, ポートフォリオ実績!$A$2:$A$2001, G839), 0)</f>
        <v>0</v>
      </c>
      <c r="J839">
        <f t="shared" si="144"/>
        <v>0</v>
      </c>
      <c r="K839">
        <f t="shared" si="145"/>
        <v>0</v>
      </c>
      <c r="L839">
        <f t="shared" si="146"/>
        <v>0</v>
      </c>
      <c r="M839">
        <f t="shared" si="147"/>
        <v>0</v>
      </c>
      <c r="N839">
        <f t="shared" si="148"/>
        <v>0</v>
      </c>
      <c r="O839">
        <f t="shared" si="149"/>
        <v>0</v>
      </c>
      <c r="P839" t="str">
        <f t="shared" si="150"/>
        <v/>
      </c>
      <c r="Q839" t="str">
        <f>IF(B839="","", IFERROR(VLOOKUP(B839, '基準資産配分（設定）'!$A$2:$C$2001, 3, FALSE), ""))</f>
        <v/>
      </c>
      <c r="R839" t="str">
        <f>IF(B839="","", IFERROR(VLOOKUP(B839, '基準資産配分（設定）'!$A$2:$C$2001, 2, FALSE)/100, 0))</f>
        <v/>
      </c>
      <c r="S839" t="str">
        <f>IF(B839="","", IFERROR(SUMIFS(ベンチマークリターン!$C$2:$C$2001, ベンチマークリターン!$A$2:$A$2001, A839, ベンチマークリターン!$B$2:$B$2001, Q839) / 100, 0))</f>
        <v/>
      </c>
      <c r="T839" t="str">
        <f>IF(A839="","", SUMIFS($H$2:$H$2000, $A$2:$A$2000, A839))</f>
        <v/>
      </c>
      <c r="U839" t="str">
        <f t="shared" si="151"/>
        <v/>
      </c>
      <c r="V839" t="str">
        <f t="shared" si="152"/>
        <v/>
      </c>
      <c r="W839" t="str">
        <f t="shared" si="153"/>
        <v/>
      </c>
    </row>
    <row r="840" spans="1:23" x14ac:dyDescent="0.2">
      <c r="A840" s="4" t="str">
        <f>IF(ポートフォリオ実績!A841="","", ポートフォリオ実績!A841)</f>
        <v/>
      </c>
      <c r="B840" t="str">
        <f>IF(ポートフォリオ実績!B841="","", ポートフォリオ実績!B841)</f>
        <v/>
      </c>
      <c r="C840" s="10" t="str">
        <f>IF(ポートフォリオ実績!C841="","", ポートフォリオ実績!C841)</f>
        <v/>
      </c>
      <c r="D840" s="10" t="str">
        <f>IF(ポートフォリオ実績!D841="","", ポートフォリオ実績!D841)</f>
        <v/>
      </c>
      <c r="E840" s="10" t="str">
        <f>IF(ポートフォリオ実績!E841="","", ポートフォリオ実績!E841)</f>
        <v/>
      </c>
      <c r="F840" s="10" t="str">
        <f>IF(ポートフォリオ実績!F841="","", ポートフォリオ実績!F841)</f>
        <v/>
      </c>
      <c r="G840" t="str">
        <f t="shared" si="143"/>
        <v/>
      </c>
      <c r="H840">
        <f>IF(B840&lt;&gt;"", SUMIFS(ポートフォリオ実績!$D$2:$D$2001, ポートフォリオ実績!$B$2:$B$2001, B840, ポートフォリオ実績!$A$2:$A$2001, G840), 0)</f>
        <v>0</v>
      </c>
      <c r="I840">
        <f>IF(B840&lt;&gt;"", SUMIFS(ポートフォリオ実績!$C$2:$C$2001, ポートフォリオ実績!$B$2:$B$2001, B840, ポートフォリオ実績!$A$2:$A$2001, G840), 0)</f>
        <v>0</v>
      </c>
      <c r="J840">
        <f t="shared" si="144"/>
        <v>0</v>
      </c>
      <c r="K840">
        <f t="shared" si="145"/>
        <v>0</v>
      </c>
      <c r="L840">
        <f t="shared" si="146"/>
        <v>0</v>
      </c>
      <c r="M840">
        <f t="shared" si="147"/>
        <v>0</v>
      </c>
      <c r="N840">
        <f t="shared" si="148"/>
        <v>0</v>
      </c>
      <c r="O840">
        <f t="shared" si="149"/>
        <v>0</v>
      </c>
      <c r="P840" t="str">
        <f t="shared" si="150"/>
        <v/>
      </c>
      <c r="Q840" t="str">
        <f>IF(B840="","", IFERROR(VLOOKUP(B840, '基準資産配分（設定）'!$A$2:$C$2001, 3, FALSE), ""))</f>
        <v/>
      </c>
      <c r="R840" t="str">
        <f>IF(B840="","", IFERROR(VLOOKUP(B840, '基準資産配分（設定）'!$A$2:$C$2001, 2, FALSE)/100, 0))</f>
        <v/>
      </c>
      <c r="S840" t="str">
        <f>IF(B840="","", IFERROR(SUMIFS(ベンチマークリターン!$C$2:$C$2001, ベンチマークリターン!$A$2:$A$2001, A840, ベンチマークリターン!$B$2:$B$2001, Q840) / 100, 0))</f>
        <v/>
      </c>
      <c r="T840" t="str">
        <f>IF(A840="","", SUMIFS($H$2:$H$2000, $A$2:$A$2000, A840))</f>
        <v/>
      </c>
      <c r="U840" t="str">
        <f t="shared" si="151"/>
        <v/>
      </c>
      <c r="V840" t="str">
        <f t="shared" si="152"/>
        <v/>
      </c>
      <c r="W840" t="str">
        <f t="shared" si="153"/>
        <v/>
      </c>
    </row>
    <row r="841" spans="1:23" x14ac:dyDescent="0.2">
      <c r="A841" s="4" t="str">
        <f>IF(ポートフォリオ実績!A842="","", ポートフォリオ実績!A842)</f>
        <v/>
      </c>
      <c r="B841" t="str">
        <f>IF(ポートフォリオ実績!B842="","", ポートフォリオ実績!B842)</f>
        <v/>
      </c>
      <c r="C841" s="10" t="str">
        <f>IF(ポートフォリオ実績!C842="","", ポートフォリオ実績!C842)</f>
        <v/>
      </c>
      <c r="D841" s="10" t="str">
        <f>IF(ポートフォリオ実績!D842="","", ポートフォリオ実績!D842)</f>
        <v/>
      </c>
      <c r="E841" s="10" t="str">
        <f>IF(ポートフォリオ実績!E842="","", ポートフォリオ実績!E842)</f>
        <v/>
      </c>
      <c r="F841" s="10" t="str">
        <f>IF(ポートフォリオ実績!F842="","", ポートフォリオ実績!F842)</f>
        <v/>
      </c>
      <c r="G841" t="str">
        <f t="shared" si="143"/>
        <v/>
      </c>
      <c r="H841">
        <f>IF(B841&lt;&gt;"", SUMIFS(ポートフォリオ実績!$D$2:$D$2001, ポートフォリオ実績!$B$2:$B$2001, B841, ポートフォリオ実績!$A$2:$A$2001, G841), 0)</f>
        <v>0</v>
      </c>
      <c r="I841">
        <f>IF(B841&lt;&gt;"", SUMIFS(ポートフォリオ実績!$C$2:$C$2001, ポートフォリオ実績!$B$2:$B$2001, B841, ポートフォリオ実績!$A$2:$A$2001, G841), 0)</f>
        <v>0</v>
      </c>
      <c r="J841">
        <f t="shared" si="144"/>
        <v>0</v>
      </c>
      <c r="K841">
        <f t="shared" si="145"/>
        <v>0</v>
      </c>
      <c r="L841">
        <f t="shared" si="146"/>
        <v>0</v>
      </c>
      <c r="M841">
        <f t="shared" si="147"/>
        <v>0</v>
      </c>
      <c r="N841">
        <f t="shared" si="148"/>
        <v>0</v>
      </c>
      <c r="O841">
        <f t="shared" si="149"/>
        <v>0</v>
      </c>
      <c r="P841" t="str">
        <f t="shared" si="150"/>
        <v/>
      </c>
      <c r="Q841" t="str">
        <f>IF(B841="","", IFERROR(VLOOKUP(B841, '基準資産配分（設定）'!$A$2:$C$2001, 3, FALSE), ""))</f>
        <v/>
      </c>
      <c r="R841" t="str">
        <f>IF(B841="","", IFERROR(VLOOKUP(B841, '基準資産配分（設定）'!$A$2:$C$2001, 2, FALSE)/100, 0))</f>
        <v/>
      </c>
      <c r="S841" t="str">
        <f>IF(B841="","", IFERROR(SUMIFS(ベンチマークリターン!$C$2:$C$2001, ベンチマークリターン!$A$2:$A$2001, A841, ベンチマークリターン!$B$2:$B$2001, Q841) / 100, 0))</f>
        <v/>
      </c>
      <c r="T841" t="str">
        <f>IF(A841="","", SUMIFS($H$2:$H$2000, $A$2:$A$2000, A841))</f>
        <v/>
      </c>
      <c r="U841" t="str">
        <f t="shared" si="151"/>
        <v/>
      </c>
      <c r="V841" t="str">
        <f t="shared" si="152"/>
        <v/>
      </c>
      <c r="W841" t="str">
        <f t="shared" si="153"/>
        <v/>
      </c>
    </row>
    <row r="842" spans="1:23" x14ac:dyDescent="0.2">
      <c r="A842" s="4" t="str">
        <f>IF(ポートフォリオ実績!A843="","", ポートフォリオ実績!A843)</f>
        <v/>
      </c>
      <c r="B842" t="str">
        <f>IF(ポートフォリオ実績!B843="","", ポートフォリオ実績!B843)</f>
        <v/>
      </c>
      <c r="C842" s="10" t="str">
        <f>IF(ポートフォリオ実績!C843="","", ポートフォリオ実績!C843)</f>
        <v/>
      </c>
      <c r="D842" s="10" t="str">
        <f>IF(ポートフォリオ実績!D843="","", ポートフォリオ実績!D843)</f>
        <v/>
      </c>
      <c r="E842" s="10" t="str">
        <f>IF(ポートフォリオ実績!E843="","", ポートフォリオ実績!E843)</f>
        <v/>
      </c>
      <c r="F842" s="10" t="str">
        <f>IF(ポートフォリオ実績!F843="","", ポートフォリオ実績!F843)</f>
        <v/>
      </c>
      <c r="G842" t="str">
        <f t="shared" si="143"/>
        <v/>
      </c>
      <c r="H842">
        <f>IF(B842&lt;&gt;"", SUMIFS(ポートフォリオ実績!$D$2:$D$2001, ポートフォリオ実績!$B$2:$B$2001, B842, ポートフォリオ実績!$A$2:$A$2001, G842), 0)</f>
        <v>0</v>
      </c>
      <c r="I842">
        <f>IF(B842&lt;&gt;"", SUMIFS(ポートフォリオ実績!$C$2:$C$2001, ポートフォリオ実績!$B$2:$B$2001, B842, ポートフォリオ実績!$A$2:$A$2001, G842), 0)</f>
        <v>0</v>
      </c>
      <c r="J842">
        <f t="shared" si="144"/>
        <v>0</v>
      </c>
      <c r="K842">
        <f t="shared" si="145"/>
        <v>0</v>
      </c>
      <c r="L842">
        <f t="shared" si="146"/>
        <v>0</v>
      </c>
      <c r="M842">
        <f t="shared" si="147"/>
        <v>0</v>
      </c>
      <c r="N842">
        <f t="shared" si="148"/>
        <v>0</v>
      </c>
      <c r="O842">
        <f t="shared" si="149"/>
        <v>0</v>
      </c>
      <c r="P842" t="str">
        <f t="shared" si="150"/>
        <v/>
      </c>
      <c r="Q842" t="str">
        <f>IF(B842="","", IFERROR(VLOOKUP(B842, '基準資産配分（設定）'!$A$2:$C$2001, 3, FALSE), ""))</f>
        <v/>
      </c>
      <c r="R842" t="str">
        <f>IF(B842="","", IFERROR(VLOOKUP(B842, '基準資産配分（設定）'!$A$2:$C$2001, 2, FALSE)/100, 0))</f>
        <v/>
      </c>
      <c r="S842" t="str">
        <f>IF(B842="","", IFERROR(SUMIFS(ベンチマークリターン!$C$2:$C$2001, ベンチマークリターン!$A$2:$A$2001, A842, ベンチマークリターン!$B$2:$B$2001, Q842) / 100, 0))</f>
        <v/>
      </c>
      <c r="T842" t="str">
        <f>IF(A842="","", SUMIFS($H$2:$H$2000, $A$2:$A$2000, A842))</f>
        <v/>
      </c>
      <c r="U842" t="str">
        <f t="shared" si="151"/>
        <v/>
      </c>
      <c r="V842" t="str">
        <f t="shared" si="152"/>
        <v/>
      </c>
      <c r="W842" t="str">
        <f t="shared" si="153"/>
        <v/>
      </c>
    </row>
    <row r="843" spans="1:23" x14ac:dyDescent="0.2">
      <c r="A843" s="4" t="str">
        <f>IF(ポートフォリオ実績!A844="","", ポートフォリオ実績!A844)</f>
        <v/>
      </c>
      <c r="B843" t="str">
        <f>IF(ポートフォリオ実績!B844="","", ポートフォリオ実績!B844)</f>
        <v/>
      </c>
      <c r="C843" s="10" t="str">
        <f>IF(ポートフォリオ実績!C844="","", ポートフォリオ実績!C844)</f>
        <v/>
      </c>
      <c r="D843" s="10" t="str">
        <f>IF(ポートフォリオ実績!D844="","", ポートフォリオ実績!D844)</f>
        <v/>
      </c>
      <c r="E843" s="10" t="str">
        <f>IF(ポートフォリオ実績!E844="","", ポートフォリオ実績!E844)</f>
        <v/>
      </c>
      <c r="F843" s="10" t="str">
        <f>IF(ポートフォリオ実績!F844="","", ポートフォリオ実績!F844)</f>
        <v/>
      </c>
      <c r="G843" t="str">
        <f t="shared" si="143"/>
        <v/>
      </c>
      <c r="H843">
        <f>IF(B843&lt;&gt;"", SUMIFS(ポートフォリオ実績!$D$2:$D$2001, ポートフォリオ実績!$B$2:$B$2001, B843, ポートフォリオ実績!$A$2:$A$2001, G843), 0)</f>
        <v>0</v>
      </c>
      <c r="I843">
        <f>IF(B843&lt;&gt;"", SUMIFS(ポートフォリオ実績!$C$2:$C$2001, ポートフォリオ実績!$B$2:$B$2001, B843, ポートフォリオ実績!$A$2:$A$2001, G843), 0)</f>
        <v>0</v>
      </c>
      <c r="J843">
        <f t="shared" si="144"/>
        <v>0</v>
      </c>
      <c r="K843">
        <f t="shared" si="145"/>
        <v>0</v>
      </c>
      <c r="L843">
        <f t="shared" si="146"/>
        <v>0</v>
      </c>
      <c r="M843">
        <f t="shared" si="147"/>
        <v>0</v>
      </c>
      <c r="N843">
        <f t="shared" si="148"/>
        <v>0</v>
      </c>
      <c r="O843">
        <f t="shared" si="149"/>
        <v>0</v>
      </c>
      <c r="P843" t="str">
        <f t="shared" si="150"/>
        <v/>
      </c>
      <c r="Q843" t="str">
        <f>IF(B843="","", IFERROR(VLOOKUP(B843, '基準資産配分（設定）'!$A$2:$C$2001, 3, FALSE), ""))</f>
        <v/>
      </c>
      <c r="R843" t="str">
        <f>IF(B843="","", IFERROR(VLOOKUP(B843, '基準資産配分（設定）'!$A$2:$C$2001, 2, FALSE)/100, 0))</f>
        <v/>
      </c>
      <c r="S843" t="str">
        <f>IF(B843="","", IFERROR(SUMIFS(ベンチマークリターン!$C$2:$C$2001, ベンチマークリターン!$A$2:$A$2001, A843, ベンチマークリターン!$B$2:$B$2001, Q843) / 100, 0))</f>
        <v/>
      </c>
      <c r="T843" t="str">
        <f>IF(A843="","", SUMIFS($H$2:$H$2000, $A$2:$A$2000, A843))</f>
        <v/>
      </c>
      <c r="U843" t="str">
        <f t="shared" si="151"/>
        <v/>
      </c>
      <c r="V843" t="str">
        <f t="shared" si="152"/>
        <v/>
      </c>
      <c r="W843" t="str">
        <f t="shared" si="153"/>
        <v/>
      </c>
    </row>
    <row r="844" spans="1:23" x14ac:dyDescent="0.2">
      <c r="A844" s="4" t="str">
        <f>IF(ポートフォリオ実績!A845="","", ポートフォリオ実績!A845)</f>
        <v/>
      </c>
      <c r="B844" t="str">
        <f>IF(ポートフォリオ実績!B845="","", ポートフォリオ実績!B845)</f>
        <v/>
      </c>
      <c r="C844" s="10" t="str">
        <f>IF(ポートフォリオ実績!C845="","", ポートフォリオ実績!C845)</f>
        <v/>
      </c>
      <c r="D844" s="10" t="str">
        <f>IF(ポートフォリオ実績!D845="","", ポートフォリオ実績!D845)</f>
        <v/>
      </c>
      <c r="E844" s="10" t="str">
        <f>IF(ポートフォリオ実績!E845="","", ポートフォリオ実績!E845)</f>
        <v/>
      </c>
      <c r="F844" s="10" t="str">
        <f>IF(ポートフォリオ実績!F845="","", ポートフォリオ実績!F845)</f>
        <v/>
      </c>
      <c r="G844" t="str">
        <f t="shared" si="143"/>
        <v/>
      </c>
      <c r="H844">
        <f>IF(B844&lt;&gt;"", SUMIFS(ポートフォリオ実績!$D$2:$D$2001, ポートフォリオ実績!$B$2:$B$2001, B844, ポートフォリオ実績!$A$2:$A$2001, G844), 0)</f>
        <v>0</v>
      </c>
      <c r="I844">
        <f>IF(B844&lt;&gt;"", SUMIFS(ポートフォリオ実績!$C$2:$C$2001, ポートフォリオ実績!$B$2:$B$2001, B844, ポートフォリオ実績!$A$2:$A$2001, G844), 0)</f>
        <v>0</v>
      </c>
      <c r="J844">
        <f t="shared" si="144"/>
        <v>0</v>
      </c>
      <c r="K844">
        <f t="shared" si="145"/>
        <v>0</v>
      </c>
      <c r="L844">
        <f t="shared" si="146"/>
        <v>0</v>
      </c>
      <c r="M844">
        <f t="shared" si="147"/>
        <v>0</v>
      </c>
      <c r="N844">
        <f t="shared" si="148"/>
        <v>0</v>
      </c>
      <c r="O844">
        <f t="shared" si="149"/>
        <v>0</v>
      </c>
      <c r="P844" t="str">
        <f t="shared" si="150"/>
        <v/>
      </c>
      <c r="Q844" t="str">
        <f>IF(B844="","", IFERROR(VLOOKUP(B844, '基準資産配分（設定）'!$A$2:$C$2001, 3, FALSE), ""))</f>
        <v/>
      </c>
      <c r="R844" t="str">
        <f>IF(B844="","", IFERROR(VLOOKUP(B844, '基準資産配分（設定）'!$A$2:$C$2001, 2, FALSE)/100, 0))</f>
        <v/>
      </c>
      <c r="S844" t="str">
        <f>IF(B844="","", IFERROR(SUMIFS(ベンチマークリターン!$C$2:$C$2001, ベンチマークリターン!$A$2:$A$2001, A844, ベンチマークリターン!$B$2:$B$2001, Q844) / 100, 0))</f>
        <v/>
      </c>
      <c r="T844" t="str">
        <f>IF(A844="","", SUMIFS($H$2:$H$2000, $A$2:$A$2000, A844))</f>
        <v/>
      </c>
      <c r="U844" t="str">
        <f t="shared" si="151"/>
        <v/>
      </c>
      <c r="V844" t="str">
        <f t="shared" si="152"/>
        <v/>
      </c>
      <c r="W844" t="str">
        <f t="shared" si="153"/>
        <v/>
      </c>
    </row>
    <row r="845" spans="1:23" x14ac:dyDescent="0.2">
      <c r="A845" s="4" t="str">
        <f>IF(ポートフォリオ実績!A846="","", ポートフォリオ実績!A846)</f>
        <v/>
      </c>
      <c r="B845" t="str">
        <f>IF(ポートフォリオ実績!B846="","", ポートフォリオ実績!B846)</f>
        <v/>
      </c>
      <c r="C845" s="10" t="str">
        <f>IF(ポートフォリオ実績!C846="","", ポートフォリオ実績!C846)</f>
        <v/>
      </c>
      <c r="D845" s="10" t="str">
        <f>IF(ポートフォリオ実績!D846="","", ポートフォリオ実績!D846)</f>
        <v/>
      </c>
      <c r="E845" s="10" t="str">
        <f>IF(ポートフォリオ実績!E846="","", ポートフォリオ実績!E846)</f>
        <v/>
      </c>
      <c r="F845" s="10" t="str">
        <f>IF(ポートフォリオ実績!F846="","", ポートフォリオ実績!F846)</f>
        <v/>
      </c>
      <c r="G845" t="str">
        <f t="shared" si="143"/>
        <v/>
      </c>
      <c r="H845">
        <f>IF(B845&lt;&gt;"", SUMIFS(ポートフォリオ実績!$D$2:$D$2001, ポートフォリオ実績!$B$2:$B$2001, B845, ポートフォリオ実績!$A$2:$A$2001, G845), 0)</f>
        <v>0</v>
      </c>
      <c r="I845">
        <f>IF(B845&lt;&gt;"", SUMIFS(ポートフォリオ実績!$C$2:$C$2001, ポートフォリオ実績!$B$2:$B$2001, B845, ポートフォリオ実績!$A$2:$A$2001, G845), 0)</f>
        <v>0</v>
      </c>
      <c r="J845">
        <f t="shared" si="144"/>
        <v>0</v>
      </c>
      <c r="K845">
        <f t="shared" si="145"/>
        <v>0</v>
      </c>
      <c r="L845">
        <f t="shared" si="146"/>
        <v>0</v>
      </c>
      <c r="M845">
        <f t="shared" si="147"/>
        <v>0</v>
      </c>
      <c r="N845">
        <f t="shared" si="148"/>
        <v>0</v>
      </c>
      <c r="O845">
        <f t="shared" si="149"/>
        <v>0</v>
      </c>
      <c r="P845" t="str">
        <f t="shared" si="150"/>
        <v/>
      </c>
      <c r="Q845" t="str">
        <f>IF(B845="","", IFERROR(VLOOKUP(B845, '基準資産配分（設定）'!$A$2:$C$2001, 3, FALSE), ""))</f>
        <v/>
      </c>
      <c r="R845" t="str">
        <f>IF(B845="","", IFERROR(VLOOKUP(B845, '基準資産配分（設定）'!$A$2:$C$2001, 2, FALSE)/100, 0))</f>
        <v/>
      </c>
      <c r="S845" t="str">
        <f>IF(B845="","", IFERROR(SUMIFS(ベンチマークリターン!$C$2:$C$2001, ベンチマークリターン!$A$2:$A$2001, A845, ベンチマークリターン!$B$2:$B$2001, Q845) / 100, 0))</f>
        <v/>
      </c>
      <c r="T845" t="str">
        <f>IF(A845="","", SUMIFS($H$2:$H$2000, $A$2:$A$2000, A845))</f>
        <v/>
      </c>
      <c r="U845" t="str">
        <f t="shared" si="151"/>
        <v/>
      </c>
      <c r="V845" t="str">
        <f t="shared" si="152"/>
        <v/>
      </c>
      <c r="W845" t="str">
        <f t="shared" si="153"/>
        <v/>
      </c>
    </row>
    <row r="846" spans="1:23" x14ac:dyDescent="0.2">
      <c r="A846" s="4" t="str">
        <f>IF(ポートフォリオ実績!A847="","", ポートフォリオ実績!A847)</f>
        <v/>
      </c>
      <c r="B846" t="str">
        <f>IF(ポートフォリオ実績!B847="","", ポートフォリオ実績!B847)</f>
        <v/>
      </c>
      <c r="C846" s="10" t="str">
        <f>IF(ポートフォリオ実績!C847="","", ポートフォリオ実績!C847)</f>
        <v/>
      </c>
      <c r="D846" s="10" t="str">
        <f>IF(ポートフォリオ実績!D847="","", ポートフォリオ実績!D847)</f>
        <v/>
      </c>
      <c r="E846" s="10" t="str">
        <f>IF(ポートフォリオ実績!E847="","", ポートフォリオ実績!E847)</f>
        <v/>
      </c>
      <c r="F846" s="10" t="str">
        <f>IF(ポートフォリオ実績!F847="","", ポートフォリオ実績!F847)</f>
        <v/>
      </c>
      <c r="G846" t="str">
        <f t="shared" si="143"/>
        <v/>
      </c>
      <c r="H846">
        <f>IF(B846&lt;&gt;"", SUMIFS(ポートフォリオ実績!$D$2:$D$2001, ポートフォリオ実績!$B$2:$B$2001, B846, ポートフォリオ実績!$A$2:$A$2001, G846), 0)</f>
        <v>0</v>
      </c>
      <c r="I846">
        <f>IF(B846&lt;&gt;"", SUMIFS(ポートフォリオ実績!$C$2:$C$2001, ポートフォリオ実績!$B$2:$B$2001, B846, ポートフォリオ実績!$A$2:$A$2001, G846), 0)</f>
        <v>0</v>
      </c>
      <c r="J846">
        <f t="shared" si="144"/>
        <v>0</v>
      </c>
      <c r="K846">
        <f t="shared" si="145"/>
        <v>0</v>
      </c>
      <c r="L846">
        <f t="shared" si="146"/>
        <v>0</v>
      </c>
      <c r="M846">
        <f t="shared" si="147"/>
        <v>0</v>
      </c>
      <c r="N846">
        <f t="shared" si="148"/>
        <v>0</v>
      </c>
      <c r="O846">
        <f t="shared" si="149"/>
        <v>0</v>
      </c>
      <c r="P846" t="str">
        <f t="shared" si="150"/>
        <v/>
      </c>
      <c r="Q846" t="str">
        <f>IF(B846="","", IFERROR(VLOOKUP(B846, '基準資産配分（設定）'!$A$2:$C$2001, 3, FALSE), ""))</f>
        <v/>
      </c>
      <c r="R846" t="str">
        <f>IF(B846="","", IFERROR(VLOOKUP(B846, '基準資産配分（設定）'!$A$2:$C$2001, 2, FALSE)/100, 0))</f>
        <v/>
      </c>
      <c r="S846" t="str">
        <f>IF(B846="","", IFERROR(SUMIFS(ベンチマークリターン!$C$2:$C$2001, ベンチマークリターン!$A$2:$A$2001, A846, ベンチマークリターン!$B$2:$B$2001, Q846) / 100, 0))</f>
        <v/>
      </c>
      <c r="T846" t="str">
        <f>IF(A846="","", SUMIFS($H$2:$H$2000, $A$2:$A$2000, A846))</f>
        <v/>
      </c>
      <c r="U846" t="str">
        <f t="shared" si="151"/>
        <v/>
      </c>
      <c r="V846" t="str">
        <f t="shared" si="152"/>
        <v/>
      </c>
      <c r="W846" t="str">
        <f t="shared" si="153"/>
        <v/>
      </c>
    </row>
    <row r="847" spans="1:23" x14ac:dyDescent="0.2">
      <c r="A847" s="4" t="str">
        <f>IF(ポートフォリオ実績!A848="","", ポートフォリオ実績!A848)</f>
        <v/>
      </c>
      <c r="B847" t="str">
        <f>IF(ポートフォリオ実績!B848="","", ポートフォリオ実績!B848)</f>
        <v/>
      </c>
      <c r="C847" s="10" t="str">
        <f>IF(ポートフォリオ実績!C848="","", ポートフォリオ実績!C848)</f>
        <v/>
      </c>
      <c r="D847" s="10" t="str">
        <f>IF(ポートフォリオ実績!D848="","", ポートフォリオ実績!D848)</f>
        <v/>
      </c>
      <c r="E847" s="10" t="str">
        <f>IF(ポートフォリオ実績!E848="","", ポートフォリオ実績!E848)</f>
        <v/>
      </c>
      <c r="F847" s="10" t="str">
        <f>IF(ポートフォリオ実績!F848="","", ポートフォリオ実績!F848)</f>
        <v/>
      </c>
      <c r="G847" t="str">
        <f t="shared" si="143"/>
        <v/>
      </c>
      <c r="H847">
        <f>IF(B847&lt;&gt;"", SUMIFS(ポートフォリオ実績!$D$2:$D$2001, ポートフォリオ実績!$B$2:$B$2001, B847, ポートフォリオ実績!$A$2:$A$2001, G847), 0)</f>
        <v>0</v>
      </c>
      <c r="I847">
        <f>IF(B847&lt;&gt;"", SUMIFS(ポートフォリオ実績!$C$2:$C$2001, ポートフォリオ実績!$B$2:$B$2001, B847, ポートフォリオ実績!$A$2:$A$2001, G847), 0)</f>
        <v>0</v>
      </c>
      <c r="J847">
        <f t="shared" si="144"/>
        <v>0</v>
      </c>
      <c r="K847">
        <f t="shared" si="145"/>
        <v>0</v>
      </c>
      <c r="L847">
        <f t="shared" si="146"/>
        <v>0</v>
      </c>
      <c r="M847">
        <f t="shared" si="147"/>
        <v>0</v>
      </c>
      <c r="N847">
        <f t="shared" si="148"/>
        <v>0</v>
      </c>
      <c r="O847">
        <f t="shared" si="149"/>
        <v>0</v>
      </c>
      <c r="P847" t="str">
        <f t="shared" si="150"/>
        <v/>
      </c>
      <c r="Q847" t="str">
        <f>IF(B847="","", IFERROR(VLOOKUP(B847, '基準資産配分（設定）'!$A$2:$C$2001, 3, FALSE), ""))</f>
        <v/>
      </c>
      <c r="R847" t="str">
        <f>IF(B847="","", IFERROR(VLOOKUP(B847, '基準資産配分（設定）'!$A$2:$C$2001, 2, FALSE)/100, 0))</f>
        <v/>
      </c>
      <c r="S847" t="str">
        <f>IF(B847="","", IFERROR(SUMIFS(ベンチマークリターン!$C$2:$C$2001, ベンチマークリターン!$A$2:$A$2001, A847, ベンチマークリターン!$B$2:$B$2001, Q847) / 100, 0))</f>
        <v/>
      </c>
      <c r="T847" t="str">
        <f>IF(A847="","", SUMIFS($H$2:$H$2000, $A$2:$A$2000, A847))</f>
        <v/>
      </c>
      <c r="U847" t="str">
        <f t="shared" si="151"/>
        <v/>
      </c>
      <c r="V847" t="str">
        <f t="shared" si="152"/>
        <v/>
      </c>
      <c r="W847" t="str">
        <f t="shared" si="153"/>
        <v/>
      </c>
    </row>
    <row r="848" spans="1:23" x14ac:dyDescent="0.2">
      <c r="A848" s="4" t="str">
        <f>IF(ポートフォリオ実績!A849="","", ポートフォリオ実績!A849)</f>
        <v/>
      </c>
      <c r="B848" t="str">
        <f>IF(ポートフォリオ実績!B849="","", ポートフォリオ実績!B849)</f>
        <v/>
      </c>
      <c r="C848" s="10" t="str">
        <f>IF(ポートフォリオ実績!C849="","", ポートフォリオ実績!C849)</f>
        <v/>
      </c>
      <c r="D848" s="10" t="str">
        <f>IF(ポートフォリオ実績!D849="","", ポートフォリオ実績!D849)</f>
        <v/>
      </c>
      <c r="E848" s="10" t="str">
        <f>IF(ポートフォリオ実績!E849="","", ポートフォリオ実績!E849)</f>
        <v/>
      </c>
      <c r="F848" s="10" t="str">
        <f>IF(ポートフォリオ実績!F849="","", ポートフォリオ実績!F849)</f>
        <v/>
      </c>
      <c r="G848" t="str">
        <f t="shared" si="143"/>
        <v/>
      </c>
      <c r="H848">
        <f>IF(B848&lt;&gt;"", SUMIFS(ポートフォリオ実績!$D$2:$D$2001, ポートフォリオ実績!$B$2:$B$2001, B848, ポートフォリオ実績!$A$2:$A$2001, G848), 0)</f>
        <v>0</v>
      </c>
      <c r="I848">
        <f>IF(B848&lt;&gt;"", SUMIFS(ポートフォリオ実績!$C$2:$C$2001, ポートフォリオ実績!$B$2:$B$2001, B848, ポートフォリオ実績!$A$2:$A$2001, G848), 0)</f>
        <v>0</v>
      </c>
      <c r="J848">
        <f t="shared" si="144"/>
        <v>0</v>
      </c>
      <c r="K848">
        <f t="shared" si="145"/>
        <v>0</v>
      </c>
      <c r="L848">
        <f t="shared" si="146"/>
        <v>0</v>
      </c>
      <c r="M848">
        <f t="shared" si="147"/>
        <v>0</v>
      </c>
      <c r="N848">
        <f t="shared" si="148"/>
        <v>0</v>
      </c>
      <c r="O848">
        <f t="shared" si="149"/>
        <v>0</v>
      </c>
      <c r="P848" t="str">
        <f t="shared" si="150"/>
        <v/>
      </c>
      <c r="Q848" t="str">
        <f>IF(B848="","", IFERROR(VLOOKUP(B848, '基準資産配分（設定）'!$A$2:$C$2001, 3, FALSE), ""))</f>
        <v/>
      </c>
      <c r="R848" t="str">
        <f>IF(B848="","", IFERROR(VLOOKUP(B848, '基準資産配分（設定）'!$A$2:$C$2001, 2, FALSE)/100, 0))</f>
        <v/>
      </c>
      <c r="S848" t="str">
        <f>IF(B848="","", IFERROR(SUMIFS(ベンチマークリターン!$C$2:$C$2001, ベンチマークリターン!$A$2:$A$2001, A848, ベンチマークリターン!$B$2:$B$2001, Q848) / 100, 0))</f>
        <v/>
      </c>
      <c r="T848" t="str">
        <f>IF(A848="","", SUMIFS($H$2:$H$2000, $A$2:$A$2000, A848))</f>
        <v/>
      </c>
      <c r="U848" t="str">
        <f t="shared" si="151"/>
        <v/>
      </c>
      <c r="V848" t="str">
        <f t="shared" si="152"/>
        <v/>
      </c>
      <c r="W848" t="str">
        <f t="shared" si="153"/>
        <v/>
      </c>
    </row>
    <row r="849" spans="1:23" x14ac:dyDescent="0.2">
      <c r="A849" s="4" t="str">
        <f>IF(ポートフォリオ実績!A850="","", ポートフォリオ実績!A850)</f>
        <v/>
      </c>
      <c r="B849" t="str">
        <f>IF(ポートフォリオ実績!B850="","", ポートフォリオ実績!B850)</f>
        <v/>
      </c>
      <c r="C849" s="10" t="str">
        <f>IF(ポートフォリオ実績!C850="","", ポートフォリオ実績!C850)</f>
        <v/>
      </c>
      <c r="D849" s="10" t="str">
        <f>IF(ポートフォリオ実績!D850="","", ポートフォリオ実績!D850)</f>
        <v/>
      </c>
      <c r="E849" s="10" t="str">
        <f>IF(ポートフォリオ実績!E850="","", ポートフォリオ実績!E850)</f>
        <v/>
      </c>
      <c r="F849" s="10" t="str">
        <f>IF(ポートフォリオ実績!F850="","", ポートフォリオ実績!F850)</f>
        <v/>
      </c>
      <c r="G849" t="str">
        <f t="shared" si="143"/>
        <v/>
      </c>
      <c r="H849">
        <f>IF(B849&lt;&gt;"", SUMIFS(ポートフォリオ実績!$D$2:$D$2001, ポートフォリオ実績!$B$2:$B$2001, B849, ポートフォリオ実績!$A$2:$A$2001, G849), 0)</f>
        <v>0</v>
      </c>
      <c r="I849">
        <f>IF(B849&lt;&gt;"", SUMIFS(ポートフォリオ実績!$C$2:$C$2001, ポートフォリオ実績!$B$2:$B$2001, B849, ポートフォリオ実績!$A$2:$A$2001, G849), 0)</f>
        <v>0</v>
      </c>
      <c r="J849">
        <f t="shared" si="144"/>
        <v>0</v>
      </c>
      <c r="K849">
        <f t="shared" si="145"/>
        <v>0</v>
      </c>
      <c r="L849">
        <f t="shared" si="146"/>
        <v>0</v>
      </c>
      <c r="M849">
        <f t="shared" si="147"/>
        <v>0</v>
      </c>
      <c r="N849">
        <f t="shared" si="148"/>
        <v>0</v>
      </c>
      <c r="O849">
        <f t="shared" si="149"/>
        <v>0</v>
      </c>
      <c r="P849" t="str">
        <f t="shared" si="150"/>
        <v/>
      </c>
      <c r="Q849" t="str">
        <f>IF(B849="","", IFERROR(VLOOKUP(B849, '基準資産配分（設定）'!$A$2:$C$2001, 3, FALSE), ""))</f>
        <v/>
      </c>
      <c r="R849" t="str">
        <f>IF(B849="","", IFERROR(VLOOKUP(B849, '基準資産配分（設定）'!$A$2:$C$2001, 2, FALSE)/100, 0))</f>
        <v/>
      </c>
      <c r="S849" t="str">
        <f>IF(B849="","", IFERROR(SUMIFS(ベンチマークリターン!$C$2:$C$2001, ベンチマークリターン!$A$2:$A$2001, A849, ベンチマークリターン!$B$2:$B$2001, Q849) / 100, 0))</f>
        <v/>
      </c>
      <c r="T849" t="str">
        <f>IF(A849="","", SUMIFS($H$2:$H$2000, $A$2:$A$2000, A849))</f>
        <v/>
      </c>
      <c r="U849" t="str">
        <f t="shared" si="151"/>
        <v/>
      </c>
      <c r="V849" t="str">
        <f t="shared" si="152"/>
        <v/>
      </c>
      <c r="W849" t="str">
        <f t="shared" si="153"/>
        <v/>
      </c>
    </row>
    <row r="850" spans="1:23" x14ac:dyDescent="0.2">
      <c r="A850" s="4" t="str">
        <f>IF(ポートフォリオ実績!A851="","", ポートフォリオ実績!A851)</f>
        <v/>
      </c>
      <c r="B850" t="str">
        <f>IF(ポートフォリオ実績!B851="","", ポートフォリオ実績!B851)</f>
        <v/>
      </c>
      <c r="C850" s="10" t="str">
        <f>IF(ポートフォリオ実績!C851="","", ポートフォリオ実績!C851)</f>
        <v/>
      </c>
      <c r="D850" s="10" t="str">
        <f>IF(ポートフォリオ実績!D851="","", ポートフォリオ実績!D851)</f>
        <v/>
      </c>
      <c r="E850" s="10" t="str">
        <f>IF(ポートフォリオ実績!E851="","", ポートフォリオ実績!E851)</f>
        <v/>
      </c>
      <c r="F850" s="10" t="str">
        <f>IF(ポートフォリオ実績!F851="","", ポートフォリオ実績!F851)</f>
        <v/>
      </c>
      <c r="G850" t="str">
        <f t="shared" si="143"/>
        <v/>
      </c>
      <c r="H850">
        <f>IF(B850&lt;&gt;"", SUMIFS(ポートフォリオ実績!$D$2:$D$2001, ポートフォリオ実績!$B$2:$B$2001, B850, ポートフォリオ実績!$A$2:$A$2001, G850), 0)</f>
        <v>0</v>
      </c>
      <c r="I850">
        <f>IF(B850&lt;&gt;"", SUMIFS(ポートフォリオ実績!$C$2:$C$2001, ポートフォリオ実績!$B$2:$B$2001, B850, ポートフォリオ実績!$A$2:$A$2001, G850), 0)</f>
        <v>0</v>
      </c>
      <c r="J850">
        <f t="shared" si="144"/>
        <v>0</v>
      </c>
      <c r="K850">
        <f t="shared" si="145"/>
        <v>0</v>
      </c>
      <c r="L850">
        <f t="shared" si="146"/>
        <v>0</v>
      </c>
      <c r="M850">
        <f t="shared" si="147"/>
        <v>0</v>
      </c>
      <c r="N850">
        <f t="shared" si="148"/>
        <v>0</v>
      </c>
      <c r="O850">
        <f t="shared" si="149"/>
        <v>0</v>
      </c>
      <c r="P850" t="str">
        <f t="shared" si="150"/>
        <v/>
      </c>
      <c r="Q850" t="str">
        <f>IF(B850="","", IFERROR(VLOOKUP(B850, '基準資産配分（設定）'!$A$2:$C$2001, 3, FALSE), ""))</f>
        <v/>
      </c>
      <c r="R850" t="str">
        <f>IF(B850="","", IFERROR(VLOOKUP(B850, '基準資産配分（設定）'!$A$2:$C$2001, 2, FALSE)/100, 0))</f>
        <v/>
      </c>
      <c r="S850" t="str">
        <f>IF(B850="","", IFERROR(SUMIFS(ベンチマークリターン!$C$2:$C$2001, ベンチマークリターン!$A$2:$A$2001, A850, ベンチマークリターン!$B$2:$B$2001, Q850) / 100, 0))</f>
        <v/>
      </c>
      <c r="T850" t="str">
        <f>IF(A850="","", SUMIFS($H$2:$H$2000, $A$2:$A$2000, A850))</f>
        <v/>
      </c>
      <c r="U850" t="str">
        <f t="shared" si="151"/>
        <v/>
      </c>
      <c r="V850" t="str">
        <f t="shared" si="152"/>
        <v/>
      </c>
      <c r="W850" t="str">
        <f t="shared" si="153"/>
        <v/>
      </c>
    </row>
    <row r="851" spans="1:23" x14ac:dyDescent="0.2">
      <c r="A851" s="4" t="str">
        <f>IF(ポートフォリオ実績!A852="","", ポートフォリオ実績!A852)</f>
        <v/>
      </c>
      <c r="B851" t="str">
        <f>IF(ポートフォリオ実績!B852="","", ポートフォリオ実績!B852)</f>
        <v/>
      </c>
      <c r="C851" s="10" t="str">
        <f>IF(ポートフォリオ実績!C852="","", ポートフォリオ実績!C852)</f>
        <v/>
      </c>
      <c r="D851" s="10" t="str">
        <f>IF(ポートフォリオ実績!D852="","", ポートフォリオ実績!D852)</f>
        <v/>
      </c>
      <c r="E851" s="10" t="str">
        <f>IF(ポートフォリオ実績!E852="","", ポートフォリオ実績!E852)</f>
        <v/>
      </c>
      <c r="F851" s="10" t="str">
        <f>IF(ポートフォリオ実績!F852="","", ポートフォリオ実績!F852)</f>
        <v/>
      </c>
      <c r="G851" t="str">
        <f t="shared" si="143"/>
        <v/>
      </c>
      <c r="H851">
        <f>IF(B851&lt;&gt;"", SUMIFS(ポートフォリオ実績!$D$2:$D$2001, ポートフォリオ実績!$B$2:$B$2001, B851, ポートフォリオ実績!$A$2:$A$2001, G851), 0)</f>
        <v>0</v>
      </c>
      <c r="I851">
        <f>IF(B851&lt;&gt;"", SUMIFS(ポートフォリオ実績!$C$2:$C$2001, ポートフォリオ実績!$B$2:$B$2001, B851, ポートフォリオ実績!$A$2:$A$2001, G851), 0)</f>
        <v>0</v>
      </c>
      <c r="J851">
        <f t="shared" si="144"/>
        <v>0</v>
      </c>
      <c r="K851">
        <f t="shared" si="145"/>
        <v>0</v>
      </c>
      <c r="L851">
        <f t="shared" si="146"/>
        <v>0</v>
      </c>
      <c r="M851">
        <f t="shared" si="147"/>
        <v>0</v>
      </c>
      <c r="N851">
        <f t="shared" si="148"/>
        <v>0</v>
      </c>
      <c r="O851">
        <f t="shared" si="149"/>
        <v>0</v>
      </c>
      <c r="P851" t="str">
        <f t="shared" si="150"/>
        <v/>
      </c>
      <c r="Q851" t="str">
        <f>IF(B851="","", IFERROR(VLOOKUP(B851, '基準資産配分（設定）'!$A$2:$C$2001, 3, FALSE), ""))</f>
        <v/>
      </c>
      <c r="R851" t="str">
        <f>IF(B851="","", IFERROR(VLOOKUP(B851, '基準資産配分（設定）'!$A$2:$C$2001, 2, FALSE)/100, 0))</f>
        <v/>
      </c>
      <c r="S851" t="str">
        <f>IF(B851="","", IFERROR(SUMIFS(ベンチマークリターン!$C$2:$C$2001, ベンチマークリターン!$A$2:$A$2001, A851, ベンチマークリターン!$B$2:$B$2001, Q851) / 100, 0))</f>
        <v/>
      </c>
      <c r="T851" t="str">
        <f>IF(A851="","", SUMIFS($H$2:$H$2000, $A$2:$A$2000, A851))</f>
        <v/>
      </c>
      <c r="U851" t="str">
        <f t="shared" si="151"/>
        <v/>
      </c>
      <c r="V851" t="str">
        <f t="shared" si="152"/>
        <v/>
      </c>
      <c r="W851" t="str">
        <f t="shared" si="153"/>
        <v/>
      </c>
    </row>
    <row r="852" spans="1:23" x14ac:dyDescent="0.2">
      <c r="A852" s="4" t="str">
        <f>IF(ポートフォリオ実績!A853="","", ポートフォリオ実績!A853)</f>
        <v/>
      </c>
      <c r="B852" t="str">
        <f>IF(ポートフォリオ実績!B853="","", ポートフォリオ実績!B853)</f>
        <v/>
      </c>
      <c r="C852" s="10" t="str">
        <f>IF(ポートフォリオ実績!C853="","", ポートフォリオ実績!C853)</f>
        <v/>
      </c>
      <c r="D852" s="10" t="str">
        <f>IF(ポートフォリオ実績!D853="","", ポートフォリオ実績!D853)</f>
        <v/>
      </c>
      <c r="E852" s="10" t="str">
        <f>IF(ポートフォリオ実績!E853="","", ポートフォリオ実績!E853)</f>
        <v/>
      </c>
      <c r="F852" s="10" t="str">
        <f>IF(ポートフォリオ実績!F853="","", ポートフォリオ実績!F853)</f>
        <v/>
      </c>
      <c r="G852" t="str">
        <f t="shared" si="143"/>
        <v/>
      </c>
      <c r="H852">
        <f>IF(B852&lt;&gt;"", SUMIFS(ポートフォリオ実績!$D$2:$D$2001, ポートフォリオ実績!$B$2:$B$2001, B852, ポートフォリオ実績!$A$2:$A$2001, G852), 0)</f>
        <v>0</v>
      </c>
      <c r="I852">
        <f>IF(B852&lt;&gt;"", SUMIFS(ポートフォリオ実績!$C$2:$C$2001, ポートフォリオ実績!$B$2:$B$2001, B852, ポートフォリオ実績!$A$2:$A$2001, G852), 0)</f>
        <v>0</v>
      </c>
      <c r="J852">
        <f t="shared" si="144"/>
        <v>0</v>
      </c>
      <c r="K852">
        <f t="shared" si="145"/>
        <v>0</v>
      </c>
      <c r="L852">
        <f t="shared" si="146"/>
        <v>0</v>
      </c>
      <c r="M852">
        <f t="shared" si="147"/>
        <v>0</v>
      </c>
      <c r="N852">
        <f t="shared" si="148"/>
        <v>0</v>
      </c>
      <c r="O852">
        <f t="shared" si="149"/>
        <v>0</v>
      </c>
      <c r="P852" t="str">
        <f t="shared" si="150"/>
        <v/>
      </c>
      <c r="Q852" t="str">
        <f>IF(B852="","", IFERROR(VLOOKUP(B852, '基準資産配分（設定）'!$A$2:$C$2001, 3, FALSE), ""))</f>
        <v/>
      </c>
      <c r="R852" t="str">
        <f>IF(B852="","", IFERROR(VLOOKUP(B852, '基準資産配分（設定）'!$A$2:$C$2001, 2, FALSE)/100, 0))</f>
        <v/>
      </c>
      <c r="S852" t="str">
        <f>IF(B852="","", IFERROR(SUMIFS(ベンチマークリターン!$C$2:$C$2001, ベンチマークリターン!$A$2:$A$2001, A852, ベンチマークリターン!$B$2:$B$2001, Q852) / 100, 0))</f>
        <v/>
      </c>
      <c r="T852" t="str">
        <f>IF(A852="","", SUMIFS($H$2:$H$2000, $A$2:$A$2000, A852))</f>
        <v/>
      </c>
      <c r="U852" t="str">
        <f t="shared" si="151"/>
        <v/>
      </c>
      <c r="V852" t="str">
        <f t="shared" si="152"/>
        <v/>
      </c>
      <c r="W852" t="str">
        <f t="shared" si="153"/>
        <v/>
      </c>
    </row>
    <row r="853" spans="1:23" x14ac:dyDescent="0.2">
      <c r="A853" s="4" t="str">
        <f>IF(ポートフォリオ実績!A854="","", ポートフォリオ実績!A854)</f>
        <v/>
      </c>
      <c r="B853" t="str">
        <f>IF(ポートフォリオ実績!B854="","", ポートフォリオ実績!B854)</f>
        <v/>
      </c>
      <c r="C853" s="10" t="str">
        <f>IF(ポートフォリオ実績!C854="","", ポートフォリオ実績!C854)</f>
        <v/>
      </c>
      <c r="D853" s="10" t="str">
        <f>IF(ポートフォリオ実績!D854="","", ポートフォリオ実績!D854)</f>
        <v/>
      </c>
      <c r="E853" s="10" t="str">
        <f>IF(ポートフォリオ実績!E854="","", ポートフォリオ実績!E854)</f>
        <v/>
      </c>
      <c r="F853" s="10" t="str">
        <f>IF(ポートフォリオ実績!F854="","", ポートフォリオ実績!F854)</f>
        <v/>
      </c>
      <c r="G853" t="str">
        <f t="shared" si="143"/>
        <v/>
      </c>
      <c r="H853">
        <f>IF(B853&lt;&gt;"", SUMIFS(ポートフォリオ実績!$D$2:$D$2001, ポートフォリオ実績!$B$2:$B$2001, B853, ポートフォリオ実績!$A$2:$A$2001, G853), 0)</f>
        <v>0</v>
      </c>
      <c r="I853">
        <f>IF(B853&lt;&gt;"", SUMIFS(ポートフォリオ実績!$C$2:$C$2001, ポートフォリオ実績!$B$2:$B$2001, B853, ポートフォリオ実績!$A$2:$A$2001, G853), 0)</f>
        <v>0</v>
      </c>
      <c r="J853">
        <f t="shared" si="144"/>
        <v>0</v>
      </c>
      <c r="K853">
        <f t="shared" si="145"/>
        <v>0</v>
      </c>
      <c r="L853">
        <f t="shared" si="146"/>
        <v>0</v>
      </c>
      <c r="M853">
        <f t="shared" si="147"/>
        <v>0</v>
      </c>
      <c r="N853">
        <f t="shared" si="148"/>
        <v>0</v>
      </c>
      <c r="O853">
        <f t="shared" si="149"/>
        <v>0</v>
      </c>
      <c r="P853" t="str">
        <f t="shared" si="150"/>
        <v/>
      </c>
      <c r="Q853" t="str">
        <f>IF(B853="","", IFERROR(VLOOKUP(B853, '基準資産配分（設定）'!$A$2:$C$2001, 3, FALSE), ""))</f>
        <v/>
      </c>
      <c r="R853" t="str">
        <f>IF(B853="","", IFERROR(VLOOKUP(B853, '基準資産配分（設定）'!$A$2:$C$2001, 2, FALSE)/100, 0))</f>
        <v/>
      </c>
      <c r="S853" t="str">
        <f>IF(B853="","", IFERROR(SUMIFS(ベンチマークリターン!$C$2:$C$2001, ベンチマークリターン!$A$2:$A$2001, A853, ベンチマークリターン!$B$2:$B$2001, Q853) / 100, 0))</f>
        <v/>
      </c>
      <c r="T853" t="str">
        <f>IF(A853="","", SUMIFS($H$2:$H$2000, $A$2:$A$2000, A853))</f>
        <v/>
      </c>
      <c r="U853" t="str">
        <f t="shared" si="151"/>
        <v/>
      </c>
      <c r="V853" t="str">
        <f t="shared" si="152"/>
        <v/>
      </c>
      <c r="W853" t="str">
        <f t="shared" si="153"/>
        <v/>
      </c>
    </row>
    <row r="854" spans="1:23" x14ac:dyDescent="0.2">
      <c r="A854" s="4" t="str">
        <f>IF(ポートフォリオ実績!A855="","", ポートフォリオ実績!A855)</f>
        <v/>
      </c>
      <c r="B854" t="str">
        <f>IF(ポートフォリオ実績!B855="","", ポートフォリオ実績!B855)</f>
        <v/>
      </c>
      <c r="C854" s="10" t="str">
        <f>IF(ポートフォリオ実績!C855="","", ポートフォリオ実績!C855)</f>
        <v/>
      </c>
      <c r="D854" s="10" t="str">
        <f>IF(ポートフォリオ実績!D855="","", ポートフォリオ実績!D855)</f>
        <v/>
      </c>
      <c r="E854" s="10" t="str">
        <f>IF(ポートフォリオ実績!E855="","", ポートフォリオ実績!E855)</f>
        <v/>
      </c>
      <c r="F854" s="10" t="str">
        <f>IF(ポートフォリオ実績!F855="","", ポートフォリオ実績!F855)</f>
        <v/>
      </c>
      <c r="G854" t="str">
        <f t="shared" si="143"/>
        <v/>
      </c>
      <c r="H854">
        <f>IF(B854&lt;&gt;"", SUMIFS(ポートフォリオ実績!$D$2:$D$2001, ポートフォリオ実績!$B$2:$B$2001, B854, ポートフォリオ実績!$A$2:$A$2001, G854), 0)</f>
        <v>0</v>
      </c>
      <c r="I854">
        <f>IF(B854&lt;&gt;"", SUMIFS(ポートフォリオ実績!$C$2:$C$2001, ポートフォリオ実績!$B$2:$B$2001, B854, ポートフォリオ実績!$A$2:$A$2001, G854), 0)</f>
        <v>0</v>
      </c>
      <c r="J854">
        <f t="shared" si="144"/>
        <v>0</v>
      </c>
      <c r="K854">
        <f t="shared" si="145"/>
        <v>0</v>
      </c>
      <c r="L854">
        <f t="shared" si="146"/>
        <v>0</v>
      </c>
      <c r="M854">
        <f t="shared" si="147"/>
        <v>0</v>
      </c>
      <c r="N854">
        <f t="shared" si="148"/>
        <v>0</v>
      </c>
      <c r="O854">
        <f t="shared" si="149"/>
        <v>0</v>
      </c>
      <c r="P854" t="str">
        <f t="shared" si="150"/>
        <v/>
      </c>
      <c r="Q854" t="str">
        <f>IF(B854="","", IFERROR(VLOOKUP(B854, '基準資産配分（設定）'!$A$2:$C$2001, 3, FALSE), ""))</f>
        <v/>
      </c>
      <c r="R854" t="str">
        <f>IF(B854="","", IFERROR(VLOOKUP(B854, '基準資産配分（設定）'!$A$2:$C$2001, 2, FALSE)/100, 0))</f>
        <v/>
      </c>
      <c r="S854" t="str">
        <f>IF(B854="","", IFERROR(SUMIFS(ベンチマークリターン!$C$2:$C$2001, ベンチマークリターン!$A$2:$A$2001, A854, ベンチマークリターン!$B$2:$B$2001, Q854) / 100, 0))</f>
        <v/>
      </c>
      <c r="T854" t="str">
        <f>IF(A854="","", SUMIFS($H$2:$H$2000, $A$2:$A$2000, A854))</f>
        <v/>
      </c>
      <c r="U854" t="str">
        <f t="shared" si="151"/>
        <v/>
      </c>
      <c r="V854" t="str">
        <f t="shared" si="152"/>
        <v/>
      </c>
      <c r="W854" t="str">
        <f t="shared" si="153"/>
        <v/>
      </c>
    </row>
    <row r="855" spans="1:23" x14ac:dyDescent="0.2">
      <c r="A855" s="4" t="str">
        <f>IF(ポートフォリオ実績!A856="","", ポートフォリオ実績!A856)</f>
        <v/>
      </c>
      <c r="B855" t="str">
        <f>IF(ポートフォリオ実績!B856="","", ポートフォリオ実績!B856)</f>
        <v/>
      </c>
      <c r="C855" s="10" t="str">
        <f>IF(ポートフォリオ実績!C856="","", ポートフォリオ実績!C856)</f>
        <v/>
      </c>
      <c r="D855" s="10" t="str">
        <f>IF(ポートフォリオ実績!D856="","", ポートフォリオ実績!D856)</f>
        <v/>
      </c>
      <c r="E855" s="10" t="str">
        <f>IF(ポートフォリオ実績!E856="","", ポートフォリオ実績!E856)</f>
        <v/>
      </c>
      <c r="F855" s="10" t="str">
        <f>IF(ポートフォリオ実績!F856="","", ポートフォリオ実績!F856)</f>
        <v/>
      </c>
      <c r="G855" t="str">
        <f t="shared" si="143"/>
        <v/>
      </c>
      <c r="H855">
        <f>IF(B855&lt;&gt;"", SUMIFS(ポートフォリオ実績!$D$2:$D$2001, ポートフォリオ実績!$B$2:$B$2001, B855, ポートフォリオ実績!$A$2:$A$2001, G855), 0)</f>
        <v>0</v>
      </c>
      <c r="I855">
        <f>IF(B855&lt;&gt;"", SUMIFS(ポートフォリオ実績!$C$2:$C$2001, ポートフォリオ実績!$B$2:$B$2001, B855, ポートフォリオ実績!$A$2:$A$2001, G855), 0)</f>
        <v>0</v>
      </c>
      <c r="J855">
        <f t="shared" si="144"/>
        <v>0</v>
      </c>
      <c r="K855">
        <f t="shared" si="145"/>
        <v>0</v>
      </c>
      <c r="L855">
        <f t="shared" si="146"/>
        <v>0</v>
      </c>
      <c r="M855">
        <f t="shared" si="147"/>
        <v>0</v>
      </c>
      <c r="N855">
        <f t="shared" si="148"/>
        <v>0</v>
      </c>
      <c r="O855">
        <f t="shared" si="149"/>
        <v>0</v>
      </c>
      <c r="P855" t="str">
        <f t="shared" si="150"/>
        <v/>
      </c>
      <c r="Q855" t="str">
        <f>IF(B855="","", IFERROR(VLOOKUP(B855, '基準資産配分（設定）'!$A$2:$C$2001, 3, FALSE), ""))</f>
        <v/>
      </c>
      <c r="R855" t="str">
        <f>IF(B855="","", IFERROR(VLOOKUP(B855, '基準資産配分（設定）'!$A$2:$C$2001, 2, FALSE)/100, 0))</f>
        <v/>
      </c>
      <c r="S855" t="str">
        <f>IF(B855="","", IFERROR(SUMIFS(ベンチマークリターン!$C$2:$C$2001, ベンチマークリターン!$A$2:$A$2001, A855, ベンチマークリターン!$B$2:$B$2001, Q855) / 100, 0))</f>
        <v/>
      </c>
      <c r="T855" t="str">
        <f>IF(A855="","", SUMIFS($H$2:$H$2000, $A$2:$A$2000, A855))</f>
        <v/>
      </c>
      <c r="U855" t="str">
        <f t="shared" si="151"/>
        <v/>
      </c>
      <c r="V855" t="str">
        <f t="shared" si="152"/>
        <v/>
      </c>
      <c r="W855" t="str">
        <f t="shared" si="153"/>
        <v/>
      </c>
    </row>
    <row r="856" spans="1:23" x14ac:dyDescent="0.2">
      <c r="A856" s="4" t="str">
        <f>IF(ポートフォリオ実績!A857="","", ポートフォリオ実績!A857)</f>
        <v/>
      </c>
      <c r="B856" t="str">
        <f>IF(ポートフォリオ実績!B857="","", ポートフォリオ実績!B857)</f>
        <v/>
      </c>
      <c r="C856" s="10" t="str">
        <f>IF(ポートフォリオ実績!C857="","", ポートフォリオ実績!C857)</f>
        <v/>
      </c>
      <c r="D856" s="10" t="str">
        <f>IF(ポートフォリオ実績!D857="","", ポートフォリオ実績!D857)</f>
        <v/>
      </c>
      <c r="E856" s="10" t="str">
        <f>IF(ポートフォリオ実績!E857="","", ポートフォリオ実績!E857)</f>
        <v/>
      </c>
      <c r="F856" s="10" t="str">
        <f>IF(ポートフォリオ実績!F857="","", ポートフォリオ実績!F857)</f>
        <v/>
      </c>
      <c r="G856" t="str">
        <f t="shared" si="143"/>
        <v/>
      </c>
      <c r="H856">
        <f>IF(B856&lt;&gt;"", SUMIFS(ポートフォリオ実績!$D$2:$D$2001, ポートフォリオ実績!$B$2:$B$2001, B856, ポートフォリオ実績!$A$2:$A$2001, G856), 0)</f>
        <v>0</v>
      </c>
      <c r="I856">
        <f>IF(B856&lt;&gt;"", SUMIFS(ポートフォリオ実績!$C$2:$C$2001, ポートフォリオ実績!$B$2:$B$2001, B856, ポートフォリオ実績!$A$2:$A$2001, G856), 0)</f>
        <v>0</v>
      </c>
      <c r="J856">
        <f t="shared" si="144"/>
        <v>0</v>
      </c>
      <c r="K856">
        <f t="shared" si="145"/>
        <v>0</v>
      </c>
      <c r="L856">
        <f t="shared" si="146"/>
        <v>0</v>
      </c>
      <c r="M856">
        <f t="shared" si="147"/>
        <v>0</v>
      </c>
      <c r="N856">
        <f t="shared" si="148"/>
        <v>0</v>
      </c>
      <c r="O856">
        <f t="shared" si="149"/>
        <v>0</v>
      </c>
      <c r="P856" t="str">
        <f t="shared" si="150"/>
        <v/>
      </c>
      <c r="Q856" t="str">
        <f>IF(B856="","", IFERROR(VLOOKUP(B856, '基準資産配分（設定）'!$A$2:$C$2001, 3, FALSE), ""))</f>
        <v/>
      </c>
      <c r="R856" t="str">
        <f>IF(B856="","", IFERROR(VLOOKUP(B856, '基準資産配分（設定）'!$A$2:$C$2001, 2, FALSE)/100, 0))</f>
        <v/>
      </c>
      <c r="S856" t="str">
        <f>IF(B856="","", IFERROR(SUMIFS(ベンチマークリターン!$C$2:$C$2001, ベンチマークリターン!$A$2:$A$2001, A856, ベンチマークリターン!$B$2:$B$2001, Q856) / 100, 0))</f>
        <v/>
      </c>
      <c r="T856" t="str">
        <f>IF(A856="","", SUMIFS($H$2:$H$2000, $A$2:$A$2000, A856))</f>
        <v/>
      </c>
      <c r="U856" t="str">
        <f t="shared" si="151"/>
        <v/>
      </c>
      <c r="V856" t="str">
        <f t="shared" si="152"/>
        <v/>
      </c>
      <c r="W856" t="str">
        <f t="shared" si="153"/>
        <v/>
      </c>
    </row>
    <row r="857" spans="1:23" x14ac:dyDescent="0.2">
      <c r="A857" s="4" t="str">
        <f>IF(ポートフォリオ実績!A858="","", ポートフォリオ実績!A858)</f>
        <v/>
      </c>
      <c r="B857" t="str">
        <f>IF(ポートフォリオ実績!B858="","", ポートフォリオ実績!B858)</f>
        <v/>
      </c>
      <c r="C857" s="10" t="str">
        <f>IF(ポートフォリオ実績!C858="","", ポートフォリオ実績!C858)</f>
        <v/>
      </c>
      <c r="D857" s="10" t="str">
        <f>IF(ポートフォリオ実績!D858="","", ポートフォリオ実績!D858)</f>
        <v/>
      </c>
      <c r="E857" s="10" t="str">
        <f>IF(ポートフォリオ実績!E858="","", ポートフォリオ実績!E858)</f>
        <v/>
      </c>
      <c r="F857" s="10" t="str">
        <f>IF(ポートフォリオ実績!F858="","", ポートフォリオ実績!F858)</f>
        <v/>
      </c>
      <c r="G857" t="str">
        <f t="shared" si="143"/>
        <v/>
      </c>
      <c r="H857">
        <f>IF(B857&lt;&gt;"", SUMIFS(ポートフォリオ実績!$D$2:$D$2001, ポートフォリオ実績!$B$2:$B$2001, B857, ポートフォリオ実績!$A$2:$A$2001, G857), 0)</f>
        <v>0</v>
      </c>
      <c r="I857">
        <f>IF(B857&lt;&gt;"", SUMIFS(ポートフォリオ実績!$C$2:$C$2001, ポートフォリオ実績!$B$2:$B$2001, B857, ポートフォリオ実績!$A$2:$A$2001, G857), 0)</f>
        <v>0</v>
      </c>
      <c r="J857">
        <f t="shared" si="144"/>
        <v>0</v>
      </c>
      <c r="K857">
        <f t="shared" si="145"/>
        <v>0</v>
      </c>
      <c r="L857">
        <f t="shared" si="146"/>
        <v>0</v>
      </c>
      <c r="M857">
        <f t="shared" si="147"/>
        <v>0</v>
      </c>
      <c r="N857">
        <f t="shared" si="148"/>
        <v>0</v>
      </c>
      <c r="O857">
        <f t="shared" si="149"/>
        <v>0</v>
      </c>
      <c r="P857" t="str">
        <f t="shared" si="150"/>
        <v/>
      </c>
      <c r="Q857" t="str">
        <f>IF(B857="","", IFERROR(VLOOKUP(B857, '基準資産配分（設定）'!$A$2:$C$2001, 3, FALSE), ""))</f>
        <v/>
      </c>
      <c r="R857" t="str">
        <f>IF(B857="","", IFERROR(VLOOKUP(B857, '基準資産配分（設定）'!$A$2:$C$2001, 2, FALSE)/100, 0))</f>
        <v/>
      </c>
      <c r="S857" t="str">
        <f>IF(B857="","", IFERROR(SUMIFS(ベンチマークリターン!$C$2:$C$2001, ベンチマークリターン!$A$2:$A$2001, A857, ベンチマークリターン!$B$2:$B$2001, Q857) / 100, 0))</f>
        <v/>
      </c>
      <c r="T857" t="str">
        <f>IF(A857="","", SUMIFS($H$2:$H$2000, $A$2:$A$2000, A857))</f>
        <v/>
      </c>
      <c r="U857" t="str">
        <f t="shared" si="151"/>
        <v/>
      </c>
      <c r="V857" t="str">
        <f t="shared" si="152"/>
        <v/>
      </c>
      <c r="W857" t="str">
        <f t="shared" si="153"/>
        <v/>
      </c>
    </row>
    <row r="858" spans="1:23" x14ac:dyDescent="0.2">
      <c r="A858" s="4" t="str">
        <f>IF(ポートフォリオ実績!A859="","", ポートフォリオ実績!A859)</f>
        <v/>
      </c>
      <c r="B858" t="str">
        <f>IF(ポートフォリオ実績!B859="","", ポートフォリオ実績!B859)</f>
        <v/>
      </c>
      <c r="C858" s="10" t="str">
        <f>IF(ポートフォリオ実績!C859="","", ポートフォリオ実績!C859)</f>
        <v/>
      </c>
      <c r="D858" s="10" t="str">
        <f>IF(ポートフォリオ実績!D859="","", ポートフォリオ実績!D859)</f>
        <v/>
      </c>
      <c r="E858" s="10" t="str">
        <f>IF(ポートフォリオ実績!E859="","", ポートフォリオ実績!E859)</f>
        <v/>
      </c>
      <c r="F858" s="10" t="str">
        <f>IF(ポートフォリオ実績!F859="","", ポートフォリオ実績!F859)</f>
        <v/>
      </c>
      <c r="G858" t="str">
        <f t="shared" si="143"/>
        <v/>
      </c>
      <c r="H858">
        <f>IF(B858&lt;&gt;"", SUMIFS(ポートフォリオ実績!$D$2:$D$2001, ポートフォリオ実績!$B$2:$B$2001, B858, ポートフォリオ実績!$A$2:$A$2001, G858), 0)</f>
        <v>0</v>
      </c>
      <c r="I858">
        <f>IF(B858&lt;&gt;"", SUMIFS(ポートフォリオ実績!$C$2:$C$2001, ポートフォリオ実績!$B$2:$B$2001, B858, ポートフォリオ実績!$A$2:$A$2001, G858), 0)</f>
        <v>0</v>
      </c>
      <c r="J858">
        <f t="shared" si="144"/>
        <v>0</v>
      </c>
      <c r="K858">
        <f t="shared" si="145"/>
        <v>0</v>
      </c>
      <c r="L858">
        <f t="shared" si="146"/>
        <v>0</v>
      </c>
      <c r="M858">
        <f t="shared" si="147"/>
        <v>0</v>
      </c>
      <c r="N858">
        <f t="shared" si="148"/>
        <v>0</v>
      </c>
      <c r="O858">
        <f t="shared" si="149"/>
        <v>0</v>
      </c>
      <c r="P858" t="str">
        <f t="shared" si="150"/>
        <v/>
      </c>
      <c r="Q858" t="str">
        <f>IF(B858="","", IFERROR(VLOOKUP(B858, '基準資産配分（設定）'!$A$2:$C$2001, 3, FALSE), ""))</f>
        <v/>
      </c>
      <c r="R858" t="str">
        <f>IF(B858="","", IFERROR(VLOOKUP(B858, '基準資産配分（設定）'!$A$2:$C$2001, 2, FALSE)/100, 0))</f>
        <v/>
      </c>
      <c r="S858" t="str">
        <f>IF(B858="","", IFERROR(SUMIFS(ベンチマークリターン!$C$2:$C$2001, ベンチマークリターン!$A$2:$A$2001, A858, ベンチマークリターン!$B$2:$B$2001, Q858) / 100, 0))</f>
        <v/>
      </c>
      <c r="T858" t="str">
        <f>IF(A858="","", SUMIFS($H$2:$H$2000, $A$2:$A$2000, A858))</f>
        <v/>
      </c>
      <c r="U858" t="str">
        <f t="shared" si="151"/>
        <v/>
      </c>
      <c r="V858" t="str">
        <f t="shared" si="152"/>
        <v/>
      </c>
      <c r="W858" t="str">
        <f t="shared" si="153"/>
        <v/>
      </c>
    </row>
    <row r="859" spans="1:23" x14ac:dyDescent="0.2">
      <c r="A859" s="4" t="str">
        <f>IF(ポートフォリオ実績!A860="","", ポートフォリオ実績!A860)</f>
        <v/>
      </c>
      <c r="B859" t="str">
        <f>IF(ポートフォリオ実績!B860="","", ポートフォリオ実績!B860)</f>
        <v/>
      </c>
      <c r="C859" s="10" t="str">
        <f>IF(ポートフォリオ実績!C860="","", ポートフォリオ実績!C860)</f>
        <v/>
      </c>
      <c r="D859" s="10" t="str">
        <f>IF(ポートフォリオ実績!D860="","", ポートフォリオ実績!D860)</f>
        <v/>
      </c>
      <c r="E859" s="10" t="str">
        <f>IF(ポートフォリオ実績!E860="","", ポートフォリオ実績!E860)</f>
        <v/>
      </c>
      <c r="F859" s="10" t="str">
        <f>IF(ポートフォリオ実績!F860="","", ポートフォリオ実績!F860)</f>
        <v/>
      </c>
      <c r="G859" t="str">
        <f t="shared" si="143"/>
        <v/>
      </c>
      <c r="H859">
        <f>IF(B859&lt;&gt;"", SUMIFS(ポートフォリオ実績!$D$2:$D$2001, ポートフォリオ実績!$B$2:$B$2001, B859, ポートフォリオ実績!$A$2:$A$2001, G859), 0)</f>
        <v>0</v>
      </c>
      <c r="I859">
        <f>IF(B859&lt;&gt;"", SUMIFS(ポートフォリオ実績!$C$2:$C$2001, ポートフォリオ実績!$B$2:$B$2001, B859, ポートフォリオ実績!$A$2:$A$2001, G859), 0)</f>
        <v>0</v>
      </c>
      <c r="J859">
        <f t="shared" si="144"/>
        <v>0</v>
      </c>
      <c r="K859">
        <f t="shared" si="145"/>
        <v>0</v>
      </c>
      <c r="L859">
        <f t="shared" si="146"/>
        <v>0</v>
      </c>
      <c r="M859">
        <f t="shared" si="147"/>
        <v>0</v>
      </c>
      <c r="N859">
        <f t="shared" si="148"/>
        <v>0</v>
      </c>
      <c r="O859">
        <f t="shared" si="149"/>
        <v>0</v>
      </c>
      <c r="P859" t="str">
        <f t="shared" si="150"/>
        <v/>
      </c>
      <c r="Q859" t="str">
        <f>IF(B859="","", IFERROR(VLOOKUP(B859, '基準資産配分（設定）'!$A$2:$C$2001, 3, FALSE), ""))</f>
        <v/>
      </c>
      <c r="R859" t="str">
        <f>IF(B859="","", IFERROR(VLOOKUP(B859, '基準資産配分（設定）'!$A$2:$C$2001, 2, FALSE)/100, 0))</f>
        <v/>
      </c>
      <c r="S859" t="str">
        <f>IF(B859="","", IFERROR(SUMIFS(ベンチマークリターン!$C$2:$C$2001, ベンチマークリターン!$A$2:$A$2001, A859, ベンチマークリターン!$B$2:$B$2001, Q859) / 100, 0))</f>
        <v/>
      </c>
      <c r="T859" t="str">
        <f>IF(A859="","", SUMIFS($H$2:$H$2000, $A$2:$A$2000, A859))</f>
        <v/>
      </c>
      <c r="U859" t="str">
        <f t="shared" si="151"/>
        <v/>
      </c>
      <c r="V859" t="str">
        <f t="shared" si="152"/>
        <v/>
      </c>
      <c r="W859" t="str">
        <f t="shared" si="153"/>
        <v/>
      </c>
    </row>
    <row r="860" spans="1:23" x14ac:dyDescent="0.2">
      <c r="A860" s="4" t="str">
        <f>IF(ポートフォリオ実績!A861="","", ポートフォリオ実績!A861)</f>
        <v/>
      </c>
      <c r="B860" t="str">
        <f>IF(ポートフォリオ実績!B861="","", ポートフォリオ実績!B861)</f>
        <v/>
      </c>
      <c r="C860" s="10" t="str">
        <f>IF(ポートフォリオ実績!C861="","", ポートフォリオ実績!C861)</f>
        <v/>
      </c>
      <c r="D860" s="10" t="str">
        <f>IF(ポートフォリオ実績!D861="","", ポートフォリオ実績!D861)</f>
        <v/>
      </c>
      <c r="E860" s="10" t="str">
        <f>IF(ポートフォリオ実績!E861="","", ポートフォリオ実績!E861)</f>
        <v/>
      </c>
      <c r="F860" s="10" t="str">
        <f>IF(ポートフォリオ実績!F861="","", ポートフォリオ実績!F861)</f>
        <v/>
      </c>
      <c r="G860" t="str">
        <f t="shared" si="143"/>
        <v/>
      </c>
      <c r="H860">
        <f>IF(B860&lt;&gt;"", SUMIFS(ポートフォリオ実績!$D$2:$D$2001, ポートフォリオ実績!$B$2:$B$2001, B860, ポートフォリオ実績!$A$2:$A$2001, G860), 0)</f>
        <v>0</v>
      </c>
      <c r="I860">
        <f>IF(B860&lt;&gt;"", SUMIFS(ポートフォリオ実績!$C$2:$C$2001, ポートフォリオ実績!$B$2:$B$2001, B860, ポートフォリオ実績!$A$2:$A$2001, G860), 0)</f>
        <v>0</v>
      </c>
      <c r="J860">
        <f t="shared" si="144"/>
        <v>0</v>
      </c>
      <c r="K860">
        <f t="shared" si="145"/>
        <v>0</v>
      </c>
      <c r="L860">
        <f t="shared" si="146"/>
        <v>0</v>
      </c>
      <c r="M860">
        <f t="shared" si="147"/>
        <v>0</v>
      </c>
      <c r="N860">
        <f t="shared" si="148"/>
        <v>0</v>
      </c>
      <c r="O860">
        <f t="shared" si="149"/>
        <v>0</v>
      </c>
      <c r="P860" t="str">
        <f t="shared" si="150"/>
        <v/>
      </c>
      <c r="Q860" t="str">
        <f>IF(B860="","", IFERROR(VLOOKUP(B860, '基準資産配分（設定）'!$A$2:$C$2001, 3, FALSE), ""))</f>
        <v/>
      </c>
      <c r="R860" t="str">
        <f>IF(B860="","", IFERROR(VLOOKUP(B860, '基準資産配分（設定）'!$A$2:$C$2001, 2, FALSE)/100, 0))</f>
        <v/>
      </c>
      <c r="S860" t="str">
        <f>IF(B860="","", IFERROR(SUMIFS(ベンチマークリターン!$C$2:$C$2001, ベンチマークリターン!$A$2:$A$2001, A860, ベンチマークリターン!$B$2:$B$2001, Q860) / 100, 0))</f>
        <v/>
      </c>
      <c r="T860" t="str">
        <f>IF(A860="","", SUMIFS($H$2:$H$2000, $A$2:$A$2000, A860))</f>
        <v/>
      </c>
      <c r="U860" t="str">
        <f t="shared" si="151"/>
        <v/>
      </c>
      <c r="V860" t="str">
        <f t="shared" si="152"/>
        <v/>
      </c>
      <c r="W860" t="str">
        <f t="shared" si="153"/>
        <v/>
      </c>
    </row>
    <row r="861" spans="1:23" x14ac:dyDescent="0.2">
      <c r="A861" s="4" t="str">
        <f>IF(ポートフォリオ実績!A862="","", ポートフォリオ実績!A862)</f>
        <v/>
      </c>
      <c r="B861" t="str">
        <f>IF(ポートフォリオ実績!B862="","", ポートフォリオ実績!B862)</f>
        <v/>
      </c>
      <c r="C861" s="10" t="str">
        <f>IF(ポートフォリオ実績!C862="","", ポートフォリオ実績!C862)</f>
        <v/>
      </c>
      <c r="D861" s="10" t="str">
        <f>IF(ポートフォリオ実績!D862="","", ポートフォリオ実績!D862)</f>
        <v/>
      </c>
      <c r="E861" s="10" t="str">
        <f>IF(ポートフォリオ実績!E862="","", ポートフォリオ実績!E862)</f>
        <v/>
      </c>
      <c r="F861" s="10" t="str">
        <f>IF(ポートフォリオ実績!F862="","", ポートフォリオ実績!F862)</f>
        <v/>
      </c>
      <c r="G861" t="str">
        <f t="shared" si="143"/>
        <v/>
      </c>
      <c r="H861">
        <f>IF(B861&lt;&gt;"", SUMIFS(ポートフォリオ実績!$D$2:$D$2001, ポートフォリオ実績!$B$2:$B$2001, B861, ポートフォリオ実績!$A$2:$A$2001, G861), 0)</f>
        <v>0</v>
      </c>
      <c r="I861">
        <f>IF(B861&lt;&gt;"", SUMIFS(ポートフォリオ実績!$C$2:$C$2001, ポートフォリオ実績!$B$2:$B$2001, B861, ポートフォリオ実績!$A$2:$A$2001, G861), 0)</f>
        <v>0</v>
      </c>
      <c r="J861">
        <f t="shared" si="144"/>
        <v>0</v>
      </c>
      <c r="K861">
        <f t="shared" si="145"/>
        <v>0</v>
      </c>
      <c r="L861">
        <f t="shared" si="146"/>
        <v>0</v>
      </c>
      <c r="M861">
        <f t="shared" si="147"/>
        <v>0</v>
      </c>
      <c r="N861">
        <f t="shared" si="148"/>
        <v>0</v>
      </c>
      <c r="O861">
        <f t="shared" si="149"/>
        <v>0</v>
      </c>
      <c r="P861" t="str">
        <f t="shared" si="150"/>
        <v/>
      </c>
      <c r="Q861" t="str">
        <f>IF(B861="","", IFERROR(VLOOKUP(B861, '基準資産配分（設定）'!$A$2:$C$2001, 3, FALSE), ""))</f>
        <v/>
      </c>
      <c r="R861" t="str">
        <f>IF(B861="","", IFERROR(VLOOKUP(B861, '基準資産配分（設定）'!$A$2:$C$2001, 2, FALSE)/100, 0))</f>
        <v/>
      </c>
      <c r="S861" t="str">
        <f>IF(B861="","", IFERROR(SUMIFS(ベンチマークリターン!$C$2:$C$2001, ベンチマークリターン!$A$2:$A$2001, A861, ベンチマークリターン!$B$2:$B$2001, Q861) / 100, 0))</f>
        <v/>
      </c>
      <c r="T861" t="str">
        <f>IF(A861="","", SUMIFS($H$2:$H$2000, $A$2:$A$2000, A861))</f>
        <v/>
      </c>
      <c r="U861" t="str">
        <f t="shared" si="151"/>
        <v/>
      </c>
      <c r="V861" t="str">
        <f t="shared" si="152"/>
        <v/>
      </c>
      <c r="W861" t="str">
        <f t="shared" si="153"/>
        <v/>
      </c>
    </row>
    <row r="862" spans="1:23" x14ac:dyDescent="0.2">
      <c r="A862" s="4" t="str">
        <f>IF(ポートフォリオ実績!A863="","", ポートフォリオ実績!A863)</f>
        <v/>
      </c>
      <c r="B862" t="str">
        <f>IF(ポートフォリオ実績!B863="","", ポートフォリオ実績!B863)</f>
        <v/>
      </c>
      <c r="C862" s="10" t="str">
        <f>IF(ポートフォリオ実績!C863="","", ポートフォリオ実績!C863)</f>
        <v/>
      </c>
      <c r="D862" s="10" t="str">
        <f>IF(ポートフォリオ実績!D863="","", ポートフォリオ実績!D863)</f>
        <v/>
      </c>
      <c r="E862" s="10" t="str">
        <f>IF(ポートフォリオ実績!E863="","", ポートフォリオ実績!E863)</f>
        <v/>
      </c>
      <c r="F862" s="10" t="str">
        <f>IF(ポートフォリオ実績!F863="","", ポートフォリオ実績!F863)</f>
        <v/>
      </c>
      <c r="G862" t="str">
        <f t="shared" si="143"/>
        <v/>
      </c>
      <c r="H862">
        <f>IF(B862&lt;&gt;"", SUMIFS(ポートフォリオ実績!$D$2:$D$2001, ポートフォリオ実績!$B$2:$B$2001, B862, ポートフォリオ実績!$A$2:$A$2001, G862), 0)</f>
        <v>0</v>
      </c>
      <c r="I862">
        <f>IF(B862&lt;&gt;"", SUMIFS(ポートフォリオ実績!$C$2:$C$2001, ポートフォリオ実績!$B$2:$B$2001, B862, ポートフォリオ実績!$A$2:$A$2001, G862), 0)</f>
        <v>0</v>
      </c>
      <c r="J862">
        <f t="shared" si="144"/>
        <v>0</v>
      </c>
      <c r="K862">
        <f t="shared" si="145"/>
        <v>0</v>
      </c>
      <c r="L862">
        <f t="shared" si="146"/>
        <v>0</v>
      </c>
      <c r="M862">
        <f t="shared" si="147"/>
        <v>0</v>
      </c>
      <c r="N862">
        <f t="shared" si="148"/>
        <v>0</v>
      </c>
      <c r="O862">
        <f t="shared" si="149"/>
        <v>0</v>
      </c>
      <c r="P862" t="str">
        <f t="shared" si="150"/>
        <v/>
      </c>
      <c r="Q862" t="str">
        <f>IF(B862="","", IFERROR(VLOOKUP(B862, '基準資産配分（設定）'!$A$2:$C$2001, 3, FALSE), ""))</f>
        <v/>
      </c>
      <c r="R862" t="str">
        <f>IF(B862="","", IFERROR(VLOOKUP(B862, '基準資産配分（設定）'!$A$2:$C$2001, 2, FALSE)/100, 0))</f>
        <v/>
      </c>
      <c r="S862" t="str">
        <f>IF(B862="","", IFERROR(SUMIFS(ベンチマークリターン!$C$2:$C$2001, ベンチマークリターン!$A$2:$A$2001, A862, ベンチマークリターン!$B$2:$B$2001, Q862) / 100, 0))</f>
        <v/>
      </c>
      <c r="T862" t="str">
        <f>IF(A862="","", SUMIFS($H$2:$H$2000, $A$2:$A$2000, A862))</f>
        <v/>
      </c>
      <c r="U862" t="str">
        <f t="shared" si="151"/>
        <v/>
      </c>
      <c r="V862" t="str">
        <f t="shared" si="152"/>
        <v/>
      </c>
      <c r="W862" t="str">
        <f t="shared" si="153"/>
        <v/>
      </c>
    </row>
    <row r="863" spans="1:23" x14ac:dyDescent="0.2">
      <c r="A863" s="4" t="str">
        <f>IF(ポートフォリオ実績!A864="","", ポートフォリオ実績!A864)</f>
        <v/>
      </c>
      <c r="B863" t="str">
        <f>IF(ポートフォリオ実績!B864="","", ポートフォリオ実績!B864)</f>
        <v/>
      </c>
      <c r="C863" s="10" t="str">
        <f>IF(ポートフォリオ実績!C864="","", ポートフォリオ実績!C864)</f>
        <v/>
      </c>
      <c r="D863" s="10" t="str">
        <f>IF(ポートフォリオ実績!D864="","", ポートフォリオ実績!D864)</f>
        <v/>
      </c>
      <c r="E863" s="10" t="str">
        <f>IF(ポートフォリオ実績!E864="","", ポートフォリオ実績!E864)</f>
        <v/>
      </c>
      <c r="F863" s="10" t="str">
        <f>IF(ポートフォリオ実績!F864="","", ポートフォリオ実績!F864)</f>
        <v/>
      </c>
      <c r="G863" t="str">
        <f t="shared" si="143"/>
        <v/>
      </c>
      <c r="H863">
        <f>IF(B863&lt;&gt;"", SUMIFS(ポートフォリオ実績!$D$2:$D$2001, ポートフォリオ実績!$B$2:$B$2001, B863, ポートフォリオ実績!$A$2:$A$2001, G863), 0)</f>
        <v>0</v>
      </c>
      <c r="I863">
        <f>IF(B863&lt;&gt;"", SUMIFS(ポートフォリオ実績!$C$2:$C$2001, ポートフォリオ実績!$B$2:$B$2001, B863, ポートフォリオ実績!$A$2:$A$2001, G863), 0)</f>
        <v>0</v>
      </c>
      <c r="J863">
        <f t="shared" si="144"/>
        <v>0</v>
      </c>
      <c r="K863">
        <f t="shared" si="145"/>
        <v>0</v>
      </c>
      <c r="L863">
        <f t="shared" si="146"/>
        <v>0</v>
      </c>
      <c r="M863">
        <f t="shared" si="147"/>
        <v>0</v>
      </c>
      <c r="N863">
        <f t="shared" si="148"/>
        <v>0</v>
      </c>
      <c r="O863">
        <f t="shared" si="149"/>
        <v>0</v>
      </c>
      <c r="P863" t="str">
        <f t="shared" si="150"/>
        <v/>
      </c>
      <c r="Q863" t="str">
        <f>IF(B863="","", IFERROR(VLOOKUP(B863, '基準資産配分（設定）'!$A$2:$C$2001, 3, FALSE), ""))</f>
        <v/>
      </c>
      <c r="R863" t="str">
        <f>IF(B863="","", IFERROR(VLOOKUP(B863, '基準資産配分（設定）'!$A$2:$C$2001, 2, FALSE)/100, 0))</f>
        <v/>
      </c>
      <c r="S863" t="str">
        <f>IF(B863="","", IFERROR(SUMIFS(ベンチマークリターン!$C$2:$C$2001, ベンチマークリターン!$A$2:$A$2001, A863, ベンチマークリターン!$B$2:$B$2001, Q863) / 100, 0))</f>
        <v/>
      </c>
      <c r="T863" t="str">
        <f>IF(A863="","", SUMIFS($H$2:$H$2000, $A$2:$A$2000, A863))</f>
        <v/>
      </c>
      <c r="U863" t="str">
        <f t="shared" si="151"/>
        <v/>
      </c>
      <c r="V863" t="str">
        <f t="shared" si="152"/>
        <v/>
      </c>
      <c r="W863" t="str">
        <f t="shared" si="153"/>
        <v/>
      </c>
    </row>
    <row r="864" spans="1:23" x14ac:dyDescent="0.2">
      <c r="A864" s="4" t="str">
        <f>IF(ポートフォリオ実績!A865="","", ポートフォリオ実績!A865)</f>
        <v/>
      </c>
      <c r="B864" t="str">
        <f>IF(ポートフォリオ実績!B865="","", ポートフォリオ実績!B865)</f>
        <v/>
      </c>
      <c r="C864" s="10" t="str">
        <f>IF(ポートフォリオ実績!C865="","", ポートフォリオ実績!C865)</f>
        <v/>
      </c>
      <c r="D864" s="10" t="str">
        <f>IF(ポートフォリオ実績!D865="","", ポートフォリオ実績!D865)</f>
        <v/>
      </c>
      <c r="E864" s="10" t="str">
        <f>IF(ポートフォリオ実績!E865="","", ポートフォリオ実績!E865)</f>
        <v/>
      </c>
      <c r="F864" s="10" t="str">
        <f>IF(ポートフォリオ実績!F865="","", ポートフォリオ実績!F865)</f>
        <v/>
      </c>
      <c r="G864" t="str">
        <f t="shared" si="143"/>
        <v/>
      </c>
      <c r="H864">
        <f>IF(B864&lt;&gt;"", SUMIFS(ポートフォリオ実績!$D$2:$D$2001, ポートフォリオ実績!$B$2:$B$2001, B864, ポートフォリオ実績!$A$2:$A$2001, G864), 0)</f>
        <v>0</v>
      </c>
      <c r="I864">
        <f>IF(B864&lt;&gt;"", SUMIFS(ポートフォリオ実績!$C$2:$C$2001, ポートフォリオ実績!$B$2:$B$2001, B864, ポートフォリオ実績!$A$2:$A$2001, G864), 0)</f>
        <v>0</v>
      </c>
      <c r="J864">
        <f t="shared" si="144"/>
        <v>0</v>
      </c>
      <c r="K864">
        <f t="shared" si="145"/>
        <v>0</v>
      </c>
      <c r="L864">
        <f t="shared" si="146"/>
        <v>0</v>
      </c>
      <c r="M864">
        <f t="shared" si="147"/>
        <v>0</v>
      </c>
      <c r="N864">
        <f t="shared" si="148"/>
        <v>0</v>
      </c>
      <c r="O864">
        <f t="shared" si="149"/>
        <v>0</v>
      </c>
      <c r="P864" t="str">
        <f t="shared" si="150"/>
        <v/>
      </c>
      <c r="Q864" t="str">
        <f>IF(B864="","", IFERROR(VLOOKUP(B864, '基準資産配分（設定）'!$A$2:$C$2001, 3, FALSE), ""))</f>
        <v/>
      </c>
      <c r="R864" t="str">
        <f>IF(B864="","", IFERROR(VLOOKUP(B864, '基準資産配分（設定）'!$A$2:$C$2001, 2, FALSE)/100, 0))</f>
        <v/>
      </c>
      <c r="S864" t="str">
        <f>IF(B864="","", IFERROR(SUMIFS(ベンチマークリターン!$C$2:$C$2001, ベンチマークリターン!$A$2:$A$2001, A864, ベンチマークリターン!$B$2:$B$2001, Q864) / 100, 0))</f>
        <v/>
      </c>
      <c r="T864" t="str">
        <f>IF(A864="","", SUMIFS($H$2:$H$2000, $A$2:$A$2000, A864))</f>
        <v/>
      </c>
      <c r="U864" t="str">
        <f t="shared" si="151"/>
        <v/>
      </c>
      <c r="V864" t="str">
        <f t="shared" si="152"/>
        <v/>
      </c>
      <c r="W864" t="str">
        <f t="shared" si="153"/>
        <v/>
      </c>
    </row>
    <row r="865" spans="1:23" x14ac:dyDescent="0.2">
      <c r="A865" s="4" t="str">
        <f>IF(ポートフォリオ実績!A866="","", ポートフォリオ実績!A866)</f>
        <v/>
      </c>
      <c r="B865" t="str">
        <f>IF(ポートフォリオ実績!B866="","", ポートフォリオ実績!B866)</f>
        <v/>
      </c>
      <c r="C865" s="10" t="str">
        <f>IF(ポートフォリオ実績!C866="","", ポートフォリオ実績!C866)</f>
        <v/>
      </c>
      <c r="D865" s="10" t="str">
        <f>IF(ポートフォリオ実績!D866="","", ポートフォリオ実績!D866)</f>
        <v/>
      </c>
      <c r="E865" s="10" t="str">
        <f>IF(ポートフォリオ実績!E866="","", ポートフォリオ実績!E866)</f>
        <v/>
      </c>
      <c r="F865" s="10" t="str">
        <f>IF(ポートフォリオ実績!F866="","", ポートフォリオ実績!F866)</f>
        <v/>
      </c>
      <c r="G865" t="str">
        <f t="shared" si="143"/>
        <v/>
      </c>
      <c r="H865">
        <f>IF(B865&lt;&gt;"", SUMIFS(ポートフォリオ実績!$D$2:$D$2001, ポートフォリオ実績!$B$2:$B$2001, B865, ポートフォリオ実績!$A$2:$A$2001, G865), 0)</f>
        <v>0</v>
      </c>
      <c r="I865">
        <f>IF(B865&lt;&gt;"", SUMIFS(ポートフォリオ実績!$C$2:$C$2001, ポートフォリオ実績!$B$2:$B$2001, B865, ポートフォリオ実績!$A$2:$A$2001, G865), 0)</f>
        <v>0</v>
      </c>
      <c r="J865">
        <f t="shared" si="144"/>
        <v>0</v>
      </c>
      <c r="K865">
        <f t="shared" si="145"/>
        <v>0</v>
      </c>
      <c r="L865">
        <f t="shared" si="146"/>
        <v>0</v>
      </c>
      <c r="M865">
        <f t="shared" si="147"/>
        <v>0</v>
      </c>
      <c r="N865">
        <f t="shared" si="148"/>
        <v>0</v>
      </c>
      <c r="O865">
        <f t="shared" si="149"/>
        <v>0</v>
      </c>
      <c r="P865" t="str">
        <f t="shared" si="150"/>
        <v/>
      </c>
      <c r="Q865" t="str">
        <f>IF(B865="","", IFERROR(VLOOKUP(B865, '基準資産配分（設定）'!$A$2:$C$2001, 3, FALSE), ""))</f>
        <v/>
      </c>
      <c r="R865" t="str">
        <f>IF(B865="","", IFERROR(VLOOKUP(B865, '基準資産配分（設定）'!$A$2:$C$2001, 2, FALSE)/100, 0))</f>
        <v/>
      </c>
      <c r="S865" t="str">
        <f>IF(B865="","", IFERROR(SUMIFS(ベンチマークリターン!$C$2:$C$2001, ベンチマークリターン!$A$2:$A$2001, A865, ベンチマークリターン!$B$2:$B$2001, Q865) / 100, 0))</f>
        <v/>
      </c>
      <c r="T865" t="str">
        <f>IF(A865="","", SUMIFS($H$2:$H$2000, $A$2:$A$2000, A865))</f>
        <v/>
      </c>
      <c r="U865" t="str">
        <f t="shared" si="151"/>
        <v/>
      </c>
      <c r="V865" t="str">
        <f t="shared" si="152"/>
        <v/>
      </c>
      <c r="W865" t="str">
        <f t="shared" si="153"/>
        <v/>
      </c>
    </row>
    <row r="866" spans="1:23" x14ac:dyDescent="0.2">
      <c r="A866" s="4" t="str">
        <f>IF(ポートフォリオ実績!A867="","", ポートフォリオ実績!A867)</f>
        <v/>
      </c>
      <c r="B866" t="str">
        <f>IF(ポートフォリオ実績!B867="","", ポートフォリオ実績!B867)</f>
        <v/>
      </c>
      <c r="C866" s="10" t="str">
        <f>IF(ポートフォリオ実績!C867="","", ポートフォリオ実績!C867)</f>
        <v/>
      </c>
      <c r="D866" s="10" t="str">
        <f>IF(ポートフォリオ実績!D867="","", ポートフォリオ実績!D867)</f>
        <v/>
      </c>
      <c r="E866" s="10" t="str">
        <f>IF(ポートフォリオ実績!E867="","", ポートフォリオ実績!E867)</f>
        <v/>
      </c>
      <c r="F866" s="10" t="str">
        <f>IF(ポートフォリオ実績!F867="","", ポートフォリオ実績!F867)</f>
        <v/>
      </c>
      <c r="G866" t="str">
        <f t="shared" si="143"/>
        <v/>
      </c>
      <c r="H866">
        <f>IF(B866&lt;&gt;"", SUMIFS(ポートフォリオ実績!$D$2:$D$2001, ポートフォリオ実績!$B$2:$B$2001, B866, ポートフォリオ実績!$A$2:$A$2001, G866), 0)</f>
        <v>0</v>
      </c>
      <c r="I866">
        <f>IF(B866&lt;&gt;"", SUMIFS(ポートフォリオ実績!$C$2:$C$2001, ポートフォリオ実績!$B$2:$B$2001, B866, ポートフォリオ実績!$A$2:$A$2001, G866), 0)</f>
        <v>0</v>
      </c>
      <c r="J866">
        <f t="shared" si="144"/>
        <v>0</v>
      </c>
      <c r="K866">
        <f t="shared" si="145"/>
        <v>0</v>
      </c>
      <c r="L866">
        <f t="shared" si="146"/>
        <v>0</v>
      </c>
      <c r="M866">
        <f t="shared" si="147"/>
        <v>0</v>
      </c>
      <c r="N866">
        <f t="shared" si="148"/>
        <v>0</v>
      </c>
      <c r="O866">
        <f t="shared" si="149"/>
        <v>0</v>
      </c>
      <c r="P866" t="str">
        <f t="shared" si="150"/>
        <v/>
      </c>
      <c r="Q866" t="str">
        <f>IF(B866="","", IFERROR(VLOOKUP(B866, '基準資産配分（設定）'!$A$2:$C$2001, 3, FALSE), ""))</f>
        <v/>
      </c>
      <c r="R866" t="str">
        <f>IF(B866="","", IFERROR(VLOOKUP(B866, '基準資産配分（設定）'!$A$2:$C$2001, 2, FALSE)/100, 0))</f>
        <v/>
      </c>
      <c r="S866" t="str">
        <f>IF(B866="","", IFERROR(SUMIFS(ベンチマークリターン!$C$2:$C$2001, ベンチマークリターン!$A$2:$A$2001, A866, ベンチマークリターン!$B$2:$B$2001, Q866) / 100, 0))</f>
        <v/>
      </c>
      <c r="T866" t="str">
        <f>IF(A866="","", SUMIFS($H$2:$H$2000, $A$2:$A$2000, A866))</f>
        <v/>
      </c>
      <c r="U866" t="str">
        <f t="shared" si="151"/>
        <v/>
      </c>
      <c r="V866" t="str">
        <f t="shared" si="152"/>
        <v/>
      </c>
      <c r="W866" t="str">
        <f t="shared" si="153"/>
        <v/>
      </c>
    </row>
    <row r="867" spans="1:23" x14ac:dyDescent="0.2">
      <c r="A867" s="4" t="str">
        <f>IF(ポートフォリオ実績!A868="","", ポートフォリオ実績!A868)</f>
        <v/>
      </c>
      <c r="B867" t="str">
        <f>IF(ポートフォリオ実績!B868="","", ポートフォリオ実績!B868)</f>
        <v/>
      </c>
      <c r="C867" s="10" t="str">
        <f>IF(ポートフォリオ実績!C868="","", ポートフォリオ実績!C868)</f>
        <v/>
      </c>
      <c r="D867" s="10" t="str">
        <f>IF(ポートフォリオ実績!D868="","", ポートフォリオ実績!D868)</f>
        <v/>
      </c>
      <c r="E867" s="10" t="str">
        <f>IF(ポートフォリオ実績!E868="","", ポートフォリオ実績!E868)</f>
        <v/>
      </c>
      <c r="F867" s="10" t="str">
        <f>IF(ポートフォリオ実績!F868="","", ポートフォリオ実績!F868)</f>
        <v/>
      </c>
      <c r="G867" t="str">
        <f t="shared" si="143"/>
        <v/>
      </c>
      <c r="H867">
        <f>IF(B867&lt;&gt;"", SUMIFS(ポートフォリオ実績!$D$2:$D$2001, ポートフォリオ実績!$B$2:$B$2001, B867, ポートフォリオ実績!$A$2:$A$2001, G867), 0)</f>
        <v>0</v>
      </c>
      <c r="I867">
        <f>IF(B867&lt;&gt;"", SUMIFS(ポートフォリオ実績!$C$2:$C$2001, ポートフォリオ実績!$B$2:$B$2001, B867, ポートフォリオ実績!$A$2:$A$2001, G867), 0)</f>
        <v>0</v>
      </c>
      <c r="J867">
        <f t="shared" si="144"/>
        <v>0</v>
      </c>
      <c r="K867">
        <f t="shared" si="145"/>
        <v>0</v>
      </c>
      <c r="L867">
        <f t="shared" si="146"/>
        <v>0</v>
      </c>
      <c r="M867">
        <f t="shared" si="147"/>
        <v>0</v>
      </c>
      <c r="N867">
        <f t="shared" si="148"/>
        <v>0</v>
      </c>
      <c r="O867">
        <f t="shared" si="149"/>
        <v>0</v>
      </c>
      <c r="P867" t="str">
        <f t="shared" si="150"/>
        <v/>
      </c>
      <c r="Q867" t="str">
        <f>IF(B867="","", IFERROR(VLOOKUP(B867, '基準資産配分（設定）'!$A$2:$C$2001, 3, FALSE), ""))</f>
        <v/>
      </c>
      <c r="R867" t="str">
        <f>IF(B867="","", IFERROR(VLOOKUP(B867, '基準資産配分（設定）'!$A$2:$C$2001, 2, FALSE)/100, 0))</f>
        <v/>
      </c>
      <c r="S867" t="str">
        <f>IF(B867="","", IFERROR(SUMIFS(ベンチマークリターン!$C$2:$C$2001, ベンチマークリターン!$A$2:$A$2001, A867, ベンチマークリターン!$B$2:$B$2001, Q867) / 100, 0))</f>
        <v/>
      </c>
      <c r="T867" t="str">
        <f>IF(A867="","", SUMIFS($H$2:$H$2000, $A$2:$A$2000, A867))</f>
        <v/>
      </c>
      <c r="U867" t="str">
        <f t="shared" si="151"/>
        <v/>
      </c>
      <c r="V867" t="str">
        <f t="shared" si="152"/>
        <v/>
      </c>
      <c r="W867" t="str">
        <f t="shared" si="153"/>
        <v/>
      </c>
    </row>
    <row r="868" spans="1:23" x14ac:dyDescent="0.2">
      <c r="A868" s="4" t="str">
        <f>IF(ポートフォリオ実績!A869="","", ポートフォリオ実績!A869)</f>
        <v/>
      </c>
      <c r="B868" t="str">
        <f>IF(ポートフォリオ実績!B869="","", ポートフォリオ実績!B869)</f>
        <v/>
      </c>
      <c r="C868" s="10" t="str">
        <f>IF(ポートフォリオ実績!C869="","", ポートフォリオ実績!C869)</f>
        <v/>
      </c>
      <c r="D868" s="10" t="str">
        <f>IF(ポートフォリオ実績!D869="","", ポートフォリオ実績!D869)</f>
        <v/>
      </c>
      <c r="E868" s="10" t="str">
        <f>IF(ポートフォリオ実績!E869="","", ポートフォリオ実績!E869)</f>
        <v/>
      </c>
      <c r="F868" s="10" t="str">
        <f>IF(ポートフォリオ実績!F869="","", ポートフォリオ実績!F869)</f>
        <v/>
      </c>
      <c r="G868" t="str">
        <f t="shared" si="143"/>
        <v/>
      </c>
      <c r="H868">
        <f>IF(B868&lt;&gt;"", SUMIFS(ポートフォリオ実績!$D$2:$D$2001, ポートフォリオ実績!$B$2:$B$2001, B868, ポートフォリオ実績!$A$2:$A$2001, G868), 0)</f>
        <v>0</v>
      </c>
      <c r="I868">
        <f>IF(B868&lt;&gt;"", SUMIFS(ポートフォリオ実績!$C$2:$C$2001, ポートフォリオ実績!$B$2:$B$2001, B868, ポートフォリオ実績!$A$2:$A$2001, G868), 0)</f>
        <v>0</v>
      </c>
      <c r="J868">
        <f t="shared" si="144"/>
        <v>0</v>
      </c>
      <c r="K868">
        <f t="shared" si="145"/>
        <v>0</v>
      </c>
      <c r="L868">
        <f t="shared" si="146"/>
        <v>0</v>
      </c>
      <c r="M868">
        <f t="shared" si="147"/>
        <v>0</v>
      </c>
      <c r="N868">
        <f t="shared" si="148"/>
        <v>0</v>
      </c>
      <c r="O868">
        <f t="shared" si="149"/>
        <v>0</v>
      </c>
      <c r="P868" t="str">
        <f t="shared" si="150"/>
        <v/>
      </c>
      <c r="Q868" t="str">
        <f>IF(B868="","", IFERROR(VLOOKUP(B868, '基準資産配分（設定）'!$A$2:$C$2001, 3, FALSE), ""))</f>
        <v/>
      </c>
      <c r="R868" t="str">
        <f>IF(B868="","", IFERROR(VLOOKUP(B868, '基準資産配分（設定）'!$A$2:$C$2001, 2, FALSE)/100, 0))</f>
        <v/>
      </c>
      <c r="S868" t="str">
        <f>IF(B868="","", IFERROR(SUMIFS(ベンチマークリターン!$C$2:$C$2001, ベンチマークリターン!$A$2:$A$2001, A868, ベンチマークリターン!$B$2:$B$2001, Q868) / 100, 0))</f>
        <v/>
      </c>
      <c r="T868" t="str">
        <f>IF(A868="","", SUMIFS($H$2:$H$2000, $A$2:$A$2000, A868))</f>
        <v/>
      </c>
      <c r="U868" t="str">
        <f t="shared" si="151"/>
        <v/>
      </c>
      <c r="V868" t="str">
        <f t="shared" si="152"/>
        <v/>
      </c>
      <c r="W868" t="str">
        <f t="shared" si="153"/>
        <v/>
      </c>
    </row>
    <row r="869" spans="1:23" x14ac:dyDescent="0.2">
      <c r="A869" s="4" t="str">
        <f>IF(ポートフォリオ実績!A870="","", ポートフォリオ実績!A870)</f>
        <v/>
      </c>
      <c r="B869" t="str">
        <f>IF(ポートフォリオ実績!B870="","", ポートフォリオ実績!B870)</f>
        <v/>
      </c>
      <c r="C869" s="10" t="str">
        <f>IF(ポートフォリオ実績!C870="","", ポートフォリオ実績!C870)</f>
        <v/>
      </c>
      <c r="D869" s="10" t="str">
        <f>IF(ポートフォリオ実績!D870="","", ポートフォリオ実績!D870)</f>
        <v/>
      </c>
      <c r="E869" s="10" t="str">
        <f>IF(ポートフォリオ実績!E870="","", ポートフォリオ実績!E870)</f>
        <v/>
      </c>
      <c r="F869" s="10" t="str">
        <f>IF(ポートフォリオ実績!F870="","", ポートフォリオ実績!F870)</f>
        <v/>
      </c>
      <c r="G869" t="str">
        <f t="shared" si="143"/>
        <v/>
      </c>
      <c r="H869">
        <f>IF(B869&lt;&gt;"", SUMIFS(ポートフォリオ実績!$D$2:$D$2001, ポートフォリオ実績!$B$2:$B$2001, B869, ポートフォリオ実績!$A$2:$A$2001, G869), 0)</f>
        <v>0</v>
      </c>
      <c r="I869">
        <f>IF(B869&lt;&gt;"", SUMIFS(ポートフォリオ実績!$C$2:$C$2001, ポートフォリオ実績!$B$2:$B$2001, B869, ポートフォリオ実績!$A$2:$A$2001, G869), 0)</f>
        <v>0</v>
      </c>
      <c r="J869">
        <f t="shared" si="144"/>
        <v>0</v>
      </c>
      <c r="K869">
        <f t="shared" si="145"/>
        <v>0</v>
      </c>
      <c r="L869">
        <f t="shared" si="146"/>
        <v>0</v>
      </c>
      <c r="M869">
        <f t="shared" si="147"/>
        <v>0</v>
      </c>
      <c r="N869">
        <f t="shared" si="148"/>
        <v>0</v>
      </c>
      <c r="O869">
        <f t="shared" si="149"/>
        <v>0</v>
      </c>
      <c r="P869" t="str">
        <f t="shared" si="150"/>
        <v/>
      </c>
      <c r="Q869" t="str">
        <f>IF(B869="","", IFERROR(VLOOKUP(B869, '基準資産配分（設定）'!$A$2:$C$2001, 3, FALSE), ""))</f>
        <v/>
      </c>
      <c r="R869" t="str">
        <f>IF(B869="","", IFERROR(VLOOKUP(B869, '基準資産配分（設定）'!$A$2:$C$2001, 2, FALSE)/100, 0))</f>
        <v/>
      </c>
      <c r="S869" t="str">
        <f>IF(B869="","", IFERROR(SUMIFS(ベンチマークリターン!$C$2:$C$2001, ベンチマークリターン!$A$2:$A$2001, A869, ベンチマークリターン!$B$2:$B$2001, Q869) / 100, 0))</f>
        <v/>
      </c>
      <c r="T869" t="str">
        <f>IF(A869="","", SUMIFS($H$2:$H$2000, $A$2:$A$2000, A869))</f>
        <v/>
      </c>
      <c r="U869" t="str">
        <f t="shared" si="151"/>
        <v/>
      </c>
      <c r="V869" t="str">
        <f t="shared" si="152"/>
        <v/>
      </c>
      <c r="W869" t="str">
        <f t="shared" si="153"/>
        <v/>
      </c>
    </row>
    <row r="870" spans="1:23" x14ac:dyDescent="0.2">
      <c r="A870" s="4" t="str">
        <f>IF(ポートフォリオ実績!A871="","", ポートフォリオ実績!A871)</f>
        <v/>
      </c>
      <c r="B870" t="str">
        <f>IF(ポートフォリオ実績!B871="","", ポートフォリオ実績!B871)</f>
        <v/>
      </c>
      <c r="C870" s="10" t="str">
        <f>IF(ポートフォリオ実績!C871="","", ポートフォリオ実績!C871)</f>
        <v/>
      </c>
      <c r="D870" s="10" t="str">
        <f>IF(ポートフォリオ実績!D871="","", ポートフォリオ実績!D871)</f>
        <v/>
      </c>
      <c r="E870" s="10" t="str">
        <f>IF(ポートフォリオ実績!E871="","", ポートフォリオ実績!E871)</f>
        <v/>
      </c>
      <c r="F870" s="10" t="str">
        <f>IF(ポートフォリオ実績!F871="","", ポートフォリオ実績!F871)</f>
        <v/>
      </c>
      <c r="G870" t="str">
        <f t="shared" si="143"/>
        <v/>
      </c>
      <c r="H870">
        <f>IF(B870&lt;&gt;"", SUMIFS(ポートフォリオ実績!$D$2:$D$2001, ポートフォリオ実績!$B$2:$B$2001, B870, ポートフォリオ実績!$A$2:$A$2001, G870), 0)</f>
        <v>0</v>
      </c>
      <c r="I870">
        <f>IF(B870&lt;&gt;"", SUMIFS(ポートフォリオ実績!$C$2:$C$2001, ポートフォリオ実績!$B$2:$B$2001, B870, ポートフォリオ実績!$A$2:$A$2001, G870), 0)</f>
        <v>0</v>
      </c>
      <c r="J870">
        <f t="shared" si="144"/>
        <v>0</v>
      </c>
      <c r="K870">
        <f t="shared" si="145"/>
        <v>0</v>
      </c>
      <c r="L870">
        <f t="shared" si="146"/>
        <v>0</v>
      </c>
      <c r="M870">
        <f t="shared" si="147"/>
        <v>0</v>
      </c>
      <c r="N870">
        <f t="shared" si="148"/>
        <v>0</v>
      </c>
      <c r="O870">
        <f t="shared" si="149"/>
        <v>0</v>
      </c>
      <c r="P870" t="str">
        <f t="shared" si="150"/>
        <v/>
      </c>
      <c r="Q870" t="str">
        <f>IF(B870="","", IFERROR(VLOOKUP(B870, '基準資産配分（設定）'!$A$2:$C$2001, 3, FALSE), ""))</f>
        <v/>
      </c>
      <c r="R870" t="str">
        <f>IF(B870="","", IFERROR(VLOOKUP(B870, '基準資産配分（設定）'!$A$2:$C$2001, 2, FALSE)/100, 0))</f>
        <v/>
      </c>
      <c r="S870" t="str">
        <f>IF(B870="","", IFERROR(SUMIFS(ベンチマークリターン!$C$2:$C$2001, ベンチマークリターン!$A$2:$A$2001, A870, ベンチマークリターン!$B$2:$B$2001, Q870) / 100, 0))</f>
        <v/>
      </c>
      <c r="T870" t="str">
        <f>IF(A870="","", SUMIFS($H$2:$H$2000, $A$2:$A$2000, A870))</f>
        <v/>
      </c>
      <c r="U870" t="str">
        <f t="shared" si="151"/>
        <v/>
      </c>
      <c r="V870" t="str">
        <f t="shared" si="152"/>
        <v/>
      </c>
      <c r="W870" t="str">
        <f t="shared" si="153"/>
        <v/>
      </c>
    </row>
    <row r="871" spans="1:23" x14ac:dyDescent="0.2">
      <c r="A871" s="4" t="str">
        <f>IF(ポートフォリオ実績!A872="","", ポートフォリオ実績!A872)</f>
        <v/>
      </c>
      <c r="B871" t="str">
        <f>IF(ポートフォリオ実績!B872="","", ポートフォリオ実績!B872)</f>
        <v/>
      </c>
      <c r="C871" s="10" t="str">
        <f>IF(ポートフォリオ実績!C872="","", ポートフォリオ実績!C872)</f>
        <v/>
      </c>
      <c r="D871" s="10" t="str">
        <f>IF(ポートフォリオ実績!D872="","", ポートフォリオ実績!D872)</f>
        <v/>
      </c>
      <c r="E871" s="10" t="str">
        <f>IF(ポートフォリオ実績!E872="","", ポートフォリオ実績!E872)</f>
        <v/>
      </c>
      <c r="F871" s="10" t="str">
        <f>IF(ポートフォリオ実績!F872="","", ポートフォリオ実績!F872)</f>
        <v/>
      </c>
      <c r="G871" t="str">
        <f t="shared" si="143"/>
        <v/>
      </c>
      <c r="H871">
        <f>IF(B871&lt;&gt;"", SUMIFS(ポートフォリオ実績!$D$2:$D$2001, ポートフォリオ実績!$B$2:$B$2001, B871, ポートフォリオ実績!$A$2:$A$2001, G871), 0)</f>
        <v>0</v>
      </c>
      <c r="I871">
        <f>IF(B871&lt;&gt;"", SUMIFS(ポートフォリオ実績!$C$2:$C$2001, ポートフォリオ実績!$B$2:$B$2001, B871, ポートフォリオ実績!$A$2:$A$2001, G871), 0)</f>
        <v>0</v>
      </c>
      <c r="J871">
        <f t="shared" si="144"/>
        <v>0</v>
      </c>
      <c r="K871">
        <f t="shared" si="145"/>
        <v>0</v>
      </c>
      <c r="L871">
        <f t="shared" si="146"/>
        <v>0</v>
      </c>
      <c r="M871">
        <f t="shared" si="147"/>
        <v>0</v>
      </c>
      <c r="N871">
        <f t="shared" si="148"/>
        <v>0</v>
      </c>
      <c r="O871">
        <f t="shared" si="149"/>
        <v>0</v>
      </c>
      <c r="P871" t="str">
        <f t="shared" si="150"/>
        <v/>
      </c>
      <c r="Q871" t="str">
        <f>IF(B871="","", IFERROR(VLOOKUP(B871, '基準資産配分（設定）'!$A$2:$C$2001, 3, FALSE), ""))</f>
        <v/>
      </c>
      <c r="R871" t="str">
        <f>IF(B871="","", IFERROR(VLOOKUP(B871, '基準資産配分（設定）'!$A$2:$C$2001, 2, FALSE)/100, 0))</f>
        <v/>
      </c>
      <c r="S871" t="str">
        <f>IF(B871="","", IFERROR(SUMIFS(ベンチマークリターン!$C$2:$C$2001, ベンチマークリターン!$A$2:$A$2001, A871, ベンチマークリターン!$B$2:$B$2001, Q871) / 100, 0))</f>
        <v/>
      </c>
      <c r="T871" t="str">
        <f>IF(A871="","", SUMIFS($H$2:$H$2000, $A$2:$A$2000, A871))</f>
        <v/>
      </c>
      <c r="U871" t="str">
        <f t="shared" si="151"/>
        <v/>
      </c>
      <c r="V871" t="str">
        <f t="shared" si="152"/>
        <v/>
      </c>
      <c r="W871" t="str">
        <f t="shared" si="153"/>
        <v/>
      </c>
    </row>
    <row r="872" spans="1:23" x14ac:dyDescent="0.2">
      <c r="A872" s="4" t="str">
        <f>IF(ポートフォリオ実績!A873="","", ポートフォリオ実績!A873)</f>
        <v/>
      </c>
      <c r="B872" t="str">
        <f>IF(ポートフォリオ実績!B873="","", ポートフォリオ実績!B873)</f>
        <v/>
      </c>
      <c r="C872" s="10" t="str">
        <f>IF(ポートフォリオ実績!C873="","", ポートフォリオ実績!C873)</f>
        <v/>
      </c>
      <c r="D872" s="10" t="str">
        <f>IF(ポートフォリオ実績!D873="","", ポートフォリオ実績!D873)</f>
        <v/>
      </c>
      <c r="E872" s="10" t="str">
        <f>IF(ポートフォリオ実績!E873="","", ポートフォリオ実績!E873)</f>
        <v/>
      </c>
      <c r="F872" s="10" t="str">
        <f>IF(ポートフォリオ実績!F873="","", ポートフォリオ実績!F873)</f>
        <v/>
      </c>
      <c r="G872" t="str">
        <f t="shared" si="143"/>
        <v/>
      </c>
      <c r="H872">
        <f>IF(B872&lt;&gt;"", SUMIFS(ポートフォリオ実績!$D$2:$D$2001, ポートフォリオ実績!$B$2:$B$2001, B872, ポートフォリオ実績!$A$2:$A$2001, G872), 0)</f>
        <v>0</v>
      </c>
      <c r="I872">
        <f>IF(B872&lt;&gt;"", SUMIFS(ポートフォリオ実績!$C$2:$C$2001, ポートフォリオ実績!$B$2:$B$2001, B872, ポートフォリオ実績!$A$2:$A$2001, G872), 0)</f>
        <v>0</v>
      </c>
      <c r="J872">
        <f t="shared" si="144"/>
        <v>0</v>
      </c>
      <c r="K872">
        <f t="shared" si="145"/>
        <v>0</v>
      </c>
      <c r="L872">
        <f t="shared" si="146"/>
        <v>0</v>
      </c>
      <c r="M872">
        <f t="shared" si="147"/>
        <v>0</v>
      </c>
      <c r="N872">
        <f t="shared" si="148"/>
        <v>0</v>
      </c>
      <c r="O872">
        <f t="shared" si="149"/>
        <v>0</v>
      </c>
      <c r="P872" t="str">
        <f t="shared" si="150"/>
        <v/>
      </c>
      <c r="Q872" t="str">
        <f>IF(B872="","", IFERROR(VLOOKUP(B872, '基準資産配分（設定）'!$A$2:$C$2001, 3, FALSE), ""))</f>
        <v/>
      </c>
      <c r="R872" t="str">
        <f>IF(B872="","", IFERROR(VLOOKUP(B872, '基準資産配分（設定）'!$A$2:$C$2001, 2, FALSE)/100, 0))</f>
        <v/>
      </c>
      <c r="S872" t="str">
        <f>IF(B872="","", IFERROR(SUMIFS(ベンチマークリターン!$C$2:$C$2001, ベンチマークリターン!$A$2:$A$2001, A872, ベンチマークリターン!$B$2:$B$2001, Q872) / 100, 0))</f>
        <v/>
      </c>
      <c r="T872" t="str">
        <f>IF(A872="","", SUMIFS($H$2:$H$2000, $A$2:$A$2000, A872))</f>
        <v/>
      </c>
      <c r="U872" t="str">
        <f t="shared" si="151"/>
        <v/>
      </c>
      <c r="V872" t="str">
        <f t="shared" si="152"/>
        <v/>
      </c>
      <c r="W872" t="str">
        <f t="shared" si="153"/>
        <v/>
      </c>
    </row>
    <row r="873" spans="1:23" x14ac:dyDescent="0.2">
      <c r="A873" s="4" t="str">
        <f>IF(ポートフォリオ実績!A874="","", ポートフォリオ実績!A874)</f>
        <v/>
      </c>
      <c r="B873" t="str">
        <f>IF(ポートフォリオ実績!B874="","", ポートフォリオ実績!B874)</f>
        <v/>
      </c>
      <c r="C873" s="10" t="str">
        <f>IF(ポートフォリオ実績!C874="","", ポートフォリオ実績!C874)</f>
        <v/>
      </c>
      <c r="D873" s="10" t="str">
        <f>IF(ポートフォリオ実績!D874="","", ポートフォリオ実績!D874)</f>
        <v/>
      </c>
      <c r="E873" s="10" t="str">
        <f>IF(ポートフォリオ実績!E874="","", ポートフォリオ実績!E874)</f>
        <v/>
      </c>
      <c r="F873" s="10" t="str">
        <f>IF(ポートフォリオ実績!F874="","", ポートフォリオ実績!F874)</f>
        <v/>
      </c>
      <c r="G873" t="str">
        <f t="shared" si="143"/>
        <v/>
      </c>
      <c r="H873">
        <f>IF(B873&lt;&gt;"", SUMIFS(ポートフォリオ実績!$D$2:$D$2001, ポートフォリオ実績!$B$2:$B$2001, B873, ポートフォリオ実績!$A$2:$A$2001, G873), 0)</f>
        <v>0</v>
      </c>
      <c r="I873">
        <f>IF(B873&lt;&gt;"", SUMIFS(ポートフォリオ実績!$C$2:$C$2001, ポートフォリオ実績!$B$2:$B$2001, B873, ポートフォリオ実績!$A$2:$A$2001, G873), 0)</f>
        <v>0</v>
      </c>
      <c r="J873">
        <f t="shared" si="144"/>
        <v>0</v>
      </c>
      <c r="K873">
        <f t="shared" si="145"/>
        <v>0</v>
      </c>
      <c r="L873">
        <f t="shared" si="146"/>
        <v>0</v>
      </c>
      <c r="M873">
        <f t="shared" si="147"/>
        <v>0</v>
      </c>
      <c r="N873">
        <f t="shared" si="148"/>
        <v>0</v>
      </c>
      <c r="O873">
        <f t="shared" si="149"/>
        <v>0</v>
      </c>
      <c r="P873" t="str">
        <f t="shared" si="150"/>
        <v/>
      </c>
      <c r="Q873" t="str">
        <f>IF(B873="","", IFERROR(VLOOKUP(B873, '基準資産配分（設定）'!$A$2:$C$2001, 3, FALSE), ""))</f>
        <v/>
      </c>
      <c r="R873" t="str">
        <f>IF(B873="","", IFERROR(VLOOKUP(B873, '基準資産配分（設定）'!$A$2:$C$2001, 2, FALSE)/100, 0))</f>
        <v/>
      </c>
      <c r="S873" t="str">
        <f>IF(B873="","", IFERROR(SUMIFS(ベンチマークリターン!$C$2:$C$2001, ベンチマークリターン!$A$2:$A$2001, A873, ベンチマークリターン!$B$2:$B$2001, Q873) / 100, 0))</f>
        <v/>
      </c>
      <c r="T873" t="str">
        <f>IF(A873="","", SUMIFS($H$2:$H$2000, $A$2:$A$2000, A873))</f>
        <v/>
      </c>
      <c r="U873" t="str">
        <f t="shared" si="151"/>
        <v/>
      </c>
      <c r="V873" t="str">
        <f t="shared" si="152"/>
        <v/>
      </c>
      <c r="W873" t="str">
        <f t="shared" si="153"/>
        <v/>
      </c>
    </row>
    <row r="874" spans="1:23" x14ac:dyDescent="0.2">
      <c r="A874" s="4" t="str">
        <f>IF(ポートフォリオ実績!A875="","", ポートフォリオ実績!A875)</f>
        <v/>
      </c>
      <c r="B874" t="str">
        <f>IF(ポートフォリオ実績!B875="","", ポートフォリオ実績!B875)</f>
        <v/>
      </c>
      <c r="C874" s="10" t="str">
        <f>IF(ポートフォリオ実績!C875="","", ポートフォリオ実績!C875)</f>
        <v/>
      </c>
      <c r="D874" s="10" t="str">
        <f>IF(ポートフォリオ実績!D875="","", ポートフォリオ実績!D875)</f>
        <v/>
      </c>
      <c r="E874" s="10" t="str">
        <f>IF(ポートフォリオ実績!E875="","", ポートフォリオ実績!E875)</f>
        <v/>
      </c>
      <c r="F874" s="10" t="str">
        <f>IF(ポートフォリオ実績!F875="","", ポートフォリオ実績!F875)</f>
        <v/>
      </c>
      <c r="G874" t="str">
        <f t="shared" si="143"/>
        <v/>
      </c>
      <c r="H874">
        <f>IF(B874&lt;&gt;"", SUMIFS(ポートフォリオ実績!$D$2:$D$2001, ポートフォリオ実績!$B$2:$B$2001, B874, ポートフォリオ実績!$A$2:$A$2001, G874), 0)</f>
        <v>0</v>
      </c>
      <c r="I874">
        <f>IF(B874&lt;&gt;"", SUMIFS(ポートフォリオ実績!$C$2:$C$2001, ポートフォリオ実績!$B$2:$B$2001, B874, ポートフォリオ実績!$A$2:$A$2001, G874), 0)</f>
        <v>0</v>
      </c>
      <c r="J874">
        <f t="shared" si="144"/>
        <v>0</v>
      </c>
      <c r="K874">
        <f t="shared" si="145"/>
        <v>0</v>
      </c>
      <c r="L874">
        <f t="shared" si="146"/>
        <v>0</v>
      </c>
      <c r="M874">
        <f t="shared" si="147"/>
        <v>0</v>
      </c>
      <c r="N874">
        <f t="shared" si="148"/>
        <v>0</v>
      </c>
      <c r="O874">
        <f t="shared" si="149"/>
        <v>0</v>
      </c>
      <c r="P874" t="str">
        <f t="shared" si="150"/>
        <v/>
      </c>
      <c r="Q874" t="str">
        <f>IF(B874="","", IFERROR(VLOOKUP(B874, '基準資産配分（設定）'!$A$2:$C$2001, 3, FALSE), ""))</f>
        <v/>
      </c>
      <c r="R874" t="str">
        <f>IF(B874="","", IFERROR(VLOOKUP(B874, '基準資産配分（設定）'!$A$2:$C$2001, 2, FALSE)/100, 0))</f>
        <v/>
      </c>
      <c r="S874" t="str">
        <f>IF(B874="","", IFERROR(SUMIFS(ベンチマークリターン!$C$2:$C$2001, ベンチマークリターン!$A$2:$A$2001, A874, ベンチマークリターン!$B$2:$B$2001, Q874) / 100, 0))</f>
        <v/>
      </c>
      <c r="T874" t="str">
        <f>IF(A874="","", SUMIFS($H$2:$H$2000, $A$2:$A$2000, A874))</f>
        <v/>
      </c>
      <c r="U874" t="str">
        <f t="shared" si="151"/>
        <v/>
      </c>
      <c r="V874" t="str">
        <f t="shared" si="152"/>
        <v/>
      </c>
      <c r="W874" t="str">
        <f t="shared" si="153"/>
        <v/>
      </c>
    </row>
    <row r="875" spans="1:23" x14ac:dyDescent="0.2">
      <c r="A875" s="4" t="str">
        <f>IF(ポートフォリオ実績!A876="","", ポートフォリオ実績!A876)</f>
        <v/>
      </c>
      <c r="B875" t="str">
        <f>IF(ポートフォリオ実績!B876="","", ポートフォリオ実績!B876)</f>
        <v/>
      </c>
      <c r="C875" s="10" t="str">
        <f>IF(ポートフォリオ実績!C876="","", ポートフォリオ実績!C876)</f>
        <v/>
      </c>
      <c r="D875" s="10" t="str">
        <f>IF(ポートフォリオ実績!D876="","", ポートフォリオ実績!D876)</f>
        <v/>
      </c>
      <c r="E875" s="10" t="str">
        <f>IF(ポートフォリオ実績!E876="","", ポートフォリオ実績!E876)</f>
        <v/>
      </c>
      <c r="F875" s="10" t="str">
        <f>IF(ポートフォリオ実績!F876="","", ポートフォリオ実績!F876)</f>
        <v/>
      </c>
      <c r="G875" t="str">
        <f t="shared" si="143"/>
        <v/>
      </c>
      <c r="H875">
        <f>IF(B875&lt;&gt;"", SUMIFS(ポートフォリオ実績!$D$2:$D$2001, ポートフォリオ実績!$B$2:$B$2001, B875, ポートフォリオ実績!$A$2:$A$2001, G875), 0)</f>
        <v>0</v>
      </c>
      <c r="I875">
        <f>IF(B875&lt;&gt;"", SUMIFS(ポートフォリオ実績!$C$2:$C$2001, ポートフォリオ実績!$B$2:$B$2001, B875, ポートフォリオ実績!$A$2:$A$2001, G875), 0)</f>
        <v>0</v>
      </c>
      <c r="J875">
        <f t="shared" si="144"/>
        <v>0</v>
      </c>
      <c r="K875">
        <f t="shared" si="145"/>
        <v>0</v>
      </c>
      <c r="L875">
        <f t="shared" si="146"/>
        <v>0</v>
      </c>
      <c r="M875">
        <f t="shared" si="147"/>
        <v>0</v>
      </c>
      <c r="N875">
        <f t="shared" si="148"/>
        <v>0</v>
      </c>
      <c r="O875">
        <f t="shared" si="149"/>
        <v>0</v>
      </c>
      <c r="P875" t="str">
        <f t="shared" si="150"/>
        <v/>
      </c>
      <c r="Q875" t="str">
        <f>IF(B875="","", IFERROR(VLOOKUP(B875, '基準資産配分（設定）'!$A$2:$C$2001, 3, FALSE), ""))</f>
        <v/>
      </c>
      <c r="R875" t="str">
        <f>IF(B875="","", IFERROR(VLOOKUP(B875, '基準資産配分（設定）'!$A$2:$C$2001, 2, FALSE)/100, 0))</f>
        <v/>
      </c>
      <c r="S875" t="str">
        <f>IF(B875="","", IFERROR(SUMIFS(ベンチマークリターン!$C$2:$C$2001, ベンチマークリターン!$A$2:$A$2001, A875, ベンチマークリターン!$B$2:$B$2001, Q875) / 100, 0))</f>
        <v/>
      </c>
      <c r="T875" t="str">
        <f>IF(A875="","", SUMIFS($H$2:$H$2000, $A$2:$A$2000, A875))</f>
        <v/>
      </c>
      <c r="U875" t="str">
        <f t="shared" si="151"/>
        <v/>
      </c>
      <c r="V875" t="str">
        <f t="shared" si="152"/>
        <v/>
      </c>
      <c r="W875" t="str">
        <f t="shared" si="153"/>
        <v/>
      </c>
    </row>
    <row r="876" spans="1:23" x14ac:dyDescent="0.2">
      <c r="A876" s="4" t="str">
        <f>IF(ポートフォリオ実績!A877="","", ポートフォリオ実績!A877)</f>
        <v/>
      </c>
      <c r="B876" t="str">
        <f>IF(ポートフォリオ実績!B877="","", ポートフォリオ実績!B877)</f>
        <v/>
      </c>
      <c r="C876" s="10" t="str">
        <f>IF(ポートフォリオ実績!C877="","", ポートフォリオ実績!C877)</f>
        <v/>
      </c>
      <c r="D876" s="10" t="str">
        <f>IF(ポートフォリオ実績!D877="","", ポートフォリオ実績!D877)</f>
        <v/>
      </c>
      <c r="E876" s="10" t="str">
        <f>IF(ポートフォリオ実績!E877="","", ポートフォリオ実績!E877)</f>
        <v/>
      </c>
      <c r="F876" s="10" t="str">
        <f>IF(ポートフォリオ実績!F877="","", ポートフォリオ実績!F877)</f>
        <v/>
      </c>
      <c r="G876" t="str">
        <f t="shared" si="143"/>
        <v/>
      </c>
      <c r="H876">
        <f>IF(B876&lt;&gt;"", SUMIFS(ポートフォリオ実績!$D$2:$D$2001, ポートフォリオ実績!$B$2:$B$2001, B876, ポートフォリオ実績!$A$2:$A$2001, G876), 0)</f>
        <v>0</v>
      </c>
      <c r="I876">
        <f>IF(B876&lt;&gt;"", SUMIFS(ポートフォリオ実績!$C$2:$C$2001, ポートフォリオ実績!$B$2:$B$2001, B876, ポートフォリオ実績!$A$2:$A$2001, G876), 0)</f>
        <v>0</v>
      </c>
      <c r="J876">
        <f t="shared" si="144"/>
        <v>0</v>
      </c>
      <c r="K876">
        <f t="shared" si="145"/>
        <v>0</v>
      </c>
      <c r="L876">
        <f t="shared" si="146"/>
        <v>0</v>
      </c>
      <c r="M876">
        <f t="shared" si="147"/>
        <v>0</v>
      </c>
      <c r="N876">
        <f t="shared" si="148"/>
        <v>0</v>
      </c>
      <c r="O876">
        <f t="shared" si="149"/>
        <v>0</v>
      </c>
      <c r="P876" t="str">
        <f t="shared" si="150"/>
        <v/>
      </c>
      <c r="Q876" t="str">
        <f>IF(B876="","", IFERROR(VLOOKUP(B876, '基準資産配分（設定）'!$A$2:$C$2001, 3, FALSE), ""))</f>
        <v/>
      </c>
      <c r="R876" t="str">
        <f>IF(B876="","", IFERROR(VLOOKUP(B876, '基準資産配分（設定）'!$A$2:$C$2001, 2, FALSE)/100, 0))</f>
        <v/>
      </c>
      <c r="S876" t="str">
        <f>IF(B876="","", IFERROR(SUMIFS(ベンチマークリターン!$C$2:$C$2001, ベンチマークリターン!$A$2:$A$2001, A876, ベンチマークリターン!$B$2:$B$2001, Q876) / 100, 0))</f>
        <v/>
      </c>
      <c r="T876" t="str">
        <f>IF(A876="","", SUMIFS($H$2:$H$2000, $A$2:$A$2000, A876))</f>
        <v/>
      </c>
      <c r="U876" t="str">
        <f t="shared" si="151"/>
        <v/>
      </c>
      <c r="V876" t="str">
        <f t="shared" si="152"/>
        <v/>
      </c>
      <c r="W876" t="str">
        <f t="shared" si="153"/>
        <v/>
      </c>
    </row>
    <row r="877" spans="1:23" x14ac:dyDescent="0.2">
      <c r="A877" s="4" t="str">
        <f>IF(ポートフォリオ実績!A878="","", ポートフォリオ実績!A878)</f>
        <v/>
      </c>
      <c r="B877" t="str">
        <f>IF(ポートフォリオ実績!B878="","", ポートフォリオ実績!B878)</f>
        <v/>
      </c>
      <c r="C877" s="10" t="str">
        <f>IF(ポートフォリオ実績!C878="","", ポートフォリオ実績!C878)</f>
        <v/>
      </c>
      <c r="D877" s="10" t="str">
        <f>IF(ポートフォリオ実績!D878="","", ポートフォリオ実績!D878)</f>
        <v/>
      </c>
      <c r="E877" s="10" t="str">
        <f>IF(ポートフォリオ実績!E878="","", ポートフォリオ実績!E878)</f>
        <v/>
      </c>
      <c r="F877" s="10" t="str">
        <f>IF(ポートフォリオ実績!F878="","", ポートフォリオ実績!F878)</f>
        <v/>
      </c>
      <c r="G877" t="str">
        <f t="shared" si="143"/>
        <v/>
      </c>
      <c r="H877">
        <f>IF(B877&lt;&gt;"", SUMIFS(ポートフォリオ実績!$D$2:$D$2001, ポートフォリオ実績!$B$2:$B$2001, B877, ポートフォリオ実績!$A$2:$A$2001, G877), 0)</f>
        <v>0</v>
      </c>
      <c r="I877">
        <f>IF(B877&lt;&gt;"", SUMIFS(ポートフォリオ実績!$C$2:$C$2001, ポートフォリオ実績!$B$2:$B$2001, B877, ポートフォリオ実績!$A$2:$A$2001, G877), 0)</f>
        <v>0</v>
      </c>
      <c r="J877">
        <f t="shared" si="144"/>
        <v>0</v>
      </c>
      <c r="K877">
        <f t="shared" si="145"/>
        <v>0</v>
      </c>
      <c r="L877">
        <f t="shared" si="146"/>
        <v>0</v>
      </c>
      <c r="M877">
        <f t="shared" si="147"/>
        <v>0</v>
      </c>
      <c r="N877">
        <f t="shared" si="148"/>
        <v>0</v>
      </c>
      <c r="O877">
        <f t="shared" si="149"/>
        <v>0</v>
      </c>
      <c r="P877" t="str">
        <f t="shared" si="150"/>
        <v/>
      </c>
      <c r="Q877" t="str">
        <f>IF(B877="","", IFERROR(VLOOKUP(B877, '基準資産配分（設定）'!$A$2:$C$2001, 3, FALSE), ""))</f>
        <v/>
      </c>
      <c r="R877" t="str">
        <f>IF(B877="","", IFERROR(VLOOKUP(B877, '基準資産配分（設定）'!$A$2:$C$2001, 2, FALSE)/100, 0))</f>
        <v/>
      </c>
      <c r="S877" t="str">
        <f>IF(B877="","", IFERROR(SUMIFS(ベンチマークリターン!$C$2:$C$2001, ベンチマークリターン!$A$2:$A$2001, A877, ベンチマークリターン!$B$2:$B$2001, Q877) / 100, 0))</f>
        <v/>
      </c>
      <c r="T877" t="str">
        <f>IF(A877="","", SUMIFS($H$2:$H$2000, $A$2:$A$2000, A877))</f>
        <v/>
      </c>
      <c r="U877" t="str">
        <f t="shared" si="151"/>
        <v/>
      </c>
      <c r="V877" t="str">
        <f t="shared" si="152"/>
        <v/>
      </c>
      <c r="W877" t="str">
        <f t="shared" si="153"/>
        <v/>
      </c>
    </row>
    <row r="878" spans="1:23" x14ac:dyDescent="0.2">
      <c r="A878" s="4" t="str">
        <f>IF(ポートフォリオ実績!A879="","", ポートフォリオ実績!A879)</f>
        <v/>
      </c>
      <c r="B878" t="str">
        <f>IF(ポートフォリオ実績!B879="","", ポートフォリオ実績!B879)</f>
        <v/>
      </c>
      <c r="C878" s="10" t="str">
        <f>IF(ポートフォリオ実績!C879="","", ポートフォリオ実績!C879)</f>
        <v/>
      </c>
      <c r="D878" s="10" t="str">
        <f>IF(ポートフォリオ実績!D879="","", ポートフォリオ実績!D879)</f>
        <v/>
      </c>
      <c r="E878" s="10" t="str">
        <f>IF(ポートフォリオ実績!E879="","", ポートフォリオ実績!E879)</f>
        <v/>
      </c>
      <c r="F878" s="10" t="str">
        <f>IF(ポートフォリオ実績!F879="","", ポートフォリオ実績!F879)</f>
        <v/>
      </c>
      <c r="G878" t="str">
        <f t="shared" si="143"/>
        <v/>
      </c>
      <c r="H878">
        <f>IF(B878&lt;&gt;"", SUMIFS(ポートフォリオ実績!$D$2:$D$2001, ポートフォリオ実績!$B$2:$B$2001, B878, ポートフォリオ実績!$A$2:$A$2001, G878), 0)</f>
        <v>0</v>
      </c>
      <c r="I878">
        <f>IF(B878&lt;&gt;"", SUMIFS(ポートフォリオ実績!$C$2:$C$2001, ポートフォリオ実績!$B$2:$B$2001, B878, ポートフォリオ実績!$A$2:$A$2001, G878), 0)</f>
        <v>0</v>
      </c>
      <c r="J878">
        <f t="shared" si="144"/>
        <v>0</v>
      </c>
      <c r="K878">
        <f t="shared" si="145"/>
        <v>0</v>
      </c>
      <c r="L878">
        <f t="shared" si="146"/>
        <v>0</v>
      </c>
      <c r="M878">
        <f t="shared" si="147"/>
        <v>0</v>
      </c>
      <c r="N878">
        <f t="shared" si="148"/>
        <v>0</v>
      </c>
      <c r="O878">
        <f t="shared" si="149"/>
        <v>0</v>
      </c>
      <c r="P878" t="str">
        <f t="shared" si="150"/>
        <v/>
      </c>
      <c r="Q878" t="str">
        <f>IF(B878="","", IFERROR(VLOOKUP(B878, '基準資産配分（設定）'!$A$2:$C$2001, 3, FALSE), ""))</f>
        <v/>
      </c>
      <c r="R878" t="str">
        <f>IF(B878="","", IFERROR(VLOOKUP(B878, '基準資産配分（設定）'!$A$2:$C$2001, 2, FALSE)/100, 0))</f>
        <v/>
      </c>
      <c r="S878" t="str">
        <f>IF(B878="","", IFERROR(SUMIFS(ベンチマークリターン!$C$2:$C$2001, ベンチマークリターン!$A$2:$A$2001, A878, ベンチマークリターン!$B$2:$B$2001, Q878) / 100, 0))</f>
        <v/>
      </c>
      <c r="T878" t="str">
        <f>IF(A878="","", SUMIFS($H$2:$H$2000, $A$2:$A$2000, A878))</f>
        <v/>
      </c>
      <c r="U878" t="str">
        <f t="shared" si="151"/>
        <v/>
      </c>
      <c r="V878" t="str">
        <f t="shared" si="152"/>
        <v/>
      </c>
      <c r="W878" t="str">
        <f t="shared" si="153"/>
        <v/>
      </c>
    </row>
    <row r="879" spans="1:23" x14ac:dyDescent="0.2">
      <c r="A879" s="4" t="str">
        <f>IF(ポートフォリオ実績!A880="","", ポートフォリオ実績!A880)</f>
        <v/>
      </c>
      <c r="B879" t="str">
        <f>IF(ポートフォリオ実績!B880="","", ポートフォリオ実績!B880)</f>
        <v/>
      </c>
      <c r="C879" s="10" t="str">
        <f>IF(ポートフォリオ実績!C880="","", ポートフォリオ実績!C880)</f>
        <v/>
      </c>
      <c r="D879" s="10" t="str">
        <f>IF(ポートフォリオ実績!D880="","", ポートフォリオ実績!D880)</f>
        <v/>
      </c>
      <c r="E879" s="10" t="str">
        <f>IF(ポートフォリオ実績!E880="","", ポートフォリオ実績!E880)</f>
        <v/>
      </c>
      <c r="F879" s="10" t="str">
        <f>IF(ポートフォリオ実績!F880="","", ポートフォリオ実績!F880)</f>
        <v/>
      </c>
      <c r="G879" t="str">
        <f t="shared" si="143"/>
        <v/>
      </c>
      <c r="H879">
        <f>IF(B879&lt;&gt;"", SUMIFS(ポートフォリオ実績!$D$2:$D$2001, ポートフォリオ実績!$B$2:$B$2001, B879, ポートフォリオ実績!$A$2:$A$2001, G879), 0)</f>
        <v>0</v>
      </c>
      <c r="I879">
        <f>IF(B879&lt;&gt;"", SUMIFS(ポートフォリオ実績!$C$2:$C$2001, ポートフォリオ実績!$B$2:$B$2001, B879, ポートフォリオ実績!$A$2:$A$2001, G879), 0)</f>
        <v>0</v>
      </c>
      <c r="J879">
        <f t="shared" si="144"/>
        <v>0</v>
      </c>
      <c r="K879">
        <f t="shared" si="145"/>
        <v>0</v>
      </c>
      <c r="L879">
        <f t="shared" si="146"/>
        <v>0</v>
      </c>
      <c r="M879">
        <f t="shared" si="147"/>
        <v>0</v>
      </c>
      <c r="N879">
        <f t="shared" si="148"/>
        <v>0</v>
      </c>
      <c r="O879">
        <f t="shared" si="149"/>
        <v>0</v>
      </c>
      <c r="P879" t="str">
        <f t="shared" si="150"/>
        <v/>
      </c>
      <c r="Q879" t="str">
        <f>IF(B879="","", IFERROR(VLOOKUP(B879, '基準資産配分（設定）'!$A$2:$C$2001, 3, FALSE), ""))</f>
        <v/>
      </c>
      <c r="R879" t="str">
        <f>IF(B879="","", IFERROR(VLOOKUP(B879, '基準資産配分（設定）'!$A$2:$C$2001, 2, FALSE)/100, 0))</f>
        <v/>
      </c>
      <c r="S879" t="str">
        <f>IF(B879="","", IFERROR(SUMIFS(ベンチマークリターン!$C$2:$C$2001, ベンチマークリターン!$A$2:$A$2001, A879, ベンチマークリターン!$B$2:$B$2001, Q879) / 100, 0))</f>
        <v/>
      </c>
      <c r="T879" t="str">
        <f>IF(A879="","", SUMIFS($H$2:$H$2000, $A$2:$A$2000, A879))</f>
        <v/>
      </c>
      <c r="U879" t="str">
        <f t="shared" si="151"/>
        <v/>
      </c>
      <c r="V879" t="str">
        <f t="shared" si="152"/>
        <v/>
      </c>
      <c r="W879" t="str">
        <f t="shared" si="153"/>
        <v/>
      </c>
    </row>
    <row r="880" spans="1:23" x14ac:dyDescent="0.2">
      <c r="A880" s="4" t="str">
        <f>IF(ポートフォリオ実績!A881="","", ポートフォリオ実績!A881)</f>
        <v/>
      </c>
      <c r="B880" t="str">
        <f>IF(ポートフォリオ実績!B881="","", ポートフォリオ実績!B881)</f>
        <v/>
      </c>
      <c r="C880" s="10" t="str">
        <f>IF(ポートフォリオ実績!C881="","", ポートフォリオ実績!C881)</f>
        <v/>
      </c>
      <c r="D880" s="10" t="str">
        <f>IF(ポートフォリオ実績!D881="","", ポートフォリオ実績!D881)</f>
        <v/>
      </c>
      <c r="E880" s="10" t="str">
        <f>IF(ポートフォリオ実績!E881="","", ポートフォリオ実績!E881)</f>
        <v/>
      </c>
      <c r="F880" s="10" t="str">
        <f>IF(ポートフォリオ実績!F881="","", ポートフォリオ実績!F881)</f>
        <v/>
      </c>
      <c r="G880" t="str">
        <f t="shared" si="143"/>
        <v/>
      </c>
      <c r="H880">
        <f>IF(B880&lt;&gt;"", SUMIFS(ポートフォリオ実績!$D$2:$D$2001, ポートフォリオ実績!$B$2:$B$2001, B880, ポートフォリオ実績!$A$2:$A$2001, G880), 0)</f>
        <v>0</v>
      </c>
      <c r="I880">
        <f>IF(B880&lt;&gt;"", SUMIFS(ポートフォリオ実績!$C$2:$C$2001, ポートフォリオ実績!$B$2:$B$2001, B880, ポートフォリオ実績!$A$2:$A$2001, G880), 0)</f>
        <v>0</v>
      </c>
      <c r="J880">
        <f t="shared" si="144"/>
        <v>0</v>
      </c>
      <c r="K880">
        <f t="shared" si="145"/>
        <v>0</v>
      </c>
      <c r="L880">
        <f t="shared" si="146"/>
        <v>0</v>
      </c>
      <c r="M880">
        <f t="shared" si="147"/>
        <v>0</v>
      </c>
      <c r="N880">
        <f t="shared" si="148"/>
        <v>0</v>
      </c>
      <c r="O880">
        <f t="shared" si="149"/>
        <v>0</v>
      </c>
      <c r="P880" t="str">
        <f t="shared" si="150"/>
        <v/>
      </c>
      <c r="Q880" t="str">
        <f>IF(B880="","", IFERROR(VLOOKUP(B880, '基準資産配分（設定）'!$A$2:$C$2001, 3, FALSE), ""))</f>
        <v/>
      </c>
      <c r="R880" t="str">
        <f>IF(B880="","", IFERROR(VLOOKUP(B880, '基準資産配分（設定）'!$A$2:$C$2001, 2, FALSE)/100, 0))</f>
        <v/>
      </c>
      <c r="S880" t="str">
        <f>IF(B880="","", IFERROR(SUMIFS(ベンチマークリターン!$C$2:$C$2001, ベンチマークリターン!$A$2:$A$2001, A880, ベンチマークリターン!$B$2:$B$2001, Q880) / 100, 0))</f>
        <v/>
      </c>
      <c r="T880" t="str">
        <f>IF(A880="","", SUMIFS($H$2:$H$2000, $A$2:$A$2000, A880))</f>
        <v/>
      </c>
      <c r="U880" t="str">
        <f t="shared" si="151"/>
        <v/>
      </c>
      <c r="V880" t="str">
        <f t="shared" si="152"/>
        <v/>
      </c>
      <c r="W880" t="str">
        <f t="shared" si="153"/>
        <v/>
      </c>
    </row>
    <row r="881" spans="1:23" x14ac:dyDescent="0.2">
      <c r="A881" s="4" t="str">
        <f>IF(ポートフォリオ実績!A882="","", ポートフォリオ実績!A882)</f>
        <v/>
      </c>
      <c r="B881" t="str">
        <f>IF(ポートフォリオ実績!B882="","", ポートフォリオ実績!B882)</f>
        <v/>
      </c>
      <c r="C881" s="10" t="str">
        <f>IF(ポートフォリオ実績!C882="","", ポートフォリオ実績!C882)</f>
        <v/>
      </c>
      <c r="D881" s="10" t="str">
        <f>IF(ポートフォリオ実績!D882="","", ポートフォリオ実績!D882)</f>
        <v/>
      </c>
      <c r="E881" s="10" t="str">
        <f>IF(ポートフォリオ実績!E882="","", ポートフォリオ実績!E882)</f>
        <v/>
      </c>
      <c r="F881" s="10" t="str">
        <f>IF(ポートフォリオ実績!F882="","", ポートフォリオ実績!F882)</f>
        <v/>
      </c>
      <c r="G881" t="str">
        <f t="shared" si="143"/>
        <v/>
      </c>
      <c r="H881">
        <f>IF(B881&lt;&gt;"", SUMIFS(ポートフォリオ実績!$D$2:$D$2001, ポートフォリオ実績!$B$2:$B$2001, B881, ポートフォリオ実績!$A$2:$A$2001, G881), 0)</f>
        <v>0</v>
      </c>
      <c r="I881">
        <f>IF(B881&lt;&gt;"", SUMIFS(ポートフォリオ実績!$C$2:$C$2001, ポートフォリオ実績!$B$2:$B$2001, B881, ポートフォリオ実績!$A$2:$A$2001, G881), 0)</f>
        <v>0</v>
      </c>
      <c r="J881">
        <f t="shared" si="144"/>
        <v>0</v>
      </c>
      <c r="K881">
        <f t="shared" si="145"/>
        <v>0</v>
      </c>
      <c r="L881">
        <f t="shared" si="146"/>
        <v>0</v>
      </c>
      <c r="M881">
        <f t="shared" si="147"/>
        <v>0</v>
      </c>
      <c r="N881">
        <f t="shared" si="148"/>
        <v>0</v>
      </c>
      <c r="O881">
        <f t="shared" si="149"/>
        <v>0</v>
      </c>
      <c r="P881" t="str">
        <f t="shared" si="150"/>
        <v/>
      </c>
      <c r="Q881" t="str">
        <f>IF(B881="","", IFERROR(VLOOKUP(B881, '基準資産配分（設定）'!$A$2:$C$2001, 3, FALSE), ""))</f>
        <v/>
      </c>
      <c r="R881" t="str">
        <f>IF(B881="","", IFERROR(VLOOKUP(B881, '基準資産配分（設定）'!$A$2:$C$2001, 2, FALSE)/100, 0))</f>
        <v/>
      </c>
      <c r="S881" t="str">
        <f>IF(B881="","", IFERROR(SUMIFS(ベンチマークリターン!$C$2:$C$2001, ベンチマークリターン!$A$2:$A$2001, A881, ベンチマークリターン!$B$2:$B$2001, Q881) / 100, 0))</f>
        <v/>
      </c>
      <c r="T881" t="str">
        <f>IF(A881="","", SUMIFS($H$2:$H$2000, $A$2:$A$2000, A881))</f>
        <v/>
      </c>
      <c r="U881" t="str">
        <f t="shared" si="151"/>
        <v/>
      </c>
      <c r="V881" t="str">
        <f t="shared" si="152"/>
        <v/>
      </c>
      <c r="W881" t="str">
        <f t="shared" si="153"/>
        <v/>
      </c>
    </row>
    <row r="882" spans="1:23" x14ac:dyDescent="0.2">
      <c r="A882" s="4" t="str">
        <f>IF(ポートフォリオ実績!A883="","", ポートフォリオ実績!A883)</f>
        <v/>
      </c>
      <c r="B882" t="str">
        <f>IF(ポートフォリオ実績!B883="","", ポートフォリオ実績!B883)</f>
        <v/>
      </c>
      <c r="C882" s="10" t="str">
        <f>IF(ポートフォリオ実績!C883="","", ポートフォリオ実績!C883)</f>
        <v/>
      </c>
      <c r="D882" s="10" t="str">
        <f>IF(ポートフォリオ実績!D883="","", ポートフォリオ実績!D883)</f>
        <v/>
      </c>
      <c r="E882" s="10" t="str">
        <f>IF(ポートフォリオ実績!E883="","", ポートフォリオ実績!E883)</f>
        <v/>
      </c>
      <c r="F882" s="10" t="str">
        <f>IF(ポートフォリオ実績!F883="","", ポートフォリオ実績!F883)</f>
        <v/>
      </c>
      <c r="G882" t="str">
        <f t="shared" si="143"/>
        <v/>
      </c>
      <c r="H882">
        <f>IF(B882&lt;&gt;"", SUMIFS(ポートフォリオ実績!$D$2:$D$2001, ポートフォリオ実績!$B$2:$B$2001, B882, ポートフォリオ実績!$A$2:$A$2001, G882), 0)</f>
        <v>0</v>
      </c>
      <c r="I882">
        <f>IF(B882&lt;&gt;"", SUMIFS(ポートフォリオ実績!$C$2:$C$2001, ポートフォリオ実績!$B$2:$B$2001, B882, ポートフォリオ実績!$A$2:$A$2001, G882), 0)</f>
        <v>0</v>
      </c>
      <c r="J882">
        <f t="shared" si="144"/>
        <v>0</v>
      </c>
      <c r="K882">
        <f t="shared" si="145"/>
        <v>0</v>
      </c>
      <c r="L882">
        <f t="shared" si="146"/>
        <v>0</v>
      </c>
      <c r="M882">
        <f t="shared" si="147"/>
        <v>0</v>
      </c>
      <c r="N882">
        <f t="shared" si="148"/>
        <v>0</v>
      </c>
      <c r="O882">
        <f t="shared" si="149"/>
        <v>0</v>
      </c>
      <c r="P882" t="str">
        <f t="shared" si="150"/>
        <v/>
      </c>
      <c r="Q882" t="str">
        <f>IF(B882="","", IFERROR(VLOOKUP(B882, '基準資産配分（設定）'!$A$2:$C$2001, 3, FALSE), ""))</f>
        <v/>
      </c>
      <c r="R882" t="str">
        <f>IF(B882="","", IFERROR(VLOOKUP(B882, '基準資産配分（設定）'!$A$2:$C$2001, 2, FALSE)/100, 0))</f>
        <v/>
      </c>
      <c r="S882" t="str">
        <f>IF(B882="","", IFERROR(SUMIFS(ベンチマークリターン!$C$2:$C$2001, ベンチマークリターン!$A$2:$A$2001, A882, ベンチマークリターン!$B$2:$B$2001, Q882) / 100, 0))</f>
        <v/>
      </c>
      <c r="T882" t="str">
        <f>IF(A882="","", SUMIFS($H$2:$H$2000, $A$2:$A$2000, A882))</f>
        <v/>
      </c>
      <c r="U882" t="str">
        <f t="shared" si="151"/>
        <v/>
      </c>
      <c r="V882" t="str">
        <f t="shared" si="152"/>
        <v/>
      </c>
      <c r="W882" t="str">
        <f t="shared" si="153"/>
        <v/>
      </c>
    </row>
    <row r="883" spans="1:23" x14ac:dyDescent="0.2">
      <c r="A883" s="4" t="str">
        <f>IF(ポートフォリオ実績!A884="","", ポートフォリオ実績!A884)</f>
        <v/>
      </c>
      <c r="B883" t="str">
        <f>IF(ポートフォリオ実績!B884="","", ポートフォリオ実績!B884)</f>
        <v/>
      </c>
      <c r="C883" s="10" t="str">
        <f>IF(ポートフォリオ実績!C884="","", ポートフォリオ実績!C884)</f>
        <v/>
      </c>
      <c r="D883" s="10" t="str">
        <f>IF(ポートフォリオ実績!D884="","", ポートフォリオ実績!D884)</f>
        <v/>
      </c>
      <c r="E883" s="10" t="str">
        <f>IF(ポートフォリオ実績!E884="","", ポートフォリオ実績!E884)</f>
        <v/>
      </c>
      <c r="F883" s="10" t="str">
        <f>IF(ポートフォリオ実績!F884="","", ポートフォリオ実績!F884)</f>
        <v/>
      </c>
      <c r="G883" t="str">
        <f t="shared" si="143"/>
        <v/>
      </c>
      <c r="H883">
        <f>IF(B883&lt;&gt;"", SUMIFS(ポートフォリオ実績!$D$2:$D$2001, ポートフォリオ実績!$B$2:$B$2001, B883, ポートフォリオ実績!$A$2:$A$2001, G883), 0)</f>
        <v>0</v>
      </c>
      <c r="I883">
        <f>IF(B883&lt;&gt;"", SUMIFS(ポートフォリオ実績!$C$2:$C$2001, ポートフォリオ実績!$B$2:$B$2001, B883, ポートフォリオ実績!$A$2:$A$2001, G883), 0)</f>
        <v>0</v>
      </c>
      <c r="J883">
        <f t="shared" si="144"/>
        <v>0</v>
      </c>
      <c r="K883">
        <f t="shared" si="145"/>
        <v>0</v>
      </c>
      <c r="L883">
        <f t="shared" si="146"/>
        <v>0</v>
      </c>
      <c r="M883">
        <f t="shared" si="147"/>
        <v>0</v>
      </c>
      <c r="N883">
        <f t="shared" si="148"/>
        <v>0</v>
      </c>
      <c r="O883">
        <f t="shared" si="149"/>
        <v>0</v>
      </c>
      <c r="P883" t="str">
        <f t="shared" si="150"/>
        <v/>
      </c>
      <c r="Q883" t="str">
        <f>IF(B883="","", IFERROR(VLOOKUP(B883, '基準資産配分（設定）'!$A$2:$C$2001, 3, FALSE), ""))</f>
        <v/>
      </c>
      <c r="R883" t="str">
        <f>IF(B883="","", IFERROR(VLOOKUP(B883, '基準資産配分（設定）'!$A$2:$C$2001, 2, FALSE)/100, 0))</f>
        <v/>
      </c>
      <c r="S883" t="str">
        <f>IF(B883="","", IFERROR(SUMIFS(ベンチマークリターン!$C$2:$C$2001, ベンチマークリターン!$A$2:$A$2001, A883, ベンチマークリターン!$B$2:$B$2001, Q883) / 100, 0))</f>
        <v/>
      </c>
      <c r="T883" t="str">
        <f>IF(A883="","", SUMIFS($H$2:$H$2000, $A$2:$A$2000, A883))</f>
        <v/>
      </c>
      <c r="U883" t="str">
        <f t="shared" si="151"/>
        <v/>
      </c>
      <c r="V883" t="str">
        <f t="shared" si="152"/>
        <v/>
      </c>
      <c r="W883" t="str">
        <f t="shared" si="153"/>
        <v/>
      </c>
    </row>
    <row r="884" spans="1:23" x14ac:dyDescent="0.2">
      <c r="A884" s="4" t="str">
        <f>IF(ポートフォリオ実績!A885="","", ポートフォリオ実績!A885)</f>
        <v/>
      </c>
      <c r="B884" t="str">
        <f>IF(ポートフォリオ実績!B885="","", ポートフォリオ実績!B885)</f>
        <v/>
      </c>
      <c r="C884" s="10" t="str">
        <f>IF(ポートフォリオ実績!C885="","", ポートフォリオ実績!C885)</f>
        <v/>
      </c>
      <c r="D884" s="10" t="str">
        <f>IF(ポートフォリオ実績!D885="","", ポートフォリオ実績!D885)</f>
        <v/>
      </c>
      <c r="E884" s="10" t="str">
        <f>IF(ポートフォリオ実績!E885="","", ポートフォリオ実績!E885)</f>
        <v/>
      </c>
      <c r="F884" s="10" t="str">
        <f>IF(ポートフォリオ実績!F885="","", ポートフォリオ実績!F885)</f>
        <v/>
      </c>
      <c r="G884" t="str">
        <f t="shared" si="143"/>
        <v/>
      </c>
      <c r="H884">
        <f>IF(B884&lt;&gt;"", SUMIFS(ポートフォリオ実績!$D$2:$D$2001, ポートフォリオ実績!$B$2:$B$2001, B884, ポートフォリオ実績!$A$2:$A$2001, G884), 0)</f>
        <v>0</v>
      </c>
      <c r="I884">
        <f>IF(B884&lt;&gt;"", SUMIFS(ポートフォリオ実績!$C$2:$C$2001, ポートフォリオ実績!$B$2:$B$2001, B884, ポートフォリオ実績!$A$2:$A$2001, G884), 0)</f>
        <v>0</v>
      </c>
      <c r="J884">
        <f t="shared" si="144"/>
        <v>0</v>
      </c>
      <c r="K884">
        <f t="shared" si="145"/>
        <v>0</v>
      </c>
      <c r="L884">
        <f t="shared" si="146"/>
        <v>0</v>
      </c>
      <c r="M884">
        <f t="shared" si="147"/>
        <v>0</v>
      </c>
      <c r="N884">
        <f t="shared" si="148"/>
        <v>0</v>
      </c>
      <c r="O884">
        <f t="shared" si="149"/>
        <v>0</v>
      </c>
      <c r="P884" t="str">
        <f t="shared" si="150"/>
        <v/>
      </c>
      <c r="Q884" t="str">
        <f>IF(B884="","", IFERROR(VLOOKUP(B884, '基準資産配分（設定）'!$A$2:$C$2001, 3, FALSE), ""))</f>
        <v/>
      </c>
      <c r="R884" t="str">
        <f>IF(B884="","", IFERROR(VLOOKUP(B884, '基準資産配分（設定）'!$A$2:$C$2001, 2, FALSE)/100, 0))</f>
        <v/>
      </c>
      <c r="S884" t="str">
        <f>IF(B884="","", IFERROR(SUMIFS(ベンチマークリターン!$C$2:$C$2001, ベンチマークリターン!$A$2:$A$2001, A884, ベンチマークリターン!$B$2:$B$2001, Q884) / 100, 0))</f>
        <v/>
      </c>
      <c r="T884" t="str">
        <f>IF(A884="","", SUMIFS($H$2:$H$2000, $A$2:$A$2000, A884))</f>
        <v/>
      </c>
      <c r="U884" t="str">
        <f t="shared" si="151"/>
        <v/>
      </c>
      <c r="V884" t="str">
        <f t="shared" si="152"/>
        <v/>
      </c>
      <c r="W884" t="str">
        <f t="shared" si="153"/>
        <v/>
      </c>
    </row>
    <row r="885" spans="1:23" x14ac:dyDescent="0.2">
      <c r="A885" s="4" t="str">
        <f>IF(ポートフォリオ実績!A886="","", ポートフォリオ実績!A886)</f>
        <v/>
      </c>
      <c r="B885" t="str">
        <f>IF(ポートフォリオ実績!B886="","", ポートフォリオ実績!B886)</f>
        <v/>
      </c>
      <c r="C885" s="10" t="str">
        <f>IF(ポートフォリオ実績!C886="","", ポートフォリオ実績!C886)</f>
        <v/>
      </c>
      <c r="D885" s="10" t="str">
        <f>IF(ポートフォリオ実績!D886="","", ポートフォリオ実績!D886)</f>
        <v/>
      </c>
      <c r="E885" s="10" t="str">
        <f>IF(ポートフォリオ実績!E886="","", ポートフォリオ実績!E886)</f>
        <v/>
      </c>
      <c r="F885" s="10" t="str">
        <f>IF(ポートフォリオ実績!F886="","", ポートフォリオ実績!F886)</f>
        <v/>
      </c>
      <c r="G885" t="str">
        <f t="shared" si="143"/>
        <v/>
      </c>
      <c r="H885">
        <f>IF(B885&lt;&gt;"", SUMIFS(ポートフォリオ実績!$D$2:$D$2001, ポートフォリオ実績!$B$2:$B$2001, B885, ポートフォリオ実績!$A$2:$A$2001, G885), 0)</f>
        <v>0</v>
      </c>
      <c r="I885">
        <f>IF(B885&lt;&gt;"", SUMIFS(ポートフォリオ実績!$C$2:$C$2001, ポートフォリオ実績!$B$2:$B$2001, B885, ポートフォリオ実績!$A$2:$A$2001, G885), 0)</f>
        <v>0</v>
      </c>
      <c r="J885">
        <f t="shared" si="144"/>
        <v>0</v>
      </c>
      <c r="K885">
        <f t="shared" si="145"/>
        <v>0</v>
      </c>
      <c r="L885">
        <f t="shared" si="146"/>
        <v>0</v>
      </c>
      <c r="M885">
        <f t="shared" si="147"/>
        <v>0</v>
      </c>
      <c r="N885">
        <f t="shared" si="148"/>
        <v>0</v>
      </c>
      <c r="O885">
        <f t="shared" si="149"/>
        <v>0</v>
      </c>
      <c r="P885" t="str">
        <f t="shared" si="150"/>
        <v/>
      </c>
      <c r="Q885" t="str">
        <f>IF(B885="","", IFERROR(VLOOKUP(B885, '基準資産配分（設定）'!$A$2:$C$2001, 3, FALSE), ""))</f>
        <v/>
      </c>
      <c r="R885" t="str">
        <f>IF(B885="","", IFERROR(VLOOKUP(B885, '基準資産配分（設定）'!$A$2:$C$2001, 2, FALSE)/100, 0))</f>
        <v/>
      </c>
      <c r="S885" t="str">
        <f>IF(B885="","", IFERROR(SUMIFS(ベンチマークリターン!$C$2:$C$2001, ベンチマークリターン!$A$2:$A$2001, A885, ベンチマークリターン!$B$2:$B$2001, Q885) / 100, 0))</f>
        <v/>
      </c>
      <c r="T885" t="str">
        <f>IF(A885="","", SUMIFS($H$2:$H$2000, $A$2:$A$2000, A885))</f>
        <v/>
      </c>
      <c r="U885" t="str">
        <f t="shared" si="151"/>
        <v/>
      </c>
      <c r="V885" t="str">
        <f t="shared" si="152"/>
        <v/>
      </c>
      <c r="W885" t="str">
        <f t="shared" si="153"/>
        <v/>
      </c>
    </row>
    <row r="886" spans="1:23" x14ac:dyDescent="0.2">
      <c r="A886" s="4" t="str">
        <f>IF(ポートフォリオ実績!A887="","", ポートフォリオ実績!A887)</f>
        <v/>
      </c>
      <c r="B886" t="str">
        <f>IF(ポートフォリオ実績!B887="","", ポートフォリオ実績!B887)</f>
        <v/>
      </c>
      <c r="C886" s="10" t="str">
        <f>IF(ポートフォリオ実績!C887="","", ポートフォリオ実績!C887)</f>
        <v/>
      </c>
      <c r="D886" s="10" t="str">
        <f>IF(ポートフォリオ実績!D887="","", ポートフォリオ実績!D887)</f>
        <v/>
      </c>
      <c r="E886" s="10" t="str">
        <f>IF(ポートフォリオ実績!E887="","", ポートフォリオ実績!E887)</f>
        <v/>
      </c>
      <c r="F886" s="10" t="str">
        <f>IF(ポートフォリオ実績!F887="","", ポートフォリオ実績!F887)</f>
        <v/>
      </c>
      <c r="G886" t="str">
        <f t="shared" si="143"/>
        <v/>
      </c>
      <c r="H886">
        <f>IF(B886&lt;&gt;"", SUMIFS(ポートフォリオ実績!$D$2:$D$2001, ポートフォリオ実績!$B$2:$B$2001, B886, ポートフォリオ実績!$A$2:$A$2001, G886), 0)</f>
        <v>0</v>
      </c>
      <c r="I886">
        <f>IF(B886&lt;&gt;"", SUMIFS(ポートフォリオ実績!$C$2:$C$2001, ポートフォリオ実績!$B$2:$B$2001, B886, ポートフォリオ実績!$A$2:$A$2001, G886), 0)</f>
        <v>0</v>
      </c>
      <c r="J886">
        <f t="shared" si="144"/>
        <v>0</v>
      </c>
      <c r="K886">
        <f t="shared" si="145"/>
        <v>0</v>
      </c>
      <c r="L886">
        <f t="shared" si="146"/>
        <v>0</v>
      </c>
      <c r="M886">
        <f t="shared" si="147"/>
        <v>0</v>
      </c>
      <c r="N886">
        <f t="shared" si="148"/>
        <v>0</v>
      </c>
      <c r="O886">
        <f t="shared" si="149"/>
        <v>0</v>
      </c>
      <c r="P886" t="str">
        <f t="shared" si="150"/>
        <v/>
      </c>
      <c r="Q886" t="str">
        <f>IF(B886="","", IFERROR(VLOOKUP(B886, '基準資産配分（設定）'!$A$2:$C$2001, 3, FALSE), ""))</f>
        <v/>
      </c>
      <c r="R886" t="str">
        <f>IF(B886="","", IFERROR(VLOOKUP(B886, '基準資産配分（設定）'!$A$2:$C$2001, 2, FALSE)/100, 0))</f>
        <v/>
      </c>
      <c r="S886" t="str">
        <f>IF(B886="","", IFERROR(SUMIFS(ベンチマークリターン!$C$2:$C$2001, ベンチマークリターン!$A$2:$A$2001, A886, ベンチマークリターン!$B$2:$B$2001, Q886) / 100, 0))</f>
        <v/>
      </c>
      <c r="T886" t="str">
        <f>IF(A886="","", SUMIFS($H$2:$H$2000, $A$2:$A$2000, A886))</f>
        <v/>
      </c>
      <c r="U886" t="str">
        <f t="shared" si="151"/>
        <v/>
      </c>
      <c r="V886" t="str">
        <f t="shared" si="152"/>
        <v/>
      </c>
      <c r="W886" t="str">
        <f t="shared" si="153"/>
        <v/>
      </c>
    </row>
    <row r="887" spans="1:23" x14ac:dyDescent="0.2">
      <c r="A887" s="4" t="str">
        <f>IF(ポートフォリオ実績!A888="","", ポートフォリオ実績!A888)</f>
        <v/>
      </c>
      <c r="B887" t="str">
        <f>IF(ポートフォリオ実績!B888="","", ポートフォリオ実績!B888)</f>
        <v/>
      </c>
      <c r="C887" s="10" t="str">
        <f>IF(ポートフォリオ実績!C888="","", ポートフォリオ実績!C888)</f>
        <v/>
      </c>
      <c r="D887" s="10" t="str">
        <f>IF(ポートフォリオ実績!D888="","", ポートフォリオ実績!D888)</f>
        <v/>
      </c>
      <c r="E887" s="10" t="str">
        <f>IF(ポートフォリオ実績!E888="","", ポートフォリオ実績!E888)</f>
        <v/>
      </c>
      <c r="F887" s="10" t="str">
        <f>IF(ポートフォリオ実績!F888="","", ポートフォリオ実績!F888)</f>
        <v/>
      </c>
      <c r="G887" t="str">
        <f t="shared" si="143"/>
        <v/>
      </c>
      <c r="H887">
        <f>IF(B887&lt;&gt;"", SUMIFS(ポートフォリオ実績!$D$2:$D$2001, ポートフォリオ実績!$B$2:$B$2001, B887, ポートフォリオ実績!$A$2:$A$2001, G887), 0)</f>
        <v>0</v>
      </c>
      <c r="I887">
        <f>IF(B887&lt;&gt;"", SUMIFS(ポートフォリオ実績!$C$2:$C$2001, ポートフォリオ実績!$B$2:$B$2001, B887, ポートフォリオ実績!$A$2:$A$2001, G887), 0)</f>
        <v>0</v>
      </c>
      <c r="J887">
        <f t="shared" si="144"/>
        <v>0</v>
      </c>
      <c r="K887">
        <f t="shared" si="145"/>
        <v>0</v>
      </c>
      <c r="L887">
        <f t="shared" si="146"/>
        <v>0</v>
      </c>
      <c r="M887">
        <f t="shared" si="147"/>
        <v>0</v>
      </c>
      <c r="N887">
        <f t="shared" si="148"/>
        <v>0</v>
      </c>
      <c r="O887">
        <f t="shared" si="149"/>
        <v>0</v>
      </c>
      <c r="P887" t="str">
        <f t="shared" si="150"/>
        <v/>
      </c>
      <c r="Q887" t="str">
        <f>IF(B887="","", IFERROR(VLOOKUP(B887, '基準資産配分（設定）'!$A$2:$C$2001, 3, FALSE), ""))</f>
        <v/>
      </c>
      <c r="R887" t="str">
        <f>IF(B887="","", IFERROR(VLOOKUP(B887, '基準資産配分（設定）'!$A$2:$C$2001, 2, FALSE)/100, 0))</f>
        <v/>
      </c>
      <c r="S887" t="str">
        <f>IF(B887="","", IFERROR(SUMIFS(ベンチマークリターン!$C$2:$C$2001, ベンチマークリターン!$A$2:$A$2001, A887, ベンチマークリターン!$B$2:$B$2001, Q887) / 100, 0))</f>
        <v/>
      </c>
      <c r="T887" t="str">
        <f>IF(A887="","", SUMIFS($H$2:$H$2000, $A$2:$A$2000, A887))</f>
        <v/>
      </c>
      <c r="U887" t="str">
        <f t="shared" si="151"/>
        <v/>
      </c>
      <c r="V887" t="str">
        <f t="shared" si="152"/>
        <v/>
      </c>
      <c r="W887" t="str">
        <f t="shared" si="153"/>
        <v/>
      </c>
    </row>
    <row r="888" spans="1:23" x14ac:dyDescent="0.2">
      <c r="A888" s="4" t="str">
        <f>IF(ポートフォリオ実績!A889="","", ポートフォリオ実績!A889)</f>
        <v/>
      </c>
      <c r="B888" t="str">
        <f>IF(ポートフォリオ実績!B889="","", ポートフォリオ実績!B889)</f>
        <v/>
      </c>
      <c r="C888" s="10" t="str">
        <f>IF(ポートフォリオ実績!C889="","", ポートフォリオ実績!C889)</f>
        <v/>
      </c>
      <c r="D888" s="10" t="str">
        <f>IF(ポートフォリオ実績!D889="","", ポートフォリオ実績!D889)</f>
        <v/>
      </c>
      <c r="E888" s="10" t="str">
        <f>IF(ポートフォリオ実績!E889="","", ポートフォリオ実績!E889)</f>
        <v/>
      </c>
      <c r="F888" s="10" t="str">
        <f>IF(ポートフォリオ実績!F889="","", ポートフォリオ実績!F889)</f>
        <v/>
      </c>
      <c r="G888" t="str">
        <f t="shared" si="143"/>
        <v/>
      </c>
      <c r="H888">
        <f>IF(B888&lt;&gt;"", SUMIFS(ポートフォリオ実績!$D$2:$D$2001, ポートフォリオ実績!$B$2:$B$2001, B888, ポートフォリオ実績!$A$2:$A$2001, G888), 0)</f>
        <v>0</v>
      </c>
      <c r="I888">
        <f>IF(B888&lt;&gt;"", SUMIFS(ポートフォリオ実績!$C$2:$C$2001, ポートフォリオ実績!$B$2:$B$2001, B888, ポートフォリオ実績!$A$2:$A$2001, G888), 0)</f>
        <v>0</v>
      </c>
      <c r="J888">
        <f t="shared" si="144"/>
        <v>0</v>
      </c>
      <c r="K888">
        <f t="shared" si="145"/>
        <v>0</v>
      </c>
      <c r="L888">
        <f t="shared" si="146"/>
        <v>0</v>
      </c>
      <c r="M888">
        <f t="shared" si="147"/>
        <v>0</v>
      </c>
      <c r="N888">
        <f t="shared" si="148"/>
        <v>0</v>
      </c>
      <c r="O888">
        <f t="shared" si="149"/>
        <v>0</v>
      </c>
      <c r="P888" t="str">
        <f t="shared" si="150"/>
        <v/>
      </c>
      <c r="Q888" t="str">
        <f>IF(B888="","", IFERROR(VLOOKUP(B888, '基準資産配分（設定）'!$A$2:$C$2001, 3, FALSE), ""))</f>
        <v/>
      </c>
      <c r="R888" t="str">
        <f>IF(B888="","", IFERROR(VLOOKUP(B888, '基準資産配分（設定）'!$A$2:$C$2001, 2, FALSE)/100, 0))</f>
        <v/>
      </c>
      <c r="S888" t="str">
        <f>IF(B888="","", IFERROR(SUMIFS(ベンチマークリターン!$C$2:$C$2001, ベンチマークリターン!$A$2:$A$2001, A888, ベンチマークリターン!$B$2:$B$2001, Q888) / 100, 0))</f>
        <v/>
      </c>
      <c r="T888" t="str">
        <f>IF(A888="","", SUMIFS($H$2:$H$2000, $A$2:$A$2000, A888))</f>
        <v/>
      </c>
      <c r="U888" t="str">
        <f t="shared" si="151"/>
        <v/>
      </c>
      <c r="V888" t="str">
        <f t="shared" si="152"/>
        <v/>
      </c>
      <c r="W888" t="str">
        <f t="shared" si="153"/>
        <v/>
      </c>
    </row>
    <row r="889" spans="1:23" x14ac:dyDescent="0.2">
      <c r="A889" s="4" t="str">
        <f>IF(ポートフォリオ実績!A890="","", ポートフォリオ実績!A890)</f>
        <v/>
      </c>
      <c r="B889" t="str">
        <f>IF(ポートフォリオ実績!B890="","", ポートフォリオ実績!B890)</f>
        <v/>
      </c>
      <c r="C889" s="10" t="str">
        <f>IF(ポートフォリオ実績!C890="","", ポートフォリオ実績!C890)</f>
        <v/>
      </c>
      <c r="D889" s="10" t="str">
        <f>IF(ポートフォリオ実績!D890="","", ポートフォリオ実績!D890)</f>
        <v/>
      </c>
      <c r="E889" s="10" t="str">
        <f>IF(ポートフォリオ実績!E890="","", ポートフォリオ実績!E890)</f>
        <v/>
      </c>
      <c r="F889" s="10" t="str">
        <f>IF(ポートフォリオ実績!F890="","", ポートフォリオ実績!F890)</f>
        <v/>
      </c>
      <c r="G889" t="str">
        <f t="shared" si="143"/>
        <v/>
      </c>
      <c r="H889">
        <f>IF(B889&lt;&gt;"", SUMIFS(ポートフォリオ実績!$D$2:$D$2001, ポートフォリオ実績!$B$2:$B$2001, B889, ポートフォリオ実績!$A$2:$A$2001, G889), 0)</f>
        <v>0</v>
      </c>
      <c r="I889">
        <f>IF(B889&lt;&gt;"", SUMIFS(ポートフォリオ実績!$C$2:$C$2001, ポートフォリオ実績!$B$2:$B$2001, B889, ポートフォリオ実績!$A$2:$A$2001, G889), 0)</f>
        <v>0</v>
      </c>
      <c r="J889">
        <f t="shared" si="144"/>
        <v>0</v>
      </c>
      <c r="K889">
        <f t="shared" si="145"/>
        <v>0</v>
      </c>
      <c r="L889">
        <f t="shared" si="146"/>
        <v>0</v>
      </c>
      <c r="M889">
        <f t="shared" si="147"/>
        <v>0</v>
      </c>
      <c r="N889">
        <f t="shared" si="148"/>
        <v>0</v>
      </c>
      <c r="O889">
        <f t="shared" si="149"/>
        <v>0</v>
      </c>
      <c r="P889" t="str">
        <f t="shared" si="150"/>
        <v/>
      </c>
      <c r="Q889" t="str">
        <f>IF(B889="","", IFERROR(VLOOKUP(B889, '基準資産配分（設定）'!$A$2:$C$2001, 3, FALSE), ""))</f>
        <v/>
      </c>
      <c r="R889" t="str">
        <f>IF(B889="","", IFERROR(VLOOKUP(B889, '基準資産配分（設定）'!$A$2:$C$2001, 2, FALSE)/100, 0))</f>
        <v/>
      </c>
      <c r="S889" t="str">
        <f>IF(B889="","", IFERROR(SUMIFS(ベンチマークリターン!$C$2:$C$2001, ベンチマークリターン!$A$2:$A$2001, A889, ベンチマークリターン!$B$2:$B$2001, Q889) / 100, 0))</f>
        <v/>
      </c>
      <c r="T889" t="str">
        <f>IF(A889="","", SUMIFS($H$2:$H$2000, $A$2:$A$2000, A889))</f>
        <v/>
      </c>
      <c r="U889" t="str">
        <f t="shared" si="151"/>
        <v/>
      </c>
      <c r="V889" t="str">
        <f t="shared" si="152"/>
        <v/>
      </c>
      <c r="W889" t="str">
        <f t="shared" si="153"/>
        <v/>
      </c>
    </row>
    <row r="890" spans="1:23" x14ac:dyDescent="0.2">
      <c r="A890" s="4" t="str">
        <f>IF(ポートフォリオ実績!A891="","", ポートフォリオ実績!A891)</f>
        <v/>
      </c>
      <c r="B890" t="str">
        <f>IF(ポートフォリオ実績!B891="","", ポートフォリオ実績!B891)</f>
        <v/>
      </c>
      <c r="C890" s="10" t="str">
        <f>IF(ポートフォリオ実績!C891="","", ポートフォリオ実績!C891)</f>
        <v/>
      </c>
      <c r="D890" s="10" t="str">
        <f>IF(ポートフォリオ実績!D891="","", ポートフォリオ実績!D891)</f>
        <v/>
      </c>
      <c r="E890" s="10" t="str">
        <f>IF(ポートフォリオ実績!E891="","", ポートフォリオ実績!E891)</f>
        <v/>
      </c>
      <c r="F890" s="10" t="str">
        <f>IF(ポートフォリオ実績!F891="","", ポートフォリオ実績!F891)</f>
        <v/>
      </c>
      <c r="G890" t="str">
        <f t="shared" si="143"/>
        <v/>
      </c>
      <c r="H890">
        <f>IF(B890&lt;&gt;"", SUMIFS(ポートフォリオ実績!$D$2:$D$2001, ポートフォリオ実績!$B$2:$B$2001, B890, ポートフォリオ実績!$A$2:$A$2001, G890), 0)</f>
        <v>0</v>
      </c>
      <c r="I890">
        <f>IF(B890&lt;&gt;"", SUMIFS(ポートフォリオ実績!$C$2:$C$2001, ポートフォリオ実績!$B$2:$B$2001, B890, ポートフォリオ実績!$A$2:$A$2001, G890), 0)</f>
        <v>0</v>
      </c>
      <c r="J890">
        <f t="shared" si="144"/>
        <v>0</v>
      </c>
      <c r="K890">
        <f t="shared" si="145"/>
        <v>0</v>
      </c>
      <c r="L890">
        <f t="shared" si="146"/>
        <v>0</v>
      </c>
      <c r="M890">
        <f t="shared" si="147"/>
        <v>0</v>
      </c>
      <c r="N890">
        <f t="shared" si="148"/>
        <v>0</v>
      </c>
      <c r="O890">
        <f t="shared" si="149"/>
        <v>0</v>
      </c>
      <c r="P890" t="str">
        <f t="shared" si="150"/>
        <v/>
      </c>
      <c r="Q890" t="str">
        <f>IF(B890="","", IFERROR(VLOOKUP(B890, '基準資産配分（設定）'!$A$2:$C$2001, 3, FALSE), ""))</f>
        <v/>
      </c>
      <c r="R890" t="str">
        <f>IF(B890="","", IFERROR(VLOOKUP(B890, '基準資産配分（設定）'!$A$2:$C$2001, 2, FALSE)/100, 0))</f>
        <v/>
      </c>
      <c r="S890" t="str">
        <f>IF(B890="","", IFERROR(SUMIFS(ベンチマークリターン!$C$2:$C$2001, ベンチマークリターン!$A$2:$A$2001, A890, ベンチマークリターン!$B$2:$B$2001, Q890) / 100, 0))</f>
        <v/>
      </c>
      <c r="T890" t="str">
        <f>IF(A890="","", SUMIFS($H$2:$H$2000, $A$2:$A$2000, A890))</f>
        <v/>
      </c>
      <c r="U890" t="str">
        <f t="shared" si="151"/>
        <v/>
      </c>
      <c r="V890" t="str">
        <f t="shared" si="152"/>
        <v/>
      </c>
      <c r="W890" t="str">
        <f t="shared" si="153"/>
        <v/>
      </c>
    </row>
    <row r="891" spans="1:23" x14ac:dyDescent="0.2">
      <c r="A891" s="4" t="str">
        <f>IF(ポートフォリオ実績!A892="","", ポートフォリオ実績!A892)</f>
        <v/>
      </c>
      <c r="B891" t="str">
        <f>IF(ポートフォリオ実績!B892="","", ポートフォリオ実績!B892)</f>
        <v/>
      </c>
      <c r="C891" s="10" t="str">
        <f>IF(ポートフォリオ実績!C892="","", ポートフォリオ実績!C892)</f>
        <v/>
      </c>
      <c r="D891" s="10" t="str">
        <f>IF(ポートフォリオ実績!D892="","", ポートフォリオ実績!D892)</f>
        <v/>
      </c>
      <c r="E891" s="10" t="str">
        <f>IF(ポートフォリオ実績!E892="","", ポートフォリオ実績!E892)</f>
        <v/>
      </c>
      <c r="F891" s="10" t="str">
        <f>IF(ポートフォリオ実績!F892="","", ポートフォリオ実績!F892)</f>
        <v/>
      </c>
      <c r="G891" t="str">
        <f t="shared" si="143"/>
        <v/>
      </c>
      <c r="H891">
        <f>IF(B891&lt;&gt;"", SUMIFS(ポートフォリオ実績!$D$2:$D$2001, ポートフォリオ実績!$B$2:$B$2001, B891, ポートフォリオ実績!$A$2:$A$2001, G891), 0)</f>
        <v>0</v>
      </c>
      <c r="I891">
        <f>IF(B891&lt;&gt;"", SUMIFS(ポートフォリオ実績!$C$2:$C$2001, ポートフォリオ実績!$B$2:$B$2001, B891, ポートフォリオ実績!$A$2:$A$2001, G891), 0)</f>
        <v>0</v>
      </c>
      <c r="J891">
        <f t="shared" si="144"/>
        <v>0</v>
      </c>
      <c r="K891">
        <f t="shared" si="145"/>
        <v>0</v>
      </c>
      <c r="L891">
        <f t="shared" si="146"/>
        <v>0</v>
      </c>
      <c r="M891">
        <f t="shared" si="147"/>
        <v>0</v>
      </c>
      <c r="N891">
        <f t="shared" si="148"/>
        <v>0</v>
      </c>
      <c r="O891">
        <f t="shared" si="149"/>
        <v>0</v>
      </c>
      <c r="P891" t="str">
        <f t="shared" si="150"/>
        <v/>
      </c>
      <c r="Q891" t="str">
        <f>IF(B891="","", IFERROR(VLOOKUP(B891, '基準資産配分（設定）'!$A$2:$C$2001, 3, FALSE), ""))</f>
        <v/>
      </c>
      <c r="R891" t="str">
        <f>IF(B891="","", IFERROR(VLOOKUP(B891, '基準資産配分（設定）'!$A$2:$C$2001, 2, FALSE)/100, 0))</f>
        <v/>
      </c>
      <c r="S891" t="str">
        <f>IF(B891="","", IFERROR(SUMIFS(ベンチマークリターン!$C$2:$C$2001, ベンチマークリターン!$A$2:$A$2001, A891, ベンチマークリターン!$B$2:$B$2001, Q891) / 100, 0))</f>
        <v/>
      </c>
      <c r="T891" t="str">
        <f>IF(A891="","", SUMIFS($H$2:$H$2000, $A$2:$A$2000, A891))</f>
        <v/>
      </c>
      <c r="U891" t="str">
        <f t="shared" si="151"/>
        <v/>
      </c>
      <c r="V891" t="str">
        <f t="shared" si="152"/>
        <v/>
      </c>
      <c r="W891" t="str">
        <f t="shared" si="153"/>
        <v/>
      </c>
    </row>
    <row r="892" spans="1:23" x14ac:dyDescent="0.2">
      <c r="A892" s="4" t="str">
        <f>IF(ポートフォリオ実績!A893="","", ポートフォリオ実績!A893)</f>
        <v/>
      </c>
      <c r="B892" t="str">
        <f>IF(ポートフォリオ実績!B893="","", ポートフォリオ実績!B893)</f>
        <v/>
      </c>
      <c r="C892" s="10" t="str">
        <f>IF(ポートフォリオ実績!C893="","", ポートフォリオ実績!C893)</f>
        <v/>
      </c>
      <c r="D892" s="10" t="str">
        <f>IF(ポートフォリオ実績!D893="","", ポートフォリオ実績!D893)</f>
        <v/>
      </c>
      <c r="E892" s="10" t="str">
        <f>IF(ポートフォリオ実績!E893="","", ポートフォリオ実績!E893)</f>
        <v/>
      </c>
      <c r="F892" s="10" t="str">
        <f>IF(ポートフォリオ実績!F893="","", ポートフォリオ実績!F893)</f>
        <v/>
      </c>
      <c r="G892" t="str">
        <f t="shared" si="143"/>
        <v/>
      </c>
      <c r="H892">
        <f>IF(B892&lt;&gt;"", SUMIFS(ポートフォリオ実績!$D$2:$D$2001, ポートフォリオ実績!$B$2:$B$2001, B892, ポートフォリオ実績!$A$2:$A$2001, G892), 0)</f>
        <v>0</v>
      </c>
      <c r="I892">
        <f>IF(B892&lt;&gt;"", SUMIFS(ポートフォリオ実績!$C$2:$C$2001, ポートフォリオ実績!$B$2:$B$2001, B892, ポートフォリオ実績!$A$2:$A$2001, G892), 0)</f>
        <v>0</v>
      </c>
      <c r="J892">
        <f t="shared" si="144"/>
        <v>0</v>
      </c>
      <c r="K892">
        <f t="shared" si="145"/>
        <v>0</v>
      </c>
      <c r="L892">
        <f t="shared" si="146"/>
        <v>0</v>
      </c>
      <c r="M892">
        <f t="shared" si="147"/>
        <v>0</v>
      </c>
      <c r="N892">
        <f t="shared" si="148"/>
        <v>0</v>
      </c>
      <c r="O892">
        <f t="shared" si="149"/>
        <v>0</v>
      </c>
      <c r="P892" t="str">
        <f t="shared" si="150"/>
        <v/>
      </c>
      <c r="Q892" t="str">
        <f>IF(B892="","", IFERROR(VLOOKUP(B892, '基準資産配分（設定）'!$A$2:$C$2001, 3, FALSE), ""))</f>
        <v/>
      </c>
      <c r="R892" t="str">
        <f>IF(B892="","", IFERROR(VLOOKUP(B892, '基準資産配分（設定）'!$A$2:$C$2001, 2, FALSE)/100, 0))</f>
        <v/>
      </c>
      <c r="S892" t="str">
        <f>IF(B892="","", IFERROR(SUMIFS(ベンチマークリターン!$C$2:$C$2001, ベンチマークリターン!$A$2:$A$2001, A892, ベンチマークリターン!$B$2:$B$2001, Q892) / 100, 0))</f>
        <v/>
      </c>
      <c r="T892" t="str">
        <f>IF(A892="","", SUMIFS($H$2:$H$2000, $A$2:$A$2000, A892))</f>
        <v/>
      </c>
      <c r="U892" t="str">
        <f t="shared" si="151"/>
        <v/>
      </c>
      <c r="V892" t="str">
        <f t="shared" si="152"/>
        <v/>
      </c>
      <c r="W892" t="str">
        <f t="shared" si="153"/>
        <v/>
      </c>
    </row>
    <row r="893" spans="1:23" x14ac:dyDescent="0.2">
      <c r="A893" s="4" t="str">
        <f>IF(ポートフォリオ実績!A894="","", ポートフォリオ実績!A894)</f>
        <v/>
      </c>
      <c r="B893" t="str">
        <f>IF(ポートフォリオ実績!B894="","", ポートフォリオ実績!B894)</f>
        <v/>
      </c>
      <c r="C893" s="10" t="str">
        <f>IF(ポートフォリオ実績!C894="","", ポートフォリオ実績!C894)</f>
        <v/>
      </c>
      <c r="D893" s="10" t="str">
        <f>IF(ポートフォリオ実績!D894="","", ポートフォリオ実績!D894)</f>
        <v/>
      </c>
      <c r="E893" s="10" t="str">
        <f>IF(ポートフォリオ実績!E894="","", ポートフォリオ実績!E894)</f>
        <v/>
      </c>
      <c r="F893" s="10" t="str">
        <f>IF(ポートフォリオ実績!F894="","", ポートフォリオ実績!F894)</f>
        <v/>
      </c>
      <c r="G893" t="str">
        <f t="shared" si="143"/>
        <v/>
      </c>
      <c r="H893">
        <f>IF(B893&lt;&gt;"", SUMIFS(ポートフォリオ実績!$D$2:$D$2001, ポートフォリオ実績!$B$2:$B$2001, B893, ポートフォリオ実績!$A$2:$A$2001, G893), 0)</f>
        <v>0</v>
      </c>
      <c r="I893">
        <f>IF(B893&lt;&gt;"", SUMIFS(ポートフォリオ実績!$C$2:$C$2001, ポートフォリオ実績!$B$2:$B$2001, B893, ポートフォリオ実績!$A$2:$A$2001, G893), 0)</f>
        <v>0</v>
      </c>
      <c r="J893">
        <f t="shared" si="144"/>
        <v>0</v>
      </c>
      <c r="K893">
        <f t="shared" si="145"/>
        <v>0</v>
      </c>
      <c r="L893">
        <f t="shared" si="146"/>
        <v>0</v>
      </c>
      <c r="M893">
        <f t="shared" si="147"/>
        <v>0</v>
      </c>
      <c r="N893">
        <f t="shared" si="148"/>
        <v>0</v>
      </c>
      <c r="O893">
        <f t="shared" si="149"/>
        <v>0</v>
      </c>
      <c r="P893" t="str">
        <f t="shared" si="150"/>
        <v/>
      </c>
      <c r="Q893" t="str">
        <f>IF(B893="","", IFERROR(VLOOKUP(B893, '基準資産配分（設定）'!$A$2:$C$2001, 3, FALSE), ""))</f>
        <v/>
      </c>
      <c r="R893" t="str">
        <f>IF(B893="","", IFERROR(VLOOKUP(B893, '基準資産配分（設定）'!$A$2:$C$2001, 2, FALSE)/100, 0))</f>
        <v/>
      </c>
      <c r="S893" t="str">
        <f>IF(B893="","", IFERROR(SUMIFS(ベンチマークリターン!$C$2:$C$2001, ベンチマークリターン!$A$2:$A$2001, A893, ベンチマークリターン!$B$2:$B$2001, Q893) / 100, 0))</f>
        <v/>
      </c>
      <c r="T893" t="str">
        <f>IF(A893="","", SUMIFS($H$2:$H$2000, $A$2:$A$2000, A893))</f>
        <v/>
      </c>
      <c r="U893" t="str">
        <f t="shared" si="151"/>
        <v/>
      </c>
      <c r="V893" t="str">
        <f t="shared" si="152"/>
        <v/>
      </c>
      <c r="W893" t="str">
        <f t="shared" si="153"/>
        <v/>
      </c>
    </row>
    <row r="894" spans="1:23" x14ac:dyDescent="0.2">
      <c r="A894" s="4" t="str">
        <f>IF(ポートフォリオ実績!A895="","", ポートフォリオ実績!A895)</f>
        <v/>
      </c>
      <c r="B894" t="str">
        <f>IF(ポートフォリオ実績!B895="","", ポートフォリオ実績!B895)</f>
        <v/>
      </c>
      <c r="C894" s="10" t="str">
        <f>IF(ポートフォリオ実績!C895="","", ポートフォリオ実績!C895)</f>
        <v/>
      </c>
      <c r="D894" s="10" t="str">
        <f>IF(ポートフォリオ実績!D895="","", ポートフォリオ実績!D895)</f>
        <v/>
      </c>
      <c r="E894" s="10" t="str">
        <f>IF(ポートフォリオ実績!E895="","", ポートフォリオ実績!E895)</f>
        <v/>
      </c>
      <c r="F894" s="10" t="str">
        <f>IF(ポートフォリオ実績!F895="","", ポートフォリオ実績!F895)</f>
        <v/>
      </c>
      <c r="G894" t="str">
        <f t="shared" si="143"/>
        <v/>
      </c>
      <c r="H894">
        <f>IF(B894&lt;&gt;"", SUMIFS(ポートフォリオ実績!$D$2:$D$2001, ポートフォリオ実績!$B$2:$B$2001, B894, ポートフォリオ実績!$A$2:$A$2001, G894), 0)</f>
        <v>0</v>
      </c>
      <c r="I894">
        <f>IF(B894&lt;&gt;"", SUMIFS(ポートフォリオ実績!$C$2:$C$2001, ポートフォリオ実績!$B$2:$B$2001, B894, ポートフォリオ実績!$A$2:$A$2001, G894), 0)</f>
        <v>0</v>
      </c>
      <c r="J894">
        <f t="shared" si="144"/>
        <v>0</v>
      </c>
      <c r="K894">
        <f t="shared" si="145"/>
        <v>0</v>
      </c>
      <c r="L894">
        <f t="shared" si="146"/>
        <v>0</v>
      </c>
      <c r="M894">
        <f t="shared" si="147"/>
        <v>0</v>
      </c>
      <c r="N894">
        <f t="shared" si="148"/>
        <v>0</v>
      </c>
      <c r="O894">
        <f t="shared" si="149"/>
        <v>0</v>
      </c>
      <c r="P894" t="str">
        <f t="shared" si="150"/>
        <v/>
      </c>
      <c r="Q894" t="str">
        <f>IF(B894="","", IFERROR(VLOOKUP(B894, '基準資産配分（設定）'!$A$2:$C$2001, 3, FALSE), ""))</f>
        <v/>
      </c>
      <c r="R894" t="str">
        <f>IF(B894="","", IFERROR(VLOOKUP(B894, '基準資産配分（設定）'!$A$2:$C$2001, 2, FALSE)/100, 0))</f>
        <v/>
      </c>
      <c r="S894" t="str">
        <f>IF(B894="","", IFERROR(SUMIFS(ベンチマークリターン!$C$2:$C$2001, ベンチマークリターン!$A$2:$A$2001, A894, ベンチマークリターン!$B$2:$B$2001, Q894) / 100, 0))</f>
        <v/>
      </c>
      <c r="T894" t="str">
        <f>IF(A894="","", SUMIFS($H$2:$H$2000, $A$2:$A$2000, A894))</f>
        <v/>
      </c>
      <c r="U894" t="str">
        <f t="shared" si="151"/>
        <v/>
      </c>
      <c r="V894" t="str">
        <f t="shared" si="152"/>
        <v/>
      </c>
      <c r="W894" t="str">
        <f t="shared" si="153"/>
        <v/>
      </c>
    </row>
    <row r="895" spans="1:23" x14ac:dyDescent="0.2">
      <c r="A895" s="4" t="str">
        <f>IF(ポートフォリオ実績!A896="","", ポートフォリオ実績!A896)</f>
        <v/>
      </c>
      <c r="B895" t="str">
        <f>IF(ポートフォリオ実績!B896="","", ポートフォリオ実績!B896)</f>
        <v/>
      </c>
      <c r="C895" s="10" t="str">
        <f>IF(ポートフォリオ実績!C896="","", ポートフォリオ実績!C896)</f>
        <v/>
      </c>
      <c r="D895" s="10" t="str">
        <f>IF(ポートフォリオ実績!D896="","", ポートフォリオ実績!D896)</f>
        <v/>
      </c>
      <c r="E895" s="10" t="str">
        <f>IF(ポートフォリオ実績!E896="","", ポートフォリオ実績!E896)</f>
        <v/>
      </c>
      <c r="F895" s="10" t="str">
        <f>IF(ポートフォリオ実績!F896="","", ポートフォリオ実績!F896)</f>
        <v/>
      </c>
      <c r="G895" t="str">
        <f t="shared" si="143"/>
        <v/>
      </c>
      <c r="H895">
        <f>IF(B895&lt;&gt;"", SUMIFS(ポートフォリオ実績!$D$2:$D$2001, ポートフォリオ実績!$B$2:$B$2001, B895, ポートフォリオ実績!$A$2:$A$2001, G895), 0)</f>
        <v>0</v>
      </c>
      <c r="I895">
        <f>IF(B895&lt;&gt;"", SUMIFS(ポートフォリオ実績!$C$2:$C$2001, ポートフォリオ実績!$B$2:$B$2001, B895, ポートフォリオ実績!$A$2:$A$2001, G895), 0)</f>
        <v>0</v>
      </c>
      <c r="J895">
        <f t="shared" si="144"/>
        <v>0</v>
      </c>
      <c r="K895">
        <f t="shared" si="145"/>
        <v>0</v>
      </c>
      <c r="L895">
        <f t="shared" si="146"/>
        <v>0</v>
      </c>
      <c r="M895">
        <f t="shared" si="147"/>
        <v>0</v>
      </c>
      <c r="N895">
        <f t="shared" si="148"/>
        <v>0</v>
      </c>
      <c r="O895">
        <f t="shared" si="149"/>
        <v>0</v>
      </c>
      <c r="P895" t="str">
        <f t="shared" si="150"/>
        <v/>
      </c>
      <c r="Q895" t="str">
        <f>IF(B895="","", IFERROR(VLOOKUP(B895, '基準資産配分（設定）'!$A$2:$C$2001, 3, FALSE), ""))</f>
        <v/>
      </c>
      <c r="R895" t="str">
        <f>IF(B895="","", IFERROR(VLOOKUP(B895, '基準資産配分（設定）'!$A$2:$C$2001, 2, FALSE)/100, 0))</f>
        <v/>
      </c>
      <c r="S895" t="str">
        <f>IF(B895="","", IFERROR(SUMIFS(ベンチマークリターン!$C$2:$C$2001, ベンチマークリターン!$A$2:$A$2001, A895, ベンチマークリターン!$B$2:$B$2001, Q895) / 100, 0))</f>
        <v/>
      </c>
      <c r="T895" t="str">
        <f>IF(A895="","", SUMIFS($H$2:$H$2000, $A$2:$A$2000, A895))</f>
        <v/>
      </c>
      <c r="U895" t="str">
        <f t="shared" si="151"/>
        <v/>
      </c>
      <c r="V895" t="str">
        <f t="shared" si="152"/>
        <v/>
      </c>
      <c r="W895" t="str">
        <f t="shared" si="153"/>
        <v/>
      </c>
    </row>
    <row r="896" spans="1:23" x14ac:dyDescent="0.2">
      <c r="A896" s="4" t="str">
        <f>IF(ポートフォリオ実績!A897="","", ポートフォリオ実績!A897)</f>
        <v/>
      </c>
      <c r="B896" t="str">
        <f>IF(ポートフォリオ実績!B897="","", ポートフォリオ実績!B897)</f>
        <v/>
      </c>
      <c r="C896" s="10" t="str">
        <f>IF(ポートフォリオ実績!C897="","", ポートフォリオ実績!C897)</f>
        <v/>
      </c>
      <c r="D896" s="10" t="str">
        <f>IF(ポートフォリオ実績!D897="","", ポートフォリオ実績!D897)</f>
        <v/>
      </c>
      <c r="E896" s="10" t="str">
        <f>IF(ポートフォリオ実績!E897="","", ポートフォリオ実績!E897)</f>
        <v/>
      </c>
      <c r="F896" s="10" t="str">
        <f>IF(ポートフォリオ実績!F897="","", ポートフォリオ実績!F897)</f>
        <v/>
      </c>
      <c r="G896" t="str">
        <f t="shared" si="143"/>
        <v/>
      </c>
      <c r="H896">
        <f>IF(B896&lt;&gt;"", SUMIFS(ポートフォリオ実績!$D$2:$D$2001, ポートフォリオ実績!$B$2:$B$2001, B896, ポートフォリオ実績!$A$2:$A$2001, G896), 0)</f>
        <v>0</v>
      </c>
      <c r="I896">
        <f>IF(B896&lt;&gt;"", SUMIFS(ポートフォリオ実績!$C$2:$C$2001, ポートフォリオ実績!$B$2:$B$2001, B896, ポートフォリオ実績!$A$2:$A$2001, G896), 0)</f>
        <v>0</v>
      </c>
      <c r="J896">
        <f t="shared" si="144"/>
        <v>0</v>
      </c>
      <c r="K896">
        <f t="shared" si="145"/>
        <v>0</v>
      </c>
      <c r="L896">
        <f t="shared" si="146"/>
        <v>0</v>
      </c>
      <c r="M896">
        <f t="shared" si="147"/>
        <v>0</v>
      </c>
      <c r="N896">
        <f t="shared" si="148"/>
        <v>0</v>
      </c>
      <c r="O896">
        <f t="shared" si="149"/>
        <v>0</v>
      </c>
      <c r="P896" t="str">
        <f t="shared" si="150"/>
        <v/>
      </c>
      <c r="Q896" t="str">
        <f>IF(B896="","", IFERROR(VLOOKUP(B896, '基準資産配分（設定）'!$A$2:$C$2001, 3, FALSE), ""))</f>
        <v/>
      </c>
      <c r="R896" t="str">
        <f>IF(B896="","", IFERROR(VLOOKUP(B896, '基準資産配分（設定）'!$A$2:$C$2001, 2, FALSE)/100, 0))</f>
        <v/>
      </c>
      <c r="S896" t="str">
        <f>IF(B896="","", IFERROR(SUMIFS(ベンチマークリターン!$C$2:$C$2001, ベンチマークリターン!$A$2:$A$2001, A896, ベンチマークリターン!$B$2:$B$2001, Q896) / 100, 0))</f>
        <v/>
      </c>
      <c r="T896" t="str">
        <f>IF(A896="","", SUMIFS($H$2:$H$2000, $A$2:$A$2000, A896))</f>
        <v/>
      </c>
      <c r="U896" t="str">
        <f t="shared" si="151"/>
        <v/>
      </c>
      <c r="V896" t="str">
        <f t="shared" si="152"/>
        <v/>
      </c>
      <c r="W896" t="str">
        <f t="shared" si="153"/>
        <v/>
      </c>
    </row>
    <row r="897" spans="1:23" x14ac:dyDescent="0.2">
      <c r="A897" s="4" t="str">
        <f>IF(ポートフォリオ実績!A898="","", ポートフォリオ実績!A898)</f>
        <v/>
      </c>
      <c r="B897" t="str">
        <f>IF(ポートフォリオ実績!B898="","", ポートフォリオ実績!B898)</f>
        <v/>
      </c>
      <c r="C897" s="10" t="str">
        <f>IF(ポートフォリオ実績!C898="","", ポートフォリオ実績!C898)</f>
        <v/>
      </c>
      <c r="D897" s="10" t="str">
        <f>IF(ポートフォリオ実績!D898="","", ポートフォリオ実績!D898)</f>
        <v/>
      </c>
      <c r="E897" s="10" t="str">
        <f>IF(ポートフォリオ実績!E898="","", ポートフォリオ実績!E898)</f>
        <v/>
      </c>
      <c r="F897" s="10" t="str">
        <f>IF(ポートフォリオ実績!F898="","", ポートフォリオ実績!F898)</f>
        <v/>
      </c>
      <c r="G897" t="str">
        <f t="shared" ref="G897:G960" si="154">IF(A897&lt;&gt;"", EOMONTH(A897, -1), "")</f>
        <v/>
      </c>
      <c r="H897">
        <f>IF(B897&lt;&gt;"", SUMIFS(ポートフォリオ実績!$D$2:$D$2001, ポートフォリオ実績!$B$2:$B$2001, B897, ポートフォリオ実績!$A$2:$A$2001, G897), 0)</f>
        <v>0</v>
      </c>
      <c r="I897">
        <f>IF(B897&lt;&gt;"", SUMIFS(ポートフォリオ実績!$C$2:$C$2001, ポートフォリオ実績!$B$2:$B$2001, B897, ポートフォリオ実績!$A$2:$A$2001, G897), 0)</f>
        <v>0</v>
      </c>
      <c r="J897">
        <f t="shared" ref="J897:J960" si="155">IF(A897&lt;&gt;"", D897-C897, 0)</f>
        <v>0</v>
      </c>
      <c r="K897">
        <f t="shared" ref="K897:K960" si="156">IF(A897&lt;&gt;"", H897-I897, 0)</f>
        <v>0</v>
      </c>
      <c r="L897">
        <f t="shared" ref="L897:L960" si="157">IF(H897=0, 0, J897-K897)</f>
        <v>0</v>
      </c>
      <c r="M897">
        <f t="shared" ref="M897:M960" si="158">IF(A897&lt;&gt;"", E897+F897+L897, 0)</f>
        <v>0</v>
      </c>
      <c r="N897">
        <f t="shared" ref="N897:N960" si="159">IF(H897=0, 0, (D897-H897)-M897)</f>
        <v>0</v>
      </c>
      <c r="O897">
        <f t="shared" ref="O897:O960" si="160">IF(A897&lt;&gt;"", H897+N897*0.5, 0)</f>
        <v>0</v>
      </c>
      <c r="P897" t="str">
        <f t="shared" ref="P897:P960" si="161">IF(A897="","", IF(O897&gt;0.000001, M897/O897, IF(ABS(M897)&lt;0.000001, 0, 0)))</f>
        <v/>
      </c>
      <c r="Q897" t="str">
        <f>IF(B897="","", IFERROR(VLOOKUP(B897, '基準資産配分（設定）'!$A$2:$C$2001, 3, FALSE), ""))</f>
        <v/>
      </c>
      <c r="R897" t="str">
        <f>IF(B897="","", IFERROR(VLOOKUP(B897, '基準資産配分（設定）'!$A$2:$C$2001, 2, FALSE)/100, 0))</f>
        <v/>
      </c>
      <c r="S897" t="str">
        <f>IF(B897="","", IFERROR(SUMIFS(ベンチマークリターン!$C$2:$C$2001, ベンチマークリターン!$A$2:$A$2001, A897, ベンチマークリターン!$B$2:$B$2001, Q897) / 100, 0))</f>
        <v/>
      </c>
      <c r="T897" t="str">
        <f>IF(A897="","", SUMIFS($H$2:$H$2000, $A$2:$A$2000, A897))</f>
        <v/>
      </c>
      <c r="U897" t="str">
        <f t="shared" ref="U897:U960" si="162">IF(A897="","", IFERROR(H897/T897, 0))</f>
        <v/>
      </c>
      <c r="V897" t="str">
        <f t="shared" ref="V897:V960" si="163">IF(A897="","", U897*P897)</f>
        <v/>
      </c>
      <c r="W897" t="str">
        <f t="shared" ref="W897:W960" si="164">IF(A897="","", R897*S897)</f>
        <v/>
      </c>
    </row>
    <row r="898" spans="1:23" x14ac:dyDescent="0.2">
      <c r="A898" s="4" t="str">
        <f>IF(ポートフォリオ実績!A899="","", ポートフォリオ実績!A899)</f>
        <v/>
      </c>
      <c r="B898" t="str">
        <f>IF(ポートフォリオ実績!B899="","", ポートフォリオ実績!B899)</f>
        <v/>
      </c>
      <c r="C898" s="10" t="str">
        <f>IF(ポートフォリオ実績!C899="","", ポートフォリオ実績!C899)</f>
        <v/>
      </c>
      <c r="D898" s="10" t="str">
        <f>IF(ポートフォリオ実績!D899="","", ポートフォリオ実績!D899)</f>
        <v/>
      </c>
      <c r="E898" s="10" t="str">
        <f>IF(ポートフォリオ実績!E899="","", ポートフォリオ実績!E899)</f>
        <v/>
      </c>
      <c r="F898" s="10" t="str">
        <f>IF(ポートフォリオ実績!F899="","", ポートフォリオ実績!F899)</f>
        <v/>
      </c>
      <c r="G898" t="str">
        <f t="shared" si="154"/>
        <v/>
      </c>
      <c r="H898">
        <f>IF(B898&lt;&gt;"", SUMIFS(ポートフォリオ実績!$D$2:$D$2001, ポートフォリオ実績!$B$2:$B$2001, B898, ポートフォリオ実績!$A$2:$A$2001, G898), 0)</f>
        <v>0</v>
      </c>
      <c r="I898">
        <f>IF(B898&lt;&gt;"", SUMIFS(ポートフォリオ実績!$C$2:$C$2001, ポートフォリオ実績!$B$2:$B$2001, B898, ポートフォリオ実績!$A$2:$A$2001, G898), 0)</f>
        <v>0</v>
      </c>
      <c r="J898">
        <f t="shared" si="155"/>
        <v>0</v>
      </c>
      <c r="K898">
        <f t="shared" si="156"/>
        <v>0</v>
      </c>
      <c r="L898">
        <f t="shared" si="157"/>
        <v>0</v>
      </c>
      <c r="M898">
        <f t="shared" si="158"/>
        <v>0</v>
      </c>
      <c r="N898">
        <f t="shared" si="159"/>
        <v>0</v>
      </c>
      <c r="O898">
        <f t="shared" si="160"/>
        <v>0</v>
      </c>
      <c r="P898" t="str">
        <f t="shared" si="161"/>
        <v/>
      </c>
      <c r="Q898" t="str">
        <f>IF(B898="","", IFERROR(VLOOKUP(B898, '基準資産配分（設定）'!$A$2:$C$2001, 3, FALSE), ""))</f>
        <v/>
      </c>
      <c r="R898" t="str">
        <f>IF(B898="","", IFERROR(VLOOKUP(B898, '基準資産配分（設定）'!$A$2:$C$2001, 2, FALSE)/100, 0))</f>
        <v/>
      </c>
      <c r="S898" t="str">
        <f>IF(B898="","", IFERROR(SUMIFS(ベンチマークリターン!$C$2:$C$2001, ベンチマークリターン!$A$2:$A$2001, A898, ベンチマークリターン!$B$2:$B$2001, Q898) / 100, 0))</f>
        <v/>
      </c>
      <c r="T898" t="str">
        <f>IF(A898="","", SUMIFS($H$2:$H$2000, $A$2:$A$2000, A898))</f>
        <v/>
      </c>
      <c r="U898" t="str">
        <f t="shared" si="162"/>
        <v/>
      </c>
      <c r="V898" t="str">
        <f t="shared" si="163"/>
        <v/>
      </c>
      <c r="W898" t="str">
        <f t="shared" si="164"/>
        <v/>
      </c>
    </row>
    <row r="899" spans="1:23" x14ac:dyDescent="0.2">
      <c r="A899" s="4" t="str">
        <f>IF(ポートフォリオ実績!A900="","", ポートフォリオ実績!A900)</f>
        <v/>
      </c>
      <c r="B899" t="str">
        <f>IF(ポートフォリオ実績!B900="","", ポートフォリオ実績!B900)</f>
        <v/>
      </c>
      <c r="C899" s="10" t="str">
        <f>IF(ポートフォリオ実績!C900="","", ポートフォリオ実績!C900)</f>
        <v/>
      </c>
      <c r="D899" s="10" t="str">
        <f>IF(ポートフォリオ実績!D900="","", ポートフォリオ実績!D900)</f>
        <v/>
      </c>
      <c r="E899" s="10" t="str">
        <f>IF(ポートフォリオ実績!E900="","", ポートフォリオ実績!E900)</f>
        <v/>
      </c>
      <c r="F899" s="10" t="str">
        <f>IF(ポートフォリオ実績!F900="","", ポートフォリオ実績!F900)</f>
        <v/>
      </c>
      <c r="G899" t="str">
        <f t="shared" si="154"/>
        <v/>
      </c>
      <c r="H899">
        <f>IF(B899&lt;&gt;"", SUMIFS(ポートフォリオ実績!$D$2:$D$2001, ポートフォリオ実績!$B$2:$B$2001, B899, ポートフォリオ実績!$A$2:$A$2001, G899), 0)</f>
        <v>0</v>
      </c>
      <c r="I899">
        <f>IF(B899&lt;&gt;"", SUMIFS(ポートフォリオ実績!$C$2:$C$2001, ポートフォリオ実績!$B$2:$B$2001, B899, ポートフォリオ実績!$A$2:$A$2001, G899), 0)</f>
        <v>0</v>
      </c>
      <c r="J899">
        <f t="shared" si="155"/>
        <v>0</v>
      </c>
      <c r="K899">
        <f t="shared" si="156"/>
        <v>0</v>
      </c>
      <c r="L899">
        <f t="shared" si="157"/>
        <v>0</v>
      </c>
      <c r="M899">
        <f t="shared" si="158"/>
        <v>0</v>
      </c>
      <c r="N899">
        <f t="shared" si="159"/>
        <v>0</v>
      </c>
      <c r="O899">
        <f t="shared" si="160"/>
        <v>0</v>
      </c>
      <c r="P899" t="str">
        <f t="shared" si="161"/>
        <v/>
      </c>
      <c r="Q899" t="str">
        <f>IF(B899="","", IFERROR(VLOOKUP(B899, '基準資産配分（設定）'!$A$2:$C$2001, 3, FALSE), ""))</f>
        <v/>
      </c>
      <c r="R899" t="str">
        <f>IF(B899="","", IFERROR(VLOOKUP(B899, '基準資産配分（設定）'!$A$2:$C$2001, 2, FALSE)/100, 0))</f>
        <v/>
      </c>
      <c r="S899" t="str">
        <f>IF(B899="","", IFERROR(SUMIFS(ベンチマークリターン!$C$2:$C$2001, ベンチマークリターン!$A$2:$A$2001, A899, ベンチマークリターン!$B$2:$B$2001, Q899) / 100, 0))</f>
        <v/>
      </c>
      <c r="T899" t="str">
        <f>IF(A899="","", SUMIFS($H$2:$H$2000, $A$2:$A$2000, A899))</f>
        <v/>
      </c>
      <c r="U899" t="str">
        <f t="shared" si="162"/>
        <v/>
      </c>
      <c r="V899" t="str">
        <f t="shared" si="163"/>
        <v/>
      </c>
      <c r="W899" t="str">
        <f t="shared" si="164"/>
        <v/>
      </c>
    </row>
    <row r="900" spans="1:23" x14ac:dyDescent="0.2">
      <c r="A900" s="4" t="str">
        <f>IF(ポートフォリオ実績!A901="","", ポートフォリオ実績!A901)</f>
        <v/>
      </c>
      <c r="B900" t="str">
        <f>IF(ポートフォリオ実績!B901="","", ポートフォリオ実績!B901)</f>
        <v/>
      </c>
      <c r="C900" s="10" t="str">
        <f>IF(ポートフォリオ実績!C901="","", ポートフォリオ実績!C901)</f>
        <v/>
      </c>
      <c r="D900" s="10" t="str">
        <f>IF(ポートフォリオ実績!D901="","", ポートフォリオ実績!D901)</f>
        <v/>
      </c>
      <c r="E900" s="10" t="str">
        <f>IF(ポートフォリオ実績!E901="","", ポートフォリオ実績!E901)</f>
        <v/>
      </c>
      <c r="F900" s="10" t="str">
        <f>IF(ポートフォリオ実績!F901="","", ポートフォリオ実績!F901)</f>
        <v/>
      </c>
      <c r="G900" t="str">
        <f t="shared" si="154"/>
        <v/>
      </c>
      <c r="H900">
        <f>IF(B900&lt;&gt;"", SUMIFS(ポートフォリオ実績!$D$2:$D$2001, ポートフォリオ実績!$B$2:$B$2001, B900, ポートフォリオ実績!$A$2:$A$2001, G900), 0)</f>
        <v>0</v>
      </c>
      <c r="I900">
        <f>IF(B900&lt;&gt;"", SUMIFS(ポートフォリオ実績!$C$2:$C$2001, ポートフォリオ実績!$B$2:$B$2001, B900, ポートフォリオ実績!$A$2:$A$2001, G900), 0)</f>
        <v>0</v>
      </c>
      <c r="J900">
        <f t="shared" si="155"/>
        <v>0</v>
      </c>
      <c r="K900">
        <f t="shared" si="156"/>
        <v>0</v>
      </c>
      <c r="L900">
        <f t="shared" si="157"/>
        <v>0</v>
      </c>
      <c r="M900">
        <f t="shared" si="158"/>
        <v>0</v>
      </c>
      <c r="N900">
        <f t="shared" si="159"/>
        <v>0</v>
      </c>
      <c r="O900">
        <f t="shared" si="160"/>
        <v>0</v>
      </c>
      <c r="P900" t="str">
        <f t="shared" si="161"/>
        <v/>
      </c>
      <c r="Q900" t="str">
        <f>IF(B900="","", IFERROR(VLOOKUP(B900, '基準資産配分（設定）'!$A$2:$C$2001, 3, FALSE), ""))</f>
        <v/>
      </c>
      <c r="R900" t="str">
        <f>IF(B900="","", IFERROR(VLOOKUP(B900, '基準資産配分（設定）'!$A$2:$C$2001, 2, FALSE)/100, 0))</f>
        <v/>
      </c>
      <c r="S900" t="str">
        <f>IF(B900="","", IFERROR(SUMIFS(ベンチマークリターン!$C$2:$C$2001, ベンチマークリターン!$A$2:$A$2001, A900, ベンチマークリターン!$B$2:$B$2001, Q900) / 100, 0))</f>
        <v/>
      </c>
      <c r="T900" t="str">
        <f>IF(A900="","", SUMIFS($H$2:$H$2000, $A$2:$A$2000, A900))</f>
        <v/>
      </c>
      <c r="U900" t="str">
        <f t="shared" si="162"/>
        <v/>
      </c>
      <c r="V900" t="str">
        <f t="shared" si="163"/>
        <v/>
      </c>
      <c r="W900" t="str">
        <f t="shared" si="164"/>
        <v/>
      </c>
    </row>
    <row r="901" spans="1:23" x14ac:dyDescent="0.2">
      <c r="A901" s="4" t="str">
        <f>IF(ポートフォリオ実績!A902="","", ポートフォリオ実績!A902)</f>
        <v/>
      </c>
      <c r="B901" t="str">
        <f>IF(ポートフォリオ実績!B902="","", ポートフォリオ実績!B902)</f>
        <v/>
      </c>
      <c r="C901" s="10" t="str">
        <f>IF(ポートフォリオ実績!C902="","", ポートフォリオ実績!C902)</f>
        <v/>
      </c>
      <c r="D901" s="10" t="str">
        <f>IF(ポートフォリオ実績!D902="","", ポートフォリオ実績!D902)</f>
        <v/>
      </c>
      <c r="E901" s="10" t="str">
        <f>IF(ポートフォリオ実績!E902="","", ポートフォリオ実績!E902)</f>
        <v/>
      </c>
      <c r="F901" s="10" t="str">
        <f>IF(ポートフォリオ実績!F902="","", ポートフォリオ実績!F902)</f>
        <v/>
      </c>
      <c r="G901" t="str">
        <f t="shared" si="154"/>
        <v/>
      </c>
      <c r="H901">
        <f>IF(B901&lt;&gt;"", SUMIFS(ポートフォリオ実績!$D$2:$D$2001, ポートフォリオ実績!$B$2:$B$2001, B901, ポートフォリオ実績!$A$2:$A$2001, G901), 0)</f>
        <v>0</v>
      </c>
      <c r="I901">
        <f>IF(B901&lt;&gt;"", SUMIFS(ポートフォリオ実績!$C$2:$C$2001, ポートフォリオ実績!$B$2:$B$2001, B901, ポートフォリオ実績!$A$2:$A$2001, G901), 0)</f>
        <v>0</v>
      </c>
      <c r="J901">
        <f t="shared" si="155"/>
        <v>0</v>
      </c>
      <c r="K901">
        <f t="shared" si="156"/>
        <v>0</v>
      </c>
      <c r="L901">
        <f t="shared" si="157"/>
        <v>0</v>
      </c>
      <c r="M901">
        <f t="shared" si="158"/>
        <v>0</v>
      </c>
      <c r="N901">
        <f t="shared" si="159"/>
        <v>0</v>
      </c>
      <c r="O901">
        <f t="shared" si="160"/>
        <v>0</v>
      </c>
      <c r="P901" t="str">
        <f t="shared" si="161"/>
        <v/>
      </c>
      <c r="Q901" t="str">
        <f>IF(B901="","", IFERROR(VLOOKUP(B901, '基準資産配分（設定）'!$A$2:$C$2001, 3, FALSE), ""))</f>
        <v/>
      </c>
      <c r="R901" t="str">
        <f>IF(B901="","", IFERROR(VLOOKUP(B901, '基準資産配分（設定）'!$A$2:$C$2001, 2, FALSE)/100, 0))</f>
        <v/>
      </c>
      <c r="S901" t="str">
        <f>IF(B901="","", IFERROR(SUMIFS(ベンチマークリターン!$C$2:$C$2001, ベンチマークリターン!$A$2:$A$2001, A901, ベンチマークリターン!$B$2:$B$2001, Q901) / 100, 0))</f>
        <v/>
      </c>
      <c r="T901" t="str">
        <f>IF(A901="","", SUMIFS($H$2:$H$2000, $A$2:$A$2000, A901))</f>
        <v/>
      </c>
      <c r="U901" t="str">
        <f t="shared" si="162"/>
        <v/>
      </c>
      <c r="V901" t="str">
        <f t="shared" si="163"/>
        <v/>
      </c>
      <c r="W901" t="str">
        <f t="shared" si="164"/>
        <v/>
      </c>
    </row>
    <row r="902" spans="1:23" x14ac:dyDescent="0.2">
      <c r="A902" s="4" t="str">
        <f>IF(ポートフォリオ実績!A903="","", ポートフォリオ実績!A903)</f>
        <v/>
      </c>
      <c r="B902" t="str">
        <f>IF(ポートフォリオ実績!B903="","", ポートフォリオ実績!B903)</f>
        <v/>
      </c>
      <c r="C902" s="10" t="str">
        <f>IF(ポートフォリオ実績!C903="","", ポートフォリオ実績!C903)</f>
        <v/>
      </c>
      <c r="D902" s="10" t="str">
        <f>IF(ポートフォリオ実績!D903="","", ポートフォリオ実績!D903)</f>
        <v/>
      </c>
      <c r="E902" s="10" t="str">
        <f>IF(ポートフォリオ実績!E903="","", ポートフォリオ実績!E903)</f>
        <v/>
      </c>
      <c r="F902" s="10" t="str">
        <f>IF(ポートフォリオ実績!F903="","", ポートフォリオ実績!F903)</f>
        <v/>
      </c>
      <c r="G902" t="str">
        <f t="shared" si="154"/>
        <v/>
      </c>
      <c r="H902">
        <f>IF(B902&lt;&gt;"", SUMIFS(ポートフォリオ実績!$D$2:$D$2001, ポートフォリオ実績!$B$2:$B$2001, B902, ポートフォリオ実績!$A$2:$A$2001, G902), 0)</f>
        <v>0</v>
      </c>
      <c r="I902">
        <f>IF(B902&lt;&gt;"", SUMIFS(ポートフォリオ実績!$C$2:$C$2001, ポートフォリオ実績!$B$2:$B$2001, B902, ポートフォリオ実績!$A$2:$A$2001, G902), 0)</f>
        <v>0</v>
      </c>
      <c r="J902">
        <f t="shared" si="155"/>
        <v>0</v>
      </c>
      <c r="K902">
        <f t="shared" si="156"/>
        <v>0</v>
      </c>
      <c r="L902">
        <f t="shared" si="157"/>
        <v>0</v>
      </c>
      <c r="M902">
        <f t="shared" si="158"/>
        <v>0</v>
      </c>
      <c r="N902">
        <f t="shared" si="159"/>
        <v>0</v>
      </c>
      <c r="O902">
        <f t="shared" si="160"/>
        <v>0</v>
      </c>
      <c r="P902" t="str">
        <f t="shared" si="161"/>
        <v/>
      </c>
      <c r="Q902" t="str">
        <f>IF(B902="","", IFERROR(VLOOKUP(B902, '基準資産配分（設定）'!$A$2:$C$2001, 3, FALSE), ""))</f>
        <v/>
      </c>
      <c r="R902" t="str">
        <f>IF(B902="","", IFERROR(VLOOKUP(B902, '基準資産配分（設定）'!$A$2:$C$2001, 2, FALSE)/100, 0))</f>
        <v/>
      </c>
      <c r="S902" t="str">
        <f>IF(B902="","", IFERROR(SUMIFS(ベンチマークリターン!$C$2:$C$2001, ベンチマークリターン!$A$2:$A$2001, A902, ベンチマークリターン!$B$2:$B$2001, Q902) / 100, 0))</f>
        <v/>
      </c>
      <c r="T902" t="str">
        <f>IF(A902="","", SUMIFS($H$2:$H$2000, $A$2:$A$2000, A902))</f>
        <v/>
      </c>
      <c r="U902" t="str">
        <f t="shared" si="162"/>
        <v/>
      </c>
      <c r="V902" t="str">
        <f t="shared" si="163"/>
        <v/>
      </c>
      <c r="W902" t="str">
        <f t="shared" si="164"/>
        <v/>
      </c>
    </row>
    <row r="903" spans="1:23" x14ac:dyDescent="0.2">
      <c r="A903" s="4" t="str">
        <f>IF(ポートフォリオ実績!A904="","", ポートフォリオ実績!A904)</f>
        <v/>
      </c>
      <c r="B903" t="str">
        <f>IF(ポートフォリオ実績!B904="","", ポートフォリオ実績!B904)</f>
        <v/>
      </c>
      <c r="C903" s="10" t="str">
        <f>IF(ポートフォリオ実績!C904="","", ポートフォリオ実績!C904)</f>
        <v/>
      </c>
      <c r="D903" s="10" t="str">
        <f>IF(ポートフォリオ実績!D904="","", ポートフォリオ実績!D904)</f>
        <v/>
      </c>
      <c r="E903" s="10" t="str">
        <f>IF(ポートフォリオ実績!E904="","", ポートフォリオ実績!E904)</f>
        <v/>
      </c>
      <c r="F903" s="10" t="str">
        <f>IF(ポートフォリオ実績!F904="","", ポートフォリオ実績!F904)</f>
        <v/>
      </c>
      <c r="G903" t="str">
        <f t="shared" si="154"/>
        <v/>
      </c>
      <c r="H903">
        <f>IF(B903&lt;&gt;"", SUMIFS(ポートフォリオ実績!$D$2:$D$2001, ポートフォリオ実績!$B$2:$B$2001, B903, ポートフォリオ実績!$A$2:$A$2001, G903), 0)</f>
        <v>0</v>
      </c>
      <c r="I903">
        <f>IF(B903&lt;&gt;"", SUMIFS(ポートフォリオ実績!$C$2:$C$2001, ポートフォリオ実績!$B$2:$B$2001, B903, ポートフォリオ実績!$A$2:$A$2001, G903), 0)</f>
        <v>0</v>
      </c>
      <c r="J903">
        <f t="shared" si="155"/>
        <v>0</v>
      </c>
      <c r="K903">
        <f t="shared" si="156"/>
        <v>0</v>
      </c>
      <c r="L903">
        <f t="shared" si="157"/>
        <v>0</v>
      </c>
      <c r="M903">
        <f t="shared" si="158"/>
        <v>0</v>
      </c>
      <c r="N903">
        <f t="shared" si="159"/>
        <v>0</v>
      </c>
      <c r="O903">
        <f t="shared" si="160"/>
        <v>0</v>
      </c>
      <c r="P903" t="str">
        <f t="shared" si="161"/>
        <v/>
      </c>
      <c r="Q903" t="str">
        <f>IF(B903="","", IFERROR(VLOOKUP(B903, '基準資産配分（設定）'!$A$2:$C$2001, 3, FALSE), ""))</f>
        <v/>
      </c>
      <c r="R903" t="str">
        <f>IF(B903="","", IFERROR(VLOOKUP(B903, '基準資産配分（設定）'!$A$2:$C$2001, 2, FALSE)/100, 0))</f>
        <v/>
      </c>
      <c r="S903" t="str">
        <f>IF(B903="","", IFERROR(SUMIFS(ベンチマークリターン!$C$2:$C$2001, ベンチマークリターン!$A$2:$A$2001, A903, ベンチマークリターン!$B$2:$B$2001, Q903) / 100, 0))</f>
        <v/>
      </c>
      <c r="T903" t="str">
        <f>IF(A903="","", SUMIFS($H$2:$H$2000, $A$2:$A$2000, A903))</f>
        <v/>
      </c>
      <c r="U903" t="str">
        <f t="shared" si="162"/>
        <v/>
      </c>
      <c r="V903" t="str">
        <f t="shared" si="163"/>
        <v/>
      </c>
      <c r="W903" t="str">
        <f t="shared" si="164"/>
        <v/>
      </c>
    </row>
    <row r="904" spans="1:23" x14ac:dyDescent="0.2">
      <c r="A904" s="4" t="str">
        <f>IF(ポートフォリオ実績!A905="","", ポートフォリオ実績!A905)</f>
        <v/>
      </c>
      <c r="B904" t="str">
        <f>IF(ポートフォリオ実績!B905="","", ポートフォリオ実績!B905)</f>
        <v/>
      </c>
      <c r="C904" s="10" t="str">
        <f>IF(ポートフォリオ実績!C905="","", ポートフォリオ実績!C905)</f>
        <v/>
      </c>
      <c r="D904" s="10" t="str">
        <f>IF(ポートフォリオ実績!D905="","", ポートフォリオ実績!D905)</f>
        <v/>
      </c>
      <c r="E904" s="10" t="str">
        <f>IF(ポートフォリオ実績!E905="","", ポートフォリオ実績!E905)</f>
        <v/>
      </c>
      <c r="F904" s="10" t="str">
        <f>IF(ポートフォリオ実績!F905="","", ポートフォリオ実績!F905)</f>
        <v/>
      </c>
      <c r="G904" t="str">
        <f t="shared" si="154"/>
        <v/>
      </c>
      <c r="H904">
        <f>IF(B904&lt;&gt;"", SUMIFS(ポートフォリオ実績!$D$2:$D$2001, ポートフォリオ実績!$B$2:$B$2001, B904, ポートフォリオ実績!$A$2:$A$2001, G904), 0)</f>
        <v>0</v>
      </c>
      <c r="I904">
        <f>IF(B904&lt;&gt;"", SUMIFS(ポートフォリオ実績!$C$2:$C$2001, ポートフォリオ実績!$B$2:$B$2001, B904, ポートフォリオ実績!$A$2:$A$2001, G904), 0)</f>
        <v>0</v>
      </c>
      <c r="J904">
        <f t="shared" si="155"/>
        <v>0</v>
      </c>
      <c r="K904">
        <f t="shared" si="156"/>
        <v>0</v>
      </c>
      <c r="L904">
        <f t="shared" si="157"/>
        <v>0</v>
      </c>
      <c r="M904">
        <f t="shared" si="158"/>
        <v>0</v>
      </c>
      <c r="N904">
        <f t="shared" si="159"/>
        <v>0</v>
      </c>
      <c r="O904">
        <f t="shared" si="160"/>
        <v>0</v>
      </c>
      <c r="P904" t="str">
        <f t="shared" si="161"/>
        <v/>
      </c>
      <c r="Q904" t="str">
        <f>IF(B904="","", IFERROR(VLOOKUP(B904, '基準資産配分（設定）'!$A$2:$C$2001, 3, FALSE), ""))</f>
        <v/>
      </c>
      <c r="R904" t="str">
        <f>IF(B904="","", IFERROR(VLOOKUP(B904, '基準資産配分（設定）'!$A$2:$C$2001, 2, FALSE)/100, 0))</f>
        <v/>
      </c>
      <c r="S904" t="str">
        <f>IF(B904="","", IFERROR(SUMIFS(ベンチマークリターン!$C$2:$C$2001, ベンチマークリターン!$A$2:$A$2001, A904, ベンチマークリターン!$B$2:$B$2001, Q904) / 100, 0))</f>
        <v/>
      </c>
      <c r="T904" t="str">
        <f>IF(A904="","", SUMIFS($H$2:$H$2000, $A$2:$A$2000, A904))</f>
        <v/>
      </c>
      <c r="U904" t="str">
        <f t="shared" si="162"/>
        <v/>
      </c>
      <c r="V904" t="str">
        <f t="shared" si="163"/>
        <v/>
      </c>
      <c r="W904" t="str">
        <f t="shared" si="164"/>
        <v/>
      </c>
    </row>
    <row r="905" spans="1:23" x14ac:dyDescent="0.2">
      <c r="A905" s="4" t="str">
        <f>IF(ポートフォリオ実績!A906="","", ポートフォリオ実績!A906)</f>
        <v/>
      </c>
      <c r="B905" t="str">
        <f>IF(ポートフォリオ実績!B906="","", ポートフォリオ実績!B906)</f>
        <v/>
      </c>
      <c r="C905" s="10" t="str">
        <f>IF(ポートフォリオ実績!C906="","", ポートフォリオ実績!C906)</f>
        <v/>
      </c>
      <c r="D905" s="10" t="str">
        <f>IF(ポートフォリオ実績!D906="","", ポートフォリオ実績!D906)</f>
        <v/>
      </c>
      <c r="E905" s="10" t="str">
        <f>IF(ポートフォリオ実績!E906="","", ポートフォリオ実績!E906)</f>
        <v/>
      </c>
      <c r="F905" s="10" t="str">
        <f>IF(ポートフォリオ実績!F906="","", ポートフォリオ実績!F906)</f>
        <v/>
      </c>
      <c r="G905" t="str">
        <f t="shared" si="154"/>
        <v/>
      </c>
      <c r="H905">
        <f>IF(B905&lt;&gt;"", SUMIFS(ポートフォリオ実績!$D$2:$D$2001, ポートフォリオ実績!$B$2:$B$2001, B905, ポートフォリオ実績!$A$2:$A$2001, G905), 0)</f>
        <v>0</v>
      </c>
      <c r="I905">
        <f>IF(B905&lt;&gt;"", SUMIFS(ポートフォリオ実績!$C$2:$C$2001, ポートフォリオ実績!$B$2:$B$2001, B905, ポートフォリオ実績!$A$2:$A$2001, G905), 0)</f>
        <v>0</v>
      </c>
      <c r="J905">
        <f t="shared" si="155"/>
        <v>0</v>
      </c>
      <c r="K905">
        <f t="shared" si="156"/>
        <v>0</v>
      </c>
      <c r="L905">
        <f t="shared" si="157"/>
        <v>0</v>
      </c>
      <c r="M905">
        <f t="shared" si="158"/>
        <v>0</v>
      </c>
      <c r="N905">
        <f t="shared" si="159"/>
        <v>0</v>
      </c>
      <c r="O905">
        <f t="shared" si="160"/>
        <v>0</v>
      </c>
      <c r="P905" t="str">
        <f t="shared" si="161"/>
        <v/>
      </c>
      <c r="Q905" t="str">
        <f>IF(B905="","", IFERROR(VLOOKUP(B905, '基準資産配分（設定）'!$A$2:$C$2001, 3, FALSE), ""))</f>
        <v/>
      </c>
      <c r="R905" t="str">
        <f>IF(B905="","", IFERROR(VLOOKUP(B905, '基準資産配分（設定）'!$A$2:$C$2001, 2, FALSE)/100, 0))</f>
        <v/>
      </c>
      <c r="S905" t="str">
        <f>IF(B905="","", IFERROR(SUMIFS(ベンチマークリターン!$C$2:$C$2001, ベンチマークリターン!$A$2:$A$2001, A905, ベンチマークリターン!$B$2:$B$2001, Q905) / 100, 0))</f>
        <v/>
      </c>
      <c r="T905" t="str">
        <f>IF(A905="","", SUMIFS($H$2:$H$2000, $A$2:$A$2000, A905))</f>
        <v/>
      </c>
      <c r="U905" t="str">
        <f t="shared" si="162"/>
        <v/>
      </c>
      <c r="V905" t="str">
        <f t="shared" si="163"/>
        <v/>
      </c>
      <c r="W905" t="str">
        <f t="shared" si="164"/>
        <v/>
      </c>
    </row>
    <row r="906" spans="1:23" x14ac:dyDescent="0.2">
      <c r="A906" s="4" t="str">
        <f>IF(ポートフォリオ実績!A907="","", ポートフォリオ実績!A907)</f>
        <v/>
      </c>
      <c r="B906" t="str">
        <f>IF(ポートフォリオ実績!B907="","", ポートフォリオ実績!B907)</f>
        <v/>
      </c>
      <c r="C906" s="10" t="str">
        <f>IF(ポートフォリオ実績!C907="","", ポートフォリオ実績!C907)</f>
        <v/>
      </c>
      <c r="D906" s="10" t="str">
        <f>IF(ポートフォリオ実績!D907="","", ポートフォリオ実績!D907)</f>
        <v/>
      </c>
      <c r="E906" s="10" t="str">
        <f>IF(ポートフォリオ実績!E907="","", ポートフォリオ実績!E907)</f>
        <v/>
      </c>
      <c r="F906" s="10" t="str">
        <f>IF(ポートフォリオ実績!F907="","", ポートフォリオ実績!F907)</f>
        <v/>
      </c>
      <c r="G906" t="str">
        <f t="shared" si="154"/>
        <v/>
      </c>
      <c r="H906">
        <f>IF(B906&lt;&gt;"", SUMIFS(ポートフォリオ実績!$D$2:$D$2001, ポートフォリオ実績!$B$2:$B$2001, B906, ポートフォリオ実績!$A$2:$A$2001, G906), 0)</f>
        <v>0</v>
      </c>
      <c r="I906">
        <f>IF(B906&lt;&gt;"", SUMIFS(ポートフォリオ実績!$C$2:$C$2001, ポートフォリオ実績!$B$2:$B$2001, B906, ポートフォリオ実績!$A$2:$A$2001, G906), 0)</f>
        <v>0</v>
      </c>
      <c r="J906">
        <f t="shared" si="155"/>
        <v>0</v>
      </c>
      <c r="K906">
        <f t="shared" si="156"/>
        <v>0</v>
      </c>
      <c r="L906">
        <f t="shared" si="157"/>
        <v>0</v>
      </c>
      <c r="M906">
        <f t="shared" si="158"/>
        <v>0</v>
      </c>
      <c r="N906">
        <f t="shared" si="159"/>
        <v>0</v>
      </c>
      <c r="O906">
        <f t="shared" si="160"/>
        <v>0</v>
      </c>
      <c r="P906" t="str">
        <f t="shared" si="161"/>
        <v/>
      </c>
      <c r="Q906" t="str">
        <f>IF(B906="","", IFERROR(VLOOKUP(B906, '基準資産配分（設定）'!$A$2:$C$2001, 3, FALSE), ""))</f>
        <v/>
      </c>
      <c r="R906" t="str">
        <f>IF(B906="","", IFERROR(VLOOKUP(B906, '基準資産配分（設定）'!$A$2:$C$2001, 2, FALSE)/100, 0))</f>
        <v/>
      </c>
      <c r="S906" t="str">
        <f>IF(B906="","", IFERROR(SUMIFS(ベンチマークリターン!$C$2:$C$2001, ベンチマークリターン!$A$2:$A$2001, A906, ベンチマークリターン!$B$2:$B$2001, Q906) / 100, 0))</f>
        <v/>
      </c>
      <c r="T906" t="str">
        <f>IF(A906="","", SUMIFS($H$2:$H$2000, $A$2:$A$2000, A906))</f>
        <v/>
      </c>
      <c r="U906" t="str">
        <f t="shared" si="162"/>
        <v/>
      </c>
      <c r="V906" t="str">
        <f t="shared" si="163"/>
        <v/>
      </c>
      <c r="W906" t="str">
        <f t="shared" si="164"/>
        <v/>
      </c>
    </row>
    <row r="907" spans="1:23" x14ac:dyDescent="0.2">
      <c r="A907" s="4" t="str">
        <f>IF(ポートフォリオ実績!A908="","", ポートフォリオ実績!A908)</f>
        <v/>
      </c>
      <c r="B907" t="str">
        <f>IF(ポートフォリオ実績!B908="","", ポートフォリオ実績!B908)</f>
        <v/>
      </c>
      <c r="C907" s="10" t="str">
        <f>IF(ポートフォリオ実績!C908="","", ポートフォリオ実績!C908)</f>
        <v/>
      </c>
      <c r="D907" s="10" t="str">
        <f>IF(ポートフォリオ実績!D908="","", ポートフォリオ実績!D908)</f>
        <v/>
      </c>
      <c r="E907" s="10" t="str">
        <f>IF(ポートフォリオ実績!E908="","", ポートフォリオ実績!E908)</f>
        <v/>
      </c>
      <c r="F907" s="10" t="str">
        <f>IF(ポートフォリオ実績!F908="","", ポートフォリオ実績!F908)</f>
        <v/>
      </c>
      <c r="G907" t="str">
        <f t="shared" si="154"/>
        <v/>
      </c>
      <c r="H907">
        <f>IF(B907&lt;&gt;"", SUMIFS(ポートフォリオ実績!$D$2:$D$2001, ポートフォリオ実績!$B$2:$B$2001, B907, ポートフォリオ実績!$A$2:$A$2001, G907), 0)</f>
        <v>0</v>
      </c>
      <c r="I907">
        <f>IF(B907&lt;&gt;"", SUMIFS(ポートフォリオ実績!$C$2:$C$2001, ポートフォリオ実績!$B$2:$B$2001, B907, ポートフォリオ実績!$A$2:$A$2001, G907), 0)</f>
        <v>0</v>
      </c>
      <c r="J907">
        <f t="shared" si="155"/>
        <v>0</v>
      </c>
      <c r="K907">
        <f t="shared" si="156"/>
        <v>0</v>
      </c>
      <c r="L907">
        <f t="shared" si="157"/>
        <v>0</v>
      </c>
      <c r="M907">
        <f t="shared" si="158"/>
        <v>0</v>
      </c>
      <c r="N907">
        <f t="shared" si="159"/>
        <v>0</v>
      </c>
      <c r="O907">
        <f t="shared" si="160"/>
        <v>0</v>
      </c>
      <c r="P907" t="str">
        <f t="shared" si="161"/>
        <v/>
      </c>
      <c r="Q907" t="str">
        <f>IF(B907="","", IFERROR(VLOOKUP(B907, '基準資産配分（設定）'!$A$2:$C$2001, 3, FALSE), ""))</f>
        <v/>
      </c>
      <c r="R907" t="str">
        <f>IF(B907="","", IFERROR(VLOOKUP(B907, '基準資産配分（設定）'!$A$2:$C$2001, 2, FALSE)/100, 0))</f>
        <v/>
      </c>
      <c r="S907" t="str">
        <f>IF(B907="","", IFERROR(SUMIFS(ベンチマークリターン!$C$2:$C$2001, ベンチマークリターン!$A$2:$A$2001, A907, ベンチマークリターン!$B$2:$B$2001, Q907) / 100, 0))</f>
        <v/>
      </c>
      <c r="T907" t="str">
        <f>IF(A907="","", SUMIFS($H$2:$H$2000, $A$2:$A$2000, A907))</f>
        <v/>
      </c>
      <c r="U907" t="str">
        <f t="shared" si="162"/>
        <v/>
      </c>
      <c r="V907" t="str">
        <f t="shared" si="163"/>
        <v/>
      </c>
      <c r="W907" t="str">
        <f t="shared" si="164"/>
        <v/>
      </c>
    </row>
    <row r="908" spans="1:23" x14ac:dyDescent="0.2">
      <c r="A908" s="4" t="str">
        <f>IF(ポートフォリオ実績!A909="","", ポートフォリオ実績!A909)</f>
        <v/>
      </c>
      <c r="B908" t="str">
        <f>IF(ポートフォリオ実績!B909="","", ポートフォリオ実績!B909)</f>
        <v/>
      </c>
      <c r="C908" s="10" t="str">
        <f>IF(ポートフォリオ実績!C909="","", ポートフォリオ実績!C909)</f>
        <v/>
      </c>
      <c r="D908" s="10" t="str">
        <f>IF(ポートフォリオ実績!D909="","", ポートフォリオ実績!D909)</f>
        <v/>
      </c>
      <c r="E908" s="10" t="str">
        <f>IF(ポートフォリオ実績!E909="","", ポートフォリオ実績!E909)</f>
        <v/>
      </c>
      <c r="F908" s="10" t="str">
        <f>IF(ポートフォリオ実績!F909="","", ポートフォリオ実績!F909)</f>
        <v/>
      </c>
      <c r="G908" t="str">
        <f t="shared" si="154"/>
        <v/>
      </c>
      <c r="H908">
        <f>IF(B908&lt;&gt;"", SUMIFS(ポートフォリオ実績!$D$2:$D$2001, ポートフォリオ実績!$B$2:$B$2001, B908, ポートフォリオ実績!$A$2:$A$2001, G908), 0)</f>
        <v>0</v>
      </c>
      <c r="I908">
        <f>IF(B908&lt;&gt;"", SUMIFS(ポートフォリオ実績!$C$2:$C$2001, ポートフォリオ実績!$B$2:$B$2001, B908, ポートフォリオ実績!$A$2:$A$2001, G908), 0)</f>
        <v>0</v>
      </c>
      <c r="J908">
        <f t="shared" si="155"/>
        <v>0</v>
      </c>
      <c r="K908">
        <f t="shared" si="156"/>
        <v>0</v>
      </c>
      <c r="L908">
        <f t="shared" si="157"/>
        <v>0</v>
      </c>
      <c r="M908">
        <f t="shared" si="158"/>
        <v>0</v>
      </c>
      <c r="N908">
        <f t="shared" si="159"/>
        <v>0</v>
      </c>
      <c r="O908">
        <f t="shared" si="160"/>
        <v>0</v>
      </c>
      <c r="P908" t="str">
        <f t="shared" si="161"/>
        <v/>
      </c>
      <c r="Q908" t="str">
        <f>IF(B908="","", IFERROR(VLOOKUP(B908, '基準資産配分（設定）'!$A$2:$C$2001, 3, FALSE), ""))</f>
        <v/>
      </c>
      <c r="R908" t="str">
        <f>IF(B908="","", IFERROR(VLOOKUP(B908, '基準資産配分（設定）'!$A$2:$C$2001, 2, FALSE)/100, 0))</f>
        <v/>
      </c>
      <c r="S908" t="str">
        <f>IF(B908="","", IFERROR(SUMIFS(ベンチマークリターン!$C$2:$C$2001, ベンチマークリターン!$A$2:$A$2001, A908, ベンチマークリターン!$B$2:$B$2001, Q908) / 100, 0))</f>
        <v/>
      </c>
      <c r="T908" t="str">
        <f>IF(A908="","", SUMIFS($H$2:$H$2000, $A$2:$A$2000, A908))</f>
        <v/>
      </c>
      <c r="U908" t="str">
        <f t="shared" si="162"/>
        <v/>
      </c>
      <c r="V908" t="str">
        <f t="shared" si="163"/>
        <v/>
      </c>
      <c r="W908" t="str">
        <f t="shared" si="164"/>
        <v/>
      </c>
    </row>
    <row r="909" spans="1:23" x14ac:dyDescent="0.2">
      <c r="A909" s="4" t="str">
        <f>IF(ポートフォリオ実績!A910="","", ポートフォリオ実績!A910)</f>
        <v/>
      </c>
      <c r="B909" t="str">
        <f>IF(ポートフォリオ実績!B910="","", ポートフォリオ実績!B910)</f>
        <v/>
      </c>
      <c r="C909" s="10" t="str">
        <f>IF(ポートフォリオ実績!C910="","", ポートフォリオ実績!C910)</f>
        <v/>
      </c>
      <c r="D909" s="10" t="str">
        <f>IF(ポートフォリオ実績!D910="","", ポートフォリオ実績!D910)</f>
        <v/>
      </c>
      <c r="E909" s="10" t="str">
        <f>IF(ポートフォリオ実績!E910="","", ポートフォリオ実績!E910)</f>
        <v/>
      </c>
      <c r="F909" s="10" t="str">
        <f>IF(ポートフォリオ実績!F910="","", ポートフォリオ実績!F910)</f>
        <v/>
      </c>
      <c r="G909" t="str">
        <f t="shared" si="154"/>
        <v/>
      </c>
      <c r="H909">
        <f>IF(B909&lt;&gt;"", SUMIFS(ポートフォリオ実績!$D$2:$D$2001, ポートフォリオ実績!$B$2:$B$2001, B909, ポートフォリオ実績!$A$2:$A$2001, G909), 0)</f>
        <v>0</v>
      </c>
      <c r="I909">
        <f>IF(B909&lt;&gt;"", SUMIFS(ポートフォリオ実績!$C$2:$C$2001, ポートフォリオ実績!$B$2:$B$2001, B909, ポートフォリオ実績!$A$2:$A$2001, G909), 0)</f>
        <v>0</v>
      </c>
      <c r="J909">
        <f t="shared" si="155"/>
        <v>0</v>
      </c>
      <c r="K909">
        <f t="shared" si="156"/>
        <v>0</v>
      </c>
      <c r="L909">
        <f t="shared" si="157"/>
        <v>0</v>
      </c>
      <c r="M909">
        <f t="shared" si="158"/>
        <v>0</v>
      </c>
      <c r="N909">
        <f t="shared" si="159"/>
        <v>0</v>
      </c>
      <c r="O909">
        <f t="shared" si="160"/>
        <v>0</v>
      </c>
      <c r="P909" t="str">
        <f t="shared" si="161"/>
        <v/>
      </c>
      <c r="Q909" t="str">
        <f>IF(B909="","", IFERROR(VLOOKUP(B909, '基準資産配分（設定）'!$A$2:$C$2001, 3, FALSE), ""))</f>
        <v/>
      </c>
      <c r="R909" t="str">
        <f>IF(B909="","", IFERROR(VLOOKUP(B909, '基準資産配分（設定）'!$A$2:$C$2001, 2, FALSE)/100, 0))</f>
        <v/>
      </c>
      <c r="S909" t="str">
        <f>IF(B909="","", IFERROR(SUMIFS(ベンチマークリターン!$C$2:$C$2001, ベンチマークリターン!$A$2:$A$2001, A909, ベンチマークリターン!$B$2:$B$2001, Q909) / 100, 0))</f>
        <v/>
      </c>
      <c r="T909" t="str">
        <f>IF(A909="","", SUMIFS($H$2:$H$2000, $A$2:$A$2000, A909))</f>
        <v/>
      </c>
      <c r="U909" t="str">
        <f t="shared" si="162"/>
        <v/>
      </c>
      <c r="V909" t="str">
        <f t="shared" si="163"/>
        <v/>
      </c>
      <c r="W909" t="str">
        <f t="shared" si="164"/>
        <v/>
      </c>
    </row>
    <row r="910" spans="1:23" x14ac:dyDescent="0.2">
      <c r="A910" s="4" t="str">
        <f>IF(ポートフォリオ実績!A911="","", ポートフォリオ実績!A911)</f>
        <v/>
      </c>
      <c r="B910" t="str">
        <f>IF(ポートフォリオ実績!B911="","", ポートフォリオ実績!B911)</f>
        <v/>
      </c>
      <c r="C910" s="10" t="str">
        <f>IF(ポートフォリオ実績!C911="","", ポートフォリオ実績!C911)</f>
        <v/>
      </c>
      <c r="D910" s="10" t="str">
        <f>IF(ポートフォリオ実績!D911="","", ポートフォリオ実績!D911)</f>
        <v/>
      </c>
      <c r="E910" s="10" t="str">
        <f>IF(ポートフォリオ実績!E911="","", ポートフォリオ実績!E911)</f>
        <v/>
      </c>
      <c r="F910" s="10" t="str">
        <f>IF(ポートフォリオ実績!F911="","", ポートフォリオ実績!F911)</f>
        <v/>
      </c>
      <c r="G910" t="str">
        <f t="shared" si="154"/>
        <v/>
      </c>
      <c r="H910">
        <f>IF(B910&lt;&gt;"", SUMIFS(ポートフォリオ実績!$D$2:$D$2001, ポートフォリオ実績!$B$2:$B$2001, B910, ポートフォリオ実績!$A$2:$A$2001, G910), 0)</f>
        <v>0</v>
      </c>
      <c r="I910">
        <f>IF(B910&lt;&gt;"", SUMIFS(ポートフォリオ実績!$C$2:$C$2001, ポートフォリオ実績!$B$2:$B$2001, B910, ポートフォリオ実績!$A$2:$A$2001, G910), 0)</f>
        <v>0</v>
      </c>
      <c r="J910">
        <f t="shared" si="155"/>
        <v>0</v>
      </c>
      <c r="K910">
        <f t="shared" si="156"/>
        <v>0</v>
      </c>
      <c r="L910">
        <f t="shared" si="157"/>
        <v>0</v>
      </c>
      <c r="M910">
        <f t="shared" si="158"/>
        <v>0</v>
      </c>
      <c r="N910">
        <f t="shared" si="159"/>
        <v>0</v>
      </c>
      <c r="O910">
        <f t="shared" si="160"/>
        <v>0</v>
      </c>
      <c r="P910" t="str">
        <f t="shared" si="161"/>
        <v/>
      </c>
      <c r="Q910" t="str">
        <f>IF(B910="","", IFERROR(VLOOKUP(B910, '基準資産配分（設定）'!$A$2:$C$2001, 3, FALSE), ""))</f>
        <v/>
      </c>
      <c r="R910" t="str">
        <f>IF(B910="","", IFERROR(VLOOKUP(B910, '基準資産配分（設定）'!$A$2:$C$2001, 2, FALSE)/100, 0))</f>
        <v/>
      </c>
      <c r="S910" t="str">
        <f>IF(B910="","", IFERROR(SUMIFS(ベンチマークリターン!$C$2:$C$2001, ベンチマークリターン!$A$2:$A$2001, A910, ベンチマークリターン!$B$2:$B$2001, Q910) / 100, 0))</f>
        <v/>
      </c>
      <c r="T910" t="str">
        <f>IF(A910="","", SUMIFS($H$2:$H$2000, $A$2:$A$2000, A910))</f>
        <v/>
      </c>
      <c r="U910" t="str">
        <f t="shared" si="162"/>
        <v/>
      </c>
      <c r="V910" t="str">
        <f t="shared" si="163"/>
        <v/>
      </c>
      <c r="W910" t="str">
        <f t="shared" si="164"/>
        <v/>
      </c>
    </row>
    <row r="911" spans="1:23" x14ac:dyDescent="0.2">
      <c r="A911" s="4" t="str">
        <f>IF(ポートフォリオ実績!A912="","", ポートフォリオ実績!A912)</f>
        <v/>
      </c>
      <c r="B911" t="str">
        <f>IF(ポートフォリオ実績!B912="","", ポートフォリオ実績!B912)</f>
        <v/>
      </c>
      <c r="C911" s="10" t="str">
        <f>IF(ポートフォリオ実績!C912="","", ポートフォリオ実績!C912)</f>
        <v/>
      </c>
      <c r="D911" s="10" t="str">
        <f>IF(ポートフォリオ実績!D912="","", ポートフォリオ実績!D912)</f>
        <v/>
      </c>
      <c r="E911" s="10" t="str">
        <f>IF(ポートフォリオ実績!E912="","", ポートフォリオ実績!E912)</f>
        <v/>
      </c>
      <c r="F911" s="10" t="str">
        <f>IF(ポートフォリオ実績!F912="","", ポートフォリオ実績!F912)</f>
        <v/>
      </c>
      <c r="G911" t="str">
        <f t="shared" si="154"/>
        <v/>
      </c>
      <c r="H911">
        <f>IF(B911&lt;&gt;"", SUMIFS(ポートフォリオ実績!$D$2:$D$2001, ポートフォリオ実績!$B$2:$B$2001, B911, ポートフォリオ実績!$A$2:$A$2001, G911), 0)</f>
        <v>0</v>
      </c>
      <c r="I911">
        <f>IF(B911&lt;&gt;"", SUMIFS(ポートフォリオ実績!$C$2:$C$2001, ポートフォリオ実績!$B$2:$B$2001, B911, ポートフォリオ実績!$A$2:$A$2001, G911), 0)</f>
        <v>0</v>
      </c>
      <c r="J911">
        <f t="shared" si="155"/>
        <v>0</v>
      </c>
      <c r="K911">
        <f t="shared" si="156"/>
        <v>0</v>
      </c>
      <c r="L911">
        <f t="shared" si="157"/>
        <v>0</v>
      </c>
      <c r="M911">
        <f t="shared" si="158"/>
        <v>0</v>
      </c>
      <c r="N911">
        <f t="shared" si="159"/>
        <v>0</v>
      </c>
      <c r="O911">
        <f t="shared" si="160"/>
        <v>0</v>
      </c>
      <c r="P911" t="str">
        <f t="shared" si="161"/>
        <v/>
      </c>
      <c r="Q911" t="str">
        <f>IF(B911="","", IFERROR(VLOOKUP(B911, '基準資産配分（設定）'!$A$2:$C$2001, 3, FALSE), ""))</f>
        <v/>
      </c>
      <c r="R911" t="str">
        <f>IF(B911="","", IFERROR(VLOOKUP(B911, '基準資産配分（設定）'!$A$2:$C$2001, 2, FALSE)/100, 0))</f>
        <v/>
      </c>
      <c r="S911" t="str">
        <f>IF(B911="","", IFERROR(SUMIFS(ベンチマークリターン!$C$2:$C$2001, ベンチマークリターン!$A$2:$A$2001, A911, ベンチマークリターン!$B$2:$B$2001, Q911) / 100, 0))</f>
        <v/>
      </c>
      <c r="T911" t="str">
        <f>IF(A911="","", SUMIFS($H$2:$H$2000, $A$2:$A$2000, A911))</f>
        <v/>
      </c>
      <c r="U911" t="str">
        <f t="shared" si="162"/>
        <v/>
      </c>
      <c r="V911" t="str">
        <f t="shared" si="163"/>
        <v/>
      </c>
      <c r="W911" t="str">
        <f t="shared" si="164"/>
        <v/>
      </c>
    </row>
    <row r="912" spans="1:23" x14ac:dyDescent="0.2">
      <c r="A912" s="4" t="str">
        <f>IF(ポートフォリオ実績!A913="","", ポートフォリオ実績!A913)</f>
        <v/>
      </c>
      <c r="B912" t="str">
        <f>IF(ポートフォリオ実績!B913="","", ポートフォリオ実績!B913)</f>
        <v/>
      </c>
      <c r="C912" s="10" t="str">
        <f>IF(ポートフォリオ実績!C913="","", ポートフォリオ実績!C913)</f>
        <v/>
      </c>
      <c r="D912" s="10" t="str">
        <f>IF(ポートフォリオ実績!D913="","", ポートフォリオ実績!D913)</f>
        <v/>
      </c>
      <c r="E912" s="10" t="str">
        <f>IF(ポートフォリオ実績!E913="","", ポートフォリオ実績!E913)</f>
        <v/>
      </c>
      <c r="F912" s="10" t="str">
        <f>IF(ポートフォリオ実績!F913="","", ポートフォリオ実績!F913)</f>
        <v/>
      </c>
      <c r="G912" t="str">
        <f t="shared" si="154"/>
        <v/>
      </c>
      <c r="H912">
        <f>IF(B912&lt;&gt;"", SUMIFS(ポートフォリオ実績!$D$2:$D$2001, ポートフォリオ実績!$B$2:$B$2001, B912, ポートフォリオ実績!$A$2:$A$2001, G912), 0)</f>
        <v>0</v>
      </c>
      <c r="I912">
        <f>IF(B912&lt;&gt;"", SUMIFS(ポートフォリオ実績!$C$2:$C$2001, ポートフォリオ実績!$B$2:$B$2001, B912, ポートフォリオ実績!$A$2:$A$2001, G912), 0)</f>
        <v>0</v>
      </c>
      <c r="J912">
        <f t="shared" si="155"/>
        <v>0</v>
      </c>
      <c r="K912">
        <f t="shared" si="156"/>
        <v>0</v>
      </c>
      <c r="L912">
        <f t="shared" si="157"/>
        <v>0</v>
      </c>
      <c r="M912">
        <f t="shared" si="158"/>
        <v>0</v>
      </c>
      <c r="N912">
        <f t="shared" si="159"/>
        <v>0</v>
      </c>
      <c r="O912">
        <f t="shared" si="160"/>
        <v>0</v>
      </c>
      <c r="P912" t="str">
        <f t="shared" si="161"/>
        <v/>
      </c>
      <c r="Q912" t="str">
        <f>IF(B912="","", IFERROR(VLOOKUP(B912, '基準資産配分（設定）'!$A$2:$C$2001, 3, FALSE), ""))</f>
        <v/>
      </c>
      <c r="R912" t="str">
        <f>IF(B912="","", IFERROR(VLOOKUP(B912, '基準資産配分（設定）'!$A$2:$C$2001, 2, FALSE)/100, 0))</f>
        <v/>
      </c>
      <c r="S912" t="str">
        <f>IF(B912="","", IFERROR(SUMIFS(ベンチマークリターン!$C$2:$C$2001, ベンチマークリターン!$A$2:$A$2001, A912, ベンチマークリターン!$B$2:$B$2001, Q912) / 100, 0))</f>
        <v/>
      </c>
      <c r="T912" t="str">
        <f>IF(A912="","", SUMIFS($H$2:$H$2000, $A$2:$A$2000, A912))</f>
        <v/>
      </c>
      <c r="U912" t="str">
        <f t="shared" si="162"/>
        <v/>
      </c>
      <c r="V912" t="str">
        <f t="shared" si="163"/>
        <v/>
      </c>
      <c r="W912" t="str">
        <f t="shared" si="164"/>
        <v/>
      </c>
    </row>
    <row r="913" spans="1:23" x14ac:dyDescent="0.2">
      <c r="A913" s="4" t="str">
        <f>IF(ポートフォリオ実績!A914="","", ポートフォリオ実績!A914)</f>
        <v/>
      </c>
      <c r="B913" t="str">
        <f>IF(ポートフォリオ実績!B914="","", ポートフォリオ実績!B914)</f>
        <v/>
      </c>
      <c r="C913" s="10" t="str">
        <f>IF(ポートフォリオ実績!C914="","", ポートフォリオ実績!C914)</f>
        <v/>
      </c>
      <c r="D913" s="10" t="str">
        <f>IF(ポートフォリオ実績!D914="","", ポートフォリオ実績!D914)</f>
        <v/>
      </c>
      <c r="E913" s="10" t="str">
        <f>IF(ポートフォリオ実績!E914="","", ポートフォリオ実績!E914)</f>
        <v/>
      </c>
      <c r="F913" s="10" t="str">
        <f>IF(ポートフォリオ実績!F914="","", ポートフォリオ実績!F914)</f>
        <v/>
      </c>
      <c r="G913" t="str">
        <f t="shared" si="154"/>
        <v/>
      </c>
      <c r="H913">
        <f>IF(B913&lt;&gt;"", SUMIFS(ポートフォリオ実績!$D$2:$D$2001, ポートフォリオ実績!$B$2:$B$2001, B913, ポートフォリオ実績!$A$2:$A$2001, G913), 0)</f>
        <v>0</v>
      </c>
      <c r="I913">
        <f>IF(B913&lt;&gt;"", SUMIFS(ポートフォリオ実績!$C$2:$C$2001, ポートフォリオ実績!$B$2:$B$2001, B913, ポートフォリオ実績!$A$2:$A$2001, G913), 0)</f>
        <v>0</v>
      </c>
      <c r="J913">
        <f t="shared" si="155"/>
        <v>0</v>
      </c>
      <c r="K913">
        <f t="shared" si="156"/>
        <v>0</v>
      </c>
      <c r="L913">
        <f t="shared" si="157"/>
        <v>0</v>
      </c>
      <c r="M913">
        <f t="shared" si="158"/>
        <v>0</v>
      </c>
      <c r="N913">
        <f t="shared" si="159"/>
        <v>0</v>
      </c>
      <c r="O913">
        <f t="shared" si="160"/>
        <v>0</v>
      </c>
      <c r="P913" t="str">
        <f t="shared" si="161"/>
        <v/>
      </c>
      <c r="Q913" t="str">
        <f>IF(B913="","", IFERROR(VLOOKUP(B913, '基準資産配分（設定）'!$A$2:$C$2001, 3, FALSE), ""))</f>
        <v/>
      </c>
      <c r="R913" t="str">
        <f>IF(B913="","", IFERROR(VLOOKUP(B913, '基準資産配分（設定）'!$A$2:$C$2001, 2, FALSE)/100, 0))</f>
        <v/>
      </c>
      <c r="S913" t="str">
        <f>IF(B913="","", IFERROR(SUMIFS(ベンチマークリターン!$C$2:$C$2001, ベンチマークリターン!$A$2:$A$2001, A913, ベンチマークリターン!$B$2:$B$2001, Q913) / 100, 0))</f>
        <v/>
      </c>
      <c r="T913" t="str">
        <f>IF(A913="","", SUMIFS($H$2:$H$2000, $A$2:$A$2000, A913))</f>
        <v/>
      </c>
      <c r="U913" t="str">
        <f t="shared" si="162"/>
        <v/>
      </c>
      <c r="V913" t="str">
        <f t="shared" si="163"/>
        <v/>
      </c>
      <c r="W913" t="str">
        <f t="shared" si="164"/>
        <v/>
      </c>
    </row>
    <row r="914" spans="1:23" x14ac:dyDescent="0.2">
      <c r="A914" s="4" t="str">
        <f>IF(ポートフォリオ実績!A915="","", ポートフォリオ実績!A915)</f>
        <v/>
      </c>
      <c r="B914" t="str">
        <f>IF(ポートフォリオ実績!B915="","", ポートフォリオ実績!B915)</f>
        <v/>
      </c>
      <c r="C914" s="10" t="str">
        <f>IF(ポートフォリオ実績!C915="","", ポートフォリオ実績!C915)</f>
        <v/>
      </c>
      <c r="D914" s="10" t="str">
        <f>IF(ポートフォリオ実績!D915="","", ポートフォリオ実績!D915)</f>
        <v/>
      </c>
      <c r="E914" s="10" t="str">
        <f>IF(ポートフォリオ実績!E915="","", ポートフォリオ実績!E915)</f>
        <v/>
      </c>
      <c r="F914" s="10" t="str">
        <f>IF(ポートフォリオ実績!F915="","", ポートフォリオ実績!F915)</f>
        <v/>
      </c>
      <c r="G914" t="str">
        <f t="shared" si="154"/>
        <v/>
      </c>
      <c r="H914">
        <f>IF(B914&lt;&gt;"", SUMIFS(ポートフォリオ実績!$D$2:$D$2001, ポートフォリオ実績!$B$2:$B$2001, B914, ポートフォリオ実績!$A$2:$A$2001, G914), 0)</f>
        <v>0</v>
      </c>
      <c r="I914">
        <f>IF(B914&lt;&gt;"", SUMIFS(ポートフォリオ実績!$C$2:$C$2001, ポートフォリオ実績!$B$2:$B$2001, B914, ポートフォリオ実績!$A$2:$A$2001, G914), 0)</f>
        <v>0</v>
      </c>
      <c r="J914">
        <f t="shared" si="155"/>
        <v>0</v>
      </c>
      <c r="K914">
        <f t="shared" si="156"/>
        <v>0</v>
      </c>
      <c r="L914">
        <f t="shared" si="157"/>
        <v>0</v>
      </c>
      <c r="M914">
        <f t="shared" si="158"/>
        <v>0</v>
      </c>
      <c r="N914">
        <f t="shared" si="159"/>
        <v>0</v>
      </c>
      <c r="O914">
        <f t="shared" si="160"/>
        <v>0</v>
      </c>
      <c r="P914" t="str">
        <f t="shared" si="161"/>
        <v/>
      </c>
      <c r="Q914" t="str">
        <f>IF(B914="","", IFERROR(VLOOKUP(B914, '基準資産配分（設定）'!$A$2:$C$2001, 3, FALSE), ""))</f>
        <v/>
      </c>
      <c r="R914" t="str">
        <f>IF(B914="","", IFERROR(VLOOKUP(B914, '基準資産配分（設定）'!$A$2:$C$2001, 2, FALSE)/100, 0))</f>
        <v/>
      </c>
      <c r="S914" t="str">
        <f>IF(B914="","", IFERROR(SUMIFS(ベンチマークリターン!$C$2:$C$2001, ベンチマークリターン!$A$2:$A$2001, A914, ベンチマークリターン!$B$2:$B$2001, Q914) / 100, 0))</f>
        <v/>
      </c>
      <c r="T914" t="str">
        <f>IF(A914="","", SUMIFS($H$2:$H$2000, $A$2:$A$2000, A914))</f>
        <v/>
      </c>
      <c r="U914" t="str">
        <f t="shared" si="162"/>
        <v/>
      </c>
      <c r="V914" t="str">
        <f t="shared" si="163"/>
        <v/>
      </c>
      <c r="W914" t="str">
        <f t="shared" si="164"/>
        <v/>
      </c>
    </row>
    <row r="915" spans="1:23" x14ac:dyDescent="0.2">
      <c r="A915" s="4" t="str">
        <f>IF(ポートフォリオ実績!A916="","", ポートフォリオ実績!A916)</f>
        <v/>
      </c>
      <c r="B915" t="str">
        <f>IF(ポートフォリオ実績!B916="","", ポートフォリオ実績!B916)</f>
        <v/>
      </c>
      <c r="C915" s="10" t="str">
        <f>IF(ポートフォリオ実績!C916="","", ポートフォリオ実績!C916)</f>
        <v/>
      </c>
      <c r="D915" s="10" t="str">
        <f>IF(ポートフォリオ実績!D916="","", ポートフォリオ実績!D916)</f>
        <v/>
      </c>
      <c r="E915" s="10" t="str">
        <f>IF(ポートフォリオ実績!E916="","", ポートフォリオ実績!E916)</f>
        <v/>
      </c>
      <c r="F915" s="10" t="str">
        <f>IF(ポートフォリオ実績!F916="","", ポートフォリオ実績!F916)</f>
        <v/>
      </c>
      <c r="G915" t="str">
        <f t="shared" si="154"/>
        <v/>
      </c>
      <c r="H915">
        <f>IF(B915&lt;&gt;"", SUMIFS(ポートフォリオ実績!$D$2:$D$2001, ポートフォリオ実績!$B$2:$B$2001, B915, ポートフォリオ実績!$A$2:$A$2001, G915), 0)</f>
        <v>0</v>
      </c>
      <c r="I915">
        <f>IF(B915&lt;&gt;"", SUMIFS(ポートフォリオ実績!$C$2:$C$2001, ポートフォリオ実績!$B$2:$B$2001, B915, ポートフォリオ実績!$A$2:$A$2001, G915), 0)</f>
        <v>0</v>
      </c>
      <c r="J915">
        <f t="shared" si="155"/>
        <v>0</v>
      </c>
      <c r="K915">
        <f t="shared" si="156"/>
        <v>0</v>
      </c>
      <c r="L915">
        <f t="shared" si="157"/>
        <v>0</v>
      </c>
      <c r="M915">
        <f t="shared" si="158"/>
        <v>0</v>
      </c>
      <c r="N915">
        <f t="shared" si="159"/>
        <v>0</v>
      </c>
      <c r="O915">
        <f t="shared" si="160"/>
        <v>0</v>
      </c>
      <c r="P915" t="str">
        <f t="shared" si="161"/>
        <v/>
      </c>
      <c r="Q915" t="str">
        <f>IF(B915="","", IFERROR(VLOOKUP(B915, '基準資産配分（設定）'!$A$2:$C$2001, 3, FALSE), ""))</f>
        <v/>
      </c>
      <c r="R915" t="str">
        <f>IF(B915="","", IFERROR(VLOOKUP(B915, '基準資産配分（設定）'!$A$2:$C$2001, 2, FALSE)/100, 0))</f>
        <v/>
      </c>
      <c r="S915" t="str">
        <f>IF(B915="","", IFERROR(SUMIFS(ベンチマークリターン!$C$2:$C$2001, ベンチマークリターン!$A$2:$A$2001, A915, ベンチマークリターン!$B$2:$B$2001, Q915) / 100, 0))</f>
        <v/>
      </c>
      <c r="T915" t="str">
        <f>IF(A915="","", SUMIFS($H$2:$H$2000, $A$2:$A$2000, A915))</f>
        <v/>
      </c>
      <c r="U915" t="str">
        <f t="shared" si="162"/>
        <v/>
      </c>
      <c r="V915" t="str">
        <f t="shared" si="163"/>
        <v/>
      </c>
      <c r="W915" t="str">
        <f t="shared" si="164"/>
        <v/>
      </c>
    </row>
    <row r="916" spans="1:23" x14ac:dyDescent="0.2">
      <c r="A916" s="4" t="str">
        <f>IF(ポートフォリオ実績!A917="","", ポートフォリオ実績!A917)</f>
        <v/>
      </c>
      <c r="B916" t="str">
        <f>IF(ポートフォリオ実績!B917="","", ポートフォリオ実績!B917)</f>
        <v/>
      </c>
      <c r="C916" s="10" t="str">
        <f>IF(ポートフォリオ実績!C917="","", ポートフォリオ実績!C917)</f>
        <v/>
      </c>
      <c r="D916" s="10" t="str">
        <f>IF(ポートフォリオ実績!D917="","", ポートフォリオ実績!D917)</f>
        <v/>
      </c>
      <c r="E916" s="10" t="str">
        <f>IF(ポートフォリオ実績!E917="","", ポートフォリオ実績!E917)</f>
        <v/>
      </c>
      <c r="F916" s="10" t="str">
        <f>IF(ポートフォリオ実績!F917="","", ポートフォリオ実績!F917)</f>
        <v/>
      </c>
      <c r="G916" t="str">
        <f t="shared" si="154"/>
        <v/>
      </c>
      <c r="H916">
        <f>IF(B916&lt;&gt;"", SUMIFS(ポートフォリオ実績!$D$2:$D$2001, ポートフォリオ実績!$B$2:$B$2001, B916, ポートフォリオ実績!$A$2:$A$2001, G916), 0)</f>
        <v>0</v>
      </c>
      <c r="I916">
        <f>IF(B916&lt;&gt;"", SUMIFS(ポートフォリオ実績!$C$2:$C$2001, ポートフォリオ実績!$B$2:$B$2001, B916, ポートフォリオ実績!$A$2:$A$2001, G916), 0)</f>
        <v>0</v>
      </c>
      <c r="J916">
        <f t="shared" si="155"/>
        <v>0</v>
      </c>
      <c r="K916">
        <f t="shared" si="156"/>
        <v>0</v>
      </c>
      <c r="L916">
        <f t="shared" si="157"/>
        <v>0</v>
      </c>
      <c r="M916">
        <f t="shared" si="158"/>
        <v>0</v>
      </c>
      <c r="N916">
        <f t="shared" si="159"/>
        <v>0</v>
      </c>
      <c r="O916">
        <f t="shared" si="160"/>
        <v>0</v>
      </c>
      <c r="P916" t="str">
        <f t="shared" si="161"/>
        <v/>
      </c>
      <c r="Q916" t="str">
        <f>IF(B916="","", IFERROR(VLOOKUP(B916, '基準資産配分（設定）'!$A$2:$C$2001, 3, FALSE), ""))</f>
        <v/>
      </c>
      <c r="R916" t="str">
        <f>IF(B916="","", IFERROR(VLOOKUP(B916, '基準資産配分（設定）'!$A$2:$C$2001, 2, FALSE)/100, 0))</f>
        <v/>
      </c>
      <c r="S916" t="str">
        <f>IF(B916="","", IFERROR(SUMIFS(ベンチマークリターン!$C$2:$C$2001, ベンチマークリターン!$A$2:$A$2001, A916, ベンチマークリターン!$B$2:$B$2001, Q916) / 100, 0))</f>
        <v/>
      </c>
      <c r="T916" t="str">
        <f>IF(A916="","", SUMIFS($H$2:$H$2000, $A$2:$A$2000, A916))</f>
        <v/>
      </c>
      <c r="U916" t="str">
        <f t="shared" si="162"/>
        <v/>
      </c>
      <c r="V916" t="str">
        <f t="shared" si="163"/>
        <v/>
      </c>
      <c r="W916" t="str">
        <f t="shared" si="164"/>
        <v/>
      </c>
    </row>
    <row r="917" spans="1:23" x14ac:dyDescent="0.2">
      <c r="A917" s="4" t="str">
        <f>IF(ポートフォリオ実績!A918="","", ポートフォリオ実績!A918)</f>
        <v/>
      </c>
      <c r="B917" t="str">
        <f>IF(ポートフォリオ実績!B918="","", ポートフォリオ実績!B918)</f>
        <v/>
      </c>
      <c r="C917" s="10" t="str">
        <f>IF(ポートフォリオ実績!C918="","", ポートフォリオ実績!C918)</f>
        <v/>
      </c>
      <c r="D917" s="10" t="str">
        <f>IF(ポートフォリオ実績!D918="","", ポートフォリオ実績!D918)</f>
        <v/>
      </c>
      <c r="E917" s="10" t="str">
        <f>IF(ポートフォリオ実績!E918="","", ポートフォリオ実績!E918)</f>
        <v/>
      </c>
      <c r="F917" s="10" t="str">
        <f>IF(ポートフォリオ実績!F918="","", ポートフォリオ実績!F918)</f>
        <v/>
      </c>
      <c r="G917" t="str">
        <f t="shared" si="154"/>
        <v/>
      </c>
      <c r="H917">
        <f>IF(B917&lt;&gt;"", SUMIFS(ポートフォリオ実績!$D$2:$D$2001, ポートフォリオ実績!$B$2:$B$2001, B917, ポートフォリオ実績!$A$2:$A$2001, G917), 0)</f>
        <v>0</v>
      </c>
      <c r="I917">
        <f>IF(B917&lt;&gt;"", SUMIFS(ポートフォリオ実績!$C$2:$C$2001, ポートフォリオ実績!$B$2:$B$2001, B917, ポートフォリオ実績!$A$2:$A$2001, G917), 0)</f>
        <v>0</v>
      </c>
      <c r="J917">
        <f t="shared" si="155"/>
        <v>0</v>
      </c>
      <c r="K917">
        <f t="shared" si="156"/>
        <v>0</v>
      </c>
      <c r="L917">
        <f t="shared" si="157"/>
        <v>0</v>
      </c>
      <c r="M917">
        <f t="shared" si="158"/>
        <v>0</v>
      </c>
      <c r="N917">
        <f t="shared" si="159"/>
        <v>0</v>
      </c>
      <c r="O917">
        <f t="shared" si="160"/>
        <v>0</v>
      </c>
      <c r="P917" t="str">
        <f t="shared" si="161"/>
        <v/>
      </c>
      <c r="Q917" t="str">
        <f>IF(B917="","", IFERROR(VLOOKUP(B917, '基準資産配分（設定）'!$A$2:$C$2001, 3, FALSE), ""))</f>
        <v/>
      </c>
      <c r="R917" t="str">
        <f>IF(B917="","", IFERROR(VLOOKUP(B917, '基準資産配分（設定）'!$A$2:$C$2001, 2, FALSE)/100, 0))</f>
        <v/>
      </c>
      <c r="S917" t="str">
        <f>IF(B917="","", IFERROR(SUMIFS(ベンチマークリターン!$C$2:$C$2001, ベンチマークリターン!$A$2:$A$2001, A917, ベンチマークリターン!$B$2:$B$2001, Q917) / 100, 0))</f>
        <v/>
      </c>
      <c r="T917" t="str">
        <f>IF(A917="","", SUMIFS($H$2:$H$2000, $A$2:$A$2000, A917))</f>
        <v/>
      </c>
      <c r="U917" t="str">
        <f t="shared" si="162"/>
        <v/>
      </c>
      <c r="V917" t="str">
        <f t="shared" si="163"/>
        <v/>
      </c>
      <c r="W917" t="str">
        <f t="shared" si="164"/>
        <v/>
      </c>
    </row>
    <row r="918" spans="1:23" x14ac:dyDescent="0.2">
      <c r="A918" s="4" t="str">
        <f>IF(ポートフォリオ実績!A919="","", ポートフォリオ実績!A919)</f>
        <v/>
      </c>
      <c r="B918" t="str">
        <f>IF(ポートフォリオ実績!B919="","", ポートフォリオ実績!B919)</f>
        <v/>
      </c>
      <c r="C918" s="10" t="str">
        <f>IF(ポートフォリオ実績!C919="","", ポートフォリオ実績!C919)</f>
        <v/>
      </c>
      <c r="D918" s="10" t="str">
        <f>IF(ポートフォリオ実績!D919="","", ポートフォリオ実績!D919)</f>
        <v/>
      </c>
      <c r="E918" s="10" t="str">
        <f>IF(ポートフォリオ実績!E919="","", ポートフォリオ実績!E919)</f>
        <v/>
      </c>
      <c r="F918" s="10" t="str">
        <f>IF(ポートフォリオ実績!F919="","", ポートフォリオ実績!F919)</f>
        <v/>
      </c>
      <c r="G918" t="str">
        <f t="shared" si="154"/>
        <v/>
      </c>
      <c r="H918">
        <f>IF(B918&lt;&gt;"", SUMIFS(ポートフォリオ実績!$D$2:$D$2001, ポートフォリオ実績!$B$2:$B$2001, B918, ポートフォリオ実績!$A$2:$A$2001, G918), 0)</f>
        <v>0</v>
      </c>
      <c r="I918">
        <f>IF(B918&lt;&gt;"", SUMIFS(ポートフォリオ実績!$C$2:$C$2001, ポートフォリオ実績!$B$2:$B$2001, B918, ポートフォリオ実績!$A$2:$A$2001, G918), 0)</f>
        <v>0</v>
      </c>
      <c r="J918">
        <f t="shared" si="155"/>
        <v>0</v>
      </c>
      <c r="K918">
        <f t="shared" si="156"/>
        <v>0</v>
      </c>
      <c r="L918">
        <f t="shared" si="157"/>
        <v>0</v>
      </c>
      <c r="M918">
        <f t="shared" si="158"/>
        <v>0</v>
      </c>
      <c r="N918">
        <f t="shared" si="159"/>
        <v>0</v>
      </c>
      <c r="O918">
        <f t="shared" si="160"/>
        <v>0</v>
      </c>
      <c r="P918" t="str">
        <f t="shared" si="161"/>
        <v/>
      </c>
      <c r="Q918" t="str">
        <f>IF(B918="","", IFERROR(VLOOKUP(B918, '基準資産配分（設定）'!$A$2:$C$2001, 3, FALSE), ""))</f>
        <v/>
      </c>
      <c r="R918" t="str">
        <f>IF(B918="","", IFERROR(VLOOKUP(B918, '基準資産配分（設定）'!$A$2:$C$2001, 2, FALSE)/100, 0))</f>
        <v/>
      </c>
      <c r="S918" t="str">
        <f>IF(B918="","", IFERROR(SUMIFS(ベンチマークリターン!$C$2:$C$2001, ベンチマークリターン!$A$2:$A$2001, A918, ベンチマークリターン!$B$2:$B$2001, Q918) / 100, 0))</f>
        <v/>
      </c>
      <c r="T918" t="str">
        <f>IF(A918="","", SUMIFS($H$2:$H$2000, $A$2:$A$2000, A918))</f>
        <v/>
      </c>
      <c r="U918" t="str">
        <f t="shared" si="162"/>
        <v/>
      </c>
      <c r="V918" t="str">
        <f t="shared" si="163"/>
        <v/>
      </c>
      <c r="W918" t="str">
        <f t="shared" si="164"/>
        <v/>
      </c>
    </row>
    <row r="919" spans="1:23" x14ac:dyDescent="0.2">
      <c r="A919" s="4" t="str">
        <f>IF(ポートフォリオ実績!A920="","", ポートフォリオ実績!A920)</f>
        <v/>
      </c>
      <c r="B919" t="str">
        <f>IF(ポートフォリオ実績!B920="","", ポートフォリオ実績!B920)</f>
        <v/>
      </c>
      <c r="C919" s="10" t="str">
        <f>IF(ポートフォリオ実績!C920="","", ポートフォリオ実績!C920)</f>
        <v/>
      </c>
      <c r="D919" s="10" t="str">
        <f>IF(ポートフォリオ実績!D920="","", ポートフォリオ実績!D920)</f>
        <v/>
      </c>
      <c r="E919" s="10" t="str">
        <f>IF(ポートフォリオ実績!E920="","", ポートフォリオ実績!E920)</f>
        <v/>
      </c>
      <c r="F919" s="10" t="str">
        <f>IF(ポートフォリオ実績!F920="","", ポートフォリオ実績!F920)</f>
        <v/>
      </c>
      <c r="G919" t="str">
        <f t="shared" si="154"/>
        <v/>
      </c>
      <c r="H919">
        <f>IF(B919&lt;&gt;"", SUMIFS(ポートフォリオ実績!$D$2:$D$2001, ポートフォリオ実績!$B$2:$B$2001, B919, ポートフォリオ実績!$A$2:$A$2001, G919), 0)</f>
        <v>0</v>
      </c>
      <c r="I919">
        <f>IF(B919&lt;&gt;"", SUMIFS(ポートフォリオ実績!$C$2:$C$2001, ポートフォリオ実績!$B$2:$B$2001, B919, ポートフォリオ実績!$A$2:$A$2001, G919), 0)</f>
        <v>0</v>
      </c>
      <c r="J919">
        <f t="shared" si="155"/>
        <v>0</v>
      </c>
      <c r="K919">
        <f t="shared" si="156"/>
        <v>0</v>
      </c>
      <c r="L919">
        <f t="shared" si="157"/>
        <v>0</v>
      </c>
      <c r="M919">
        <f t="shared" si="158"/>
        <v>0</v>
      </c>
      <c r="N919">
        <f t="shared" si="159"/>
        <v>0</v>
      </c>
      <c r="O919">
        <f t="shared" si="160"/>
        <v>0</v>
      </c>
      <c r="P919" t="str">
        <f t="shared" si="161"/>
        <v/>
      </c>
      <c r="Q919" t="str">
        <f>IF(B919="","", IFERROR(VLOOKUP(B919, '基準資産配分（設定）'!$A$2:$C$2001, 3, FALSE), ""))</f>
        <v/>
      </c>
      <c r="R919" t="str">
        <f>IF(B919="","", IFERROR(VLOOKUP(B919, '基準資産配分（設定）'!$A$2:$C$2001, 2, FALSE)/100, 0))</f>
        <v/>
      </c>
      <c r="S919" t="str">
        <f>IF(B919="","", IFERROR(SUMIFS(ベンチマークリターン!$C$2:$C$2001, ベンチマークリターン!$A$2:$A$2001, A919, ベンチマークリターン!$B$2:$B$2001, Q919) / 100, 0))</f>
        <v/>
      </c>
      <c r="T919" t="str">
        <f>IF(A919="","", SUMIFS($H$2:$H$2000, $A$2:$A$2000, A919))</f>
        <v/>
      </c>
      <c r="U919" t="str">
        <f t="shared" si="162"/>
        <v/>
      </c>
      <c r="V919" t="str">
        <f t="shared" si="163"/>
        <v/>
      </c>
      <c r="W919" t="str">
        <f t="shared" si="164"/>
        <v/>
      </c>
    </row>
    <row r="920" spans="1:23" x14ac:dyDescent="0.2">
      <c r="A920" s="4" t="str">
        <f>IF(ポートフォリオ実績!A921="","", ポートフォリオ実績!A921)</f>
        <v/>
      </c>
      <c r="B920" t="str">
        <f>IF(ポートフォリオ実績!B921="","", ポートフォリオ実績!B921)</f>
        <v/>
      </c>
      <c r="C920" s="10" t="str">
        <f>IF(ポートフォリオ実績!C921="","", ポートフォリオ実績!C921)</f>
        <v/>
      </c>
      <c r="D920" s="10" t="str">
        <f>IF(ポートフォリオ実績!D921="","", ポートフォリオ実績!D921)</f>
        <v/>
      </c>
      <c r="E920" s="10" t="str">
        <f>IF(ポートフォリオ実績!E921="","", ポートフォリオ実績!E921)</f>
        <v/>
      </c>
      <c r="F920" s="10" t="str">
        <f>IF(ポートフォリオ実績!F921="","", ポートフォリオ実績!F921)</f>
        <v/>
      </c>
      <c r="G920" t="str">
        <f t="shared" si="154"/>
        <v/>
      </c>
      <c r="H920">
        <f>IF(B920&lt;&gt;"", SUMIFS(ポートフォリオ実績!$D$2:$D$2001, ポートフォリオ実績!$B$2:$B$2001, B920, ポートフォリオ実績!$A$2:$A$2001, G920), 0)</f>
        <v>0</v>
      </c>
      <c r="I920">
        <f>IF(B920&lt;&gt;"", SUMIFS(ポートフォリオ実績!$C$2:$C$2001, ポートフォリオ実績!$B$2:$B$2001, B920, ポートフォリオ実績!$A$2:$A$2001, G920), 0)</f>
        <v>0</v>
      </c>
      <c r="J920">
        <f t="shared" si="155"/>
        <v>0</v>
      </c>
      <c r="K920">
        <f t="shared" si="156"/>
        <v>0</v>
      </c>
      <c r="L920">
        <f t="shared" si="157"/>
        <v>0</v>
      </c>
      <c r="M920">
        <f t="shared" si="158"/>
        <v>0</v>
      </c>
      <c r="N920">
        <f t="shared" si="159"/>
        <v>0</v>
      </c>
      <c r="O920">
        <f t="shared" si="160"/>
        <v>0</v>
      </c>
      <c r="P920" t="str">
        <f t="shared" si="161"/>
        <v/>
      </c>
      <c r="Q920" t="str">
        <f>IF(B920="","", IFERROR(VLOOKUP(B920, '基準資産配分（設定）'!$A$2:$C$2001, 3, FALSE), ""))</f>
        <v/>
      </c>
      <c r="R920" t="str">
        <f>IF(B920="","", IFERROR(VLOOKUP(B920, '基準資産配分（設定）'!$A$2:$C$2001, 2, FALSE)/100, 0))</f>
        <v/>
      </c>
      <c r="S920" t="str">
        <f>IF(B920="","", IFERROR(SUMIFS(ベンチマークリターン!$C$2:$C$2001, ベンチマークリターン!$A$2:$A$2001, A920, ベンチマークリターン!$B$2:$B$2001, Q920) / 100, 0))</f>
        <v/>
      </c>
      <c r="T920" t="str">
        <f>IF(A920="","", SUMIFS($H$2:$H$2000, $A$2:$A$2000, A920))</f>
        <v/>
      </c>
      <c r="U920" t="str">
        <f t="shared" si="162"/>
        <v/>
      </c>
      <c r="V920" t="str">
        <f t="shared" si="163"/>
        <v/>
      </c>
      <c r="W920" t="str">
        <f t="shared" si="164"/>
        <v/>
      </c>
    </row>
    <row r="921" spans="1:23" x14ac:dyDescent="0.2">
      <c r="A921" s="4" t="str">
        <f>IF(ポートフォリオ実績!A922="","", ポートフォリオ実績!A922)</f>
        <v/>
      </c>
      <c r="B921" t="str">
        <f>IF(ポートフォリオ実績!B922="","", ポートフォリオ実績!B922)</f>
        <v/>
      </c>
      <c r="C921" s="10" t="str">
        <f>IF(ポートフォリオ実績!C922="","", ポートフォリオ実績!C922)</f>
        <v/>
      </c>
      <c r="D921" s="10" t="str">
        <f>IF(ポートフォリオ実績!D922="","", ポートフォリオ実績!D922)</f>
        <v/>
      </c>
      <c r="E921" s="10" t="str">
        <f>IF(ポートフォリオ実績!E922="","", ポートフォリオ実績!E922)</f>
        <v/>
      </c>
      <c r="F921" s="10" t="str">
        <f>IF(ポートフォリオ実績!F922="","", ポートフォリオ実績!F922)</f>
        <v/>
      </c>
      <c r="G921" t="str">
        <f t="shared" si="154"/>
        <v/>
      </c>
      <c r="H921">
        <f>IF(B921&lt;&gt;"", SUMIFS(ポートフォリオ実績!$D$2:$D$2001, ポートフォリオ実績!$B$2:$B$2001, B921, ポートフォリオ実績!$A$2:$A$2001, G921), 0)</f>
        <v>0</v>
      </c>
      <c r="I921">
        <f>IF(B921&lt;&gt;"", SUMIFS(ポートフォリオ実績!$C$2:$C$2001, ポートフォリオ実績!$B$2:$B$2001, B921, ポートフォリオ実績!$A$2:$A$2001, G921), 0)</f>
        <v>0</v>
      </c>
      <c r="J921">
        <f t="shared" si="155"/>
        <v>0</v>
      </c>
      <c r="K921">
        <f t="shared" si="156"/>
        <v>0</v>
      </c>
      <c r="L921">
        <f t="shared" si="157"/>
        <v>0</v>
      </c>
      <c r="M921">
        <f t="shared" si="158"/>
        <v>0</v>
      </c>
      <c r="N921">
        <f t="shared" si="159"/>
        <v>0</v>
      </c>
      <c r="O921">
        <f t="shared" si="160"/>
        <v>0</v>
      </c>
      <c r="P921" t="str">
        <f t="shared" si="161"/>
        <v/>
      </c>
      <c r="Q921" t="str">
        <f>IF(B921="","", IFERROR(VLOOKUP(B921, '基準資産配分（設定）'!$A$2:$C$2001, 3, FALSE), ""))</f>
        <v/>
      </c>
      <c r="R921" t="str">
        <f>IF(B921="","", IFERROR(VLOOKUP(B921, '基準資産配分（設定）'!$A$2:$C$2001, 2, FALSE)/100, 0))</f>
        <v/>
      </c>
      <c r="S921" t="str">
        <f>IF(B921="","", IFERROR(SUMIFS(ベンチマークリターン!$C$2:$C$2001, ベンチマークリターン!$A$2:$A$2001, A921, ベンチマークリターン!$B$2:$B$2001, Q921) / 100, 0))</f>
        <v/>
      </c>
      <c r="T921" t="str">
        <f>IF(A921="","", SUMIFS($H$2:$H$2000, $A$2:$A$2000, A921))</f>
        <v/>
      </c>
      <c r="U921" t="str">
        <f t="shared" si="162"/>
        <v/>
      </c>
      <c r="V921" t="str">
        <f t="shared" si="163"/>
        <v/>
      </c>
      <c r="W921" t="str">
        <f t="shared" si="164"/>
        <v/>
      </c>
    </row>
    <row r="922" spans="1:23" x14ac:dyDescent="0.2">
      <c r="A922" s="4" t="str">
        <f>IF(ポートフォリオ実績!A923="","", ポートフォリオ実績!A923)</f>
        <v/>
      </c>
      <c r="B922" t="str">
        <f>IF(ポートフォリオ実績!B923="","", ポートフォリオ実績!B923)</f>
        <v/>
      </c>
      <c r="C922" s="10" t="str">
        <f>IF(ポートフォリオ実績!C923="","", ポートフォリオ実績!C923)</f>
        <v/>
      </c>
      <c r="D922" s="10" t="str">
        <f>IF(ポートフォリオ実績!D923="","", ポートフォリオ実績!D923)</f>
        <v/>
      </c>
      <c r="E922" s="10" t="str">
        <f>IF(ポートフォリオ実績!E923="","", ポートフォリオ実績!E923)</f>
        <v/>
      </c>
      <c r="F922" s="10" t="str">
        <f>IF(ポートフォリオ実績!F923="","", ポートフォリオ実績!F923)</f>
        <v/>
      </c>
      <c r="G922" t="str">
        <f t="shared" si="154"/>
        <v/>
      </c>
      <c r="H922">
        <f>IF(B922&lt;&gt;"", SUMIFS(ポートフォリオ実績!$D$2:$D$2001, ポートフォリオ実績!$B$2:$B$2001, B922, ポートフォリオ実績!$A$2:$A$2001, G922), 0)</f>
        <v>0</v>
      </c>
      <c r="I922">
        <f>IF(B922&lt;&gt;"", SUMIFS(ポートフォリオ実績!$C$2:$C$2001, ポートフォリオ実績!$B$2:$B$2001, B922, ポートフォリオ実績!$A$2:$A$2001, G922), 0)</f>
        <v>0</v>
      </c>
      <c r="J922">
        <f t="shared" si="155"/>
        <v>0</v>
      </c>
      <c r="K922">
        <f t="shared" si="156"/>
        <v>0</v>
      </c>
      <c r="L922">
        <f t="shared" si="157"/>
        <v>0</v>
      </c>
      <c r="M922">
        <f t="shared" si="158"/>
        <v>0</v>
      </c>
      <c r="N922">
        <f t="shared" si="159"/>
        <v>0</v>
      </c>
      <c r="O922">
        <f t="shared" si="160"/>
        <v>0</v>
      </c>
      <c r="P922" t="str">
        <f t="shared" si="161"/>
        <v/>
      </c>
      <c r="Q922" t="str">
        <f>IF(B922="","", IFERROR(VLOOKUP(B922, '基準資産配分（設定）'!$A$2:$C$2001, 3, FALSE), ""))</f>
        <v/>
      </c>
      <c r="R922" t="str">
        <f>IF(B922="","", IFERROR(VLOOKUP(B922, '基準資産配分（設定）'!$A$2:$C$2001, 2, FALSE)/100, 0))</f>
        <v/>
      </c>
      <c r="S922" t="str">
        <f>IF(B922="","", IFERROR(SUMIFS(ベンチマークリターン!$C$2:$C$2001, ベンチマークリターン!$A$2:$A$2001, A922, ベンチマークリターン!$B$2:$B$2001, Q922) / 100, 0))</f>
        <v/>
      </c>
      <c r="T922" t="str">
        <f>IF(A922="","", SUMIFS($H$2:$H$2000, $A$2:$A$2000, A922))</f>
        <v/>
      </c>
      <c r="U922" t="str">
        <f t="shared" si="162"/>
        <v/>
      </c>
      <c r="V922" t="str">
        <f t="shared" si="163"/>
        <v/>
      </c>
      <c r="W922" t="str">
        <f t="shared" si="164"/>
        <v/>
      </c>
    </row>
    <row r="923" spans="1:23" x14ac:dyDescent="0.2">
      <c r="A923" s="4" t="str">
        <f>IF(ポートフォリオ実績!A924="","", ポートフォリオ実績!A924)</f>
        <v/>
      </c>
      <c r="B923" t="str">
        <f>IF(ポートフォリオ実績!B924="","", ポートフォリオ実績!B924)</f>
        <v/>
      </c>
      <c r="C923" s="10" t="str">
        <f>IF(ポートフォリオ実績!C924="","", ポートフォリオ実績!C924)</f>
        <v/>
      </c>
      <c r="D923" s="10" t="str">
        <f>IF(ポートフォリオ実績!D924="","", ポートフォリオ実績!D924)</f>
        <v/>
      </c>
      <c r="E923" s="10" t="str">
        <f>IF(ポートフォリオ実績!E924="","", ポートフォリオ実績!E924)</f>
        <v/>
      </c>
      <c r="F923" s="10" t="str">
        <f>IF(ポートフォリオ実績!F924="","", ポートフォリオ実績!F924)</f>
        <v/>
      </c>
      <c r="G923" t="str">
        <f t="shared" si="154"/>
        <v/>
      </c>
      <c r="H923">
        <f>IF(B923&lt;&gt;"", SUMIFS(ポートフォリオ実績!$D$2:$D$2001, ポートフォリオ実績!$B$2:$B$2001, B923, ポートフォリオ実績!$A$2:$A$2001, G923), 0)</f>
        <v>0</v>
      </c>
      <c r="I923">
        <f>IF(B923&lt;&gt;"", SUMIFS(ポートフォリオ実績!$C$2:$C$2001, ポートフォリオ実績!$B$2:$B$2001, B923, ポートフォリオ実績!$A$2:$A$2001, G923), 0)</f>
        <v>0</v>
      </c>
      <c r="J923">
        <f t="shared" si="155"/>
        <v>0</v>
      </c>
      <c r="K923">
        <f t="shared" si="156"/>
        <v>0</v>
      </c>
      <c r="L923">
        <f t="shared" si="157"/>
        <v>0</v>
      </c>
      <c r="M923">
        <f t="shared" si="158"/>
        <v>0</v>
      </c>
      <c r="N923">
        <f t="shared" si="159"/>
        <v>0</v>
      </c>
      <c r="O923">
        <f t="shared" si="160"/>
        <v>0</v>
      </c>
      <c r="P923" t="str">
        <f t="shared" si="161"/>
        <v/>
      </c>
      <c r="Q923" t="str">
        <f>IF(B923="","", IFERROR(VLOOKUP(B923, '基準資産配分（設定）'!$A$2:$C$2001, 3, FALSE), ""))</f>
        <v/>
      </c>
      <c r="R923" t="str">
        <f>IF(B923="","", IFERROR(VLOOKUP(B923, '基準資産配分（設定）'!$A$2:$C$2001, 2, FALSE)/100, 0))</f>
        <v/>
      </c>
      <c r="S923" t="str">
        <f>IF(B923="","", IFERROR(SUMIFS(ベンチマークリターン!$C$2:$C$2001, ベンチマークリターン!$A$2:$A$2001, A923, ベンチマークリターン!$B$2:$B$2001, Q923) / 100, 0))</f>
        <v/>
      </c>
      <c r="T923" t="str">
        <f>IF(A923="","", SUMIFS($H$2:$H$2000, $A$2:$A$2000, A923))</f>
        <v/>
      </c>
      <c r="U923" t="str">
        <f t="shared" si="162"/>
        <v/>
      </c>
      <c r="V923" t="str">
        <f t="shared" si="163"/>
        <v/>
      </c>
      <c r="W923" t="str">
        <f t="shared" si="164"/>
        <v/>
      </c>
    </row>
    <row r="924" spans="1:23" x14ac:dyDescent="0.2">
      <c r="A924" s="4" t="str">
        <f>IF(ポートフォリオ実績!A925="","", ポートフォリオ実績!A925)</f>
        <v/>
      </c>
      <c r="B924" t="str">
        <f>IF(ポートフォリオ実績!B925="","", ポートフォリオ実績!B925)</f>
        <v/>
      </c>
      <c r="C924" s="10" t="str">
        <f>IF(ポートフォリオ実績!C925="","", ポートフォリオ実績!C925)</f>
        <v/>
      </c>
      <c r="D924" s="10" t="str">
        <f>IF(ポートフォリオ実績!D925="","", ポートフォリオ実績!D925)</f>
        <v/>
      </c>
      <c r="E924" s="10" t="str">
        <f>IF(ポートフォリオ実績!E925="","", ポートフォリオ実績!E925)</f>
        <v/>
      </c>
      <c r="F924" s="10" t="str">
        <f>IF(ポートフォリオ実績!F925="","", ポートフォリオ実績!F925)</f>
        <v/>
      </c>
      <c r="G924" t="str">
        <f t="shared" si="154"/>
        <v/>
      </c>
      <c r="H924">
        <f>IF(B924&lt;&gt;"", SUMIFS(ポートフォリオ実績!$D$2:$D$2001, ポートフォリオ実績!$B$2:$B$2001, B924, ポートフォリオ実績!$A$2:$A$2001, G924), 0)</f>
        <v>0</v>
      </c>
      <c r="I924">
        <f>IF(B924&lt;&gt;"", SUMIFS(ポートフォリオ実績!$C$2:$C$2001, ポートフォリオ実績!$B$2:$B$2001, B924, ポートフォリオ実績!$A$2:$A$2001, G924), 0)</f>
        <v>0</v>
      </c>
      <c r="J924">
        <f t="shared" si="155"/>
        <v>0</v>
      </c>
      <c r="K924">
        <f t="shared" si="156"/>
        <v>0</v>
      </c>
      <c r="L924">
        <f t="shared" si="157"/>
        <v>0</v>
      </c>
      <c r="M924">
        <f t="shared" si="158"/>
        <v>0</v>
      </c>
      <c r="N924">
        <f t="shared" si="159"/>
        <v>0</v>
      </c>
      <c r="O924">
        <f t="shared" si="160"/>
        <v>0</v>
      </c>
      <c r="P924" t="str">
        <f t="shared" si="161"/>
        <v/>
      </c>
      <c r="Q924" t="str">
        <f>IF(B924="","", IFERROR(VLOOKUP(B924, '基準資産配分（設定）'!$A$2:$C$2001, 3, FALSE), ""))</f>
        <v/>
      </c>
      <c r="R924" t="str">
        <f>IF(B924="","", IFERROR(VLOOKUP(B924, '基準資産配分（設定）'!$A$2:$C$2001, 2, FALSE)/100, 0))</f>
        <v/>
      </c>
      <c r="S924" t="str">
        <f>IF(B924="","", IFERROR(SUMIFS(ベンチマークリターン!$C$2:$C$2001, ベンチマークリターン!$A$2:$A$2001, A924, ベンチマークリターン!$B$2:$B$2001, Q924) / 100, 0))</f>
        <v/>
      </c>
      <c r="T924" t="str">
        <f>IF(A924="","", SUMIFS($H$2:$H$2000, $A$2:$A$2000, A924))</f>
        <v/>
      </c>
      <c r="U924" t="str">
        <f t="shared" si="162"/>
        <v/>
      </c>
      <c r="V924" t="str">
        <f t="shared" si="163"/>
        <v/>
      </c>
      <c r="W924" t="str">
        <f t="shared" si="164"/>
        <v/>
      </c>
    </row>
    <row r="925" spans="1:23" x14ac:dyDescent="0.2">
      <c r="A925" s="4" t="str">
        <f>IF(ポートフォリオ実績!A926="","", ポートフォリオ実績!A926)</f>
        <v/>
      </c>
      <c r="B925" t="str">
        <f>IF(ポートフォリオ実績!B926="","", ポートフォリオ実績!B926)</f>
        <v/>
      </c>
      <c r="C925" s="10" t="str">
        <f>IF(ポートフォリオ実績!C926="","", ポートフォリオ実績!C926)</f>
        <v/>
      </c>
      <c r="D925" s="10" t="str">
        <f>IF(ポートフォリオ実績!D926="","", ポートフォリオ実績!D926)</f>
        <v/>
      </c>
      <c r="E925" s="10" t="str">
        <f>IF(ポートフォリオ実績!E926="","", ポートフォリオ実績!E926)</f>
        <v/>
      </c>
      <c r="F925" s="10" t="str">
        <f>IF(ポートフォリオ実績!F926="","", ポートフォリオ実績!F926)</f>
        <v/>
      </c>
      <c r="G925" t="str">
        <f t="shared" si="154"/>
        <v/>
      </c>
      <c r="H925">
        <f>IF(B925&lt;&gt;"", SUMIFS(ポートフォリオ実績!$D$2:$D$2001, ポートフォリオ実績!$B$2:$B$2001, B925, ポートフォリオ実績!$A$2:$A$2001, G925), 0)</f>
        <v>0</v>
      </c>
      <c r="I925">
        <f>IF(B925&lt;&gt;"", SUMIFS(ポートフォリオ実績!$C$2:$C$2001, ポートフォリオ実績!$B$2:$B$2001, B925, ポートフォリオ実績!$A$2:$A$2001, G925), 0)</f>
        <v>0</v>
      </c>
      <c r="J925">
        <f t="shared" si="155"/>
        <v>0</v>
      </c>
      <c r="K925">
        <f t="shared" si="156"/>
        <v>0</v>
      </c>
      <c r="L925">
        <f t="shared" si="157"/>
        <v>0</v>
      </c>
      <c r="M925">
        <f t="shared" si="158"/>
        <v>0</v>
      </c>
      <c r="N925">
        <f t="shared" si="159"/>
        <v>0</v>
      </c>
      <c r="O925">
        <f t="shared" si="160"/>
        <v>0</v>
      </c>
      <c r="P925" t="str">
        <f t="shared" si="161"/>
        <v/>
      </c>
      <c r="Q925" t="str">
        <f>IF(B925="","", IFERROR(VLOOKUP(B925, '基準資産配分（設定）'!$A$2:$C$2001, 3, FALSE), ""))</f>
        <v/>
      </c>
      <c r="R925" t="str">
        <f>IF(B925="","", IFERROR(VLOOKUP(B925, '基準資産配分（設定）'!$A$2:$C$2001, 2, FALSE)/100, 0))</f>
        <v/>
      </c>
      <c r="S925" t="str">
        <f>IF(B925="","", IFERROR(SUMIFS(ベンチマークリターン!$C$2:$C$2001, ベンチマークリターン!$A$2:$A$2001, A925, ベンチマークリターン!$B$2:$B$2001, Q925) / 100, 0))</f>
        <v/>
      </c>
      <c r="T925" t="str">
        <f>IF(A925="","", SUMIFS($H$2:$H$2000, $A$2:$A$2000, A925))</f>
        <v/>
      </c>
      <c r="U925" t="str">
        <f t="shared" si="162"/>
        <v/>
      </c>
      <c r="V925" t="str">
        <f t="shared" si="163"/>
        <v/>
      </c>
      <c r="W925" t="str">
        <f t="shared" si="164"/>
        <v/>
      </c>
    </row>
    <row r="926" spans="1:23" x14ac:dyDescent="0.2">
      <c r="A926" s="4" t="str">
        <f>IF(ポートフォリオ実績!A927="","", ポートフォリオ実績!A927)</f>
        <v/>
      </c>
      <c r="B926" t="str">
        <f>IF(ポートフォリオ実績!B927="","", ポートフォリオ実績!B927)</f>
        <v/>
      </c>
      <c r="C926" s="10" t="str">
        <f>IF(ポートフォリオ実績!C927="","", ポートフォリオ実績!C927)</f>
        <v/>
      </c>
      <c r="D926" s="10" t="str">
        <f>IF(ポートフォリオ実績!D927="","", ポートフォリオ実績!D927)</f>
        <v/>
      </c>
      <c r="E926" s="10" t="str">
        <f>IF(ポートフォリオ実績!E927="","", ポートフォリオ実績!E927)</f>
        <v/>
      </c>
      <c r="F926" s="10" t="str">
        <f>IF(ポートフォリオ実績!F927="","", ポートフォリオ実績!F927)</f>
        <v/>
      </c>
      <c r="G926" t="str">
        <f t="shared" si="154"/>
        <v/>
      </c>
      <c r="H926">
        <f>IF(B926&lt;&gt;"", SUMIFS(ポートフォリオ実績!$D$2:$D$2001, ポートフォリオ実績!$B$2:$B$2001, B926, ポートフォリオ実績!$A$2:$A$2001, G926), 0)</f>
        <v>0</v>
      </c>
      <c r="I926">
        <f>IF(B926&lt;&gt;"", SUMIFS(ポートフォリオ実績!$C$2:$C$2001, ポートフォリオ実績!$B$2:$B$2001, B926, ポートフォリオ実績!$A$2:$A$2001, G926), 0)</f>
        <v>0</v>
      </c>
      <c r="J926">
        <f t="shared" si="155"/>
        <v>0</v>
      </c>
      <c r="K926">
        <f t="shared" si="156"/>
        <v>0</v>
      </c>
      <c r="L926">
        <f t="shared" si="157"/>
        <v>0</v>
      </c>
      <c r="M926">
        <f t="shared" si="158"/>
        <v>0</v>
      </c>
      <c r="N926">
        <f t="shared" si="159"/>
        <v>0</v>
      </c>
      <c r="O926">
        <f t="shared" si="160"/>
        <v>0</v>
      </c>
      <c r="P926" t="str">
        <f t="shared" si="161"/>
        <v/>
      </c>
      <c r="Q926" t="str">
        <f>IF(B926="","", IFERROR(VLOOKUP(B926, '基準資産配分（設定）'!$A$2:$C$2001, 3, FALSE), ""))</f>
        <v/>
      </c>
      <c r="R926" t="str">
        <f>IF(B926="","", IFERROR(VLOOKUP(B926, '基準資産配分（設定）'!$A$2:$C$2001, 2, FALSE)/100, 0))</f>
        <v/>
      </c>
      <c r="S926" t="str">
        <f>IF(B926="","", IFERROR(SUMIFS(ベンチマークリターン!$C$2:$C$2001, ベンチマークリターン!$A$2:$A$2001, A926, ベンチマークリターン!$B$2:$B$2001, Q926) / 100, 0))</f>
        <v/>
      </c>
      <c r="T926" t="str">
        <f>IF(A926="","", SUMIFS($H$2:$H$2000, $A$2:$A$2000, A926))</f>
        <v/>
      </c>
      <c r="U926" t="str">
        <f t="shared" si="162"/>
        <v/>
      </c>
      <c r="V926" t="str">
        <f t="shared" si="163"/>
        <v/>
      </c>
      <c r="W926" t="str">
        <f t="shared" si="164"/>
        <v/>
      </c>
    </row>
    <row r="927" spans="1:23" x14ac:dyDescent="0.2">
      <c r="A927" s="4" t="str">
        <f>IF(ポートフォリオ実績!A928="","", ポートフォリオ実績!A928)</f>
        <v/>
      </c>
      <c r="B927" t="str">
        <f>IF(ポートフォリオ実績!B928="","", ポートフォリオ実績!B928)</f>
        <v/>
      </c>
      <c r="C927" s="10" t="str">
        <f>IF(ポートフォリオ実績!C928="","", ポートフォリオ実績!C928)</f>
        <v/>
      </c>
      <c r="D927" s="10" t="str">
        <f>IF(ポートフォリオ実績!D928="","", ポートフォリオ実績!D928)</f>
        <v/>
      </c>
      <c r="E927" s="10" t="str">
        <f>IF(ポートフォリオ実績!E928="","", ポートフォリオ実績!E928)</f>
        <v/>
      </c>
      <c r="F927" s="10" t="str">
        <f>IF(ポートフォリオ実績!F928="","", ポートフォリオ実績!F928)</f>
        <v/>
      </c>
      <c r="G927" t="str">
        <f t="shared" si="154"/>
        <v/>
      </c>
      <c r="H927">
        <f>IF(B927&lt;&gt;"", SUMIFS(ポートフォリオ実績!$D$2:$D$2001, ポートフォリオ実績!$B$2:$B$2001, B927, ポートフォリオ実績!$A$2:$A$2001, G927), 0)</f>
        <v>0</v>
      </c>
      <c r="I927">
        <f>IF(B927&lt;&gt;"", SUMIFS(ポートフォリオ実績!$C$2:$C$2001, ポートフォリオ実績!$B$2:$B$2001, B927, ポートフォリオ実績!$A$2:$A$2001, G927), 0)</f>
        <v>0</v>
      </c>
      <c r="J927">
        <f t="shared" si="155"/>
        <v>0</v>
      </c>
      <c r="K927">
        <f t="shared" si="156"/>
        <v>0</v>
      </c>
      <c r="L927">
        <f t="shared" si="157"/>
        <v>0</v>
      </c>
      <c r="M927">
        <f t="shared" si="158"/>
        <v>0</v>
      </c>
      <c r="N927">
        <f t="shared" si="159"/>
        <v>0</v>
      </c>
      <c r="O927">
        <f t="shared" si="160"/>
        <v>0</v>
      </c>
      <c r="P927" t="str">
        <f t="shared" si="161"/>
        <v/>
      </c>
      <c r="Q927" t="str">
        <f>IF(B927="","", IFERROR(VLOOKUP(B927, '基準資産配分（設定）'!$A$2:$C$2001, 3, FALSE), ""))</f>
        <v/>
      </c>
      <c r="R927" t="str">
        <f>IF(B927="","", IFERROR(VLOOKUP(B927, '基準資産配分（設定）'!$A$2:$C$2001, 2, FALSE)/100, 0))</f>
        <v/>
      </c>
      <c r="S927" t="str">
        <f>IF(B927="","", IFERROR(SUMIFS(ベンチマークリターン!$C$2:$C$2001, ベンチマークリターン!$A$2:$A$2001, A927, ベンチマークリターン!$B$2:$B$2001, Q927) / 100, 0))</f>
        <v/>
      </c>
      <c r="T927" t="str">
        <f>IF(A927="","", SUMIFS($H$2:$H$2000, $A$2:$A$2000, A927))</f>
        <v/>
      </c>
      <c r="U927" t="str">
        <f t="shared" si="162"/>
        <v/>
      </c>
      <c r="V927" t="str">
        <f t="shared" si="163"/>
        <v/>
      </c>
      <c r="W927" t="str">
        <f t="shared" si="164"/>
        <v/>
      </c>
    </row>
    <row r="928" spans="1:23" x14ac:dyDescent="0.2">
      <c r="A928" s="4" t="str">
        <f>IF(ポートフォリオ実績!A929="","", ポートフォリオ実績!A929)</f>
        <v/>
      </c>
      <c r="B928" t="str">
        <f>IF(ポートフォリオ実績!B929="","", ポートフォリオ実績!B929)</f>
        <v/>
      </c>
      <c r="C928" s="10" t="str">
        <f>IF(ポートフォリオ実績!C929="","", ポートフォリオ実績!C929)</f>
        <v/>
      </c>
      <c r="D928" s="10" t="str">
        <f>IF(ポートフォリオ実績!D929="","", ポートフォリオ実績!D929)</f>
        <v/>
      </c>
      <c r="E928" s="10" t="str">
        <f>IF(ポートフォリオ実績!E929="","", ポートフォリオ実績!E929)</f>
        <v/>
      </c>
      <c r="F928" s="10" t="str">
        <f>IF(ポートフォリオ実績!F929="","", ポートフォリオ実績!F929)</f>
        <v/>
      </c>
      <c r="G928" t="str">
        <f t="shared" si="154"/>
        <v/>
      </c>
      <c r="H928">
        <f>IF(B928&lt;&gt;"", SUMIFS(ポートフォリオ実績!$D$2:$D$2001, ポートフォリオ実績!$B$2:$B$2001, B928, ポートフォリオ実績!$A$2:$A$2001, G928), 0)</f>
        <v>0</v>
      </c>
      <c r="I928">
        <f>IF(B928&lt;&gt;"", SUMIFS(ポートフォリオ実績!$C$2:$C$2001, ポートフォリオ実績!$B$2:$B$2001, B928, ポートフォリオ実績!$A$2:$A$2001, G928), 0)</f>
        <v>0</v>
      </c>
      <c r="J928">
        <f t="shared" si="155"/>
        <v>0</v>
      </c>
      <c r="K928">
        <f t="shared" si="156"/>
        <v>0</v>
      </c>
      <c r="L928">
        <f t="shared" si="157"/>
        <v>0</v>
      </c>
      <c r="M928">
        <f t="shared" si="158"/>
        <v>0</v>
      </c>
      <c r="N928">
        <f t="shared" si="159"/>
        <v>0</v>
      </c>
      <c r="O928">
        <f t="shared" si="160"/>
        <v>0</v>
      </c>
      <c r="P928" t="str">
        <f t="shared" si="161"/>
        <v/>
      </c>
      <c r="Q928" t="str">
        <f>IF(B928="","", IFERROR(VLOOKUP(B928, '基準資産配分（設定）'!$A$2:$C$2001, 3, FALSE), ""))</f>
        <v/>
      </c>
      <c r="R928" t="str">
        <f>IF(B928="","", IFERROR(VLOOKUP(B928, '基準資産配分（設定）'!$A$2:$C$2001, 2, FALSE)/100, 0))</f>
        <v/>
      </c>
      <c r="S928" t="str">
        <f>IF(B928="","", IFERROR(SUMIFS(ベンチマークリターン!$C$2:$C$2001, ベンチマークリターン!$A$2:$A$2001, A928, ベンチマークリターン!$B$2:$B$2001, Q928) / 100, 0))</f>
        <v/>
      </c>
      <c r="T928" t="str">
        <f>IF(A928="","", SUMIFS($H$2:$H$2000, $A$2:$A$2000, A928))</f>
        <v/>
      </c>
      <c r="U928" t="str">
        <f t="shared" si="162"/>
        <v/>
      </c>
      <c r="V928" t="str">
        <f t="shared" si="163"/>
        <v/>
      </c>
      <c r="W928" t="str">
        <f t="shared" si="164"/>
        <v/>
      </c>
    </row>
    <row r="929" spans="1:23" x14ac:dyDescent="0.2">
      <c r="A929" s="4" t="str">
        <f>IF(ポートフォリオ実績!A930="","", ポートフォリオ実績!A930)</f>
        <v/>
      </c>
      <c r="B929" t="str">
        <f>IF(ポートフォリオ実績!B930="","", ポートフォリオ実績!B930)</f>
        <v/>
      </c>
      <c r="C929" s="10" t="str">
        <f>IF(ポートフォリオ実績!C930="","", ポートフォリオ実績!C930)</f>
        <v/>
      </c>
      <c r="D929" s="10" t="str">
        <f>IF(ポートフォリオ実績!D930="","", ポートフォリオ実績!D930)</f>
        <v/>
      </c>
      <c r="E929" s="10" t="str">
        <f>IF(ポートフォリオ実績!E930="","", ポートフォリオ実績!E930)</f>
        <v/>
      </c>
      <c r="F929" s="10" t="str">
        <f>IF(ポートフォリオ実績!F930="","", ポートフォリオ実績!F930)</f>
        <v/>
      </c>
      <c r="G929" t="str">
        <f t="shared" si="154"/>
        <v/>
      </c>
      <c r="H929">
        <f>IF(B929&lt;&gt;"", SUMIFS(ポートフォリオ実績!$D$2:$D$2001, ポートフォリオ実績!$B$2:$B$2001, B929, ポートフォリオ実績!$A$2:$A$2001, G929), 0)</f>
        <v>0</v>
      </c>
      <c r="I929">
        <f>IF(B929&lt;&gt;"", SUMIFS(ポートフォリオ実績!$C$2:$C$2001, ポートフォリオ実績!$B$2:$B$2001, B929, ポートフォリオ実績!$A$2:$A$2001, G929), 0)</f>
        <v>0</v>
      </c>
      <c r="J929">
        <f t="shared" si="155"/>
        <v>0</v>
      </c>
      <c r="K929">
        <f t="shared" si="156"/>
        <v>0</v>
      </c>
      <c r="L929">
        <f t="shared" si="157"/>
        <v>0</v>
      </c>
      <c r="M929">
        <f t="shared" si="158"/>
        <v>0</v>
      </c>
      <c r="N929">
        <f t="shared" si="159"/>
        <v>0</v>
      </c>
      <c r="O929">
        <f t="shared" si="160"/>
        <v>0</v>
      </c>
      <c r="P929" t="str">
        <f t="shared" si="161"/>
        <v/>
      </c>
      <c r="Q929" t="str">
        <f>IF(B929="","", IFERROR(VLOOKUP(B929, '基準資産配分（設定）'!$A$2:$C$2001, 3, FALSE), ""))</f>
        <v/>
      </c>
      <c r="R929" t="str">
        <f>IF(B929="","", IFERROR(VLOOKUP(B929, '基準資産配分（設定）'!$A$2:$C$2001, 2, FALSE)/100, 0))</f>
        <v/>
      </c>
      <c r="S929" t="str">
        <f>IF(B929="","", IFERROR(SUMIFS(ベンチマークリターン!$C$2:$C$2001, ベンチマークリターン!$A$2:$A$2001, A929, ベンチマークリターン!$B$2:$B$2001, Q929) / 100, 0))</f>
        <v/>
      </c>
      <c r="T929" t="str">
        <f>IF(A929="","", SUMIFS($H$2:$H$2000, $A$2:$A$2000, A929))</f>
        <v/>
      </c>
      <c r="U929" t="str">
        <f t="shared" si="162"/>
        <v/>
      </c>
      <c r="V929" t="str">
        <f t="shared" si="163"/>
        <v/>
      </c>
      <c r="W929" t="str">
        <f t="shared" si="164"/>
        <v/>
      </c>
    </row>
    <row r="930" spans="1:23" x14ac:dyDescent="0.2">
      <c r="A930" s="4" t="str">
        <f>IF(ポートフォリオ実績!A931="","", ポートフォリオ実績!A931)</f>
        <v/>
      </c>
      <c r="B930" t="str">
        <f>IF(ポートフォリオ実績!B931="","", ポートフォリオ実績!B931)</f>
        <v/>
      </c>
      <c r="C930" s="10" t="str">
        <f>IF(ポートフォリオ実績!C931="","", ポートフォリオ実績!C931)</f>
        <v/>
      </c>
      <c r="D930" s="10" t="str">
        <f>IF(ポートフォリオ実績!D931="","", ポートフォリオ実績!D931)</f>
        <v/>
      </c>
      <c r="E930" s="10" t="str">
        <f>IF(ポートフォリオ実績!E931="","", ポートフォリオ実績!E931)</f>
        <v/>
      </c>
      <c r="F930" s="10" t="str">
        <f>IF(ポートフォリオ実績!F931="","", ポートフォリオ実績!F931)</f>
        <v/>
      </c>
      <c r="G930" t="str">
        <f t="shared" si="154"/>
        <v/>
      </c>
      <c r="H930">
        <f>IF(B930&lt;&gt;"", SUMIFS(ポートフォリオ実績!$D$2:$D$2001, ポートフォリオ実績!$B$2:$B$2001, B930, ポートフォリオ実績!$A$2:$A$2001, G930), 0)</f>
        <v>0</v>
      </c>
      <c r="I930">
        <f>IF(B930&lt;&gt;"", SUMIFS(ポートフォリオ実績!$C$2:$C$2001, ポートフォリオ実績!$B$2:$B$2001, B930, ポートフォリオ実績!$A$2:$A$2001, G930), 0)</f>
        <v>0</v>
      </c>
      <c r="J930">
        <f t="shared" si="155"/>
        <v>0</v>
      </c>
      <c r="K930">
        <f t="shared" si="156"/>
        <v>0</v>
      </c>
      <c r="L930">
        <f t="shared" si="157"/>
        <v>0</v>
      </c>
      <c r="M930">
        <f t="shared" si="158"/>
        <v>0</v>
      </c>
      <c r="N930">
        <f t="shared" si="159"/>
        <v>0</v>
      </c>
      <c r="O930">
        <f t="shared" si="160"/>
        <v>0</v>
      </c>
      <c r="P930" t="str">
        <f t="shared" si="161"/>
        <v/>
      </c>
      <c r="Q930" t="str">
        <f>IF(B930="","", IFERROR(VLOOKUP(B930, '基準資産配分（設定）'!$A$2:$C$2001, 3, FALSE), ""))</f>
        <v/>
      </c>
      <c r="R930" t="str">
        <f>IF(B930="","", IFERROR(VLOOKUP(B930, '基準資産配分（設定）'!$A$2:$C$2001, 2, FALSE)/100, 0))</f>
        <v/>
      </c>
      <c r="S930" t="str">
        <f>IF(B930="","", IFERROR(SUMIFS(ベンチマークリターン!$C$2:$C$2001, ベンチマークリターン!$A$2:$A$2001, A930, ベンチマークリターン!$B$2:$B$2001, Q930) / 100, 0))</f>
        <v/>
      </c>
      <c r="T930" t="str">
        <f>IF(A930="","", SUMIFS($H$2:$H$2000, $A$2:$A$2000, A930))</f>
        <v/>
      </c>
      <c r="U930" t="str">
        <f t="shared" si="162"/>
        <v/>
      </c>
      <c r="V930" t="str">
        <f t="shared" si="163"/>
        <v/>
      </c>
      <c r="W930" t="str">
        <f t="shared" si="164"/>
        <v/>
      </c>
    </row>
    <row r="931" spans="1:23" x14ac:dyDescent="0.2">
      <c r="A931" s="4" t="str">
        <f>IF(ポートフォリオ実績!A932="","", ポートフォリオ実績!A932)</f>
        <v/>
      </c>
      <c r="B931" t="str">
        <f>IF(ポートフォリオ実績!B932="","", ポートフォリオ実績!B932)</f>
        <v/>
      </c>
      <c r="C931" s="10" t="str">
        <f>IF(ポートフォリオ実績!C932="","", ポートフォリオ実績!C932)</f>
        <v/>
      </c>
      <c r="D931" s="10" t="str">
        <f>IF(ポートフォリオ実績!D932="","", ポートフォリオ実績!D932)</f>
        <v/>
      </c>
      <c r="E931" s="10" t="str">
        <f>IF(ポートフォリオ実績!E932="","", ポートフォリオ実績!E932)</f>
        <v/>
      </c>
      <c r="F931" s="10" t="str">
        <f>IF(ポートフォリオ実績!F932="","", ポートフォリオ実績!F932)</f>
        <v/>
      </c>
      <c r="G931" t="str">
        <f t="shared" si="154"/>
        <v/>
      </c>
      <c r="H931">
        <f>IF(B931&lt;&gt;"", SUMIFS(ポートフォリオ実績!$D$2:$D$2001, ポートフォリオ実績!$B$2:$B$2001, B931, ポートフォリオ実績!$A$2:$A$2001, G931), 0)</f>
        <v>0</v>
      </c>
      <c r="I931">
        <f>IF(B931&lt;&gt;"", SUMIFS(ポートフォリオ実績!$C$2:$C$2001, ポートフォリオ実績!$B$2:$B$2001, B931, ポートフォリオ実績!$A$2:$A$2001, G931), 0)</f>
        <v>0</v>
      </c>
      <c r="J931">
        <f t="shared" si="155"/>
        <v>0</v>
      </c>
      <c r="K931">
        <f t="shared" si="156"/>
        <v>0</v>
      </c>
      <c r="L931">
        <f t="shared" si="157"/>
        <v>0</v>
      </c>
      <c r="M931">
        <f t="shared" si="158"/>
        <v>0</v>
      </c>
      <c r="N931">
        <f t="shared" si="159"/>
        <v>0</v>
      </c>
      <c r="O931">
        <f t="shared" si="160"/>
        <v>0</v>
      </c>
      <c r="P931" t="str">
        <f t="shared" si="161"/>
        <v/>
      </c>
      <c r="Q931" t="str">
        <f>IF(B931="","", IFERROR(VLOOKUP(B931, '基準資産配分（設定）'!$A$2:$C$2001, 3, FALSE), ""))</f>
        <v/>
      </c>
      <c r="R931" t="str">
        <f>IF(B931="","", IFERROR(VLOOKUP(B931, '基準資産配分（設定）'!$A$2:$C$2001, 2, FALSE)/100, 0))</f>
        <v/>
      </c>
      <c r="S931" t="str">
        <f>IF(B931="","", IFERROR(SUMIFS(ベンチマークリターン!$C$2:$C$2001, ベンチマークリターン!$A$2:$A$2001, A931, ベンチマークリターン!$B$2:$B$2001, Q931) / 100, 0))</f>
        <v/>
      </c>
      <c r="T931" t="str">
        <f>IF(A931="","", SUMIFS($H$2:$H$2000, $A$2:$A$2000, A931))</f>
        <v/>
      </c>
      <c r="U931" t="str">
        <f t="shared" si="162"/>
        <v/>
      </c>
      <c r="V931" t="str">
        <f t="shared" si="163"/>
        <v/>
      </c>
      <c r="W931" t="str">
        <f t="shared" si="164"/>
        <v/>
      </c>
    </row>
    <row r="932" spans="1:23" x14ac:dyDescent="0.2">
      <c r="A932" s="4" t="str">
        <f>IF(ポートフォリオ実績!A933="","", ポートフォリオ実績!A933)</f>
        <v/>
      </c>
      <c r="B932" t="str">
        <f>IF(ポートフォリオ実績!B933="","", ポートフォリオ実績!B933)</f>
        <v/>
      </c>
      <c r="C932" s="10" t="str">
        <f>IF(ポートフォリオ実績!C933="","", ポートフォリオ実績!C933)</f>
        <v/>
      </c>
      <c r="D932" s="10" t="str">
        <f>IF(ポートフォリオ実績!D933="","", ポートフォリオ実績!D933)</f>
        <v/>
      </c>
      <c r="E932" s="10" t="str">
        <f>IF(ポートフォリオ実績!E933="","", ポートフォリオ実績!E933)</f>
        <v/>
      </c>
      <c r="F932" s="10" t="str">
        <f>IF(ポートフォリオ実績!F933="","", ポートフォリオ実績!F933)</f>
        <v/>
      </c>
      <c r="G932" t="str">
        <f t="shared" si="154"/>
        <v/>
      </c>
      <c r="H932">
        <f>IF(B932&lt;&gt;"", SUMIFS(ポートフォリオ実績!$D$2:$D$2001, ポートフォリオ実績!$B$2:$B$2001, B932, ポートフォリオ実績!$A$2:$A$2001, G932), 0)</f>
        <v>0</v>
      </c>
      <c r="I932">
        <f>IF(B932&lt;&gt;"", SUMIFS(ポートフォリオ実績!$C$2:$C$2001, ポートフォリオ実績!$B$2:$B$2001, B932, ポートフォリオ実績!$A$2:$A$2001, G932), 0)</f>
        <v>0</v>
      </c>
      <c r="J932">
        <f t="shared" si="155"/>
        <v>0</v>
      </c>
      <c r="K932">
        <f t="shared" si="156"/>
        <v>0</v>
      </c>
      <c r="L932">
        <f t="shared" si="157"/>
        <v>0</v>
      </c>
      <c r="M932">
        <f t="shared" si="158"/>
        <v>0</v>
      </c>
      <c r="N932">
        <f t="shared" si="159"/>
        <v>0</v>
      </c>
      <c r="O932">
        <f t="shared" si="160"/>
        <v>0</v>
      </c>
      <c r="P932" t="str">
        <f t="shared" si="161"/>
        <v/>
      </c>
      <c r="Q932" t="str">
        <f>IF(B932="","", IFERROR(VLOOKUP(B932, '基準資産配分（設定）'!$A$2:$C$2001, 3, FALSE), ""))</f>
        <v/>
      </c>
      <c r="R932" t="str">
        <f>IF(B932="","", IFERROR(VLOOKUP(B932, '基準資産配分（設定）'!$A$2:$C$2001, 2, FALSE)/100, 0))</f>
        <v/>
      </c>
      <c r="S932" t="str">
        <f>IF(B932="","", IFERROR(SUMIFS(ベンチマークリターン!$C$2:$C$2001, ベンチマークリターン!$A$2:$A$2001, A932, ベンチマークリターン!$B$2:$B$2001, Q932) / 100, 0))</f>
        <v/>
      </c>
      <c r="T932" t="str">
        <f>IF(A932="","", SUMIFS($H$2:$H$2000, $A$2:$A$2000, A932))</f>
        <v/>
      </c>
      <c r="U932" t="str">
        <f t="shared" si="162"/>
        <v/>
      </c>
      <c r="V932" t="str">
        <f t="shared" si="163"/>
        <v/>
      </c>
      <c r="W932" t="str">
        <f t="shared" si="164"/>
        <v/>
      </c>
    </row>
    <row r="933" spans="1:23" x14ac:dyDescent="0.2">
      <c r="A933" s="4" t="str">
        <f>IF(ポートフォリオ実績!A934="","", ポートフォリオ実績!A934)</f>
        <v/>
      </c>
      <c r="B933" t="str">
        <f>IF(ポートフォリオ実績!B934="","", ポートフォリオ実績!B934)</f>
        <v/>
      </c>
      <c r="C933" s="10" t="str">
        <f>IF(ポートフォリオ実績!C934="","", ポートフォリオ実績!C934)</f>
        <v/>
      </c>
      <c r="D933" s="10" t="str">
        <f>IF(ポートフォリオ実績!D934="","", ポートフォリオ実績!D934)</f>
        <v/>
      </c>
      <c r="E933" s="10" t="str">
        <f>IF(ポートフォリオ実績!E934="","", ポートフォリオ実績!E934)</f>
        <v/>
      </c>
      <c r="F933" s="10" t="str">
        <f>IF(ポートフォリオ実績!F934="","", ポートフォリオ実績!F934)</f>
        <v/>
      </c>
      <c r="G933" t="str">
        <f t="shared" si="154"/>
        <v/>
      </c>
      <c r="H933">
        <f>IF(B933&lt;&gt;"", SUMIFS(ポートフォリオ実績!$D$2:$D$2001, ポートフォリオ実績!$B$2:$B$2001, B933, ポートフォリオ実績!$A$2:$A$2001, G933), 0)</f>
        <v>0</v>
      </c>
      <c r="I933">
        <f>IF(B933&lt;&gt;"", SUMIFS(ポートフォリオ実績!$C$2:$C$2001, ポートフォリオ実績!$B$2:$B$2001, B933, ポートフォリオ実績!$A$2:$A$2001, G933), 0)</f>
        <v>0</v>
      </c>
      <c r="J933">
        <f t="shared" si="155"/>
        <v>0</v>
      </c>
      <c r="K933">
        <f t="shared" si="156"/>
        <v>0</v>
      </c>
      <c r="L933">
        <f t="shared" si="157"/>
        <v>0</v>
      </c>
      <c r="M933">
        <f t="shared" si="158"/>
        <v>0</v>
      </c>
      <c r="N933">
        <f t="shared" si="159"/>
        <v>0</v>
      </c>
      <c r="O933">
        <f t="shared" si="160"/>
        <v>0</v>
      </c>
      <c r="P933" t="str">
        <f t="shared" si="161"/>
        <v/>
      </c>
      <c r="Q933" t="str">
        <f>IF(B933="","", IFERROR(VLOOKUP(B933, '基準資産配分（設定）'!$A$2:$C$2001, 3, FALSE), ""))</f>
        <v/>
      </c>
      <c r="R933" t="str">
        <f>IF(B933="","", IFERROR(VLOOKUP(B933, '基準資産配分（設定）'!$A$2:$C$2001, 2, FALSE)/100, 0))</f>
        <v/>
      </c>
      <c r="S933" t="str">
        <f>IF(B933="","", IFERROR(SUMIFS(ベンチマークリターン!$C$2:$C$2001, ベンチマークリターン!$A$2:$A$2001, A933, ベンチマークリターン!$B$2:$B$2001, Q933) / 100, 0))</f>
        <v/>
      </c>
      <c r="T933" t="str">
        <f>IF(A933="","", SUMIFS($H$2:$H$2000, $A$2:$A$2000, A933))</f>
        <v/>
      </c>
      <c r="U933" t="str">
        <f t="shared" si="162"/>
        <v/>
      </c>
      <c r="V933" t="str">
        <f t="shared" si="163"/>
        <v/>
      </c>
      <c r="W933" t="str">
        <f t="shared" si="164"/>
        <v/>
      </c>
    </row>
    <row r="934" spans="1:23" x14ac:dyDescent="0.2">
      <c r="A934" s="4" t="str">
        <f>IF(ポートフォリオ実績!A935="","", ポートフォリオ実績!A935)</f>
        <v/>
      </c>
      <c r="B934" t="str">
        <f>IF(ポートフォリオ実績!B935="","", ポートフォリオ実績!B935)</f>
        <v/>
      </c>
      <c r="C934" s="10" t="str">
        <f>IF(ポートフォリオ実績!C935="","", ポートフォリオ実績!C935)</f>
        <v/>
      </c>
      <c r="D934" s="10" t="str">
        <f>IF(ポートフォリオ実績!D935="","", ポートフォリオ実績!D935)</f>
        <v/>
      </c>
      <c r="E934" s="10" t="str">
        <f>IF(ポートフォリオ実績!E935="","", ポートフォリオ実績!E935)</f>
        <v/>
      </c>
      <c r="F934" s="10" t="str">
        <f>IF(ポートフォリオ実績!F935="","", ポートフォリオ実績!F935)</f>
        <v/>
      </c>
      <c r="G934" t="str">
        <f t="shared" si="154"/>
        <v/>
      </c>
      <c r="H934">
        <f>IF(B934&lt;&gt;"", SUMIFS(ポートフォリオ実績!$D$2:$D$2001, ポートフォリオ実績!$B$2:$B$2001, B934, ポートフォリオ実績!$A$2:$A$2001, G934), 0)</f>
        <v>0</v>
      </c>
      <c r="I934">
        <f>IF(B934&lt;&gt;"", SUMIFS(ポートフォリオ実績!$C$2:$C$2001, ポートフォリオ実績!$B$2:$B$2001, B934, ポートフォリオ実績!$A$2:$A$2001, G934), 0)</f>
        <v>0</v>
      </c>
      <c r="J934">
        <f t="shared" si="155"/>
        <v>0</v>
      </c>
      <c r="K934">
        <f t="shared" si="156"/>
        <v>0</v>
      </c>
      <c r="L934">
        <f t="shared" si="157"/>
        <v>0</v>
      </c>
      <c r="M934">
        <f t="shared" si="158"/>
        <v>0</v>
      </c>
      <c r="N934">
        <f t="shared" si="159"/>
        <v>0</v>
      </c>
      <c r="O934">
        <f t="shared" si="160"/>
        <v>0</v>
      </c>
      <c r="P934" t="str">
        <f t="shared" si="161"/>
        <v/>
      </c>
      <c r="Q934" t="str">
        <f>IF(B934="","", IFERROR(VLOOKUP(B934, '基準資産配分（設定）'!$A$2:$C$2001, 3, FALSE), ""))</f>
        <v/>
      </c>
      <c r="R934" t="str">
        <f>IF(B934="","", IFERROR(VLOOKUP(B934, '基準資産配分（設定）'!$A$2:$C$2001, 2, FALSE)/100, 0))</f>
        <v/>
      </c>
      <c r="S934" t="str">
        <f>IF(B934="","", IFERROR(SUMIFS(ベンチマークリターン!$C$2:$C$2001, ベンチマークリターン!$A$2:$A$2001, A934, ベンチマークリターン!$B$2:$B$2001, Q934) / 100, 0))</f>
        <v/>
      </c>
      <c r="T934" t="str">
        <f>IF(A934="","", SUMIFS($H$2:$H$2000, $A$2:$A$2000, A934))</f>
        <v/>
      </c>
      <c r="U934" t="str">
        <f t="shared" si="162"/>
        <v/>
      </c>
      <c r="V934" t="str">
        <f t="shared" si="163"/>
        <v/>
      </c>
      <c r="W934" t="str">
        <f t="shared" si="164"/>
        <v/>
      </c>
    </row>
    <row r="935" spans="1:23" x14ac:dyDescent="0.2">
      <c r="A935" s="4" t="str">
        <f>IF(ポートフォリオ実績!A936="","", ポートフォリオ実績!A936)</f>
        <v/>
      </c>
      <c r="B935" t="str">
        <f>IF(ポートフォリオ実績!B936="","", ポートフォリオ実績!B936)</f>
        <v/>
      </c>
      <c r="C935" s="10" t="str">
        <f>IF(ポートフォリオ実績!C936="","", ポートフォリオ実績!C936)</f>
        <v/>
      </c>
      <c r="D935" s="10" t="str">
        <f>IF(ポートフォリオ実績!D936="","", ポートフォリオ実績!D936)</f>
        <v/>
      </c>
      <c r="E935" s="10" t="str">
        <f>IF(ポートフォリオ実績!E936="","", ポートフォリオ実績!E936)</f>
        <v/>
      </c>
      <c r="F935" s="10" t="str">
        <f>IF(ポートフォリオ実績!F936="","", ポートフォリオ実績!F936)</f>
        <v/>
      </c>
      <c r="G935" t="str">
        <f t="shared" si="154"/>
        <v/>
      </c>
      <c r="H935">
        <f>IF(B935&lt;&gt;"", SUMIFS(ポートフォリオ実績!$D$2:$D$2001, ポートフォリオ実績!$B$2:$B$2001, B935, ポートフォリオ実績!$A$2:$A$2001, G935), 0)</f>
        <v>0</v>
      </c>
      <c r="I935">
        <f>IF(B935&lt;&gt;"", SUMIFS(ポートフォリオ実績!$C$2:$C$2001, ポートフォリオ実績!$B$2:$B$2001, B935, ポートフォリオ実績!$A$2:$A$2001, G935), 0)</f>
        <v>0</v>
      </c>
      <c r="J935">
        <f t="shared" si="155"/>
        <v>0</v>
      </c>
      <c r="K935">
        <f t="shared" si="156"/>
        <v>0</v>
      </c>
      <c r="L935">
        <f t="shared" si="157"/>
        <v>0</v>
      </c>
      <c r="M935">
        <f t="shared" si="158"/>
        <v>0</v>
      </c>
      <c r="N935">
        <f t="shared" si="159"/>
        <v>0</v>
      </c>
      <c r="O935">
        <f t="shared" si="160"/>
        <v>0</v>
      </c>
      <c r="P935" t="str">
        <f t="shared" si="161"/>
        <v/>
      </c>
      <c r="Q935" t="str">
        <f>IF(B935="","", IFERROR(VLOOKUP(B935, '基準資産配分（設定）'!$A$2:$C$2001, 3, FALSE), ""))</f>
        <v/>
      </c>
      <c r="R935" t="str">
        <f>IF(B935="","", IFERROR(VLOOKUP(B935, '基準資産配分（設定）'!$A$2:$C$2001, 2, FALSE)/100, 0))</f>
        <v/>
      </c>
      <c r="S935" t="str">
        <f>IF(B935="","", IFERROR(SUMIFS(ベンチマークリターン!$C$2:$C$2001, ベンチマークリターン!$A$2:$A$2001, A935, ベンチマークリターン!$B$2:$B$2001, Q935) / 100, 0))</f>
        <v/>
      </c>
      <c r="T935" t="str">
        <f>IF(A935="","", SUMIFS($H$2:$H$2000, $A$2:$A$2000, A935))</f>
        <v/>
      </c>
      <c r="U935" t="str">
        <f t="shared" si="162"/>
        <v/>
      </c>
      <c r="V935" t="str">
        <f t="shared" si="163"/>
        <v/>
      </c>
      <c r="W935" t="str">
        <f t="shared" si="164"/>
        <v/>
      </c>
    </row>
    <row r="936" spans="1:23" x14ac:dyDescent="0.2">
      <c r="A936" s="4" t="str">
        <f>IF(ポートフォリオ実績!A937="","", ポートフォリオ実績!A937)</f>
        <v/>
      </c>
      <c r="B936" t="str">
        <f>IF(ポートフォリオ実績!B937="","", ポートフォリオ実績!B937)</f>
        <v/>
      </c>
      <c r="C936" s="10" t="str">
        <f>IF(ポートフォリオ実績!C937="","", ポートフォリオ実績!C937)</f>
        <v/>
      </c>
      <c r="D936" s="10" t="str">
        <f>IF(ポートフォリオ実績!D937="","", ポートフォリオ実績!D937)</f>
        <v/>
      </c>
      <c r="E936" s="10" t="str">
        <f>IF(ポートフォリオ実績!E937="","", ポートフォリオ実績!E937)</f>
        <v/>
      </c>
      <c r="F936" s="10" t="str">
        <f>IF(ポートフォリオ実績!F937="","", ポートフォリオ実績!F937)</f>
        <v/>
      </c>
      <c r="G936" t="str">
        <f t="shared" si="154"/>
        <v/>
      </c>
      <c r="H936">
        <f>IF(B936&lt;&gt;"", SUMIFS(ポートフォリオ実績!$D$2:$D$2001, ポートフォリオ実績!$B$2:$B$2001, B936, ポートフォリオ実績!$A$2:$A$2001, G936), 0)</f>
        <v>0</v>
      </c>
      <c r="I936">
        <f>IF(B936&lt;&gt;"", SUMIFS(ポートフォリオ実績!$C$2:$C$2001, ポートフォリオ実績!$B$2:$B$2001, B936, ポートフォリオ実績!$A$2:$A$2001, G936), 0)</f>
        <v>0</v>
      </c>
      <c r="J936">
        <f t="shared" si="155"/>
        <v>0</v>
      </c>
      <c r="K936">
        <f t="shared" si="156"/>
        <v>0</v>
      </c>
      <c r="L936">
        <f t="shared" si="157"/>
        <v>0</v>
      </c>
      <c r="M936">
        <f t="shared" si="158"/>
        <v>0</v>
      </c>
      <c r="N936">
        <f t="shared" si="159"/>
        <v>0</v>
      </c>
      <c r="O936">
        <f t="shared" si="160"/>
        <v>0</v>
      </c>
      <c r="P936" t="str">
        <f t="shared" si="161"/>
        <v/>
      </c>
      <c r="Q936" t="str">
        <f>IF(B936="","", IFERROR(VLOOKUP(B936, '基準資産配分（設定）'!$A$2:$C$2001, 3, FALSE), ""))</f>
        <v/>
      </c>
      <c r="R936" t="str">
        <f>IF(B936="","", IFERROR(VLOOKUP(B936, '基準資産配分（設定）'!$A$2:$C$2001, 2, FALSE)/100, 0))</f>
        <v/>
      </c>
      <c r="S936" t="str">
        <f>IF(B936="","", IFERROR(SUMIFS(ベンチマークリターン!$C$2:$C$2001, ベンチマークリターン!$A$2:$A$2001, A936, ベンチマークリターン!$B$2:$B$2001, Q936) / 100, 0))</f>
        <v/>
      </c>
      <c r="T936" t="str">
        <f>IF(A936="","", SUMIFS($H$2:$H$2000, $A$2:$A$2000, A936))</f>
        <v/>
      </c>
      <c r="U936" t="str">
        <f t="shared" si="162"/>
        <v/>
      </c>
      <c r="V936" t="str">
        <f t="shared" si="163"/>
        <v/>
      </c>
      <c r="W936" t="str">
        <f t="shared" si="164"/>
        <v/>
      </c>
    </row>
    <row r="937" spans="1:23" x14ac:dyDescent="0.2">
      <c r="A937" s="4" t="str">
        <f>IF(ポートフォリオ実績!A938="","", ポートフォリオ実績!A938)</f>
        <v/>
      </c>
      <c r="B937" t="str">
        <f>IF(ポートフォリオ実績!B938="","", ポートフォリオ実績!B938)</f>
        <v/>
      </c>
      <c r="C937" s="10" t="str">
        <f>IF(ポートフォリオ実績!C938="","", ポートフォリオ実績!C938)</f>
        <v/>
      </c>
      <c r="D937" s="10" t="str">
        <f>IF(ポートフォリオ実績!D938="","", ポートフォリオ実績!D938)</f>
        <v/>
      </c>
      <c r="E937" s="10" t="str">
        <f>IF(ポートフォリオ実績!E938="","", ポートフォリオ実績!E938)</f>
        <v/>
      </c>
      <c r="F937" s="10" t="str">
        <f>IF(ポートフォリオ実績!F938="","", ポートフォリオ実績!F938)</f>
        <v/>
      </c>
      <c r="G937" t="str">
        <f t="shared" si="154"/>
        <v/>
      </c>
      <c r="H937">
        <f>IF(B937&lt;&gt;"", SUMIFS(ポートフォリオ実績!$D$2:$D$2001, ポートフォリオ実績!$B$2:$B$2001, B937, ポートフォリオ実績!$A$2:$A$2001, G937), 0)</f>
        <v>0</v>
      </c>
      <c r="I937">
        <f>IF(B937&lt;&gt;"", SUMIFS(ポートフォリオ実績!$C$2:$C$2001, ポートフォリオ実績!$B$2:$B$2001, B937, ポートフォリオ実績!$A$2:$A$2001, G937), 0)</f>
        <v>0</v>
      </c>
      <c r="J937">
        <f t="shared" si="155"/>
        <v>0</v>
      </c>
      <c r="K937">
        <f t="shared" si="156"/>
        <v>0</v>
      </c>
      <c r="L937">
        <f t="shared" si="157"/>
        <v>0</v>
      </c>
      <c r="M937">
        <f t="shared" si="158"/>
        <v>0</v>
      </c>
      <c r="N937">
        <f t="shared" si="159"/>
        <v>0</v>
      </c>
      <c r="O937">
        <f t="shared" si="160"/>
        <v>0</v>
      </c>
      <c r="P937" t="str">
        <f t="shared" si="161"/>
        <v/>
      </c>
      <c r="Q937" t="str">
        <f>IF(B937="","", IFERROR(VLOOKUP(B937, '基準資産配分（設定）'!$A$2:$C$2001, 3, FALSE), ""))</f>
        <v/>
      </c>
      <c r="R937" t="str">
        <f>IF(B937="","", IFERROR(VLOOKUP(B937, '基準資産配分（設定）'!$A$2:$C$2001, 2, FALSE)/100, 0))</f>
        <v/>
      </c>
      <c r="S937" t="str">
        <f>IF(B937="","", IFERROR(SUMIFS(ベンチマークリターン!$C$2:$C$2001, ベンチマークリターン!$A$2:$A$2001, A937, ベンチマークリターン!$B$2:$B$2001, Q937) / 100, 0))</f>
        <v/>
      </c>
      <c r="T937" t="str">
        <f>IF(A937="","", SUMIFS($H$2:$H$2000, $A$2:$A$2000, A937))</f>
        <v/>
      </c>
      <c r="U937" t="str">
        <f t="shared" si="162"/>
        <v/>
      </c>
      <c r="V937" t="str">
        <f t="shared" si="163"/>
        <v/>
      </c>
      <c r="W937" t="str">
        <f t="shared" si="164"/>
        <v/>
      </c>
    </row>
    <row r="938" spans="1:23" x14ac:dyDescent="0.2">
      <c r="A938" s="4" t="str">
        <f>IF(ポートフォリオ実績!A939="","", ポートフォリオ実績!A939)</f>
        <v/>
      </c>
      <c r="B938" t="str">
        <f>IF(ポートフォリオ実績!B939="","", ポートフォリオ実績!B939)</f>
        <v/>
      </c>
      <c r="C938" s="10" t="str">
        <f>IF(ポートフォリオ実績!C939="","", ポートフォリオ実績!C939)</f>
        <v/>
      </c>
      <c r="D938" s="10" t="str">
        <f>IF(ポートフォリオ実績!D939="","", ポートフォリオ実績!D939)</f>
        <v/>
      </c>
      <c r="E938" s="10" t="str">
        <f>IF(ポートフォリオ実績!E939="","", ポートフォリオ実績!E939)</f>
        <v/>
      </c>
      <c r="F938" s="10" t="str">
        <f>IF(ポートフォリオ実績!F939="","", ポートフォリオ実績!F939)</f>
        <v/>
      </c>
      <c r="G938" t="str">
        <f t="shared" si="154"/>
        <v/>
      </c>
      <c r="H938">
        <f>IF(B938&lt;&gt;"", SUMIFS(ポートフォリオ実績!$D$2:$D$2001, ポートフォリオ実績!$B$2:$B$2001, B938, ポートフォリオ実績!$A$2:$A$2001, G938), 0)</f>
        <v>0</v>
      </c>
      <c r="I938">
        <f>IF(B938&lt;&gt;"", SUMIFS(ポートフォリオ実績!$C$2:$C$2001, ポートフォリオ実績!$B$2:$B$2001, B938, ポートフォリオ実績!$A$2:$A$2001, G938), 0)</f>
        <v>0</v>
      </c>
      <c r="J938">
        <f t="shared" si="155"/>
        <v>0</v>
      </c>
      <c r="K938">
        <f t="shared" si="156"/>
        <v>0</v>
      </c>
      <c r="L938">
        <f t="shared" si="157"/>
        <v>0</v>
      </c>
      <c r="M938">
        <f t="shared" si="158"/>
        <v>0</v>
      </c>
      <c r="N938">
        <f t="shared" si="159"/>
        <v>0</v>
      </c>
      <c r="O938">
        <f t="shared" si="160"/>
        <v>0</v>
      </c>
      <c r="P938" t="str">
        <f t="shared" si="161"/>
        <v/>
      </c>
      <c r="Q938" t="str">
        <f>IF(B938="","", IFERROR(VLOOKUP(B938, '基準資産配分（設定）'!$A$2:$C$2001, 3, FALSE), ""))</f>
        <v/>
      </c>
      <c r="R938" t="str">
        <f>IF(B938="","", IFERROR(VLOOKUP(B938, '基準資産配分（設定）'!$A$2:$C$2001, 2, FALSE)/100, 0))</f>
        <v/>
      </c>
      <c r="S938" t="str">
        <f>IF(B938="","", IFERROR(SUMIFS(ベンチマークリターン!$C$2:$C$2001, ベンチマークリターン!$A$2:$A$2001, A938, ベンチマークリターン!$B$2:$B$2001, Q938) / 100, 0))</f>
        <v/>
      </c>
      <c r="T938" t="str">
        <f>IF(A938="","", SUMIFS($H$2:$H$2000, $A$2:$A$2000, A938))</f>
        <v/>
      </c>
      <c r="U938" t="str">
        <f t="shared" si="162"/>
        <v/>
      </c>
      <c r="V938" t="str">
        <f t="shared" si="163"/>
        <v/>
      </c>
      <c r="W938" t="str">
        <f t="shared" si="164"/>
        <v/>
      </c>
    </row>
    <row r="939" spans="1:23" x14ac:dyDescent="0.2">
      <c r="A939" s="4" t="str">
        <f>IF(ポートフォリオ実績!A940="","", ポートフォリオ実績!A940)</f>
        <v/>
      </c>
      <c r="B939" t="str">
        <f>IF(ポートフォリオ実績!B940="","", ポートフォリオ実績!B940)</f>
        <v/>
      </c>
      <c r="C939" s="10" t="str">
        <f>IF(ポートフォリオ実績!C940="","", ポートフォリオ実績!C940)</f>
        <v/>
      </c>
      <c r="D939" s="10" t="str">
        <f>IF(ポートフォリオ実績!D940="","", ポートフォリオ実績!D940)</f>
        <v/>
      </c>
      <c r="E939" s="10" t="str">
        <f>IF(ポートフォリオ実績!E940="","", ポートフォリオ実績!E940)</f>
        <v/>
      </c>
      <c r="F939" s="10" t="str">
        <f>IF(ポートフォリオ実績!F940="","", ポートフォリオ実績!F940)</f>
        <v/>
      </c>
      <c r="G939" t="str">
        <f t="shared" si="154"/>
        <v/>
      </c>
      <c r="H939">
        <f>IF(B939&lt;&gt;"", SUMIFS(ポートフォリオ実績!$D$2:$D$2001, ポートフォリオ実績!$B$2:$B$2001, B939, ポートフォリオ実績!$A$2:$A$2001, G939), 0)</f>
        <v>0</v>
      </c>
      <c r="I939">
        <f>IF(B939&lt;&gt;"", SUMIFS(ポートフォリオ実績!$C$2:$C$2001, ポートフォリオ実績!$B$2:$B$2001, B939, ポートフォリオ実績!$A$2:$A$2001, G939), 0)</f>
        <v>0</v>
      </c>
      <c r="J939">
        <f t="shared" si="155"/>
        <v>0</v>
      </c>
      <c r="K939">
        <f t="shared" si="156"/>
        <v>0</v>
      </c>
      <c r="L939">
        <f t="shared" si="157"/>
        <v>0</v>
      </c>
      <c r="M939">
        <f t="shared" si="158"/>
        <v>0</v>
      </c>
      <c r="N939">
        <f t="shared" si="159"/>
        <v>0</v>
      </c>
      <c r="O939">
        <f t="shared" si="160"/>
        <v>0</v>
      </c>
      <c r="P939" t="str">
        <f t="shared" si="161"/>
        <v/>
      </c>
      <c r="Q939" t="str">
        <f>IF(B939="","", IFERROR(VLOOKUP(B939, '基準資産配分（設定）'!$A$2:$C$2001, 3, FALSE), ""))</f>
        <v/>
      </c>
      <c r="R939" t="str">
        <f>IF(B939="","", IFERROR(VLOOKUP(B939, '基準資産配分（設定）'!$A$2:$C$2001, 2, FALSE)/100, 0))</f>
        <v/>
      </c>
      <c r="S939" t="str">
        <f>IF(B939="","", IFERROR(SUMIFS(ベンチマークリターン!$C$2:$C$2001, ベンチマークリターン!$A$2:$A$2001, A939, ベンチマークリターン!$B$2:$B$2001, Q939) / 100, 0))</f>
        <v/>
      </c>
      <c r="T939" t="str">
        <f>IF(A939="","", SUMIFS($H$2:$H$2000, $A$2:$A$2000, A939))</f>
        <v/>
      </c>
      <c r="U939" t="str">
        <f t="shared" si="162"/>
        <v/>
      </c>
      <c r="V939" t="str">
        <f t="shared" si="163"/>
        <v/>
      </c>
      <c r="W939" t="str">
        <f t="shared" si="164"/>
        <v/>
      </c>
    </row>
    <row r="940" spans="1:23" x14ac:dyDescent="0.2">
      <c r="A940" s="4" t="str">
        <f>IF(ポートフォリオ実績!A941="","", ポートフォリオ実績!A941)</f>
        <v/>
      </c>
      <c r="B940" t="str">
        <f>IF(ポートフォリオ実績!B941="","", ポートフォリオ実績!B941)</f>
        <v/>
      </c>
      <c r="C940" s="10" t="str">
        <f>IF(ポートフォリオ実績!C941="","", ポートフォリオ実績!C941)</f>
        <v/>
      </c>
      <c r="D940" s="10" t="str">
        <f>IF(ポートフォリオ実績!D941="","", ポートフォリオ実績!D941)</f>
        <v/>
      </c>
      <c r="E940" s="10" t="str">
        <f>IF(ポートフォリオ実績!E941="","", ポートフォリオ実績!E941)</f>
        <v/>
      </c>
      <c r="F940" s="10" t="str">
        <f>IF(ポートフォリオ実績!F941="","", ポートフォリオ実績!F941)</f>
        <v/>
      </c>
      <c r="G940" t="str">
        <f t="shared" si="154"/>
        <v/>
      </c>
      <c r="H940">
        <f>IF(B940&lt;&gt;"", SUMIFS(ポートフォリオ実績!$D$2:$D$2001, ポートフォリオ実績!$B$2:$B$2001, B940, ポートフォリオ実績!$A$2:$A$2001, G940), 0)</f>
        <v>0</v>
      </c>
      <c r="I940">
        <f>IF(B940&lt;&gt;"", SUMIFS(ポートフォリオ実績!$C$2:$C$2001, ポートフォリオ実績!$B$2:$B$2001, B940, ポートフォリオ実績!$A$2:$A$2001, G940), 0)</f>
        <v>0</v>
      </c>
      <c r="J940">
        <f t="shared" si="155"/>
        <v>0</v>
      </c>
      <c r="K940">
        <f t="shared" si="156"/>
        <v>0</v>
      </c>
      <c r="L940">
        <f t="shared" si="157"/>
        <v>0</v>
      </c>
      <c r="M940">
        <f t="shared" si="158"/>
        <v>0</v>
      </c>
      <c r="N940">
        <f t="shared" si="159"/>
        <v>0</v>
      </c>
      <c r="O940">
        <f t="shared" si="160"/>
        <v>0</v>
      </c>
      <c r="P940" t="str">
        <f t="shared" si="161"/>
        <v/>
      </c>
      <c r="Q940" t="str">
        <f>IF(B940="","", IFERROR(VLOOKUP(B940, '基準資産配分（設定）'!$A$2:$C$2001, 3, FALSE), ""))</f>
        <v/>
      </c>
      <c r="R940" t="str">
        <f>IF(B940="","", IFERROR(VLOOKUP(B940, '基準資産配分（設定）'!$A$2:$C$2001, 2, FALSE)/100, 0))</f>
        <v/>
      </c>
      <c r="S940" t="str">
        <f>IF(B940="","", IFERROR(SUMIFS(ベンチマークリターン!$C$2:$C$2001, ベンチマークリターン!$A$2:$A$2001, A940, ベンチマークリターン!$B$2:$B$2001, Q940) / 100, 0))</f>
        <v/>
      </c>
      <c r="T940" t="str">
        <f>IF(A940="","", SUMIFS($H$2:$H$2000, $A$2:$A$2000, A940))</f>
        <v/>
      </c>
      <c r="U940" t="str">
        <f t="shared" si="162"/>
        <v/>
      </c>
      <c r="V940" t="str">
        <f t="shared" si="163"/>
        <v/>
      </c>
      <c r="W940" t="str">
        <f t="shared" si="164"/>
        <v/>
      </c>
    </row>
    <row r="941" spans="1:23" x14ac:dyDescent="0.2">
      <c r="A941" s="4" t="str">
        <f>IF(ポートフォリオ実績!A942="","", ポートフォリオ実績!A942)</f>
        <v/>
      </c>
      <c r="B941" t="str">
        <f>IF(ポートフォリオ実績!B942="","", ポートフォリオ実績!B942)</f>
        <v/>
      </c>
      <c r="C941" s="10" t="str">
        <f>IF(ポートフォリオ実績!C942="","", ポートフォリオ実績!C942)</f>
        <v/>
      </c>
      <c r="D941" s="10" t="str">
        <f>IF(ポートフォリオ実績!D942="","", ポートフォリオ実績!D942)</f>
        <v/>
      </c>
      <c r="E941" s="10" t="str">
        <f>IF(ポートフォリオ実績!E942="","", ポートフォリオ実績!E942)</f>
        <v/>
      </c>
      <c r="F941" s="10" t="str">
        <f>IF(ポートフォリオ実績!F942="","", ポートフォリオ実績!F942)</f>
        <v/>
      </c>
      <c r="G941" t="str">
        <f t="shared" si="154"/>
        <v/>
      </c>
      <c r="H941">
        <f>IF(B941&lt;&gt;"", SUMIFS(ポートフォリオ実績!$D$2:$D$2001, ポートフォリオ実績!$B$2:$B$2001, B941, ポートフォリオ実績!$A$2:$A$2001, G941), 0)</f>
        <v>0</v>
      </c>
      <c r="I941">
        <f>IF(B941&lt;&gt;"", SUMIFS(ポートフォリオ実績!$C$2:$C$2001, ポートフォリオ実績!$B$2:$B$2001, B941, ポートフォリオ実績!$A$2:$A$2001, G941), 0)</f>
        <v>0</v>
      </c>
      <c r="J941">
        <f t="shared" si="155"/>
        <v>0</v>
      </c>
      <c r="K941">
        <f t="shared" si="156"/>
        <v>0</v>
      </c>
      <c r="L941">
        <f t="shared" si="157"/>
        <v>0</v>
      </c>
      <c r="M941">
        <f t="shared" si="158"/>
        <v>0</v>
      </c>
      <c r="N941">
        <f t="shared" si="159"/>
        <v>0</v>
      </c>
      <c r="O941">
        <f t="shared" si="160"/>
        <v>0</v>
      </c>
      <c r="P941" t="str">
        <f t="shared" si="161"/>
        <v/>
      </c>
      <c r="Q941" t="str">
        <f>IF(B941="","", IFERROR(VLOOKUP(B941, '基準資産配分（設定）'!$A$2:$C$2001, 3, FALSE), ""))</f>
        <v/>
      </c>
      <c r="R941" t="str">
        <f>IF(B941="","", IFERROR(VLOOKUP(B941, '基準資産配分（設定）'!$A$2:$C$2001, 2, FALSE)/100, 0))</f>
        <v/>
      </c>
      <c r="S941" t="str">
        <f>IF(B941="","", IFERROR(SUMIFS(ベンチマークリターン!$C$2:$C$2001, ベンチマークリターン!$A$2:$A$2001, A941, ベンチマークリターン!$B$2:$B$2001, Q941) / 100, 0))</f>
        <v/>
      </c>
      <c r="T941" t="str">
        <f>IF(A941="","", SUMIFS($H$2:$H$2000, $A$2:$A$2000, A941))</f>
        <v/>
      </c>
      <c r="U941" t="str">
        <f t="shared" si="162"/>
        <v/>
      </c>
      <c r="V941" t="str">
        <f t="shared" si="163"/>
        <v/>
      </c>
      <c r="W941" t="str">
        <f t="shared" si="164"/>
        <v/>
      </c>
    </row>
    <row r="942" spans="1:23" x14ac:dyDescent="0.2">
      <c r="A942" s="4" t="str">
        <f>IF(ポートフォリオ実績!A943="","", ポートフォリオ実績!A943)</f>
        <v/>
      </c>
      <c r="B942" t="str">
        <f>IF(ポートフォリオ実績!B943="","", ポートフォリオ実績!B943)</f>
        <v/>
      </c>
      <c r="C942" s="10" t="str">
        <f>IF(ポートフォリオ実績!C943="","", ポートフォリオ実績!C943)</f>
        <v/>
      </c>
      <c r="D942" s="10" t="str">
        <f>IF(ポートフォリオ実績!D943="","", ポートフォリオ実績!D943)</f>
        <v/>
      </c>
      <c r="E942" s="10" t="str">
        <f>IF(ポートフォリオ実績!E943="","", ポートフォリオ実績!E943)</f>
        <v/>
      </c>
      <c r="F942" s="10" t="str">
        <f>IF(ポートフォリオ実績!F943="","", ポートフォリオ実績!F943)</f>
        <v/>
      </c>
      <c r="G942" t="str">
        <f t="shared" si="154"/>
        <v/>
      </c>
      <c r="H942">
        <f>IF(B942&lt;&gt;"", SUMIFS(ポートフォリオ実績!$D$2:$D$2001, ポートフォリオ実績!$B$2:$B$2001, B942, ポートフォリオ実績!$A$2:$A$2001, G942), 0)</f>
        <v>0</v>
      </c>
      <c r="I942">
        <f>IF(B942&lt;&gt;"", SUMIFS(ポートフォリオ実績!$C$2:$C$2001, ポートフォリオ実績!$B$2:$B$2001, B942, ポートフォリオ実績!$A$2:$A$2001, G942), 0)</f>
        <v>0</v>
      </c>
      <c r="J942">
        <f t="shared" si="155"/>
        <v>0</v>
      </c>
      <c r="K942">
        <f t="shared" si="156"/>
        <v>0</v>
      </c>
      <c r="L942">
        <f t="shared" si="157"/>
        <v>0</v>
      </c>
      <c r="M942">
        <f t="shared" si="158"/>
        <v>0</v>
      </c>
      <c r="N942">
        <f t="shared" si="159"/>
        <v>0</v>
      </c>
      <c r="O942">
        <f t="shared" si="160"/>
        <v>0</v>
      </c>
      <c r="P942" t="str">
        <f t="shared" si="161"/>
        <v/>
      </c>
      <c r="Q942" t="str">
        <f>IF(B942="","", IFERROR(VLOOKUP(B942, '基準資産配分（設定）'!$A$2:$C$2001, 3, FALSE), ""))</f>
        <v/>
      </c>
      <c r="R942" t="str">
        <f>IF(B942="","", IFERROR(VLOOKUP(B942, '基準資産配分（設定）'!$A$2:$C$2001, 2, FALSE)/100, 0))</f>
        <v/>
      </c>
      <c r="S942" t="str">
        <f>IF(B942="","", IFERROR(SUMIFS(ベンチマークリターン!$C$2:$C$2001, ベンチマークリターン!$A$2:$A$2001, A942, ベンチマークリターン!$B$2:$B$2001, Q942) / 100, 0))</f>
        <v/>
      </c>
      <c r="T942" t="str">
        <f>IF(A942="","", SUMIFS($H$2:$H$2000, $A$2:$A$2000, A942))</f>
        <v/>
      </c>
      <c r="U942" t="str">
        <f t="shared" si="162"/>
        <v/>
      </c>
      <c r="V942" t="str">
        <f t="shared" si="163"/>
        <v/>
      </c>
      <c r="W942" t="str">
        <f t="shared" si="164"/>
        <v/>
      </c>
    </row>
    <row r="943" spans="1:23" x14ac:dyDescent="0.2">
      <c r="A943" s="4" t="str">
        <f>IF(ポートフォリオ実績!A944="","", ポートフォリオ実績!A944)</f>
        <v/>
      </c>
      <c r="B943" t="str">
        <f>IF(ポートフォリオ実績!B944="","", ポートフォリオ実績!B944)</f>
        <v/>
      </c>
      <c r="C943" s="10" t="str">
        <f>IF(ポートフォリオ実績!C944="","", ポートフォリオ実績!C944)</f>
        <v/>
      </c>
      <c r="D943" s="10" t="str">
        <f>IF(ポートフォリオ実績!D944="","", ポートフォリオ実績!D944)</f>
        <v/>
      </c>
      <c r="E943" s="10" t="str">
        <f>IF(ポートフォリオ実績!E944="","", ポートフォリオ実績!E944)</f>
        <v/>
      </c>
      <c r="F943" s="10" t="str">
        <f>IF(ポートフォリオ実績!F944="","", ポートフォリオ実績!F944)</f>
        <v/>
      </c>
      <c r="G943" t="str">
        <f t="shared" si="154"/>
        <v/>
      </c>
      <c r="H943">
        <f>IF(B943&lt;&gt;"", SUMIFS(ポートフォリオ実績!$D$2:$D$2001, ポートフォリオ実績!$B$2:$B$2001, B943, ポートフォリオ実績!$A$2:$A$2001, G943), 0)</f>
        <v>0</v>
      </c>
      <c r="I943">
        <f>IF(B943&lt;&gt;"", SUMIFS(ポートフォリオ実績!$C$2:$C$2001, ポートフォリオ実績!$B$2:$B$2001, B943, ポートフォリオ実績!$A$2:$A$2001, G943), 0)</f>
        <v>0</v>
      </c>
      <c r="J943">
        <f t="shared" si="155"/>
        <v>0</v>
      </c>
      <c r="K943">
        <f t="shared" si="156"/>
        <v>0</v>
      </c>
      <c r="L943">
        <f t="shared" si="157"/>
        <v>0</v>
      </c>
      <c r="M943">
        <f t="shared" si="158"/>
        <v>0</v>
      </c>
      <c r="N943">
        <f t="shared" si="159"/>
        <v>0</v>
      </c>
      <c r="O943">
        <f t="shared" si="160"/>
        <v>0</v>
      </c>
      <c r="P943" t="str">
        <f t="shared" si="161"/>
        <v/>
      </c>
      <c r="Q943" t="str">
        <f>IF(B943="","", IFERROR(VLOOKUP(B943, '基準資産配分（設定）'!$A$2:$C$2001, 3, FALSE), ""))</f>
        <v/>
      </c>
      <c r="R943" t="str">
        <f>IF(B943="","", IFERROR(VLOOKUP(B943, '基準資産配分（設定）'!$A$2:$C$2001, 2, FALSE)/100, 0))</f>
        <v/>
      </c>
      <c r="S943" t="str">
        <f>IF(B943="","", IFERROR(SUMIFS(ベンチマークリターン!$C$2:$C$2001, ベンチマークリターン!$A$2:$A$2001, A943, ベンチマークリターン!$B$2:$B$2001, Q943) / 100, 0))</f>
        <v/>
      </c>
      <c r="T943" t="str">
        <f>IF(A943="","", SUMIFS($H$2:$H$2000, $A$2:$A$2000, A943))</f>
        <v/>
      </c>
      <c r="U943" t="str">
        <f t="shared" si="162"/>
        <v/>
      </c>
      <c r="V943" t="str">
        <f t="shared" si="163"/>
        <v/>
      </c>
      <c r="W943" t="str">
        <f t="shared" si="164"/>
        <v/>
      </c>
    </row>
    <row r="944" spans="1:23" x14ac:dyDescent="0.2">
      <c r="A944" s="4" t="str">
        <f>IF(ポートフォリオ実績!A945="","", ポートフォリオ実績!A945)</f>
        <v/>
      </c>
      <c r="B944" t="str">
        <f>IF(ポートフォリオ実績!B945="","", ポートフォリオ実績!B945)</f>
        <v/>
      </c>
      <c r="C944" s="10" t="str">
        <f>IF(ポートフォリオ実績!C945="","", ポートフォリオ実績!C945)</f>
        <v/>
      </c>
      <c r="D944" s="10" t="str">
        <f>IF(ポートフォリオ実績!D945="","", ポートフォリオ実績!D945)</f>
        <v/>
      </c>
      <c r="E944" s="10" t="str">
        <f>IF(ポートフォリオ実績!E945="","", ポートフォリオ実績!E945)</f>
        <v/>
      </c>
      <c r="F944" s="10" t="str">
        <f>IF(ポートフォリオ実績!F945="","", ポートフォリオ実績!F945)</f>
        <v/>
      </c>
      <c r="G944" t="str">
        <f t="shared" si="154"/>
        <v/>
      </c>
      <c r="H944">
        <f>IF(B944&lt;&gt;"", SUMIFS(ポートフォリオ実績!$D$2:$D$2001, ポートフォリオ実績!$B$2:$B$2001, B944, ポートフォリオ実績!$A$2:$A$2001, G944), 0)</f>
        <v>0</v>
      </c>
      <c r="I944">
        <f>IF(B944&lt;&gt;"", SUMIFS(ポートフォリオ実績!$C$2:$C$2001, ポートフォリオ実績!$B$2:$B$2001, B944, ポートフォリオ実績!$A$2:$A$2001, G944), 0)</f>
        <v>0</v>
      </c>
      <c r="J944">
        <f t="shared" si="155"/>
        <v>0</v>
      </c>
      <c r="K944">
        <f t="shared" si="156"/>
        <v>0</v>
      </c>
      <c r="L944">
        <f t="shared" si="157"/>
        <v>0</v>
      </c>
      <c r="M944">
        <f t="shared" si="158"/>
        <v>0</v>
      </c>
      <c r="N944">
        <f t="shared" si="159"/>
        <v>0</v>
      </c>
      <c r="O944">
        <f t="shared" si="160"/>
        <v>0</v>
      </c>
      <c r="P944" t="str">
        <f t="shared" si="161"/>
        <v/>
      </c>
      <c r="Q944" t="str">
        <f>IF(B944="","", IFERROR(VLOOKUP(B944, '基準資産配分（設定）'!$A$2:$C$2001, 3, FALSE), ""))</f>
        <v/>
      </c>
      <c r="R944" t="str">
        <f>IF(B944="","", IFERROR(VLOOKUP(B944, '基準資産配分（設定）'!$A$2:$C$2001, 2, FALSE)/100, 0))</f>
        <v/>
      </c>
      <c r="S944" t="str">
        <f>IF(B944="","", IFERROR(SUMIFS(ベンチマークリターン!$C$2:$C$2001, ベンチマークリターン!$A$2:$A$2001, A944, ベンチマークリターン!$B$2:$B$2001, Q944) / 100, 0))</f>
        <v/>
      </c>
      <c r="T944" t="str">
        <f>IF(A944="","", SUMIFS($H$2:$H$2000, $A$2:$A$2000, A944))</f>
        <v/>
      </c>
      <c r="U944" t="str">
        <f t="shared" si="162"/>
        <v/>
      </c>
      <c r="V944" t="str">
        <f t="shared" si="163"/>
        <v/>
      </c>
      <c r="W944" t="str">
        <f t="shared" si="164"/>
        <v/>
      </c>
    </row>
    <row r="945" spans="1:23" x14ac:dyDescent="0.2">
      <c r="A945" s="4" t="str">
        <f>IF(ポートフォリオ実績!A946="","", ポートフォリオ実績!A946)</f>
        <v/>
      </c>
      <c r="B945" t="str">
        <f>IF(ポートフォリオ実績!B946="","", ポートフォリオ実績!B946)</f>
        <v/>
      </c>
      <c r="C945" s="10" t="str">
        <f>IF(ポートフォリオ実績!C946="","", ポートフォリオ実績!C946)</f>
        <v/>
      </c>
      <c r="D945" s="10" t="str">
        <f>IF(ポートフォリオ実績!D946="","", ポートフォリオ実績!D946)</f>
        <v/>
      </c>
      <c r="E945" s="10" t="str">
        <f>IF(ポートフォリオ実績!E946="","", ポートフォリオ実績!E946)</f>
        <v/>
      </c>
      <c r="F945" s="10" t="str">
        <f>IF(ポートフォリオ実績!F946="","", ポートフォリオ実績!F946)</f>
        <v/>
      </c>
      <c r="G945" t="str">
        <f t="shared" si="154"/>
        <v/>
      </c>
      <c r="H945">
        <f>IF(B945&lt;&gt;"", SUMIFS(ポートフォリオ実績!$D$2:$D$2001, ポートフォリオ実績!$B$2:$B$2001, B945, ポートフォリオ実績!$A$2:$A$2001, G945), 0)</f>
        <v>0</v>
      </c>
      <c r="I945">
        <f>IF(B945&lt;&gt;"", SUMIFS(ポートフォリオ実績!$C$2:$C$2001, ポートフォリオ実績!$B$2:$B$2001, B945, ポートフォリオ実績!$A$2:$A$2001, G945), 0)</f>
        <v>0</v>
      </c>
      <c r="J945">
        <f t="shared" si="155"/>
        <v>0</v>
      </c>
      <c r="K945">
        <f t="shared" si="156"/>
        <v>0</v>
      </c>
      <c r="L945">
        <f t="shared" si="157"/>
        <v>0</v>
      </c>
      <c r="M945">
        <f t="shared" si="158"/>
        <v>0</v>
      </c>
      <c r="N945">
        <f t="shared" si="159"/>
        <v>0</v>
      </c>
      <c r="O945">
        <f t="shared" si="160"/>
        <v>0</v>
      </c>
      <c r="P945" t="str">
        <f t="shared" si="161"/>
        <v/>
      </c>
      <c r="Q945" t="str">
        <f>IF(B945="","", IFERROR(VLOOKUP(B945, '基準資産配分（設定）'!$A$2:$C$2001, 3, FALSE), ""))</f>
        <v/>
      </c>
      <c r="R945" t="str">
        <f>IF(B945="","", IFERROR(VLOOKUP(B945, '基準資産配分（設定）'!$A$2:$C$2001, 2, FALSE)/100, 0))</f>
        <v/>
      </c>
      <c r="S945" t="str">
        <f>IF(B945="","", IFERROR(SUMIFS(ベンチマークリターン!$C$2:$C$2001, ベンチマークリターン!$A$2:$A$2001, A945, ベンチマークリターン!$B$2:$B$2001, Q945) / 100, 0))</f>
        <v/>
      </c>
      <c r="T945" t="str">
        <f>IF(A945="","", SUMIFS($H$2:$H$2000, $A$2:$A$2000, A945))</f>
        <v/>
      </c>
      <c r="U945" t="str">
        <f t="shared" si="162"/>
        <v/>
      </c>
      <c r="V945" t="str">
        <f t="shared" si="163"/>
        <v/>
      </c>
      <c r="W945" t="str">
        <f t="shared" si="164"/>
        <v/>
      </c>
    </row>
    <row r="946" spans="1:23" x14ac:dyDescent="0.2">
      <c r="A946" s="4" t="str">
        <f>IF(ポートフォリオ実績!A947="","", ポートフォリオ実績!A947)</f>
        <v/>
      </c>
      <c r="B946" t="str">
        <f>IF(ポートフォリオ実績!B947="","", ポートフォリオ実績!B947)</f>
        <v/>
      </c>
      <c r="C946" s="10" t="str">
        <f>IF(ポートフォリオ実績!C947="","", ポートフォリオ実績!C947)</f>
        <v/>
      </c>
      <c r="D946" s="10" t="str">
        <f>IF(ポートフォリオ実績!D947="","", ポートフォリオ実績!D947)</f>
        <v/>
      </c>
      <c r="E946" s="10" t="str">
        <f>IF(ポートフォリオ実績!E947="","", ポートフォリオ実績!E947)</f>
        <v/>
      </c>
      <c r="F946" s="10" t="str">
        <f>IF(ポートフォリオ実績!F947="","", ポートフォリオ実績!F947)</f>
        <v/>
      </c>
      <c r="G946" t="str">
        <f t="shared" si="154"/>
        <v/>
      </c>
      <c r="H946">
        <f>IF(B946&lt;&gt;"", SUMIFS(ポートフォリオ実績!$D$2:$D$2001, ポートフォリオ実績!$B$2:$B$2001, B946, ポートフォリオ実績!$A$2:$A$2001, G946), 0)</f>
        <v>0</v>
      </c>
      <c r="I946">
        <f>IF(B946&lt;&gt;"", SUMIFS(ポートフォリオ実績!$C$2:$C$2001, ポートフォリオ実績!$B$2:$B$2001, B946, ポートフォリオ実績!$A$2:$A$2001, G946), 0)</f>
        <v>0</v>
      </c>
      <c r="J946">
        <f t="shared" si="155"/>
        <v>0</v>
      </c>
      <c r="K946">
        <f t="shared" si="156"/>
        <v>0</v>
      </c>
      <c r="L946">
        <f t="shared" si="157"/>
        <v>0</v>
      </c>
      <c r="M946">
        <f t="shared" si="158"/>
        <v>0</v>
      </c>
      <c r="N946">
        <f t="shared" si="159"/>
        <v>0</v>
      </c>
      <c r="O946">
        <f t="shared" si="160"/>
        <v>0</v>
      </c>
      <c r="P946" t="str">
        <f t="shared" si="161"/>
        <v/>
      </c>
      <c r="Q946" t="str">
        <f>IF(B946="","", IFERROR(VLOOKUP(B946, '基準資産配分（設定）'!$A$2:$C$2001, 3, FALSE), ""))</f>
        <v/>
      </c>
      <c r="R946" t="str">
        <f>IF(B946="","", IFERROR(VLOOKUP(B946, '基準資産配分（設定）'!$A$2:$C$2001, 2, FALSE)/100, 0))</f>
        <v/>
      </c>
      <c r="S946" t="str">
        <f>IF(B946="","", IFERROR(SUMIFS(ベンチマークリターン!$C$2:$C$2001, ベンチマークリターン!$A$2:$A$2001, A946, ベンチマークリターン!$B$2:$B$2001, Q946) / 100, 0))</f>
        <v/>
      </c>
      <c r="T946" t="str">
        <f>IF(A946="","", SUMIFS($H$2:$H$2000, $A$2:$A$2000, A946))</f>
        <v/>
      </c>
      <c r="U946" t="str">
        <f t="shared" si="162"/>
        <v/>
      </c>
      <c r="V946" t="str">
        <f t="shared" si="163"/>
        <v/>
      </c>
      <c r="W946" t="str">
        <f t="shared" si="164"/>
        <v/>
      </c>
    </row>
    <row r="947" spans="1:23" x14ac:dyDescent="0.2">
      <c r="A947" s="4" t="str">
        <f>IF(ポートフォリオ実績!A948="","", ポートフォリオ実績!A948)</f>
        <v/>
      </c>
      <c r="B947" t="str">
        <f>IF(ポートフォリオ実績!B948="","", ポートフォリオ実績!B948)</f>
        <v/>
      </c>
      <c r="C947" s="10" t="str">
        <f>IF(ポートフォリオ実績!C948="","", ポートフォリオ実績!C948)</f>
        <v/>
      </c>
      <c r="D947" s="10" t="str">
        <f>IF(ポートフォリオ実績!D948="","", ポートフォリオ実績!D948)</f>
        <v/>
      </c>
      <c r="E947" s="10" t="str">
        <f>IF(ポートフォリオ実績!E948="","", ポートフォリオ実績!E948)</f>
        <v/>
      </c>
      <c r="F947" s="10" t="str">
        <f>IF(ポートフォリオ実績!F948="","", ポートフォリオ実績!F948)</f>
        <v/>
      </c>
      <c r="G947" t="str">
        <f t="shared" si="154"/>
        <v/>
      </c>
      <c r="H947">
        <f>IF(B947&lt;&gt;"", SUMIFS(ポートフォリオ実績!$D$2:$D$2001, ポートフォリオ実績!$B$2:$B$2001, B947, ポートフォリオ実績!$A$2:$A$2001, G947), 0)</f>
        <v>0</v>
      </c>
      <c r="I947">
        <f>IF(B947&lt;&gt;"", SUMIFS(ポートフォリオ実績!$C$2:$C$2001, ポートフォリオ実績!$B$2:$B$2001, B947, ポートフォリオ実績!$A$2:$A$2001, G947), 0)</f>
        <v>0</v>
      </c>
      <c r="J947">
        <f t="shared" si="155"/>
        <v>0</v>
      </c>
      <c r="K947">
        <f t="shared" si="156"/>
        <v>0</v>
      </c>
      <c r="L947">
        <f t="shared" si="157"/>
        <v>0</v>
      </c>
      <c r="M947">
        <f t="shared" si="158"/>
        <v>0</v>
      </c>
      <c r="N947">
        <f t="shared" si="159"/>
        <v>0</v>
      </c>
      <c r="O947">
        <f t="shared" si="160"/>
        <v>0</v>
      </c>
      <c r="P947" t="str">
        <f t="shared" si="161"/>
        <v/>
      </c>
      <c r="Q947" t="str">
        <f>IF(B947="","", IFERROR(VLOOKUP(B947, '基準資産配分（設定）'!$A$2:$C$2001, 3, FALSE), ""))</f>
        <v/>
      </c>
      <c r="R947" t="str">
        <f>IF(B947="","", IFERROR(VLOOKUP(B947, '基準資産配分（設定）'!$A$2:$C$2001, 2, FALSE)/100, 0))</f>
        <v/>
      </c>
      <c r="S947" t="str">
        <f>IF(B947="","", IFERROR(SUMIFS(ベンチマークリターン!$C$2:$C$2001, ベンチマークリターン!$A$2:$A$2001, A947, ベンチマークリターン!$B$2:$B$2001, Q947) / 100, 0))</f>
        <v/>
      </c>
      <c r="T947" t="str">
        <f>IF(A947="","", SUMIFS($H$2:$H$2000, $A$2:$A$2000, A947))</f>
        <v/>
      </c>
      <c r="U947" t="str">
        <f t="shared" si="162"/>
        <v/>
      </c>
      <c r="V947" t="str">
        <f t="shared" si="163"/>
        <v/>
      </c>
      <c r="W947" t="str">
        <f t="shared" si="164"/>
        <v/>
      </c>
    </row>
    <row r="948" spans="1:23" x14ac:dyDescent="0.2">
      <c r="A948" s="4" t="str">
        <f>IF(ポートフォリオ実績!A949="","", ポートフォリオ実績!A949)</f>
        <v/>
      </c>
      <c r="B948" t="str">
        <f>IF(ポートフォリオ実績!B949="","", ポートフォリオ実績!B949)</f>
        <v/>
      </c>
      <c r="C948" s="10" t="str">
        <f>IF(ポートフォリオ実績!C949="","", ポートフォリオ実績!C949)</f>
        <v/>
      </c>
      <c r="D948" s="10" t="str">
        <f>IF(ポートフォリオ実績!D949="","", ポートフォリオ実績!D949)</f>
        <v/>
      </c>
      <c r="E948" s="10" t="str">
        <f>IF(ポートフォリオ実績!E949="","", ポートフォリオ実績!E949)</f>
        <v/>
      </c>
      <c r="F948" s="10" t="str">
        <f>IF(ポートフォリオ実績!F949="","", ポートフォリオ実績!F949)</f>
        <v/>
      </c>
      <c r="G948" t="str">
        <f t="shared" si="154"/>
        <v/>
      </c>
      <c r="H948">
        <f>IF(B948&lt;&gt;"", SUMIFS(ポートフォリオ実績!$D$2:$D$2001, ポートフォリオ実績!$B$2:$B$2001, B948, ポートフォリオ実績!$A$2:$A$2001, G948), 0)</f>
        <v>0</v>
      </c>
      <c r="I948">
        <f>IF(B948&lt;&gt;"", SUMIFS(ポートフォリオ実績!$C$2:$C$2001, ポートフォリオ実績!$B$2:$B$2001, B948, ポートフォリオ実績!$A$2:$A$2001, G948), 0)</f>
        <v>0</v>
      </c>
      <c r="J948">
        <f t="shared" si="155"/>
        <v>0</v>
      </c>
      <c r="K948">
        <f t="shared" si="156"/>
        <v>0</v>
      </c>
      <c r="L948">
        <f t="shared" si="157"/>
        <v>0</v>
      </c>
      <c r="M948">
        <f t="shared" si="158"/>
        <v>0</v>
      </c>
      <c r="N948">
        <f t="shared" si="159"/>
        <v>0</v>
      </c>
      <c r="O948">
        <f t="shared" si="160"/>
        <v>0</v>
      </c>
      <c r="P948" t="str">
        <f t="shared" si="161"/>
        <v/>
      </c>
      <c r="Q948" t="str">
        <f>IF(B948="","", IFERROR(VLOOKUP(B948, '基準資産配分（設定）'!$A$2:$C$2001, 3, FALSE), ""))</f>
        <v/>
      </c>
      <c r="R948" t="str">
        <f>IF(B948="","", IFERROR(VLOOKUP(B948, '基準資産配分（設定）'!$A$2:$C$2001, 2, FALSE)/100, 0))</f>
        <v/>
      </c>
      <c r="S948" t="str">
        <f>IF(B948="","", IFERROR(SUMIFS(ベンチマークリターン!$C$2:$C$2001, ベンチマークリターン!$A$2:$A$2001, A948, ベンチマークリターン!$B$2:$B$2001, Q948) / 100, 0))</f>
        <v/>
      </c>
      <c r="T948" t="str">
        <f>IF(A948="","", SUMIFS($H$2:$H$2000, $A$2:$A$2000, A948))</f>
        <v/>
      </c>
      <c r="U948" t="str">
        <f t="shared" si="162"/>
        <v/>
      </c>
      <c r="V948" t="str">
        <f t="shared" si="163"/>
        <v/>
      </c>
      <c r="W948" t="str">
        <f t="shared" si="164"/>
        <v/>
      </c>
    </row>
    <row r="949" spans="1:23" x14ac:dyDescent="0.2">
      <c r="A949" s="4" t="str">
        <f>IF(ポートフォリオ実績!A950="","", ポートフォリオ実績!A950)</f>
        <v/>
      </c>
      <c r="B949" t="str">
        <f>IF(ポートフォリオ実績!B950="","", ポートフォリオ実績!B950)</f>
        <v/>
      </c>
      <c r="C949" s="10" t="str">
        <f>IF(ポートフォリオ実績!C950="","", ポートフォリオ実績!C950)</f>
        <v/>
      </c>
      <c r="D949" s="10" t="str">
        <f>IF(ポートフォリオ実績!D950="","", ポートフォリオ実績!D950)</f>
        <v/>
      </c>
      <c r="E949" s="10" t="str">
        <f>IF(ポートフォリオ実績!E950="","", ポートフォリオ実績!E950)</f>
        <v/>
      </c>
      <c r="F949" s="10" t="str">
        <f>IF(ポートフォリオ実績!F950="","", ポートフォリオ実績!F950)</f>
        <v/>
      </c>
      <c r="G949" t="str">
        <f t="shared" si="154"/>
        <v/>
      </c>
      <c r="H949">
        <f>IF(B949&lt;&gt;"", SUMIFS(ポートフォリオ実績!$D$2:$D$2001, ポートフォリオ実績!$B$2:$B$2001, B949, ポートフォリオ実績!$A$2:$A$2001, G949), 0)</f>
        <v>0</v>
      </c>
      <c r="I949">
        <f>IF(B949&lt;&gt;"", SUMIFS(ポートフォリオ実績!$C$2:$C$2001, ポートフォリオ実績!$B$2:$B$2001, B949, ポートフォリオ実績!$A$2:$A$2001, G949), 0)</f>
        <v>0</v>
      </c>
      <c r="J949">
        <f t="shared" si="155"/>
        <v>0</v>
      </c>
      <c r="K949">
        <f t="shared" si="156"/>
        <v>0</v>
      </c>
      <c r="L949">
        <f t="shared" si="157"/>
        <v>0</v>
      </c>
      <c r="M949">
        <f t="shared" si="158"/>
        <v>0</v>
      </c>
      <c r="N949">
        <f t="shared" si="159"/>
        <v>0</v>
      </c>
      <c r="O949">
        <f t="shared" si="160"/>
        <v>0</v>
      </c>
      <c r="P949" t="str">
        <f t="shared" si="161"/>
        <v/>
      </c>
      <c r="Q949" t="str">
        <f>IF(B949="","", IFERROR(VLOOKUP(B949, '基準資産配分（設定）'!$A$2:$C$2001, 3, FALSE), ""))</f>
        <v/>
      </c>
      <c r="R949" t="str">
        <f>IF(B949="","", IFERROR(VLOOKUP(B949, '基準資産配分（設定）'!$A$2:$C$2001, 2, FALSE)/100, 0))</f>
        <v/>
      </c>
      <c r="S949" t="str">
        <f>IF(B949="","", IFERROR(SUMIFS(ベンチマークリターン!$C$2:$C$2001, ベンチマークリターン!$A$2:$A$2001, A949, ベンチマークリターン!$B$2:$B$2001, Q949) / 100, 0))</f>
        <v/>
      </c>
      <c r="T949" t="str">
        <f>IF(A949="","", SUMIFS($H$2:$H$2000, $A$2:$A$2000, A949))</f>
        <v/>
      </c>
      <c r="U949" t="str">
        <f t="shared" si="162"/>
        <v/>
      </c>
      <c r="V949" t="str">
        <f t="shared" si="163"/>
        <v/>
      </c>
      <c r="W949" t="str">
        <f t="shared" si="164"/>
        <v/>
      </c>
    </row>
    <row r="950" spans="1:23" x14ac:dyDescent="0.2">
      <c r="A950" s="4" t="str">
        <f>IF(ポートフォリオ実績!A951="","", ポートフォリオ実績!A951)</f>
        <v/>
      </c>
      <c r="B950" t="str">
        <f>IF(ポートフォリオ実績!B951="","", ポートフォリオ実績!B951)</f>
        <v/>
      </c>
      <c r="C950" s="10" t="str">
        <f>IF(ポートフォリオ実績!C951="","", ポートフォリオ実績!C951)</f>
        <v/>
      </c>
      <c r="D950" s="10" t="str">
        <f>IF(ポートフォリオ実績!D951="","", ポートフォリオ実績!D951)</f>
        <v/>
      </c>
      <c r="E950" s="10" t="str">
        <f>IF(ポートフォリオ実績!E951="","", ポートフォリオ実績!E951)</f>
        <v/>
      </c>
      <c r="F950" s="10" t="str">
        <f>IF(ポートフォリオ実績!F951="","", ポートフォリオ実績!F951)</f>
        <v/>
      </c>
      <c r="G950" t="str">
        <f t="shared" si="154"/>
        <v/>
      </c>
      <c r="H950">
        <f>IF(B950&lt;&gt;"", SUMIFS(ポートフォリオ実績!$D$2:$D$2001, ポートフォリオ実績!$B$2:$B$2001, B950, ポートフォリオ実績!$A$2:$A$2001, G950), 0)</f>
        <v>0</v>
      </c>
      <c r="I950">
        <f>IF(B950&lt;&gt;"", SUMIFS(ポートフォリオ実績!$C$2:$C$2001, ポートフォリオ実績!$B$2:$B$2001, B950, ポートフォリオ実績!$A$2:$A$2001, G950), 0)</f>
        <v>0</v>
      </c>
      <c r="J950">
        <f t="shared" si="155"/>
        <v>0</v>
      </c>
      <c r="K950">
        <f t="shared" si="156"/>
        <v>0</v>
      </c>
      <c r="L950">
        <f t="shared" si="157"/>
        <v>0</v>
      </c>
      <c r="M950">
        <f t="shared" si="158"/>
        <v>0</v>
      </c>
      <c r="N950">
        <f t="shared" si="159"/>
        <v>0</v>
      </c>
      <c r="O950">
        <f t="shared" si="160"/>
        <v>0</v>
      </c>
      <c r="P950" t="str">
        <f t="shared" si="161"/>
        <v/>
      </c>
      <c r="Q950" t="str">
        <f>IF(B950="","", IFERROR(VLOOKUP(B950, '基準資産配分（設定）'!$A$2:$C$2001, 3, FALSE), ""))</f>
        <v/>
      </c>
      <c r="R950" t="str">
        <f>IF(B950="","", IFERROR(VLOOKUP(B950, '基準資産配分（設定）'!$A$2:$C$2001, 2, FALSE)/100, 0))</f>
        <v/>
      </c>
      <c r="S950" t="str">
        <f>IF(B950="","", IFERROR(SUMIFS(ベンチマークリターン!$C$2:$C$2001, ベンチマークリターン!$A$2:$A$2001, A950, ベンチマークリターン!$B$2:$B$2001, Q950) / 100, 0))</f>
        <v/>
      </c>
      <c r="T950" t="str">
        <f>IF(A950="","", SUMIFS($H$2:$H$2000, $A$2:$A$2000, A950))</f>
        <v/>
      </c>
      <c r="U950" t="str">
        <f t="shared" si="162"/>
        <v/>
      </c>
      <c r="V950" t="str">
        <f t="shared" si="163"/>
        <v/>
      </c>
      <c r="W950" t="str">
        <f t="shared" si="164"/>
        <v/>
      </c>
    </row>
    <row r="951" spans="1:23" x14ac:dyDescent="0.2">
      <c r="A951" s="4" t="str">
        <f>IF(ポートフォリオ実績!A952="","", ポートフォリオ実績!A952)</f>
        <v/>
      </c>
      <c r="B951" t="str">
        <f>IF(ポートフォリオ実績!B952="","", ポートフォリオ実績!B952)</f>
        <v/>
      </c>
      <c r="C951" s="10" t="str">
        <f>IF(ポートフォリオ実績!C952="","", ポートフォリオ実績!C952)</f>
        <v/>
      </c>
      <c r="D951" s="10" t="str">
        <f>IF(ポートフォリオ実績!D952="","", ポートフォリオ実績!D952)</f>
        <v/>
      </c>
      <c r="E951" s="10" t="str">
        <f>IF(ポートフォリオ実績!E952="","", ポートフォリオ実績!E952)</f>
        <v/>
      </c>
      <c r="F951" s="10" t="str">
        <f>IF(ポートフォリオ実績!F952="","", ポートフォリオ実績!F952)</f>
        <v/>
      </c>
      <c r="G951" t="str">
        <f t="shared" si="154"/>
        <v/>
      </c>
      <c r="H951">
        <f>IF(B951&lt;&gt;"", SUMIFS(ポートフォリオ実績!$D$2:$D$2001, ポートフォリオ実績!$B$2:$B$2001, B951, ポートフォリオ実績!$A$2:$A$2001, G951), 0)</f>
        <v>0</v>
      </c>
      <c r="I951">
        <f>IF(B951&lt;&gt;"", SUMIFS(ポートフォリオ実績!$C$2:$C$2001, ポートフォリオ実績!$B$2:$B$2001, B951, ポートフォリオ実績!$A$2:$A$2001, G951), 0)</f>
        <v>0</v>
      </c>
      <c r="J951">
        <f t="shared" si="155"/>
        <v>0</v>
      </c>
      <c r="K951">
        <f t="shared" si="156"/>
        <v>0</v>
      </c>
      <c r="L951">
        <f t="shared" si="157"/>
        <v>0</v>
      </c>
      <c r="M951">
        <f t="shared" si="158"/>
        <v>0</v>
      </c>
      <c r="N951">
        <f t="shared" si="159"/>
        <v>0</v>
      </c>
      <c r="O951">
        <f t="shared" si="160"/>
        <v>0</v>
      </c>
      <c r="P951" t="str">
        <f t="shared" si="161"/>
        <v/>
      </c>
      <c r="Q951" t="str">
        <f>IF(B951="","", IFERROR(VLOOKUP(B951, '基準資産配分（設定）'!$A$2:$C$2001, 3, FALSE), ""))</f>
        <v/>
      </c>
      <c r="R951" t="str">
        <f>IF(B951="","", IFERROR(VLOOKUP(B951, '基準資産配分（設定）'!$A$2:$C$2001, 2, FALSE)/100, 0))</f>
        <v/>
      </c>
      <c r="S951" t="str">
        <f>IF(B951="","", IFERROR(SUMIFS(ベンチマークリターン!$C$2:$C$2001, ベンチマークリターン!$A$2:$A$2001, A951, ベンチマークリターン!$B$2:$B$2001, Q951) / 100, 0))</f>
        <v/>
      </c>
      <c r="T951" t="str">
        <f>IF(A951="","", SUMIFS($H$2:$H$2000, $A$2:$A$2000, A951))</f>
        <v/>
      </c>
      <c r="U951" t="str">
        <f t="shared" si="162"/>
        <v/>
      </c>
      <c r="V951" t="str">
        <f t="shared" si="163"/>
        <v/>
      </c>
      <c r="W951" t="str">
        <f t="shared" si="164"/>
        <v/>
      </c>
    </row>
    <row r="952" spans="1:23" x14ac:dyDescent="0.2">
      <c r="A952" s="4" t="str">
        <f>IF(ポートフォリオ実績!A953="","", ポートフォリオ実績!A953)</f>
        <v/>
      </c>
      <c r="B952" t="str">
        <f>IF(ポートフォリオ実績!B953="","", ポートフォリオ実績!B953)</f>
        <v/>
      </c>
      <c r="C952" s="10" t="str">
        <f>IF(ポートフォリオ実績!C953="","", ポートフォリオ実績!C953)</f>
        <v/>
      </c>
      <c r="D952" s="10" t="str">
        <f>IF(ポートフォリオ実績!D953="","", ポートフォリオ実績!D953)</f>
        <v/>
      </c>
      <c r="E952" s="10" t="str">
        <f>IF(ポートフォリオ実績!E953="","", ポートフォリオ実績!E953)</f>
        <v/>
      </c>
      <c r="F952" s="10" t="str">
        <f>IF(ポートフォリオ実績!F953="","", ポートフォリオ実績!F953)</f>
        <v/>
      </c>
      <c r="G952" t="str">
        <f t="shared" si="154"/>
        <v/>
      </c>
      <c r="H952">
        <f>IF(B952&lt;&gt;"", SUMIFS(ポートフォリオ実績!$D$2:$D$2001, ポートフォリオ実績!$B$2:$B$2001, B952, ポートフォリオ実績!$A$2:$A$2001, G952), 0)</f>
        <v>0</v>
      </c>
      <c r="I952">
        <f>IF(B952&lt;&gt;"", SUMIFS(ポートフォリオ実績!$C$2:$C$2001, ポートフォリオ実績!$B$2:$B$2001, B952, ポートフォリオ実績!$A$2:$A$2001, G952), 0)</f>
        <v>0</v>
      </c>
      <c r="J952">
        <f t="shared" si="155"/>
        <v>0</v>
      </c>
      <c r="K952">
        <f t="shared" si="156"/>
        <v>0</v>
      </c>
      <c r="L952">
        <f t="shared" si="157"/>
        <v>0</v>
      </c>
      <c r="M952">
        <f t="shared" si="158"/>
        <v>0</v>
      </c>
      <c r="N952">
        <f t="shared" si="159"/>
        <v>0</v>
      </c>
      <c r="O952">
        <f t="shared" si="160"/>
        <v>0</v>
      </c>
      <c r="P952" t="str">
        <f t="shared" si="161"/>
        <v/>
      </c>
      <c r="Q952" t="str">
        <f>IF(B952="","", IFERROR(VLOOKUP(B952, '基準資産配分（設定）'!$A$2:$C$2001, 3, FALSE), ""))</f>
        <v/>
      </c>
      <c r="R952" t="str">
        <f>IF(B952="","", IFERROR(VLOOKUP(B952, '基準資産配分（設定）'!$A$2:$C$2001, 2, FALSE)/100, 0))</f>
        <v/>
      </c>
      <c r="S952" t="str">
        <f>IF(B952="","", IFERROR(SUMIFS(ベンチマークリターン!$C$2:$C$2001, ベンチマークリターン!$A$2:$A$2001, A952, ベンチマークリターン!$B$2:$B$2001, Q952) / 100, 0))</f>
        <v/>
      </c>
      <c r="T952" t="str">
        <f>IF(A952="","", SUMIFS($H$2:$H$2000, $A$2:$A$2000, A952))</f>
        <v/>
      </c>
      <c r="U952" t="str">
        <f t="shared" si="162"/>
        <v/>
      </c>
      <c r="V952" t="str">
        <f t="shared" si="163"/>
        <v/>
      </c>
      <c r="W952" t="str">
        <f t="shared" si="164"/>
        <v/>
      </c>
    </row>
    <row r="953" spans="1:23" x14ac:dyDescent="0.2">
      <c r="A953" s="4" t="str">
        <f>IF(ポートフォリオ実績!A954="","", ポートフォリオ実績!A954)</f>
        <v/>
      </c>
      <c r="B953" t="str">
        <f>IF(ポートフォリオ実績!B954="","", ポートフォリオ実績!B954)</f>
        <v/>
      </c>
      <c r="C953" s="10" t="str">
        <f>IF(ポートフォリオ実績!C954="","", ポートフォリオ実績!C954)</f>
        <v/>
      </c>
      <c r="D953" s="10" t="str">
        <f>IF(ポートフォリオ実績!D954="","", ポートフォリオ実績!D954)</f>
        <v/>
      </c>
      <c r="E953" s="10" t="str">
        <f>IF(ポートフォリオ実績!E954="","", ポートフォリオ実績!E954)</f>
        <v/>
      </c>
      <c r="F953" s="10" t="str">
        <f>IF(ポートフォリオ実績!F954="","", ポートフォリオ実績!F954)</f>
        <v/>
      </c>
      <c r="G953" t="str">
        <f t="shared" si="154"/>
        <v/>
      </c>
      <c r="H953">
        <f>IF(B953&lt;&gt;"", SUMIFS(ポートフォリオ実績!$D$2:$D$2001, ポートフォリオ実績!$B$2:$B$2001, B953, ポートフォリオ実績!$A$2:$A$2001, G953), 0)</f>
        <v>0</v>
      </c>
      <c r="I953">
        <f>IF(B953&lt;&gt;"", SUMIFS(ポートフォリオ実績!$C$2:$C$2001, ポートフォリオ実績!$B$2:$B$2001, B953, ポートフォリオ実績!$A$2:$A$2001, G953), 0)</f>
        <v>0</v>
      </c>
      <c r="J953">
        <f t="shared" si="155"/>
        <v>0</v>
      </c>
      <c r="K953">
        <f t="shared" si="156"/>
        <v>0</v>
      </c>
      <c r="L953">
        <f t="shared" si="157"/>
        <v>0</v>
      </c>
      <c r="M953">
        <f t="shared" si="158"/>
        <v>0</v>
      </c>
      <c r="N953">
        <f t="shared" si="159"/>
        <v>0</v>
      </c>
      <c r="O953">
        <f t="shared" si="160"/>
        <v>0</v>
      </c>
      <c r="P953" t="str">
        <f t="shared" si="161"/>
        <v/>
      </c>
      <c r="Q953" t="str">
        <f>IF(B953="","", IFERROR(VLOOKUP(B953, '基準資産配分（設定）'!$A$2:$C$2001, 3, FALSE), ""))</f>
        <v/>
      </c>
      <c r="R953" t="str">
        <f>IF(B953="","", IFERROR(VLOOKUP(B953, '基準資産配分（設定）'!$A$2:$C$2001, 2, FALSE)/100, 0))</f>
        <v/>
      </c>
      <c r="S953" t="str">
        <f>IF(B953="","", IFERROR(SUMIFS(ベンチマークリターン!$C$2:$C$2001, ベンチマークリターン!$A$2:$A$2001, A953, ベンチマークリターン!$B$2:$B$2001, Q953) / 100, 0))</f>
        <v/>
      </c>
      <c r="T953" t="str">
        <f>IF(A953="","", SUMIFS($H$2:$H$2000, $A$2:$A$2000, A953))</f>
        <v/>
      </c>
      <c r="U953" t="str">
        <f t="shared" si="162"/>
        <v/>
      </c>
      <c r="V953" t="str">
        <f t="shared" si="163"/>
        <v/>
      </c>
      <c r="W953" t="str">
        <f t="shared" si="164"/>
        <v/>
      </c>
    </row>
    <row r="954" spans="1:23" x14ac:dyDescent="0.2">
      <c r="A954" s="4" t="str">
        <f>IF(ポートフォリオ実績!A955="","", ポートフォリオ実績!A955)</f>
        <v/>
      </c>
      <c r="B954" t="str">
        <f>IF(ポートフォリオ実績!B955="","", ポートフォリオ実績!B955)</f>
        <v/>
      </c>
      <c r="C954" s="10" t="str">
        <f>IF(ポートフォリオ実績!C955="","", ポートフォリオ実績!C955)</f>
        <v/>
      </c>
      <c r="D954" s="10" t="str">
        <f>IF(ポートフォリオ実績!D955="","", ポートフォリオ実績!D955)</f>
        <v/>
      </c>
      <c r="E954" s="10" t="str">
        <f>IF(ポートフォリオ実績!E955="","", ポートフォリオ実績!E955)</f>
        <v/>
      </c>
      <c r="F954" s="10" t="str">
        <f>IF(ポートフォリオ実績!F955="","", ポートフォリオ実績!F955)</f>
        <v/>
      </c>
      <c r="G954" t="str">
        <f t="shared" si="154"/>
        <v/>
      </c>
      <c r="H954">
        <f>IF(B954&lt;&gt;"", SUMIFS(ポートフォリオ実績!$D$2:$D$2001, ポートフォリオ実績!$B$2:$B$2001, B954, ポートフォリオ実績!$A$2:$A$2001, G954), 0)</f>
        <v>0</v>
      </c>
      <c r="I954">
        <f>IF(B954&lt;&gt;"", SUMIFS(ポートフォリオ実績!$C$2:$C$2001, ポートフォリオ実績!$B$2:$B$2001, B954, ポートフォリオ実績!$A$2:$A$2001, G954), 0)</f>
        <v>0</v>
      </c>
      <c r="J954">
        <f t="shared" si="155"/>
        <v>0</v>
      </c>
      <c r="K954">
        <f t="shared" si="156"/>
        <v>0</v>
      </c>
      <c r="L954">
        <f t="shared" si="157"/>
        <v>0</v>
      </c>
      <c r="M954">
        <f t="shared" si="158"/>
        <v>0</v>
      </c>
      <c r="N954">
        <f t="shared" si="159"/>
        <v>0</v>
      </c>
      <c r="O954">
        <f t="shared" si="160"/>
        <v>0</v>
      </c>
      <c r="P954" t="str">
        <f t="shared" si="161"/>
        <v/>
      </c>
      <c r="Q954" t="str">
        <f>IF(B954="","", IFERROR(VLOOKUP(B954, '基準資産配分（設定）'!$A$2:$C$2001, 3, FALSE), ""))</f>
        <v/>
      </c>
      <c r="R954" t="str">
        <f>IF(B954="","", IFERROR(VLOOKUP(B954, '基準資産配分（設定）'!$A$2:$C$2001, 2, FALSE)/100, 0))</f>
        <v/>
      </c>
      <c r="S954" t="str">
        <f>IF(B954="","", IFERROR(SUMIFS(ベンチマークリターン!$C$2:$C$2001, ベンチマークリターン!$A$2:$A$2001, A954, ベンチマークリターン!$B$2:$B$2001, Q954) / 100, 0))</f>
        <v/>
      </c>
      <c r="T954" t="str">
        <f>IF(A954="","", SUMIFS($H$2:$H$2000, $A$2:$A$2000, A954))</f>
        <v/>
      </c>
      <c r="U954" t="str">
        <f t="shared" si="162"/>
        <v/>
      </c>
      <c r="V954" t="str">
        <f t="shared" si="163"/>
        <v/>
      </c>
      <c r="W954" t="str">
        <f t="shared" si="164"/>
        <v/>
      </c>
    </row>
    <row r="955" spans="1:23" x14ac:dyDescent="0.2">
      <c r="A955" s="4" t="str">
        <f>IF(ポートフォリオ実績!A956="","", ポートフォリオ実績!A956)</f>
        <v/>
      </c>
      <c r="B955" t="str">
        <f>IF(ポートフォリオ実績!B956="","", ポートフォリオ実績!B956)</f>
        <v/>
      </c>
      <c r="C955" s="10" t="str">
        <f>IF(ポートフォリオ実績!C956="","", ポートフォリオ実績!C956)</f>
        <v/>
      </c>
      <c r="D955" s="10" t="str">
        <f>IF(ポートフォリオ実績!D956="","", ポートフォリオ実績!D956)</f>
        <v/>
      </c>
      <c r="E955" s="10" t="str">
        <f>IF(ポートフォリオ実績!E956="","", ポートフォリオ実績!E956)</f>
        <v/>
      </c>
      <c r="F955" s="10" t="str">
        <f>IF(ポートフォリオ実績!F956="","", ポートフォリオ実績!F956)</f>
        <v/>
      </c>
      <c r="G955" t="str">
        <f t="shared" si="154"/>
        <v/>
      </c>
      <c r="H955">
        <f>IF(B955&lt;&gt;"", SUMIFS(ポートフォリオ実績!$D$2:$D$2001, ポートフォリオ実績!$B$2:$B$2001, B955, ポートフォリオ実績!$A$2:$A$2001, G955), 0)</f>
        <v>0</v>
      </c>
      <c r="I955">
        <f>IF(B955&lt;&gt;"", SUMIFS(ポートフォリオ実績!$C$2:$C$2001, ポートフォリオ実績!$B$2:$B$2001, B955, ポートフォリオ実績!$A$2:$A$2001, G955), 0)</f>
        <v>0</v>
      </c>
      <c r="J955">
        <f t="shared" si="155"/>
        <v>0</v>
      </c>
      <c r="K955">
        <f t="shared" si="156"/>
        <v>0</v>
      </c>
      <c r="L955">
        <f t="shared" si="157"/>
        <v>0</v>
      </c>
      <c r="M955">
        <f t="shared" si="158"/>
        <v>0</v>
      </c>
      <c r="N955">
        <f t="shared" si="159"/>
        <v>0</v>
      </c>
      <c r="O955">
        <f t="shared" si="160"/>
        <v>0</v>
      </c>
      <c r="P955" t="str">
        <f t="shared" si="161"/>
        <v/>
      </c>
      <c r="Q955" t="str">
        <f>IF(B955="","", IFERROR(VLOOKUP(B955, '基準資産配分（設定）'!$A$2:$C$2001, 3, FALSE), ""))</f>
        <v/>
      </c>
      <c r="R955" t="str">
        <f>IF(B955="","", IFERROR(VLOOKUP(B955, '基準資産配分（設定）'!$A$2:$C$2001, 2, FALSE)/100, 0))</f>
        <v/>
      </c>
      <c r="S955" t="str">
        <f>IF(B955="","", IFERROR(SUMIFS(ベンチマークリターン!$C$2:$C$2001, ベンチマークリターン!$A$2:$A$2001, A955, ベンチマークリターン!$B$2:$B$2001, Q955) / 100, 0))</f>
        <v/>
      </c>
      <c r="T955" t="str">
        <f>IF(A955="","", SUMIFS($H$2:$H$2000, $A$2:$A$2000, A955))</f>
        <v/>
      </c>
      <c r="U955" t="str">
        <f t="shared" si="162"/>
        <v/>
      </c>
      <c r="V955" t="str">
        <f t="shared" si="163"/>
        <v/>
      </c>
      <c r="W955" t="str">
        <f t="shared" si="164"/>
        <v/>
      </c>
    </row>
    <row r="956" spans="1:23" x14ac:dyDescent="0.2">
      <c r="A956" s="4" t="str">
        <f>IF(ポートフォリオ実績!A957="","", ポートフォリオ実績!A957)</f>
        <v/>
      </c>
      <c r="B956" t="str">
        <f>IF(ポートフォリオ実績!B957="","", ポートフォリオ実績!B957)</f>
        <v/>
      </c>
      <c r="C956" s="10" t="str">
        <f>IF(ポートフォリオ実績!C957="","", ポートフォリオ実績!C957)</f>
        <v/>
      </c>
      <c r="D956" s="10" t="str">
        <f>IF(ポートフォリオ実績!D957="","", ポートフォリオ実績!D957)</f>
        <v/>
      </c>
      <c r="E956" s="10" t="str">
        <f>IF(ポートフォリオ実績!E957="","", ポートフォリオ実績!E957)</f>
        <v/>
      </c>
      <c r="F956" s="10" t="str">
        <f>IF(ポートフォリオ実績!F957="","", ポートフォリオ実績!F957)</f>
        <v/>
      </c>
      <c r="G956" t="str">
        <f t="shared" si="154"/>
        <v/>
      </c>
      <c r="H956">
        <f>IF(B956&lt;&gt;"", SUMIFS(ポートフォリオ実績!$D$2:$D$2001, ポートフォリオ実績!$B$2:$B$2001, B956, ポートフォリオ実績!$A$2:$A$2001, G956), 0)</f>
        <v>0</v>
      </c>
      <c r="I956">
        <f>IF(B956&lt;&gt;"", SUMIFS(ポートフォリオ実績!$C$2:$C$2001, ポートフォリオ実績!$B$2:$B$2001, B956, ポートフォリオ実績!$A$2:$A$2001, G956), 0)</f>
        <v>0</v>
      </c>
      <c r="J956">
        <f t="shared" si="155"/>
        <v>0</v>
      </c>
      <c r="K956">
        <f t="shared" si="156"/>
        <v>0</v>
      </c>
      <c r="L956">
        <f t="shared" si="157"/>
        <v>0</v>
      </c>
      <c r="M956">
        <f t="shared" si="158"/>
        <v>0</v>
      </c>
      <c r="N956">
        <f t="shared" si="159"/>
        <v>0</v>
      </c>
      <c r="O956">
        <f t="shared" si="160"/>
        <v>0</v>
      </c>
      <c r="P956" t="str">
        <f t="shared" si="161"/>
        <v/>
      </c>
      <c r="Q956" t="str">
        <f>IF(B956="","", IFERROR(VLOOKUP(B956, '基準資産配分（設定）'!$A$2:$C$2001, 3, FALSE), ""))</f>
        <v/>
      </c>
      <c r="R956" t="str">
        <f>IF(B956="","", IFERROR(VLOOKUP(B956, '基準資産配分（設定）'!$A$2:$C$2001, 2, FALSE)/100, 0))</f>
        <v/>
      </c>
      <c r="S956" t="str">
        <f>IF(B956="","", IFERROR(SUMIFS(ベンチマークリターン!$C$2:$C$2001, ベンチマークリターン!$A$2:$A$2001, A956, ベンチマークリターン!$B$2:$B$2001, Q956) / 100, 0))</f>
        <v/>
      </c>
      <c r="T956" t="str">
        <f>IF(A956="","", SUMIFS($H$2:$H$2000, $A$2:$A$2000, A956))</f>
        <v/>
      </c>
      <c r="U956" t="str">
        <f t="shared" si="162"/>
        <v/>
      </c>
      <c r="V956" t="str">
        <f t="shared" si="163"/>
        <v/>
      </c>
      <c r="W956" t="str">
        <f t="shared" si="164"/>
        <v/>
      </c>
    </row>
    <row r="957" spans="1:23" x14ac:dyDescent="0.2">
      <c r="A957" s="4" t="str">
        <f>IF(ポートフォリオ実績!A958="","", ポートフォリオ実績!A958)</f>
        <v/>
      </c>
      <c r="B957" t="str">
        <f>IF(ポートフォリオ実績!B958="","", ポートフォリオ実績!B958)</f>
        <v/>
      </c>
      <c r="C957" s="10" t="str">
        <f>IF(ポートフォリオ実績!C958="","", ポートフォリオ実績!C958)</f>
        <v/>
      </c>
      <c r="D957" s="10" t="str">
        <f>IF(ポートフォリオ実績!D958="","", ポートフォリオ実績!D958)</f>
        <v/>
      </c>
      <c r="E957" s="10" t="str">
        <f>IF(ポートフォリオ実績!E958="","", ポートフォリオ実績!E958)</f>
        <v/>
      </c>
      <c r="F957" s="10" t="str">
        <f>IF(ポートフォリオ実績!F958="","", ポートフォリオ実績!F958)</f>
        <v/>
      </c>
      <c r="G957" t="str">
        <f t="shared" si="154"/>
        <v/>
      </c>
      <c r="H957">
        <f>IF(B957&lt;&gt;"", SUMIFS(ポートフォリオ実績!$D$2:$D$2001, ポートフォリオ実績!$B$2:$B$2001, B957, ポートフォリオ実績!$A$2:$A$2001, G957), 0)</f>
        <v>0</v>
      </c>
      <c r="I957">
        <f>IF(B957&lt;&gt;"", SUMIFS(ポートフォリオ実績!$C$2:$C$2001, ポートフォリオ実績!$B$2:$B$2001, B957, ポートフォリオ実績!$A$2:$A$2001, G957), 0)</f>
        <v>0</v>
      </c>
      <c r="J957">
        <f t="shared" si="155"/>
        <v>0</v>
      </c>
      <c r="K957">
        <f t="shared" si="156"/>
        <v>0</v>
      </c>
      <c r="L957">
        <f t="shared" si="157"/>
        <v>0</v>
      </c>
      <c r="M957">
        <f t="shared" si="158"/>
        <v>0</v>
      </c>
      <c r="N957">
        <f t="shared" si="159"/>
        <v>0</v>
      </c>
      <c r="O957">
        <f t="shared" si="160"/>
        <v>0</v>
      </c>
      <c r="P957" t="str">
        <f t="shared" si="161"/>
        <v/>
      </c>
      <c r="Q957" t="str">
        <f>IF(B957="","", IFERROR(VLOOKUP(B957, '基準資産配分（設定）'!$A$2:$C$2001, 3, FALSE), ""))</f>
        <v/>
      </c>
      <c r="R957" t="str">
        <f>IF(B957="","", IFERROR(VLOOKUP(B957, '基準資産配分（設定）'!$A$2:$C$2001, 2, FALSE)/100, 0))</f>
        <v/>
      </c>
      <c r="S957" t="str">
        <f>IF(B957="","", IFERROR(SUMIFS(ベンチマークリターン!$C$2:$C$2001, ベンチマークリターン!$A$2:$A$2001, A957, ベンチマークリターン!$B$2:$B$2001, Q957) / 100, 0))</f>
        <v/>
      </c>
      <c r="T957" t="str">
        <f>IF(A957="","", SUMIFS($H$2:$H$2000, $A$2:$A$2000, A957))</f>
        <v/>
      </c>
      <c r="U957" t="str">
        <f t="shared" si="162"/>
        <v/>
      </c>
      <c r="V957" t="str">
        <f t="shared" si="163"/>
        <v/>
      </c>
      <c r="W957" t="str">
        <f t="shared" si="164"/>
        <v/>
      </c>
    </row>
    <row r="958" spans="1:23" x14ac:dyDescent="0.2">
      <c r="A958" s="4" t="str">
        <f>IF(ポートフォリオ実績!A959="","", ポートフォリオ実績!A959)</f>
        <v/>
      </c>
      <c r="B958" t="str">
        <f>IF(ポートフォリオ実績!B959="","", ポートフォリオ実績!B959)</f>
        <v/>
      </c>
      <c r="C958" s="10" t="str">
        <f>IF(ポートフォリオ実績!C959="","", ポートフォリオ実績!C959)</f>
        <v/>
      </c>
      <c r="D958" s="10" t="str">
        <f>IF(ポートフォリオ実績!D959="","", ポートフォリオ実績!D959)</f>
        <v/>
      </c>
      <c r="E958" s="10" t="str">
        <f>IF(ポートフォリオ実績!E959="","", ポートフォリオ実績!E959)</f>
        <v/>
      </c>
      <c r="F958" s="10" t="str">
        <f>IF(ポートフォリオ実績!F959="","", ポートフォリオ実績!F959)</f>
        <v/>
      </c>
      <c r="G958" t="str">
        <f t="shared" si="154"/>
        <v/>
      </c>
      <c r="H958">
        <f>IF(B958&lt;&gt;"", SUMIFS(ポートフォリオ実績!$D$2:$D$2001, ポートフォリオ実績!$B$2:$B$2001, B958, ポートフォリオ実績!$A$2:$A$2001, G958), 0)</f>
        <v>0</v>
      </c>
      <c r="I958">
        <f>IF(B958&lt;&gt;"", SUMIFS(ポートフォリオ実績!$C$2:$C$2001, ポートフォリオ実績!$B$2:$B$2001, B958, ポートフォリオ実績!$A$2:$A$2001, G958), 0)</f>
        <v>0</v>
      </c>
      <c r="J958">
        <f t="shared" si="155"/>
        <v>0</v>
      </c>
      <c r="K958">
        <f t="shared" si="156"/>
        <v>0</v>
      </c>
      <c r="L958">
        <f t="shared" si="157"/>
        <v>0</v>
      </c>
      <c r="M958">
        <f t="shared" si="158"/>
        <v>0</v>
      </c>
      <c r="N958">
        <f t="shared" si="159"/>
        <v>0</v>
      </c>
      <c r="O958">
        <f t="shared" si="160"/>
        <v>0</v>
      </c>
      <c r="P958" t="str">
        <f t="shared" si="161"/>
        <v/>
      </c>
      <c r="Q958" t="str">
        <f>IF(B958="","", IFERROR(VLOOKUP(B958, '基準資産配分（設定）'!$A$2:$C$2001, 3, FALSE), ""))</f>
        <v/>
      </c>
      <c r="R958" t="str">
        <f>IF(B958="","", IFERROR(VLOOKUP(B958, '基準資産配分（設定）'!$A$2:$C$2001, 2, FALSE)/100, 0))</f>
        <v/>
      </c>
      <c r="S958" t="str">
        <f>IF(B958="","", IFERROR(SUMIFS(ベンチマークリターン!$C$2:$C$2001, ベンチマークリターン!$A$2:$A$2001, A958, ベンチマークリターン!$B$2:$B$2001, Q958) / 100, 0))</f>
        <v/>
      </c>
      <c r="T958" t="str">
        <f>IF(A958="","", SUMIFS($H$2:$H$2000, $A$2:$A$2000, A958))</f>
        <v/>
      </c>
      <c r="U958" t="str">
        <f t="shared" si="162"/>
        <v/>
      </c>
      <c r="V958" t="str">
        <f t="shared" si="163"/>
        <v/>
      </c>
      <c r="W958" t="str">
        <f t="shared" si="164"/>
        <v/>
      </c>
    </row>
    <row r="959" spans="1:23" x14ac:dyDescent="0.2">
      <c r="A959" s="4" t="str">
        <f>IF(ポートフォリオ実績!A960="","", ポートフォリオ実績!A960)</f>
        <v/>
      </c>
      <c r="B959" t="str">
        <f>IF(ポートフォリオ実績!B960="","", ポートフォリオ実績!B960)</f>
        <v/>
      </c>
      <c r="C959" s="10" t="str">
        <f>IF(ポートフォリオ実績!C960="","", ポートフォリオ実績!C960)</f>
        <v/>
      </c>
      <c r="D959" s="10" t="str">
        <f>IF(ポートフォリオ実績!D960="","", ポートフォリオ実績!D960)</f>
        <v/>
      </c>
      <c r="E959" s="10" t="str">
        <f>IF(ポートフォリオ実績!E960="","", ポートフォリオ実績!E960)</f>
        <v/>
      </c>
      <c r="F959" s="10" t="str">
        <f>IF(ポートフォリオ実績!F960="","", ポートフォリオ実績!F960)</f>
        <v/>
      </c>
      <c r="G959" t="str">
        <f t="shared" si="154"/>
        <v/>
      </c>
      <c r="H959">
        <f>IF(B959&lt;&gt;"", SUMIFS(ポートフォリオ実績!$D$2:$D$2001, ポートフォリオ実績!$B$2:$B$2001, B959, ポートフォリオ実績!$A$2:$A$2001, G959), 0)</f>
        <v>0</v>
      </c>
      <c r="I959">
        <f>IF(B959&lt;&gt;"", SUMIFS(ポートフォリオ実績!$C$2:$C$2001, ポートフォリオ実績!$B$2:$B$2001, B959, ポートフォリオ実績!$A$2:$A$2001, G959), 0)</f>
        <v>0</v>
      </c>
      <c r="J959">
        <f t="shared" si="155"/>
        <v>0</v>
      </c>
      <c r="K959">
        <f t="shared" si="156"/>
        <v>0</v>
      </c>
      <c r="L959">
        <f t="shared" si="157"/>
        <v>0</v>
      </c>
      <c r="M959">
        <f t="shared" si="158"/>
        <v>0</v>
      </c>
      <c r="N959">
        <f t="shared" si="159"/>
        <v>0</v>
      </c>
      <c r="O959">
        <f t="shared" si="160"/>
        <v>0</v>
      </c>
      <c r="P959" t="str">
        <f t="shared" si="161"/>
        <v/>
      </c>
      <c r="Q959" t="str">
        <f>IF(B959="","", IFERROR(VLOOKUP(B959, '基準資産配分（設定）'!$A$2:$C$2001, 3, FALSE), ""))</f>
        <v/>
      </c>
      <c r="R959" t="str">
        <f>IF(B959="","", IFERROR(VLOOKUP(B959, '基準資産配分（設定）'!$A$2:$C$2001, 2, FALSE)/100, 0))</f>
        <v/>
      </c>
      <c r="S959" t="str">
        <f>IF(B959="","", IFERROR(SUMIFS(ベンチマークリターン!$C$2:$C$2001, ベンチマークリターン!$A$2:$A$2001, A959, ベンチマークリターン!$B$2:$B$2001, Q959) / 100, 0))</f>
        <v/>
      </c>
      <c r="T959" t="str">
        <f>IF(A959="","", SUMIFS($H$2:$H$2000, $A$2:$A$2000, A959))</f>
        <v/>
      </c>
      <c r="U959" t="str">
        <f t="shared" si="162"/>
        <v/>
      </c>
      <c r="V959" t="str">
        <f t="shared" si="163"/>
        <v/>
      </c>
      <c r="W959" t="str">
        <f t="shared" si="164"/>
        <v/>
      </c>
    </row>
    <row r="960" spans="1:23" x14ac:dyDescent="0.2">
      <c r="A960" s="4" t="str">
        <f>IF(ポートフォリオ実績!A961="","", ポートフォリオ実績!A961)</f>
        <v/>
      </c>
      <c r="B960" t="str">
        <f>IF(ポートフォリオ実績!B961="","", ポートフォリオ実績!B961)</f>
        <v/>
      </c>
      <c r="C960" s="10" t="str">
        <f>IF(ポートフォリオ実績!C961="","", ポートフォリオ実績!C961)</f>
        <v/>
      </c>
      <c r="D960" s="10" t="str">
        <f>IF(ポートフォリオ実績!D961="","", ポートフォリオ実績!D961)</f>
        <v/>
      </c>
      <c r="E960" s="10" t="str">
        <f>IF(ポートフォリオ実績!E961="","", ポートフォリオ実績!E961)</f>
        <v/>
      </c>
      <c r="F960" s="10" t="str">
        <f>IF(ポートフォリオ実績!F961="","", ポートフォリオ実績!F961)</f>
        <v/>
      </c>
      <c r="G960" t="str">
        <f t="shared" si="154"/>
        <v/>
      </c>
      <c r="H960">
        <f>IF(B960&lt;&gt;"", SUMIFS(ポートフォリオ実績!$D$2:$D$2001, ポートフォリオ実績!$B$2:$B$2001, B960, ポートフォリオ実績!$A$2:$A$2001, G960), 0)</f>
        <v>0</v>
      </c>
      <c r="I960">
        <f>IF(B960&lt;&gt;"", SUMIFS(ポートフォリオ実績!$C$2:$C$2001, ポートフォリオ実績!$B$2:$B$2001, B960, ポートフォリオ実績!$A$2:$A$2001, G960), 0)</f>
        <v>0</v>
      </c>
      <c r="J960">
        <f t="shared" si="155"/>
        <v>0</v>
      </c>
      <c r="K960">
        <f t="shared" si="156"/>
        <v>0</v>
      </c>
      <c r="L960">
        <f t="shared" si="157"/>
        <v>0</v>
      </c>
      <c r="M960">
        <f t="shared" si="158"/>
        <v>0</v>
      </c>
      <c r="N960">
        <f t="shared" si="159"/>
        <v>0</v>
      </c>
      <c r="O960">
        <f t="shared" si="160"/>
        <v>0</v>
      </c>
      <c r="P960" t="str">
        <f t="shared" si="161"/>
        <v/>
      </c>
      <c r="Q960" t="str">
        <f>IF(B960="","", IFERROR(VLOOKUP(B960, '基準資産配分（設定）'!$A$2:$C$2001, 3, FALSE), ""))</f>
        <v/>
      </c>
      <c r="R960" t="str">
        <f>IF(B960="","", IFERROR(VLOOKUP(B960, '基準資産配分（設定）'!$A$2:$C$2001, 2, FALSE)/100, 0))</f>
        <v/>
      </c>
      <c r="S960" t="str">
        <f>IF(B960="","", IFERROR(SUMIFS(ベンチマークリターン!$C$2:$C$2001, ベンチマークリターン!$A$2:$A$2001, A960, ベンチマークリターン!$B$2:$B$2001, Q960) / 100, 0))</f>
        <v/>
      </c>
      <c r="T960" t="str">
        <f>IF(A960="","", SUMIFS($H$2:$H$2000, $A$2:$A$2000, A960))</f>
        <v/>
      </c>
      <c r="U960" t="str">
        <f t="shared" si="162"/>
        <v/>
      </c>
      <c r="V960" t="str">
        <f t="shared" si="163"/>
        <v/>
      </c>
      <c r="W960" t="str">
        <f t="shared" si="164"/>
        <v/>
      </c>
    </row>
    <row r="961" spans="1:23" x14ac:dyDescent="0.2">
      <c r="A961" s="4" t="str">
        <f>IF(ポートフォリオ実績!A962="","", ポートフォリオ実績!A962)</f>
        <v/>
      </c>
      <c r="B961" t="str">
        <f>IF(ポートフォリオ実績!B962="","", ポートフォリオ実績!B962)</f>
        <v/>
      </c>
      <c r="C961" s="10" t="str">
        <f>IF(ポートフォリオ実績!C962="","", ポートフォリオ実績!C962)</f>
        <v/>
      </c>
      <c r="D961" s="10" t="str">
        <f>IF(ポートフォリオ実績!D962="","", ポートフォリオ実績!D962)</f>
        <v/>
      </c>
      <c r="E961" s="10" t="str">
        <f>IF(ポートフォリオ実績!E962="","", ポートフォリオ実績!E962)</f>
        <v/>
      </c>
      <c r="F961" s="10" t="str">
        <f>IF(ポートフォリオ実績!F962="","", ポートフォリオ実績!F962)</f>
        <v/>
      </c>
      <c r="G961" t="str">
        <f t="shared" ref="G961:G1024" si="165">IF(A961&lt;&gt;"", EOMONTH(A961, -1), "")</f>
        <v/>
      </c>
      <c r="H961">
        <f>IF(B961&lt;&gt;"", SUMIFS(ポートフォリオ実績!$D$2:$D$2001, ポートフォリオ実績!$B$2:$B$2001, B961, ポートフォリオ実績!$A$2:$A$2001, G961), 0)</f>
        <v>0</v>
      </c>
      <c r="I961">
        <f>IF(B961&lt;&gt;"", SUMIFS(ポートフォリオ実績!$C$2:$C$2001, ポートフォリオ実績!$B$2:$B$2001, B961, ポートフォリオ実績!$A$2:$A$2001, G961), 0)</f>
        <v>0</v>
      </c>
      <c r="J961">
        <f t="shared" ref="J961:J1024" si="166">IF(A961&lt;&gt;"", D961-C961, 0)</f>
        <v>0</v>
      </c>
      <c r="K961">
        <f t="shared" ref="K961:K1024" si="167">IF(A961&lt;&gt;"", H961-I961, 0)</f>
        <v>0</v>
      </c>
      <c r="L961">
        <f t="shared" ref="L961:L1024" si="168">IF(H961=0, 0, J961-K961)</f>
        <v>0</v>
      </c>
      <c r="M961">
        <f t="shared" ref="M961:M1024" si="169">IF(A961&lt;&gt;"", E961+F961+L961, 0)</f>
        <v>0</v>
      </c>
      <c r="N961">
        <f t="shared" ref="N961:N1024" si="170">IF(H961=0, 0, (D961-H961)-M961)</f>
        <v>0</v>
      </c>
      <c r="O961">
        <f t="shared" ref="O961:O1024" si="171">IF(A961&lt;&gt;"", H961+N961*0.5, 0)</f>
        <v>0</v>
      </c>
      <c r="P961" t="str">
        <f t="shared" ref="P961:P1024" si="172">IF(A961="","", IF(O961&gt;0.000001, M961/O961, IF(ABS(M961)&lt;0.000001, 0, 0)))</f>
        <v/>
      </c>
      <c r="Q961" t="str">
        <f>IF(B961="","", IFERROR(VLOOKUP(B961, '基準資産配分（設定）'!$A$2:$C$2001, 3, FALSE), ""))</f>
        <v/>
      </c>
      <c r="R961" t="str">
        <f>IF(B961="","", IFERROR(VLOOKUP(B961, '基準資産配分（設定）'!$A$2:$C$2001, 2, FALSE)/100, 0))</f>
        <v/>
      </c>
      <c r="S961" t="str">
        <f>IF(B961="","", IFERROR(SUMIFS(ベンチマークリターン!$C$2:$C$2001, ベンチマークリターン!$A$2:$A$2001, A961, ベンチマークリターン!$B$2:$B$2001, Q961) / 100, 0))</f>
        <v/>
      </c>
      <c r="T961" t="str">
        <f>IF(A961="","", SUMIFS($H$2:$H$2000, $A$2:$A$2000, A961))</f>
        <v/>
      </c>
      <c r="U961" t="str">
        <f t="shared" ref="U961:U1024" si="173">IF(A961="","", IFERROR(H961/T961, 0))</f>
        <v/>
      </c>
      <c r="V961" t="str">
        <f t="shared" ref="V961:V1024" si="174">IF(A961="","", U961*P961)</f>
        <v/>
      </c>
      <c r="W961" t="str">
        <f t="shared" ref="W961:W1024" si="175">IF(A961="","", R961*S961)</f>
        <v/>
      </c>
    </row>
    <row r="962" spans="1:23" x14ac:dyDescent="0.2">
      <c r="A962" s="4" t="str">
        <f>IF(ポートフォリオ実績!A963="","", ポートフォリオ実績!A963)</f>
        <v/>
      </c>
      <c r="B962" t="str">
        <f>IF(ポートフォリオ実績!B963="","", ポートフォリオ実績!B963)</f>
        <v/>
      </c>
      <c r="C962" s="10" t="str">
        <f>IF(ポートフォリオ実績!C963="","", ポートフォリオ実績!C963)</f>
        <v/>
      </c>
      <c r="D962" s="10" t="str">
        <f>IF(ポートフォリオ実績!D963="","", ポートフォリオ実績!D963)</f>
        <v/>
      </c>
      <c r="E962" s="10" t="str">
        <f>IF(ポートフォリオ実績!E963="","", ポートフォリオ実績!E963)</f>
        <v/>
      </c>
      <c r="F962" s="10" t="str">
        <f>IF(ポートフォリオ実績!F963="","", ポートフォリオ実績!F963)</f>
        <v/>
      </c>
      <c r="G962" t="str">
        <f t="shared" si="165"/>
        <v/>
      </c>
      <c r="H962">
        <f>IF(B962&lt;&gt;"", SUMIFS(ポートフォリオ実績!$D$2:$D$2001, ポートフォリオ実績!$B$2:$B$2001, B962, ポートフォリオ実績!$A$2:$A$2001, G962), 0)</f>
        <v>0</v>
      </c>
      <c r="I962">
        <f>IF(B962&lt;&gt;"", SUMIFS(ポートフォリオ実績!$C$2:$C$2001, ポートフォリオ実績!$B$2:$B$2001, B962, ポートフォリオ実績!$A$2:$A$2001, G962), 0)</f>
        <v>0</v>
      </c>
      <c r="J962">
        <f t="shared" si="166"/>
        <v>0</v>
      </c>
      <c r="K962">
        <f t="shared" si="167"/>
        <v>0</v>
      </c>
      <c r="L962">
        <f t="shared" si="168"/>
        <v>0</v>
      </c>
      <c r="M962">
        <f t="shared" si="169"/>
        <v>0</v>
      </c>
      <c r="N962">
        <f t="shared" si="170"/>
        <v>0</v>
      </c>
      <c r="O962">
        <f t="shared" si="171"/>
        <v>0</v>
      </c>
      <c r="P962" t="str">
        <f t="shared" si="172"/>
        <v/>
      </c>
      <c r="Q962" t="str">
        <f>IF(B962="","", IFERROR(VLOOKUP(B962, '基準資産配分（設定）'!$A$2:$C$2001, 3, FALSE), ""))</f>
        <v/>
      </c>
      <c r="R962" t="str">
        <f>IF(B962="","", IFERROR(VLOOKUP(B962, '基準資産配分（設定）'!$A$2:$C$2001, 2, FALSE)/100, 0))</f>
        <v/>
      </c>
      <c r="S962" t="str">
        <f>IF(B962="","", IFERROR(SUMIFS(ベンチマークリターン!$C$2:$C$2001, ベンチマークリターン!$A$2:$A$2001, A962, ベンチマークリターン!$B$2:$B$2001, Q962) / 100, 0))</f>
        <v/>
      </c>
      <c r="T962" t="str">
        <f>IF(A962="","", SUMIFS($H$2:$H$2000, $A$2:$A$2000, A962))</f>
        <v/>
      </c>
      <c r="U962" t="str">
        <f t="shared" si="173"/>
        <v/>
      </c>
      <c r="V962" t="str">
        <f t="shared" si="174"/>
        <v/>
      </c>
      <c r="W962" t="str">
        <f t="shared" si="175"/>
        <v/>
      </c>
    </row>
    <row r="963" spans="1:23" x14ac:dyDescent="0.2">
      <c r="A963" s="4" t="str">
        <f>IF(ポートフォリオ実績!A964="","", ポートフォリオ実績!A964)</f>
        <v/>
      </c>
      <c r="B963" t="str">
        <f>IF(ポートフォリオ実績!B964="","", ポートフォリオ実績!B964)</f>
        <v/>
      </c>
      <c r="C963" s="10" t="str">
        <f>IF(ポートフォリオ実績!C964="","", ポートフォリオ実績!C964)</f>
        <v/>
      </c>
      <c r="D963" s="10" t="str">
        <f>IF(ポートフォリオ実績!D964="","", ポートフォリオ実績!D964)</f>
        <v/>
      </c>
      <c r="E963" s="10" t="str">
        <f>IF(ポートフォリオ実績!E964="","", ポートフォリオ実績!E964)</f>
        <v/>
      </c>
      <c r="F963" s="10" t="str">
        <f>IF(ポートフォリオ実績!F964="","", ポートフォリオ実績!F964)</f>
        <v/>
      </c>
      <c r="G963" t="str">
        <f t="shared" si="165"/>
        <v/>
      </c>
      <c r="H963">
        <f>IF(B963&lt;&gt;"", SUMIFS(ポートフォリオ実績!$D$2:$D$2001, ポートフォリオ実績!$B$2:$B$2001, B963, ポートフォリオ実績!$A$2:$A$2001, G963), 0)</f>
        <v>0</v>
      </c>
      <c r="I963">
        <f>IF(B963&lt;&gt;"", SUMIFS(ポートフォリオ実績!$C$2:$C$2001, ポートフォリオ実績!$B$2:$B$2001, B963, ポートフォリオ実績!$A$2:$A$2001, G963), 0)</f>
        <v>0</v>
      </c>
      <c r="J963">
        <f t="shared" si="166"/>
        <v>0</v>
      </c>
      <c r="K963">
        <f t="shared" si="167"/>
        <v>0</v>
      </c>
      <c r="L963">
        <f t="shared" si="168"/>
        <v>0</v>
      </c>
      <c r="M963">
        <f t="shared" si="169"/>
        <v>0</v>
      </c>
      <c r="N963">
        <f t="shared" si="170"/>
        <v>0</v>
      </c>
      <c r="O963">
        <f t="shared" si="171"/>
        <v>0</v>
      </c>
      <c r="P963" t="str">
        <f t="shared" si="172"/>
        <v/>
      </c>
      <c r="Q963" t="str">
        <f>IF(B963="","", IFERROR(VLOOKUP(B963, '基準資産配分（設定）'!$A$2:$C$2001, 3, FALSE), ""))</f>
        <v/>
      </c>
      <c r="R963" t="str">
        <f>IF(B963="","", IFERROR(VLOOKUP(B963, '基準資産配分（設定）'!$A$2:$C$2001, 2, FALSE)/100, 0))</f>
        <v/>
      </c>
      <c r="S963" t="str">
        <f>IF(B963="","", IFERROR(SUMIFS(ベンチマークリターン!$C$2:$C$2001, ベンチマークリターン!$A$2:$A$2001, A963, ベンチマークリターン!$B$2:$B$2001, Q963) / 100, 0))</f>
        <v/>
      </c>
      <c r="T963" t="str">
        <f>IF(A963="","", SUMIFS($H$2:$H$2000, $A$2:$A$2000, A963))</f>
        <v/>
      </c>
      <c r="U963" t="str">
        <f t="shared" si="173"/>
        <v/>
      </c>
      <c r="V963" t="str">
        <f t="shared" si="174"/>
        <v/>
      </c>
      <c r="W963" t="str">
        <f t="shared" si="175"/>
        <v/>
      </c>
    </row>
    <row r="964" spans="1:23" x14ac:dyDescent="0.2">
      <c r="A964" s="4" t="str">
        <f>IF(ポートフォリオ実績!A965="","", ポートフォリオ実績!A965)</f>
        <v/>
      </c>
      <c r="B964" t="str">
        <f>IF(ポートフォリオ実績!B965="","", ポートフォリオ実績!B965)</f>
        <v/>
      </c>
      <c r="C964" s="10" t="str">
        <f>IF(ポートフォリオ実績!C965="","", ポートフォリオ実績!C965)</f>
        <v/>
      </c>
      <c r="D964" s="10" t="str">
        <f>IF(ポートフォリオ実績!D965="","", ポートフォリオ実績!D965)</f>
        <v/>
      </c>
      <c r="E964" s="10" t="str">
        <f>IF(ポートフォリオ実績!E965="","", ポートフォリオ実績!E965)</f>
        <v/>
      </c>
      <c r="F964" s="10" t="str">
        <f>IF(ポートフォリオ実績!F965="","", ポートフォリオ実績!F965)</f>
        <v/>
      </c>
      <c r="G964" t="str">
        <f t="shared" si="165"/>
        <v/>
      </c>
      <c r="H964">
        <f>IF(B964&lt;&gt;"", SUMIFS(ポートフォリオ実績!$D$2:$D$2001, ポートフォリオ実績!$B$2:$B$2001, B964, ポートフォリオ実績!$A$2:$A$2001, G964), 0)</f>
        <v>0</v>
      </c>
      <c r="I964">
        <f>IF(B964&lt;&gt;"", SUMIFS(ポートフォリオ実績!$C$2:$C$2001, ポートフォリオ実績!$B$2:$B$2001, B964, ポートフォリオ実績!$A$2:$A$2001, G964), 0)</f>
        <v>0</v>
      </c>
      <c r="J964">
        <f t="shared" si="166"/>
        <v>0</v>
      </c>
      <c r="K964">
        <f t="shared" si="167"/>
        <v>0</v>
      </c>
      <c r="L964">
        <f t="shared" si="168"/>
        <v>0</v>
      </c>
      <c r="M964">
        <f t="shared" si="169"/>
        <v>0</v>
      </c>
      <c r="N964">
        <f t="shared" si="170"/>
        <v>0</v>
      </c>
      <c r="O964">
        <f t="shared" si="171"/>
        <v>0</v>
      </c>
      <c r="P964" t="str">
        <f t="shared" si="172"/>
        <v/>
      </c>
      <c r="Q964" t="str">
        <f>IF(B964="","", IFERROR(VLOOKUP(B964, '基準資産配分（設定）'!$A$2:$C$2001, 3, FALSE), ""))</f>
        <v/>
      </c>
      <c r="R964" t="str">
        <f>IF(B964="","", IFERROR(VLOOKUP(B964, '基準資産配分（設定）'!$A$2:$C$2001, 2, FALSE)/100, 0))</f>
        <v/>
      </c>
      <c r="S964" t="str">
        <f>IF(B964="","", IFERROR(SUMIFS(ベンチマークリターン!$C$2:$C$2001, ベンチマークリターン!$A$2:$A$2001, A964, ベンチマークリターン!$B$2:$B$2001, Q964) / 100, 0))</f>
        <v/>
      </c>
      <c r="T964" t="str">
        <f>IF(A964="","", SUMIFS($H$2:$H$2000, $A$2:$A$2000, A964))</f>
        <v/>
      </c>
      <c r="U964" t="str">
        <f t="shared" si="173"/>
        <v/>
      </c>
      <c r="V964" t="str">
        <f t="shared" si="174"/>
        <v/>
      </c>
      <c r="W964" t="str">
        <f t="shared" si="175"/>
        <v/>
      </c>
    </row>
    <row r="965" spans="1:23" x14ac:dyDescent="0.2">
      <c r="A965" s="4" t="str">
        <f>IF(ポートフォリオ実績!A966="","", ポートフォリオ実績!A966)</f>
        <v/>
      </c>
      <c r="B965" t="str">
        <f>IF(ポートフォリオ実績!B966="","", ポートフォリオ実績!B966)</f>
        <v/>
      </c>
      <c r="C965" s="10" t="str">
        <f>IF(ポートフォリオ実績!C966="","", ポートフォリオ実績!C966)</f>
        <v/>
      </c>
      <c r="D965" s="10" t="str">
        <f>IF(ポートフォリオ実績!D966="","", ポートフォリオ実績!D966)</f>
        <v/>
      </c>
      <c r="E965" s="10" t="str">
        <f>IF(ポートフォリオ実績!E966="","", ポートフォリオ実績!E966)</f>
        <v/>
      </c>
      <c r="F965" s="10" t="str">
        <f>IF(ポートフォリオ実績!F966="","", ポートフォリオ実績!F966)</f>
        <v/>
      </c>
      <c r="G965" t="str">
        <f t="shared" si="165"/>
        <v/>
      </c>
      <c r="H965">
        <f>IF(B965&lt;&gt;"", SUMIFS(ポートフォリオ実績!$D$2:$D$2001, ポートフォリオ実績!$B$2:$B$2001, B965, ポートフォリオ実績!$A$2:$A$2001, G965), 0)</f>
        <v>0</v>
      </c>
      <c r="I965">
        <f>IF(B965&lt;&gt;"", SUMIFS(ポートフォリオ実績!$C$2:$C$2001, ポートフォリオ実績!$B$2:$B$2001, B965, ポートフォリオ実績!$A$2:$A$2001, G965), 0)</f>
        <v>0</v>
      </c>
      <c r="J965">
        <f t="shared" si="166"/>
        <v>0</v>
      </c>
      <c r="K965">
        <f t="shared" si="167"/>
        <v>0</v>
      </c>
      <c r="L965">
        <f t="shared" si="168"/>
        <v>0</v>
      </c>
      <c r="M965">
        <f t="shared" si="169"/>
        <v>0</v>
      </c>
      <c r="N965">
        <f t="shared" si="170"/>
        <v>0</v>
      </c>
      <c r="O965">
        <f t="shared" si="171"/>
        <v>0</v>
      </c>
      <c r="P965" t="str">
        <f t="shared" si="172"/>
        <v/>
      </c>
      <c r="Q965" t="str">
        <f>IF(B965="","", IFERROR(VLOOKUP(B965, '基準資産配分（設定）'!$A$2:$C$2001, 3, FALSE), ""))</f>
        <v/>
      </c>
      <c r="R965" t="str">
        <f>IF(B965="","", IFERROR(VLOOKUP(B965, '基準資産配分（設定）'!$A$2:$C$2001, 2, FALSE)/100, 0))</f>
        <v/>
      </c>
      <c r="S965" t="str">
        <f>IF(B965="","", IFERROR(SUMIFS(ベンチマークリターン!$C$2:$C$2001, ベンチマークリターン!$A$2:$A$2001, A965, ベンチマークリターン!$B$2:$B$2001, Q965) / 100, 0))</f>
        <v/>
      </c>
      <c r="T965" t="str">
        <f>IF(A965="","", SUMIFS($H$2:$H$2000, $A$2:$A$2000, A965))</f>
        <v/>
      </c>
      <c r="U965" t="str">
        <f t="shared" si="173"/>
        <v/>
      </c>
      <c r="V965" t="str">
        <f t="shared" si="174"/>
        <v/>
      </c>
      <c r="W965" t="str">
        <f t="shared" si="175"/>
        <v/>
      </c>
    </row>
    <row r="966" spans="1:23" x14ac:dyDescent="0.2">
      <c r="A966" s="4" t="str">
        <f>IF(ポートフォリオ実績!A967="","", ポートフォリオ実績!A967)</f>
        <v/>
      </c>
      <c r="B966" t="str">
        <f>IF(ポートフォリオ実績!B967="","", ポートフォリオ実績!B967)</f>
        <v/>
      </c>
      <c r="C966" s="10" t="str">
        <f>IF(ポートフォリオ実績!C967="","", ポートフォリオ実績!C967)</f>
        <v/>
      </c>
      <c r="D966" s="10" t="str">
        <f>IF(ポートフォリオ実績!D967="","", ポートフォリオ実績!D967)</f>
        <v/>
      </c>
      <c r="E966" s="10" t="str">
        <f>IF(ポートフォリオ実績!E967="","", ポートフォリオ実績!E967)</f>
        <v/>
      </c>
      <c r="F966" s="10" t="str">
        <f>IF(ポートフォリオ実績!F967="","", ポートフォリオ実績!F967)</f>
        <v/>
      </c>
      <c r="G966" t="str">
        <f t="shared" si="165"/>
        <v/>
      </c>
      <c r="H966">
        <f>IF(B966&lt;&gt;"", SUMIFS(ポートフォリオ実績!$D$2:$D$2001, ポートフォリオ実績!$B$2:$B$2001, B966, ポートフォリオ実績!$A$2:$A$2001, G966), 0)</f>
        <v>0</v>
      </c>
      <c r="I966">
        <f>IF(B966&lt;&gt;"", SUMIFS(ポートフォリオ実績!$C$2:$C$2001, ポートフォリオ実績!$B$2:$B$2001, B966, ポートフォリオ実績!$A$2:$A$2001, G966), 0)</f>
        <v>0</v>
      </c>
      <c r="J966">
        <f t="shared" si="166"/>
        <v>0</v>
      </c>
      <c r="K966">
        <f t="shared" si="167"/>
        <v>0</v>
      </c>
      <c r="L966">
        <f t="shared" si="168"/>
        <v>0</v>
      </c>
      <c r="M966">
        <f t="shared" si="169"/>
        <v>0</v>
      </c>
      <c r="N966">
        <f t="shared" si="170"/>
        <v>0</v>
      </c>
      <c r="O966">
        <f t="shared" si="171"/>
        <v>0</v>
      </c>
      <c r="P966" t="str">
        <f t="shared" si="172"/>
        <v/>
      </c>
      <c r="Q966" t="str">
        <f>IF(B966="","", IFERROR(VLOOKUP(B966, '基準資産配分（設定）'!$A$2:$C$2001, 3, FALSE), ""))</f>
        <v/>
      </c>
      <c r="R966" t="str">
        <f>IF(B966="","", IFERROR(VLOOKUP(B966, '基準資産配分（設定）'!$A$2:$C$2001, 2, FALSE)/100, 0))</f>
        <v/>
      </c>
      <c r="S966" t="str">
        <f>IF(B966="","", IFERROR(SUMIFS(ベンチマークリターン!$C$2:$C$2001, ベンチマークリターン!$A$2:$A$2001, A966, ベンチマークリターン!$B$2:$B$2001, Q966) / 100, 0))</f>
        <v/>
      </c>
      <c r="T966" t="str">
        <f>IF(A966="","", SUMIFS($H$2:$H$2000, $A$2:$A$2000, A966))</f>
        <v/>
      </c>
      <c r="U966" t="str">
        <f t="shared" si="173"/>
        <v/>
      </c>
      <c r="V966" t="str">
        <f t="shared" si="174"/>
        <v/>
      </c>
      <c r="W966" t="str">
        <f t="shared" si="175"/>
        <v/>
      </c>
    </row>
    <row r="967" spans="1:23" x14ac:dyDescent="0.2">
      <c r="A967" s="4" t="str">
        <f>IF(ポートフォリオ実績!A968="","", ポートフォリオ実績!A968)</f>
        <v/>
      </c>
      <c r="B967" t="str">
        <f>IF(ポートフォリオ実績!B968="","", ポートフォリオ実績!B968)</f>
        <v/>
      </c>
      <c r="C967" s="10" t="str">
        <f>IF(ポートフォリオ実績!C968="","", ポートフォリオ実績!C968)</f>
        <v/>
      </c>
      <c r="D967" s="10" t="str">
        <f>IF(ポートフォリオ実績!D968="","", ポートフォリオ実績!D968)</f>
        <v/>
      </c>
      <c r="E967" s="10" t="str">
        <f>IF(ポートフォリオ実績!E968="","", ポートフォリオ実績!E968)</f>
        <v/>
      </c>
      <c r="F967" s="10" t="str">
        <f>IF(ポートフォリオ実績!F968="","", ポートフォリオ実績!F968)</f>
        <v/>
      </c>
      <c r="G967" t="str">
        <f t="shared" si="165"/>
        <v/>
      </c>
      <c r="H967">
        <f>IF(B967&lt;&gt;"", SUMIFS(ポートフォリオ実績!$D$2:$D$2001, ポートフォリオ実績!$B$2:$B$2001, B967, ポートフォリオ実績!$A$2:$A$2001, G967), 0)</f>
        <v>0</v>
      </c>
      <c r="I967">
        <f>IF(B967&lt;&gt;"", SUMIFS(ポートフォリオ実績!$C$2:$C$2001, ポートフォリオ実績!$B$2:$B$2001, B967, ポートフォリオ実績!$A$2:$A$2001, G967), 0)</f>
        <v>0</v>
      </c>
      <c r="J967">
        <f t="shared" si="166"/>
        <v>0</v>
      </c>
      <c r="K967">
        <f t="shared" si="167"/>
        <v>0</v>
      </c>
      <c r="L967">
        <f t="shared" si="168"/>
        <v>0</v>
      </c>
      <c r="M967">
        <f t="shared" si="169"/>
        <v>0</v>
      </c>
      <c r="N967">
        <f t="shared" si="170"/>
        <v>0</v>
      </c>
      <c r="O967">
        <f t="shared" si="171"/>
        <v>0</v>
      </c>
      <c r="P967" t="str">
        <f t="shared" si="172"/>
        <v/>
      </c>
      <c r="Q967" t="str">
        <f>IF(B967="","", IFERROR(VLOOKUP(B967, '基準資産配分（設定）'!$A$2:$C$2001, 3, FALSE), ""))</f>
        <v/>
      </c>
      <c r="R967" t="str">
        <f>IF(B967="","", IFERROR(VLOOKUP(B967, '基準資産配分（設定）'!$A$2:$C$2001, 2, FALSE)/100, 0))</f>
        <v/>
      </c>
      <c r="S967" t="str">
        <f>IF(B967="","", IFERROR(SUMIFS(ベンチマークリターン!$C$2:$C$2001, ベンチマークリターン!$A$2:$A$2001, A967, ベンチマークリターン!$B$2:$B$2001, Q967) / 100, 0))</f>
        <v/>
      </c>
      <c r="T967" t="str">
        <f>IF(A967="","", SUMIFS($H$2:$H$2000, $A$2:$A$2000, A967))</f>
        <v/>
      </c>
      <c r="U967" t="str">
        <f t="shared" si="173"/>
        <v/>
      </c>
      <c r="V967" t="str">
        <f t="shared" si="174"/>
        <v/>
      </c>
      <c r="W967" t="str">
        <f t="shared" si="175"/>
        <v/>
      </c>
    </row>
    <row r="968" spans="1:23" x14ac:dyDescent="0.2">
      <c r="A968" s="4" t="str">
        <f>IF(ポートフォリオ実績!A969="","", ポートフォリオ実績!A969)</f>
        <v/>
      </c>
      <c r="B968" t="str">
        <f>IF(ポートフォリオ実績!B969="","", ポートフォリオ実績!B969)</f>
        <v/>
      </c>
      <c r="C968" s="10" t="str">
        <f>IF(ポートフォリオ実績!C969="","", ポートフォリオ実績!C969)</f>
        <v/>
      </c>
      <c r="D968" s="10" t="str">
        <f>IF(ポートフォリオ実績!D969="","", ポートフォリオ実績!D969)</f>
        <v/>
      </c>
      <c r="E968" s="10" t="str">
        <f>IF(ポートフォリオ実績!E969="","", ポートフォリオ実績!E969)</f>
        <v/>
      </c>
      <c r="F968" s="10" t="str">
        <f>IF(ポートフォリオ実績!F969="","", ポートフォリオ実績!F969)</f>
        <v/>
      </c>
      <c r="G968" t="str">
        <f t="shared" si="165"/>
        <v/>
      </c>
      <c r="H968">
        <f>IF(B968&lt;&gt;"", SUMIFS(ポートフォリオ実績!$D$2:$D$2001, ポートフォリオ実績!$B$2:$B$2001, B968, ポートフォリオ実績!$A$2:$A$2001, G968), 0)</f>
        <v>0</v>
      </c>
      <c r="I968">
        <f>IF(B968&lt;&gt;"", SUMIFS(ポートフォリオ実績!$C$2:$C$2001, ポートフォリオ実績!$B$2:$B$2001, B968, ポートフォリオ実績!$A$2:$A$2001, G968), 0)</f>
        <v>0</v>
      </c>
      <c r="J968">
        <f t="shared" si="166"/>
        <v>0</v>
      </c>
      <c r="K968">
        <f t="shared" si="167"/>
        <v>0</v>
      </c>
      <c r="L968">
        <f t="shared" si="168"/>
        <v>0</v>
      </c>
      <c r="M968">
        <f t="shared" si="169"/>
        <v>0</v>
      </c>
      <c r="N968">
        <f t="shared" si="170"/>
        <v>0</v>
      </c>
      <c r="O968">
        <f t="shared" si="171"/>
        <v>0</v>
      </c>
      <c r="P968" t="str">
        <f t="shared" si="172"/>
        <v/>
      </c>
      <c r="Q968" t="str">
        <f>IF(B968="","", IFERROR(VLOOKUP(B968, '基準資産配分（設定）'!$A$2:$C$2001, 3, FALSE), ""))</f>
        <v/>
      </c>
      <c r="R968" t="str">
        <f>IF(B968="","", IFERROR(VLOOKUP(B968, '基準資産配分（設定）'!$A$2:$C$2001, 2, FALSE)/100, 0))</f>
        <v/>
      </c>
      <c r="S968" t="str">
        <f>IF(B968="","", IFERROR(SUMIFS(ベンチマークリターン!$C$2:$C$2001, ベンチマークリターン!$A$2:$A$2001, A968, ベンチマークリターン!$B$2:$B$2001, Q968) / 100, 0))</f>
        <v/>
      </c>
      <c r="T968" t="str">
        <f>IF(A968="","", SUMIFS($H$2:$H$2000, $A$2:$A$2000, A968))</f>
        <v/>
      </c>
      <c r="U968" t="str">
        <f t="shared" si="173"/>
        <v/>
      </c>
      <c r="V968" t="str">
        <f t="shared" si="174"/>
        <v/>
      </c>
      <c r="W968" t="str">
        <f t="shared" si="175"/>
        <v/>
      </c>
    </row>
    <row r="969" spans="1:23" x14ac:dyDescent="0.2">
      <c r="A969" s="4" t="str">
        <f>IF(ポートフォリオ実績!A970="","", ポートフォリオ実績!A970)</f>
        <v/>
      </c>
      <c r="B969" t="str">
        <f>IF(ポートフォリオ実績!B970="","", ポートフォリオ実績!B970)</f>
        <v/>
      </c>
      <c r="C969" s="10" t="str">
        <f>IF(ポートフォリオ実績!C970="","", ポートフォリオ実績!C970)</f>
        <v/>
      </c>
      <c r="D969" s="10" t="str">
        <f>IF(ポートフォリオ実績!D970="","", ポートフォリオ実績!D970)</f>
        <v/>
      </c>
      <c r="E969" s="10" t="str">
        <f>IF(ポートフォリオ実績!E970="","", ポートフォリオ実績!E970)</f>
        <v/>
      </c>
      <c r="F969" s="10" t="str">
        <f>IF(ポートフォリオ実績!F970="","", ポートフォリオ実績!F970)</f>
        <v/>
      </c>
      <c r="G969" t="str">
        <f t="shared" si="165"/>
        <v/>
      </c>
      <c r="H969">
        <f>IF(B969&lt;&gt;"", SUMIFS(ポートフォリオ実績!$D$2:$D$2001, ポートフォリオ実績!$B$2:$B$2001, B969, ポートフォリオ実績!$A$2:$A$2001, G969), 0)</f>
        <v>0</v>
      </c>
      <c r="I969">
        <f>IF(B969&lt;&gt;"", SUMIFS(ポートフォリオ実績!$C$2:$C$2001, ポートフォリオ実績!$B$2:$B$2001, B969, ポートフォリオ実績!$A$2:$A$2001, G969), 0)</f>
        <v>0</v>
      </c>
      <c r="J969">
        <f t="shared" si="166"/>
        <v>0</v>
      </c>
      <c r="K969">
        <f t="shared" si="167"/>
        <v>0</v>
      </c>
      <c r="L969">
        <f t="shared" si="168"/>
        <v>0</v>
      </c>
      <c r="M969">
        <f t="shared" si="169"/>
        <v>0</v>
      </c>
      <c r="N969">
        <f t="shared" si="170"/>
        <v>0</v>
      </c>
      <c r="O969">
        <f t="shared" si="171"/>
        <v>0</v>
      </c>
      <c r="P969" t="str">
        <f t="shared" si="172"/>
        <v/>
      </c>
      <c r="Q969" t="str">
        <f>IF(B969="","", IFERROR(VLOOKUP(B969, '基準資産配分（設定）'!$A$2:$C$2001, 3, FALSE), ""))</f>
        <v/>
      </c>
      <c r="R969" t="str">
        <f>IF(B969="","", IFERROR(VLOOKUP(B969, '基準資産配分（設定）'!$A$2:$C$2001, 2, FALSE)/100, 0))</f>
        <v/>
      </c>
      <c r="S969" t="str">
        <f>IF(B969="","", IFERROR(SUMIFS(ベンチマークリターン!$C$2:$C$2001, ベンチマークリターン!$A$2:$A$2001, A969, ベンチマークリターン!$B$2:$B$2001, Q969) / 100, 0))</f>
        <v/>
      </c>
      <c r="T969" t="str">
        <f>IF(A969="","", SUMIFS($H$2:$H$2000, $A$2:$A$2000, A969))</f>
        <v/>
      </c>
      <c r="U969" t="str">
        <f t="shared" si="173"/>
        <v/>
      </c>
      <c r="V969" t="str">
        <f t="shared" si="174"/>
        <v/>
      </c>
      <c r="W969" t="str">
        <f t="shared" si="175"/>
        <v/>
      </c>
    </row>
    <row r="970" spans="1:23" x14ac:dyDescent="0.2">
      <c r="A970" s="4" t="str">
        <f>IF(ポートフォリオ実績!A971="","", ポートフォリオ実績!A971)</f>
        <v/>
      </c>
      <c r="B970" t="str">
        <f>IF(ポートフォリオ実績!B971="","", ポートフォリオ実績!B971)</f>
        <v/>
      </c>
      <c r="C970" s="10" t="str">
        <f>IF(ポートフォリオ実績!C971="","", ポートフォリオ実績!C971)</f>
        <v/>
      </c>
      <c r="D970" s="10" t="str">
        <f>IF(ポートフォリオ実績!D971="","", ポートフォリオ実績!D971)</f>
        <v/>
      </c>
      <c r="E970" s="10" t="str">
        <f>IF(ポートフォリオ実績!E971="","", ポートフォリオ実績!E971)</f>
        <v/>
      </c>
      <c r="F970" s="10" t="str">
        <f>IF(ポートフォリオ実績!F971="","", ポートフォリオ実績!F971)</f>
        <v/>
      </c>
      <c r="G970" t="str">
        <f t="shared" si="165"/>
        <v/>
      </c>
      <c r="H970">
        <f>IF(B970&lt;&gt;"", SUMIFS(ポートフォリオ実績!$D$2:$D$2001, ポートフォリオ実績!$B$2:$B$2001, B970, ポートフォリオ実績!$A$2:$A$2001, G970), 0)</f>
        <v>0</v>
      </c>
      <c r="I970">
        <f>IF(B970&lt;&gt;"", SUMIFS(ポートフォリオ実績!$C$2:$C$2001, ポートフォリオ実績!$B$2:$B$2001, B970, ポートフォリオ実績!$A$2:$A$2001, G970), 0)</f>
        <v>0</v>
      </c>
      <c r="J970">
        <f t="shared" si="166"/>
        <v>0</v>
      </c>
      <c r="K970">
        <f t="shared" si="167"/>
        <v>0</v>
      </c>
      <c r="L970">
        <f t="shared" si="168"/>
        <v>0</v>
      </c>
      <c r="M970">
        <f t="shared" si="169"/>
        <v>0</v>
      </c>
      <c r="N970">
        <f t="shared" si="170"/>
        <v>0</v>
      </c>
      <c r="O970">
        <f t="shared" si="171"/>
        <v>0</v>
      </c>
      <c r="P970" t="str">
        <f t="shared" si="172"/>
        <v/>
      </c>
      <c r="Q970" t="str">
        <f>IF(B970="","", IFERROR(VLOOKUP(B970, '基準資産配分（設定）'!$A$2:$C$2001, 3, FALSE), ""))</f>
        <v/>
      </c>
      <c r="R970" t="str">
        <f>IF(B970="","", IFERROR(VLOOKUP(B970, '基準資産配分（設定）'!$A$2:$C$2001, 2, FALSE)/100, 0))</f>
        <v/>
      </c>
      <c r="S970" t="str">
        <f>IF(B970="","", IFERROR(SUMIFS(ベンチマークリターン!$C$2:$C$2001, ベンチマークリターン!$A$2:$A$2001, A970, ベンチマークリターン!$B$2:$B$2001, Q970) / 100, 0))</f>
        <v/>
      </c>
      <c r="T970" t="str">
        <f>IF(A970="","", SUMIFS($H$2:$H$2000, $A$2:$A$2000, A970))</f>
        <v/>
      </c>
      <c r="U970" t="str">
        <f t="shared" si="173"/>
        <v/>
      </c>
      <c r="V970" t="str">
        <f t="shared" si="174"/>
        <v/>
      </c>
      <c r="W970" t="str">
        <f t="shared" si="175"/>
        <v/>
      </c>
    </row>
    <row r="971" spans="1:23" x14ac:dyDescent="0.2">
      <c r="A971" s="4" t="str">
        <f>IF(ポートフォリオ実績!A972="","", ポートフォリオ実績!A972)</f>
        <v/>
      </c>
      <c r="B971" t="str">
        <f>IF(ポートフォリオ実績!B972="","", ポートフォリオ実績!B972)</f>
        <v/>
      </c>
      <c r="C971" s="10" t="str">
        <f>IF(ポートフォリオ実績!C972="","", ポートフォリオ実績!C972)</f>
        <v/>
      </c>
      <c r="D971" s="10" t="str">
        <f>IF(ポートフォリオ実績!D972="","", ポートフォリオ実績!D972)</f>
        <v/>
      </c>
      <c r="E971" s="10" t="str">
        <f>IF(ポートフォリオ実績!E972="","", ポートフォリオ実績!E972)</f>
        <v/>
      </c>
      <c r="F971" s="10" t="str">
        <f>IF(ポートフォリオ実績!F972="","", ポートフォリオ実績!F972)</f>
        <v/>
      </c>
      <c r="G971" t="str">
        <f t="shared" si="165"/>
        <v/>
      </c>
      <c r="H971">
        <f>IF(B971&lt;&gt;"", SUMIFS(ポートフォリオ実績!$D$2:$D$2001, ポートフォリオ実績!$B$2:$B$2001, B971, ポートフォリオ実績!$A$2:$A$2001, G971), 0)</f>
        <v>0</v>
      </c>
      <c r="I971">
        <f>IF(B971&lt;&gt;"", SUMIFS(ポートフォリオ実績!$C$2:$C$2001, ポートフォリオ実績!$B$2:$B$2001, B971, ポートフォリオ実績!$A$2:$A$2001, G971), 0)</f>
        <v>0</v>
      </c>
      <c r="J971">
        <f t="shared" si="166"/>
        <v>0</v>
      </c>
      <c r="K971">
        <f t="shared" si="167"/>
        <v>0</v>
      </c>
      <c r="L971">
        <f t="shared" si="168"/>
        <v>0</v>
      </c>
      <c r="M971">
        <f t="shared" si="169"/>
        <v>0</v>
      </c>
      <c r="N971">
        <f t="shared" si="170"/>
        <v>0</v>
      </c>
      <c r="O971">
        <f t="shared" si="171"/>
        <v>0</v>
      </c>
      <c r="P971" t="str">
        <f t="shared" si="172"/>
        <v/>
      </c>
      <c r="Q971" t="str">
        <f>IF(B971="","", IFERROR(VLOOKUP(B971, '基準資産配分（設定）'!$A$2:$C$2001, 3, FALSE), ""))</f>
        <v/>
      </c>
      <c r="R971" t="str">
        <f>IF(B971="","", IFERROR(VLOOKUP(B971, '基準資産配分（設定）'!$A$2:$C$2001, 2, FALSE)/100, 0))</f>
        <v/>
      </c>
      <c r="S971" t="str">
        <f>IF(B971="","", IFERROR(SUMIFS(ベンチマークリターン!$C$2:$C$2001, ベンチマークリターン!$A$2:$A$2001, A971, ベンチマークリターン!$B$2:$B$2001, Q971) / 100, 0))</f>
        <v/>
      </c>
      <c r="T971" t="str">
        <f>IF(A971="","", SUMIFS($H$2:$H$2000, $A$2:$A$2000, A971))</f>
        <v/>
      </c>
      <c r="U971" t="str">
        <f t="shared" si="173"/>
        <v/>
      </c>
      <c r="V971" t="str">
        <f t="shared" si="174"/>
        <v/>
      </c>
      <c r="W971" t="str">
        <f t="shared" si="175"/>
        <v/>
      </c>
    </row>
    <row r="972" spans="1:23" x14ac:dyDescent="0.2">
      <c r="A972" s="4" t="str">
        <f>IF(ポートフォリオ実績!A973="","", ポートフォリオ実績!A973)</f>
        <v/>
      </c>
      <c r="B972" t="str">
        <f>IF(ポートフォリオ実績!B973="","", ポートフォリオ実績!B973)</f>
        <v/>
      </c>
      <c r="C972" s="10" t="str">
        <f>IF(ポートフォリオ実績!C973="","", ポートフォリオ実績!C973)</f>
        <v/>
      </c>
      <c r="D972" s="10" t="str">
        <f>IF(ポートフォリオ実績!D973="","", ポートフォリオ実績!D973)</f>
        <v/>
      </c>
      <c r="E972" s="10" t="str">
        <f>IF(ポートフォリオ実績!E973="","", ポートフォリオ実績!E973)</f>
        <v/>
      </c>
      <c r="F972" s="10" t="str">
        <f>IF(ポートフォリオ実績!F973="","", ポートフォリオ実績!F973)</f>
        <v/>
      </c>
      <c r="G972" t="str">
        <f t="shared" si="165"/>
        <v/>
      </c>
      <c r="H972">
        <f>IF(B972&lt;&gt;"", SUMIFS(ポートフォリオ実績!$D$2:$D$2001, ポートフォリオ実績!$B$2:$B$2001, B972, ポートフォリオ実績!$A$2:$A$2001, G972), 0)</f>
        <v>0</v>
      </c>
      <c r="I972">
        <f>IF(B972&lt;&gt;"", SUMIFS(ポートフォリオ実績!$C$2:$C$2001, ポートフォリオ実績!$B$2:$B$2001, B972, ポートフォリオ実績!$A$2:$A$2001, G972), 0)</f>
        <v>0</v>
      </c>
      <c r="J972">
        <f t="shared" si="166"/>
        <v>0</v>
      </c>
      <c r="K972">
        <f t="shared" si="167"/>
        <v>0</v>
      </c>
      <c r="L972">
        <f t="shared" si="168"/>
        <v>0</v>
      </c>
      <c r="M972">
        <f t="shared" si="169"/>
        <v>0</v>
      </c>
      <c r="N972">
        <f t="shared" si="170"/>
        <v>0</v>
      </c>
      <c r="O972">
        <f t="shared" si="171"/>
        <v>0</v>
      </c>
      <c r="P972" t="str">
        <f t="shared" si="172"/>
        <v/>
      </c>
      <c r="Q972" t="str">
        <f>IF(B972="","", IFERROR(VLOOKUP(B972, '基準資産配分（設定）'!$A$2:$C$2001, 3, FALSE), ""))</f>
        <v/>
      </c>
      <c r="R972" t="str">
        <f>IF(B972="","", IFERROR(VLOOKUP(B972, '基準資産配分（設定）'!$A$2:$C$2001, 2, FALSE)/100, 0))</f>
        <v/>
      </c>
      <c r="S972" t="str">
        <f>IF(B972="","", IFERROR(SUMIFS(ベンチマークリターン!$C$2:$C$2001, ベンチマークリターン!$A$2:$A$2001, A972, ベンチマークリターン!$B$2:$B$2001, Q972) / 100, 0))</f>
        <v/>
      </c>
      <c r="T972" t="str">
        <f>IF(A972="","", SUMIFS($H$2:$H$2000, $A$2:$A$2000, A972))</f>
        <v/>
      </c>
      <c r="U972" t="str">
        <f t="shared" si="173"/>
        <v/>
      </c>
      <c r="V972" t="str">
        <f t="shared" si="174"/>
        <v/>
      </c>
      <c r="W972" t="str">
        <f t="shared" si="175"/>
        <v/>
      </c>
    </row>
    <row r="973" spans="1:23" x14ac:dyDescent="0.2">
      <c r="A973" s="4" t="str">
        <f>IF(ポートフォリオ実績!A974="","", ポートフォリオ実績!A974)</f>
        <v/>
      </c>
      <c r="B973" t="str">
        <f>IF(ポートフォリオ実績!B974="","", ポートフォリオ実績!B974)</f>
        <v/>
      </c>
      <c r="C973" s="10" t="str">
        <f>IF(ポートフォリオ実績!C974="","", ポートフォリオ実績!C974)</f>
        <v/>
      </c>
      <c r="D973" s="10" t="str">
        <f>IF(ポートフォリオ実績!D974="","", ポートフォリオ実績!D974)</f>
        <v/>
      </c>
      <c r="E973" s="10" t="str">
        <f>IF(ポートフォリオ実績!E974="","", ポートフォリオ実績!E974)</f>
        <v/>
      </c>
      <c r="F973" s="10" t="str">
        <f>IF(ポートフォリオ実績!F974="","", ポートフォリオ実績!F974)</f>
        <v/>
      </c>
      <c r="G973" t="str">
        <f t="shared" si="165"/>
        <v/>
      </c>
      <c r="H973">
        <f>IF(B973&lt;&gt;"", SUMIFS(ポートフォリオ実績!$D$2:$D$2001, ポートフォリオ実績!$B$2:$B$2001, B973, ポートフォリオ実績!$A$2:$A$2001, G973), 0)</f>
        <v>0</v>
      </c>
      <c r="I973">
        <f>IF(B973&lt;&gt;"", SUMIFS(ポートフォリオ実績!$C$2:$C$2001, ポートフォリオ実績!$B$2:$B$2001, B973, ポートフォリオ実績!$A$2:$A$2001, G973), 0)</f>
        <v>0</v>
      </c>
      <c r="J973">
        <f t="shared" si="166"/>
        <v>0</v>
      </c>
      <c r="K973">
        <f t="shared" si="167"/>
        <v>0</v>
      </c>
      <c r="L973">
        <f t="shared" si="168"/>
        <v>0</v>
      </c>
      <c r="M973">
        <f t="shared" si="169"/>
        <v>0</v>
      </c>
      <c r="N973">
        <f t="shared" si="170"/>
        <v>0</v>
      </c>
      <c r="O973">
        <f t="shared" si="171"/>
        <v>0</v>
      </c>
      <c r="P973" t="str">
        <f t="shared" si="172"/>
        <v/>
      </c>
      <c r="Q973" t="str">
        <f>IF(B973="","", IFERROR(VLOOKUP(B973, '基準資産配分（設定）'!$A$2:$C$2001, 3, FALSE), ""))</f>
        <v/>
      </c>
      <c r="R973" t="str">
        <f>IF(B973="","", IFERROR(VLOOKUP(B973, '基準資産配分（設定）'!$A$2:$C$2001, 2, FALSE)/100, 0))</f>
        <v/>
      </c>
      <c r="S973" t="str">
        <f>IF(B973="","", IFERROR(SUMIFS(ベンチマークリターン!$C$2:$C$2001, ベンチマークリターン!$A$2:$A$2001, A973, ベンチマークリターン!$B$2:$B$2001, Q973) / 100, 0))</f>
        <v/>
      </c>
      <c r="T973" t="str">
        <f>IF(A973="","", SUMIFS($H$2:$H$2000, $A$2:$A$2000, A973))</f>
        <v/>
      </c>
      <c r="U973" t="str">
        <f t="shared" si="173"/>
        <v/>
      </c>
      <c r="V973" t="str">
        <f t="shared" si="174"/>
        <v/>
      </c>
      <c r="W973" t="str">
        <f t="shared" si="175"/>
        <v/>
      </c>
    </row>
    <row r="974" spans="1:23" x14ac:dyDescent="0.2">
      <c r="A974" s="4" t="str">
        <f>IF(ポートフォリオ実績!A975="","", ポートフォリオ実績!A975)</f>
        <v/>
      </c>
      <c r="B974" t="str">
        <f>IF(ポートフォリオ実績!B975="","", ポートフォリオ実績!B975)</f>
        <v/>
      </c>
      <c r="C974" s="10" t="str">
        <f>IF(ポートフォリオ実績!C975="","", ポートフォリオ実績!C975)</f>
        <v/>
      </c>
      <c r="D974" s="10" t="str">
        <f>IF(ポートフォリオ実績!D975="","", ポートフォリオ実績!D975)</f>
        <v/>
      </c>
      <c r="E974" s="10" t="str">
        <f>IF(ポートフォリオ実績!E975="","", ポートフォリオ実績!E975)</f>
        <v/>
      </c>
      <c r="F974" s="10" t="str">
        <f>IF(ポートフォリオ実績!F975="","", ポートフォリオ実績!F975)</f>
        <v/>
      </c>
      <c r="G974" t="str">
        <f t="shared" si="165"/>
        <v/>
      </c>
      <c r="H974">
        <f>IF(B974&lt;&gt;"", SUMIFS(ポートフォリオ実績!$D$2:$D$2001, ポートフォリオ実績!$B$2:$B$2001, B974, ポートフォリオ実績!$A$2:$A$2001, G974), 0)</f>
        <v>0</v>
      </c>
      <c r="I974">
        <f>IF(B974&lt;&gt;"", SUMIFS(ポートフォリオ実績!$C$2:$C$2001, ポートフォリオ実績!$B$2:$B$2001, B974, ポートフォリオ実績!$A$2:$A$2001, G974), 0)</f>
        <v>0</v>
      </c>
      <c r="J974">
        <f t="shared" si="166"/>
        <v>0</v>
      </c>
      <c r="K974">
        <f t="shared" si="167"/>
        <v>0</v>
      </c>
      <c r="L974">
        <f t="shared" si="168"/>
        <v>0</v>
      </c>
      <c r="M974">
        <f t="shared" si="169"/>
        <v>0</v>
      </c>
      <c r="N974">
        <f t="shared" si="170"/>
        <v>0</v>
      </c>
      <c r="O974">
        <f t="shared" si="171"/>
        <v>0</v>
      </c>
      <c r="P974" t="str">
        <f t="shared" si="172"/>
        <v/>
      </c>
      <c r="Q974" t="str">
        <f>IF(B974="","", IFERROR(VLOOKUP(B974, '基準資産配分（設定）'!$A$2:$C$2001, 3, FALSE), ""))</f>
        <v/>
      </c>
      <c r="R974" t="str">
        <f>IF(B974="","", IFERROR(VLOOKUP(B974, '基準資産配分（設定）'!$A$2:$C$2001, 2, FALSE)/100, 0))</f>
        <v/>
      </c>
      <c r="S974" t="str">
        <f>IF(B974="","", IFERROR(SUMIFS(ベンチマークリターン!$C$2:$C$2001, ベンチマークリターン!$A$2:$A$2001, A974, ベンチマークリターン!$B$2:$B$2001, Q974) / 100, 0))</f>
        <v/>
      </c>
      <c r="T974" t="str">
        <f>IF(A974="","", SUMIFS($H$2:$H$2000, $A$2:$A$2000, A974))</f>
        <v/>
      </c>
      <c r="U974" t="str">
        <f t="shared" si="173"/>
        <v/>
      </c>
      <c r="V974" t="str">
        <f t="shared" si="174"/>
        <v/>
      </c>
      <c r="W974" t="str">
        <f t="shared" si="175"/>
        <v/>
      </c>
    </row>
    <row r="975" spans="1:23" x14ac:dyDescent="0.2">
      <c r="A975" s="4" t="str">
        <f>IF(ポートフォリオ実績!A976="","", ポートフォリオ実績!A976)</f>
        <v/>
      </c>
      <c r="B975" t="str">
        <f>IF(ポートフォリオ実績!B976="","", ポートフォリオ実績!B976)</f>
        <v/>
      </c>
      <c r="C975" s="10" t="str">
        <f>IF(ポートフォリオ実績!C976="","", ポートフォリオ実績!C976)</f>
        <v/>
      </c>
      <c r="D975" s="10" t="str">
        <f>IF(ポートフォリオ実績!D976="","", ポートフォリオ実績!D976)</f>
        <v/>
      </c>
      <c r="E975" s="10" t="str">
        <f>IF(ポートフォリオ実績!E976="","", ポートフォリオ実績!E976)</f>
        <v/>
      </c>
      <c r="F975" s="10" t="str">
        <f>IF(ポートフォリオ実績!F976="","", ポートフォリオ実績!F976)</f>
        <v/>
      </c>
      <c r="G975" t="str">
        <f t="shared" si="165"/>
        <v/>
      </c>
      <c r="H975">
        <f>IF(B975&lt;&gt;"", SUMIFS(ポートフォリオ実績!$D$2:$D$2001, ポートフォリオ実績!$B$2:$B$2001, B975, ポートフォリオ実績!$A$2:$A$2001, G975), 0)</f>
        <v>0</v>
      </c>
      <c r="I975">
        <f>IF(B975&lt;&gt;"", SUMIFS(ポートフォリオ実績!$C$2:$C$2001, ポートフォリオ実績!$B$2:$B$2001, B975, ポートフォリオ実績!$A$2:$A$2001, G975), 0)</f>
        <v>0</v>
      </c>
      <c r="J975">
        <f t="shared" si="166"/>
        <v>0</v>
      </c>
      <c r="K975">
        <f t="shared" si="167"/>
        <v>0</v>
      </c>
      <c r="L975">
        <f t="shared" si="168"/>
        <v>0</v>
      </c>
      <c r="M975">
        <f t="shared" si="169"/>
        <v>0</v>
      </c>
      <c r="N975">
        <f t="shared" si="170"/>
        <v>0</v>
      </c>
      <c r="O975">
        <f t="shared" si="171"/>
        <v>0</v>
      </c>
      <c r="P975" t="str">
        <f t="shared" si="172"/>
        <v/>
      </c>
      <c r="Q975" t="str">
        <f>IF(B975="","", IFERROR(VLOOKUP(B975, '基準資産配分（設定）'!$A$2:$C$2001, 3, FALSE), ""))</f>
        <v/>
      </c>
      <c r="R975" t="str">
        <f>IF(B975="","", IFERROR(VLOOKUP(B975, '基準資産配分（設定）'!$A$2:$C$2001, 2, FALSE)/100, 0))</f>
        <v/>
      </c>
      <c r="S975" t="str">
        <f>IF(B975="","", IFERROR(SUMIFS(ベンチマークリターン!$C$2:$C$2001, ベンチマークリターン!$A$2:$A$2001, A975, ベンチマークリターン!$B$2:$B$2001, Q975) / 100, 0))</f>
        <v/>
      </c>
      <c r="T975" t="str">
        <f>IF(A975="","", SUMIFS($H$2:$H$2000, $A$2:$A$2000, A975))</f>
        <v/>
      </c>
      <c r="U975" t="str">
        <f t="shared" si="173"/>
        <v/>
      </c>
      <c r="V975" t="str">
        <f t="shared" si="174"/>
        <v/>
      </c>
      <c r="W975" t="str">
        <f t="shared" si="175"/>
        <v/>
      </c>
    </row>
    <row r="976" spans="1:23" x14ac:dyDescent="0.2">
      <c r="A976" s="4" t="str">
        <f>IF(ポートフォリオ実績!A977="","", ポートフォリオ実績!A977)</f>
        <v/>
      </c>
      <c r="B976" t="str">
        <f>IF(ポートフォリオ実績!B977="","", ポートフォリオ実績!B977)</f>
        <v/>
      </c>
      <c r="C976" s="10" t="str">
        <f>IF(ポートフォリオ実績!C977="","", ポートフォリオ実績!C977)</f>
        <v/>
      </c>
      <c r="D976" s="10" t="str">
        <f>IF(ポートフォリオ実績!D977="","", ポートフォリオ実績!D977)</f>
        <v/>
      </c>
      <c r="E976" s="10" t="str">
        <f>IF(ポートフォリオ実績!E977="","", ポートフォリオ実績!E977)</f>
        <v/>
      </c>
      <c r="F976" s="10" t="str">
        <f>IF(ポートフォリオ実績!F977="","", ポートフォリオ実績!F977)</f>
        <v/>
      </c>
      <c r="G976" t="str">
        <f t="shared" si="165"/>
        <v/>
      </c>
      <c r="H976">
        <f>IF(B976&lt;&gt;"", SUMIFS(ポートフォリオ実績!$D$2:$D$2001, ポートフォリオ実績!$B$2:$B$2001, B976, ポートフォリオ実績!$A$2:$A$2001, G976), 0)</f>
        <v>0</v>
      </c>
      <c r="I976">
        <f>IF(B976&lt;&gt;"", SUMIFS(ポートフォリオ実績!$C$2:$C$2001, ポートフォリオ実績!$B$2:$B$2001, B976, ポートフォリオ実績!$A$2:$A$2001, G976), 0)</f>
        <v>0</v>
      </c>
      <c r="J976">
        <f t="shared" si="166"/>
        <v>0</v>
      </c>
      <c r="K976">
        <f t="shared" si="167"/>
        <v>0</v>
      </c>
      <c r="L976">
        <f t="shared" si="168"/>
        <v>0</v>
      </c>
      <c r="M976">
        <f t="shared" si="169"/>
        <v>0</v>
      </c>
      <c r="N976">
        <f t="shared" si="170"/>
        <v>0</v>
      </c>
      <c r="O976">
        <f t="shared" si="171"/>
        <v>0</v>
      </c>
      <c r="P976" t="str">
        <f t="shared" si="172"/>
        <v/>
      </c>
      <c r="Q976" t="str">
        <f>IF(B976="","", IFERROR(VLOOKUP(B976, '基準資産配分（設定）'!$A$2:$C$2001, 3, FALSE), ""))</f>
        <v/>
      </c>
      <c r="R976" t="str">
        <f>IF(B976="","", IFERROR(VLOOKUP(B976, '基準資産配分（設定）'!$A$2:$C$2001, 2, FALSE)/100, 0))</f>
        <v/>
      </c>
      <c r="S976" t="str">
        <f>IF(B976="","", IFERROR(SUMIFS(ベンチマークリターン!$C$2:$C$2001, ベンチマークリターン!$A$2:$A$2001, A976, ベンチマークリターン!$B$2:$B$2001, Q976) / 100, 0))</f>
        <v/>
      </c>
      <c r="T976" t="str">
        <f>IF(A976="","", SUMIFS($H$2:$H$2000, $A$2:$A$2000, A976))</f>
        <v/>
      </c>
      <c r="U976" t="str">
        <f t="shared" si="173"/>
        <v/>
      </c>
      <c r="V976" t="str">
        <f t="shared" si="174"/>
        <v/>
      </c>
      <c r="W976" t="str">
        <f t="shared" si="175"/>
        <v/>
      </c>
    </row>
    <row r="977" spans="1:23" x14ac:dyDescent="0.2">
      <c r="A977" s="4" t="str">
        <f>IF(ポートフォリオ実績!A978="","", ポートフォリオ実績!A978)</f>
        <v/>
      </c>
      <c r="B977" t="str">
        <f>IF(ポートフォリオ実績!B978="","", ポートフォリオ実績!B978)</f>
        <v/>
      </c>
      <c r="C977" s="10" t="str">
        <f>IF(ポートフォリオ実績!C978="","", ポートフォリオ実績!C978)</f>
        <v/>
      </c>
      <c r="D977" s="10" t="str">
        <f>IF(ポートフォリオ実績!D978="","", ポートフォリオ実績!D978)</f>
        <v/>
      </c>
      <c r="E977" s="10" t="str">
        <f>IF(ポートフォリオ実績!E978="","", ポートフォリオ実績!E978)</f>
        <v/>
      </c>
      <c r="F977" s="10" t="str">
        <f>IF(ポートフォリオ実績!F978="","", ポートフォリオ実績!F978)</f>
        <v/>
      </c>
      <c r="G977" t="str">
        <f t="shared" si="165"/>
        <v/>
      </c>
      <c r="H977">
        <f>IF(B977&lt;&gt;"", SUMIFS(ポートフォリオ実績!$D$2:$D$2001, ポートフォリオ実績!$B$2:$B$2001, B977, ポートフォリオ実績!$A$2:$A$2001, G977), 0)</f>
        <v>0</v>
      </c>
      <c r="I977">
        <f>IF(B977&lt;&gt;"", SUMIFS(ポートフォリオ実績!$C$2:$C$2001, ポートフォリオ実績!$B$2:$B$2001, B977, ポートフォリオ実績!$A$2:$A$2001, G977), 0)</f>
        <v>0</v>
      </c>
      <c r="J977">
        <f t="shared" si="166"/>
        <v>0</v>
      </c>
      <c r="K977">
        <f t="shared" si="167"/>
        <v>0</v>
      </c>
      <c r="L977">
        <f t="shared" si="168"/>
        <v>0</v>
      </c>
      <c r="M977">
        <f t="shared" si="169"/>
        <v>0</v>
      </c>
      <c r="N977">
        <f t="shared" si="170"/>
        <v>0</v>
      </c>
      <c r="O977">
        <f t="shared" si="171"/>
        <v>0</v>
      </c>
      <c r="P977" t="str">
        <f t="shared" si="172"/>
        <v/>
      </c>
      <c r="Q977" t="str">
        <f>IF(B977="","", IFERROR(VLOOKUP(B977, '基準資産配分（設定）'!$A$2:$C$2001, 3, FALSE), ""))</f>
        <v/>
      </c>
      <c r="R977" t="str">
        <f>IF(B977="","", IFERROR(VLOOKUP(B977, '基準資産配分（設定）'!$A$2:$C$2001, 2, FALSE)/100, 0))</f>
        <v/>
      </c>
      <c r="S977" t="str">
        <f>IF(B977="","", IFERROR(SUMIFS(ベンチマークリターン!$C$2:$C$2001, ベンチマークリターン!$A$2:$A$2001, A977, ベンチマークリターン!$B$2:$B$2001, Q977) / 100, 0))</f>
        <v/>
      </c>
      <c r="T977" t="str">
        <f>IF(A977="","", SUMIFS($H$2:$H$2000, $A$2:$A$2000, A977))</f>
        <v/>
      </c>
      <c r="U977" t="str">
        <f t="shared" si="173"/>
        <v/>
      </c>
      <c r="V977" t="str">
        <f t="shared" si="174"/>
        <v/>
      </c>
      <c r="W977" t="str">
        <f t="shared" si="175"/>
        <v/>
      </c>
    </row>
    <row r="978" spans="1:23" x14ac:dyDescent="0.2">
      <c r="A978" s="4" t="str">
        <f>IF(ポートフォリオ実績!A979="","", ポートフォリオ実績!A979)</f>
        <v/>
      </c>
      <c r="B978" t="str">
        <f>IF(ポートフォリオ実績!B979="","", ポートフォリオ実績!B979)</f>
        <v/>
      </c>
      <c r="C978" s="10" t="str">
        <f>IF(ポートフォリオ実績!C979="","", ポートフォリオ実績!C979)</f>
        <v/>
      </c>
      <c r="D978" s="10" t="str">
        <f>IF(ポートフォリオ実績!D979="","", ポートフォリオ実績!D979)</f>
        <v/>
      </c>
      <c r="E978" s="10" t="str">
        <f>IF(ポートフォリオ実績!E979="","", ポートフォリオ実績!E979)</f>
        <v/>
      </c>
      <c r="F978" s="10" t="str">
        <f>IF(ポートフォリオ実績!F979="","", ポートフォリオ実績!F979)</f>
        <v/>
      </c>
      <c r="G978" t="str">
        <f t="shared" si="165"/>
        <v/>
      </c>
      <c r="H978">
        <f>IF(B978&lt;&gt;"", SUMIFS(ポートフォリオ実績!$D$2:$D$2001, ポートフォリオ実績!$B$2:$B$2001, B978, ポートフォリオ実績!$A$2:$A$2001, G978), 0)</f>
        <v>0</v>
      </c>
      <c r="I978">
        <f>IF(B978&lt;&gt;"", SUMIFS(ポートフォリオ実績!$C$2:$C$2001, ポートフォリオ実績!$B$2:$B$2001, B978, ポートフォリオ実績!$A$2:$A$2001, G978), 0)</f>
        <v>0</v>
      </c>
      <c r="J978">
        <f t="shared" si="166"/>
        <v>0</v>
      </c>
      <c r="K978">
        <f t="shared" si="167"/>
        <v>0</v>
      </c>
      <c r="L978">
        <f t="shared" si="168"/>
        <v>0</v>
      </c>
      <c r="M978">
        <f t="shared" si="169"/>
        <v>0</v>
      </c>
      <c r="N978">
        <f t="shared" si="170"/>
        <v>0</v>
      </c>
      <c r="O978">
        <f t="shared" si="171"/>
        <v>0</v>
      </c>
      <c r="P978" t="str">
        <f t="shared" si="172"/>
        <v/>
      </c>
      <c r="Q978" t="str">
        <f>IF(B978="","", IFERROR(VLOOKUP(B978, '基準資産配分（設定）'!$A$2:$C$2001, 3, FALSE), ""))</f>
        <v/>
      </c>
      <c r="R978" t="str">
        <f>IF(B978="","", IFERROR(VLOOKUP(B978, '基準資産配分（設定）'!$A$2:$C$2001, 2, FALSE)/100, 0))</f>
        <v/>
      </c>
      <c r="S978" t="str">
        <f>IF(B978="","", IFERROR(SUMIFS(ベンチマークリターン!$C$2:$C$2001, ベンチマークリターン!$A$2:$A$2001, A978, ベンチマークリターン!$B$2:$B$2001, Q978) / 100, 0))</f>
        <v/>
      </c>
      <c r="T978" t="str">
        <f>IF(A978="","", SUMIFS($H$2:$H$2000, $A$2:$A$2000, A978))</f>
        <v/>
      </c>
      <c r="U978" t="str">
        <f t="shared" si="173"/>
        <v/>
      </c>
      <c r="V978" t="str">
        <f t="shared" si="174"/>
        <v/>
      </c>
      <c r="W978" t="str">
        <f t="shared" si="175"/>
        <v/>
      </c>
    </row>
    <row r="979" spans="1:23" x14ac:dyDescent="0.2">
      <c r="A979" s="4" t="str">
        <f>IF(ポートフォリオ実績!A980="","", ポートフォリオ実績!A980)</f>
        <v/>
      </c>
      <c r="B979" t="str">
        <f>IF(ポートフォリオ実績!B980="","", ポートフォリオ実績!B980)</f>
        <v/>
      </c>
      <c r="C979" s="10" t="str">
        <f>IF(ポートフォリオ実績!C980="","", ポートフォリオ実績!C980)</f>
        <v/>
      </c>
      <c r="D979" s="10" t="str">
        <f>IF(ポートフォリオ実績!D980="","", ポートフォリオ実績!D980)</f>
        <v/>
      </c>
      <c r="E979" s="10" t="str">
        <f>IF(ポートフォリオ実績!E980="","", ポートフォリオ実績!E980)</f>
        <v/>
      </c>
      <c r="F979" s="10" t="str">
        <f>IF(ポートフォリオ実績!F980="","", ポートフォリオ実績!F980)</f>
        <v/>
      </c>
      <c r="G979" t="str">
        <f t="shared" si="165"/>
        <v/>
      </c>
      <c r="H979">
        <f>IF(B979&lt;&gt;"", SUMIFS(ポートフォリオ実績!$D$2:$D$2001, ポートフォリオ実績!$B$2:$B$2001, B979, ポートフォリオ実績!$A$2:$A$2001, G979), 0)</f>
        <v>0</v>
      </c>
      <c r="I979">
        <f>IF(B979&lt;&gt;"", SUMIFS(ポートフォリオ実績!$C$2:$C$2001, ポートフォリオ実績!$B$2:$B$2001, B979, ポートフォリオ実績!$A$2:$A$2001, G979), 0)</f>
        <v>0</v>
      </c>
      <c r="J979">
        <f t="shared" si="166"/>
        <v>0</v>
      </c>
      <c r="K979">
        <f t="shared" si="167"/>
        <v>0</v>
      </c>
      <c r="L979">
        <f t="shared" si="168"/>
        <v>0</v>
      </c>
      <c r="M979">
        <f t="shared" si="169"/>
        <v>0</v>
      </c>
      <c r="N979">
        <f t="shared" si="170"/>
        <v>0</v>
      </c>
      <c r="O979">
        <f t="shared" si="171"/>
        <v>0</v>
      </c>
      <c r="P979" t="str">
        <f t="shared" si="172"/>
        <v/>
      </c>
      <c r="Q979" t="str">
        <f>IF(B979="","", IFERROR(VLOOKUP(B979, '基準資産配分（設定）'!$A$2:$C$2001, 3, FALSE), ""))</f>
        <v/>
      </c>
      <c r="R979" t="str">
        <f>IF(B979="","", IFERROR(VLOOKUP(B979, '基準資産配分（設定）'!$A$2:$C$2001, 2, FALSE)/100, 0))</f>
        <v/>
      </c>
      <c r="S979" t="str">
        <f>IF(B979="","", IFERROR(SUMIFS(ベンチマークリターン!$C$2:$C$2001, ベンチマークリターン!$A$2:$A$2001, A979, ベンチマークリターン!$B$2:$B$2001, Q979) / 100, 0))</f>
        <v/>
      </c>
      <c r="T979" t="str">
        <f>IF(A979="","", SUMIFS($H$2:$H$2000, $A$2:$A$2000, A979))</f>
        <v/>
      </c>
      <c r="U979" t="str">
        <f t="shared" si="173"/>
        <v/>
      </c>
      <c r="V979" t="str">
        <f t="shared" si="174"/>
        <v/>
      </c>
      <c r="W979" t="str">
        <f t="shared" si="175"/>
        <v/>
      </c>
    </row>
    <row r="980" spans="1:23" x14ac:dyDescent="0.2">
      <c r="A980" s="4" t="str">
        <f>IF(ポートフォリオ実績!A981="","", ポートフォリオ実績!A981)</f>
        <v/>
      </c>
      <c r="B980" t="str">
        <f>IF(ポートフォリオ実績!B981="","", ポートフォリオ実績!B981)</f>
        <v/>
      </c>
      <c r="C980" s="10" t="str">
        <f>IF(ポートフォリオ実績!C981="","", ポートフォリオ実績!C981)</f>
        <v/>
      </c>
      <c r="D980" s="10" t="str">
        <f>IF(ポートフォリオ実績!D981="","", ポートフォリオ実績!D981)</f>
        <v/>
      </c>
      <c r="E980" s="10" t="str">
        <f>IF(ポートフォリオ実績!E981="","", ポートフォリオ実績!E981)</f>
        <v/>
      </c>
      <c r="F980" s="10" t="str">
        <f>IF(ポートフォリオ実績!F981="","", ポートフォリオ実績!F981)</f>
        <v/>
      </c>
      <c r="G980" t="str">
        <f t="shared" si="165"/>
        <v/>
      </c>
      <c r="H980">
        <f>IF(B980&lt;&gt;"", SUMIFS(ポートフォリオ実績!$D$2:$D$2001, ポートフォリオ実績!$B$2:$B$2001, B980, ポートフォリオ実績!$A$2:$A$2001, G980), 0)</f>
        <v>0</v>
      </c>
      <c r="I980">
        <f>IF(B980&lt;&gt;"", SUMIFS(ポートフォリオ実績!$C$2:$C$2001, ポートフォリオ実績!$B$2:$B$2001, B980, ポートフォリオ実績!$A$2:$A$2001, G980), 0)</f>
        <v>0</v>
      </c>
      <c r="J980">
        <f t="shared" si="166"/>
        <v>0</v>
      </c>
      <c r="K980">
        <f t="shared" si="167"/>
        <v>0</v>
      </c>
      <c r="L980">
        <f t="shared" si="168"/>
        <v>0</v>
      </c>
      <c r="M980">
        <f t="shared" si="169"/>
        <v>0</v>
      </c>
      <c r="N980">
        <f t="shared" si="170"/>
        <v>0</v>
      </c>
      <c r="O980">
        <f t="shared" si="171"/>
        <v>0</v>
      </c>
      <c r="P980" t="str">
        <f t="shared" si="172"/>
        <v/>
      </c>
      <c r="Q980" t="str">
        <f>IF(B980="","", IFERROR(VLOOKUP(B980, '基準資産配分（設定）'!$A$2:$C$2001, 3, FALSE), ""))</f>
        <v/>
      </c>
      <c r="R980" t="str">
        <f>IF(B980="","", IFERROR(VLOOKUP(B980, '基準資産配分（設定）'!$A$2:$C$2001, 2, FALSE)/100, 0))</f>
        <v/>
      </c>
      <c r="S980" t="str">
        <f>IF(B980="","", IFERROR(SUMIFS(ベンチマークリターン!$C$2:$C$2001, ベンチマークリターン!$A$2:$A$2001, A980, ベンチマークリターン!$B$2:$B$2001, Q980) / 100, 0))</f>
        <v/>
      </c>
      <c r="T980" t="str">
        <f>IF(A980="","", SUMIFS($H$2:$H$2000, $A$2:$A$2000, A980))</f>
        <v/>
      </c>
      <c r="U980" t="str">
        <f t="shared" si="173"/>
        <v/>
      </c>
      <c r="V980" t="str">
        <f t="shared" si="174"/>
        <v/>
      </c>
      <c r="W980" t="str">
        <f t="shared" si="175"/>
        <v/>
      </c>
    </row>
    <row r="981" spans="1:23" x14ac:dyDescent="0.2">
      <c r="A981" s="4" t="str">
        <f>IF(ポートフォリオ実績!A982="","", ポートフォリオ実績!A982)</f>
        <v/>
      </c>
      <c r="B981" t="str">
        <f>IF(ポートフォリオ実績!B982="","", ポートフォリオ実績!B982)</f>
        <v/>
      </c>
      <c r="C981" s="10" t="str">
        <f>IF(ポートフォリオ実績!C982="","", ポートフォリオ実績!C982)</f>
        <v/>
      </c>
      <c r="D981" s="10" t="str">
        <f>IF(ポートフォリオ実績!D982="","", ポートフォリオ実績!D982)</f>
        <v/>
      </c>
      <c r="E981" s="10" t="str">
        <f>IF(ポートフォリオ実績!E982="","", ポートフォリオ実績!E982)</f>
        <v/>
      </c>
      <c r="F981" s="10" t="str">
        <f>IF(ポートフォリオ実績!F982="","", ポートフォリオ実績!F982)</f>
        <v/>
      </c>
      <c r="G981" t="str">
        <f t="shared" si="165"/>
        <v/>
      </c>
      <c r="H981">
        <f>IF(B981&lt;&gt;"", SUMIFS(ポートフォリオ実績!$D$2:$D$2001, ポートフォリオ実績!$B$2:$B$2001, B981, ポートフォリオ実績!$A$2:$A$2001, G981), 0)</f>
        <v>0</v>
      </c>
      <c r="I981">
        <f>IF(B981&lt;&gt;"", SUMIFS(ポートフォリオ実績!$C$2:$C$2001, ポートフォリオ実績!$B$2:$B$2001, B981, ポートフォリオ実績!$A$2:$A$2001, G981), 0)</f>
        <v>0</v>
      </c>
      <c r="J981">
        <f t="shared" si="166"/>
        <v>0</v>
      </c>
      <c r="K981">
        <f t="shared" si="167"/>
        <v>0</v>
      </c>
      <c r="L981">
        <f t="shared" si="168"/>
        <v>0</v>
      </c>
      <c r="M981">
        <f t="shared" si="169"/>
        <v>0</v>
      </c>
      <c r="N981">
        <f t="shared" si="170"/>
        <v>0</v>
      </c>
      <c r="O981">
        <f t="shared" si="171"/>
        <v>0</v>
      </c>
      <c r="P981" t="str">
        <f t="shared" si="172"/>
        <v/>
      </c>
      <c r="Q981" t="str">
        <f>IF(B981="","", IFERROR(VLOOKUP(B981, '基準資産配分（設定）'!$A$2:$C$2001, 3, FALSE), ""))</f>
        <v/>
      </c>
      <c r="R981" t="str">
        <f>IF(B981="","", IFERROR(VLOOKUP(B981, '基準資産配分（設定）'!$A$2:$C$2001, 2, FALSE)/100, 0))</f>
        <v/>
      </c>
      <c r="S981" t="str">
        <f>IF(B981="","", IFERROR(SUMIFS(ベンチマークリターン!$C$2:$C$2001, ベンチマークリターン!$A$2:$A$2001, A981, ベンチマークリターン!$B$2:$B$2001, Q981) / 100, 0))</f>
        <v/>
      </c>
      <c r="T981" t="str">
        <f>IF(A981="","", SUMIFS($H$2:$H$2000, $A$2:$A$2000, A981))</f>
        <v/>
      </c>
      <c r="U981" t="str">
        <f t="shared" si="173"/>
        <v/>
      </c>
      <c r="V981" t="str">
        <f t="shared" si="174"/>
        <v/>
      </c>
      <c r="W981" t="str">
        <f t="shared" si="175"/>
        <v/>
      </c>
    </row>
    <row r="982" spans="1:23" x14ac:dyDescent="0.2">
      <c r="A982" s="4" t="str">
        <f>IF(ポートフォリオ実績!A983="","", ポートフォリオ実績!A983)</f>
        <v/>
      </c>
      <c r="B982" t="str">
        <f>IF(ポートフォリオ実績!B983="","", ポートフォリオ実績!B983)</f>
        <v/>
      </c>
      <c r="C982" s="10" t="str">
        <f>IF(ポートフォリオ実績!C983="","", ポートフォリオ実績!C983)</f>
        <v/>
      </c>
      <c r="D982" s="10" t="str">
        <f>IF(ポートフォリオ実績!D983="","", ポートフォリオ実績!D983)</f>
        <v/>
      </c>
      <c r="E982" s="10" t="str">
        <f>IF(ポートフォリオ実績!E983="","", ポートフォリオ実績!E983)</f>
        <v/>
      </c>
      <c r="F982" s="10" t="str">
        <f>IF(ポートフォリオ実績!F983="","", ポートフォリオ実績!F983)</f>
        <v/>
      </c>
      <c r="G982" t="str">
        <f t="shared" si="165"/>
        <v/>
      </c>
      <c r="H982">
        <f>IF(B982&lt;&gt;"", SUMIFS(ポートフォリオ実績!$D$2:$D$2001, ポートフォリオ実績!$B$2:$B$2001, B982, ポートフォリオ実績!$A$2:$A$2001, G982), 0)</f>
        <v>0</v>
      </c>
      <c r="I982">
        <f>IF(B982&lt;&gt;"", SUMIFS(ポートフォリオ実績!$C$2:$C$2001, ポートフォリオ実績!$B$2:$B$2001, B982, ポートフォリオ実績!$A$2:$A$2001, G982), 0)</f>
        <v>0</v>
      </c>
      <c r="J982">
        <f t="shared" si="166"/>
        <v>0</v>
      </c>
      <c r="K982">
        <f t="shared" si="167"/>
        <v>0</v>
      </c>
      <c r="L982">
        <f t="shared" si="168"/>
        <v>0</v>
      </c>
      <c r="M982">
        <f t="shared" si="169"/>
        <v>0</v>
      </c>
      <c r="N982">
        <f t="shared" si="170"/>
        <v>0</v>
      </c>
      <c r="O982">
        <f t="shared" si="171"/>
        <v>0</v>
      </c>
      <c r="P982" t="str">
        <f t="shared" si="172"/>
        <v/>
      </c>
      <c r="Q982" t="str">
        <f>IF(B982="","", IFERROR(VLOOKUP(B982, '基準資産配分（設定）'!$A$2:$C$2001, 3, FALSE), ""))</f>
        <v/>
      </c>
      <c r="R982" t="str">
        <f>IF(B982="","", IFERROR(VLOOKUP(B982, '基準資産配分（設定）'!$A$2:$C$2001, 2, FALSE)/100, 0))</f>
        <v/>
      </c>
      <c r="S982" t="str">
        <f>IF(B982="","", IFERROR(SUMIFS(ベンチマークリターン!$C$2:$C$2001, ベンチマークリターン!$A$2:$A$2001, A982, ベンチマークリターン!$B$2:$B$2001, Q982) / 100, 0))</f>
        <v/>
      </c>
      <c r="T982" t="str">
        <f>IF(A982="","", SUMIFS($H$2:$H$2000, $A$2:$A$2000, A982))</f>
        <v/>
      </c>
      <c r="U982" t="str">
        <f t="shared" si="173"/>
        <v/>
      </c>
      <c r="V982" t="str">
        <f t="shared" si="174"/>
        <v/>
      </c>
      <c r="W982" t="str">
        <f t="shared" si="175"/>
        <v/>
      </c>
    </row>
    <row r="983" spans="1:23" x14ac:dyDescent="0.2">
      <c r="A983" s="4" t="str">
        <f>IF(ポートフォリオ実績!A984="","", ポートフォリオ実績!A984)</f>
        <v/>
      </c>
      <c r="B983" t="str">
        <f>IF(ポートフォリオ実績!B984="","", ポートフォリオ実績!B984)</f>
        <v/>
      </c>
      <c r="C983" s="10" t="str">
        <f>IF(ポートフォリオ実績!C984="","", ポートフォリオ実績!C984)</f>
        <v/>
      </c>
      <c r="D983" s="10" t="str">
        <f>IF(ポートフォリオ実績!D984="","", ポートフォリオ実績!D984)</f>
        <v/>
      </c>
      <c r="E983" s="10" t="str">
        <f>IF(ポートフォリオ実績!E984="","", ポートフォリオ実績!E984)</f>
        <v/>
      </c>
      <c r="F983" s="10" t="str">
        <f>IF(ポートフォリオ実績!F984="","", ポートフォリオ実績!F984)</f>
        <v/>
      </c>
      <c r="G983" t="str">
        <f t="shared" si="165"/>
        <v/>
      </c>
      <c r="H983">
        <f>IF(B983&lt;&gt;"", SUMIFS(ポートフォリオ実績!$D$2:$D$2001, ポートフォリオ実績!$B$2:$B$2001, B983, ポートフォリオ実績!$A$2:$A$2001, G983), 0)</f>
        <v>0</v>
      </c>
      <c r="I983">
        <f>IF(B983&lt;&gt;"", SUMIFS(ポートフォリオ実績!$C$2:$C$2001, ポートフォリオ実績!$B$2:$B$2001, B983, ポートフォリオ実績!$A$2:$A$2001, G983), 0)</f>
        <v>0</v>
      </c>
      <c r="J983">
        <f t="shared" si="166"/>
        <v>0</v>
      </c>
      <c r="K983">
        <f t="shared" si="167"/>
        <v>0</v>
      </c>
      <c r="L983">
        <f t="shared" si="168"/>
        <v>0</v>
      </c>
      <c r="M983">
        <f t="shared" si="169"/>
        <v>0</v>
      </c>
      <c r="N983">
        <f t="shared" si="170"/>
        <v>0</v>
      </c>
      <c r="O983">
        <f t="shared" si="171"/>
        <v>0</v>
      </c>
      <c r="P983" t="str">
        <f t="shared" si="172"/>
        <v/>
      </c>
      <c r="Q983" t="str">
        <f>IF(B983="","", IFERROR(VLOOKUP(B983, '基準資産配分（設定）'!$A$2:$C$2001, 3, FALSE), ""))</f>
        <v/>
      </c>
      <c r="R983" t="str">
        <f>IF(B983="","", IFERROR(VLOOKUP(B983, '基準資産配分（設定）'!$A$2:$C$2001, 2, FALSE)/100, 0))</f>
        <v/>
      </c>
      <c r="S983" t="str">
        <f>IF(B983="","", IFERROR(SUMIFS(ベンチマークリターン!$C$2:$C$2001, ベンチマークリターン!$A$2:$A$2001, A983, ベンチマークリターン!$B$2:$B$2001, Q983) / 100, 0))</f>
        <v/>
      </c>
      <c r="T983" t="str">
        <f>IF(A983="","", SUMIFS($H$2:$H$2000, $A$2:$A$2000, A983))</f>
        <v/>
      </c>
      <c r="U983" t="str">
        <f t="shared" si="173"/>
        <v/>
      </c>
      <c r="V983" t="str">
        <f t="shared" si="174"/>
        <v/>
      </c>
      <c r="W983" t="str">
        <f t="shared" si="175"/>
        <v/>
      </c>
    </row>
    <row r="984" spans="1:23" x14ac:dyDescent="0.2">
      <c r="A984" s="4" t="str">
        <f>IF(ポートフォリオ実績!A985="","", ポートフォリオ実績!A985)</f>
        <v/>
      </c>
      <c r="B984" t="str">
        <f>IF(ポートフォリオ実績!B985="","", ポートフォリオ実績!B985)</f>
        <v/>
      </c>
      <c r="C984" s="10" t="str">
        <f>IF(ポートフォリオ実績!C985="","", ポートフォリオ実績!C985)</f>
        <v/>
      </c>
      <c r="D984" s="10" t="str">
        <f>IF(ポートフォリオ実績!D985="","", ポートフォリオ実績!D985)</f>
        <v/>
      </c>
      <c r="E984" s="10" t="str">
        <f>IF(ポートフォリオ実績!E985="","", ポートフォリオ実績!E985)</f>
        <v/>
      </c>
      <c r="F984" s="10" t="str">
        <f>IF(ポートフォリオ実績!F985="","", ポートフォリオ実績!F985)</f>
        <v/>
      </c>
      <c r="G984" t="str">
        <f t="shared" si="165"/>
        <v/>
      </c>
      <c r="H984">
        <f>IF(B984&lt;&gt;"", SUMIFS(ポートフォリオ実績!$D$2:$D$2001, ポートフォリオ実績!$B$2:$B$2001, B984, ポートフォリオ実績!$A$2:$A$2001, G984), 0)</f>
        <v>0</v>
      </c>
      <c r="I984">
        <f>IF(B984&lt;&gt;"", SUMIFS(ポートフォリオ実績!$C$2:$C$2001, ポートフォリオ実績!$B$2:$B$2001, B984, ポートフォリオ実績!$A$2:$A$2001, G984), 0)</f>
        <v>0</v>
      </c>
      <c r="J984">
        <f t="shared" si="166"/>
        <v>0</v>
      </c>
      <c r="K984">
        <f t="shared" si="167"/>
        <v>0</v>
      </c>
      <c r="L984">
        <f t="shared" si="168"/>
        <v>0</v>
      </c>
      <c r="M984">
        <f t="shared" si="169"/>
        <v>0</v>
      </c>
      <c r="N984">
        <f t="shared" si="170"/>
        <v>0</v>
      </c>
      <c r="O984">
        <f t="shared" si="171"/>
        <v>0</v>
      </c>
      <c r="P984" t="str">
        <f t="shared" si="172"/>
        <v/>
      </c>
      <c r="Q984" t="str">
        <f>IF(B984="","", IFERROR(VLOOKUP(B984, '基準資産配分（設定）'!$A$2:$C$2001, 3, FALSE), ""))</f>
        <v/>
      </c>
      <c r="R984" t="str">
        <f>IF(B984="","", IFERROR(VLOOKUP(B984, '基準資産配分（設定）'!$A$2:$C$2001, 2, FALSE)/100, 0))</f>
        <v/>
      </c>
      <c r="S984" t="str">
        <f>IF(B984="","", IFERROR(SUMIFS(ベンチマークリターン!$C$2:$C$2001, ベンチマークリターン!$A$2:$A$2001, A984, ベンチマークリターン!$B$2:$B$2001, Q984) / 100, 0))</f>
        <v/>
      </c>
      <c r="T984" t="str">
        <f>IF(A984="","", SUMIFS($H$2:$H$2000, $A$2:$A$2000, A984))</f>
        <v/>
      </c>
      <c r="U984" t="str">
        <f t="shared" si="173"/>
        <v/>
      </c>
      <c r="V984" t="str">
        <f t="shared" si="174"/>
        <v/>
      </c>
      <c r="W984" t="str">
        <f t="shared" si="175"/>
        <v/>
      </c>
    </row>
    <row r="985" spans="1:23" x14ac:dyDescent="0.2">
      <c r="A985" s="4" t="str">
        <f>IF(ポートフォリオ実績!A986="","", ポートフォリオ実績!A986)</f>
        <v/>
      </c>
      <c r="B985" t="str">
        <f>IF(ポートフォリオ実績!B986="","", ポートフォリオ実績!B986)</f>
        <v/>
      </c>
      <c r="C985" s="10" t="str">
        <f>IF(ポートフォリオ実績!C986="","", ポートフォリオ実績!C986)</f>
        <v/>
      </c>
      <c r="D985" s="10" t="str">
        <f>IF(ポートフォリオ実績!D986="","", ポートフォリオ実績!D986)</f>
        <v/>
      </c>
      <c r="E985" s="10" t="str">
        <f>IF(ポートフォリオ実績!E986="","", ポートフォリオ実績!E986)</f>
        <v/>
      </c>
      <c r="F985" s="10" t="str">
        <f>IF(ポートフォリオ実績!F986="","", ポートフォリオ実績!F986)</f>
        <v/>
      </c>
      <c r="G985" t="str">
        <f t="shared" si="165"/>
        <v/>
      </c>
      <c r="H985">
        <f>IF(B985&lt;&gt;"", SUMIFS(ポートフォリオ実績!$D$2:$D$2001, ポートフォリオ実績!$B$2:$B$2001, B985, ポートフォリオ実績!$A$2:$A$2001, G985), 0)</f>
        <v>0</v>
      </c>
      <c r="I985">
        <f>IF(B985&lt;&gt;"", SUMIFS(ポートフォリオ実績!$C$2:$C$2001, ポートフォリオ実績!$B$2:$B$2001, B985, ポートフォリオ実績!$A$2:$A$2001, G985), 0)</f>
        <v>0</v>
      </c>
      <c r="J985">
        <f t="shared" si="166"/>
        <v>0</v>
      </c>
      <c r="K985">
        <f t="shared" si="167"/>
        <v>0</v>
      </c>
      <c r="L985">
        <f t="shared" si="168"/>
        <v>0</v>
      </c>
      <c r="M985">
        <f t="shared" si="169"/>
        <v>0</v>
      </c>
      <c r="N985">
        <f t="shared" si="170"/>
        <v>0</v>
      </c>
      <c r="O985">
        <f t="shared" si="171"/>
        <v>0</v>
      </c>
      <c r="P985" t="str">
        <f t="shared" si="172"/>
        <v/>
      </c>
      <c r="Q985" t="str">
        <f>IF(B985="","", IFERROR(VLOOKUP(B985, '基準資産配分（設定）'!$A$2:$C$2001, 3, FALSE), ""))</f>
        <v/>
      </c>
      <c r="R985" t="str">
        <f>IF(B985="","", IFERROR(VLOOKUP(B985, '基準資産配分（設定）'!$A$2:$C$2001, 2, FALSE)/100, 0))</f>
        <v/>
      </c>
      <c r="S985" t="str">
        <f>IF(B985="","", IFERROR(SUMIFS(ベンチマークリターン!$C$2:$C$2001, ベンチマークリターン!$A$2:$A$2001, A985, ベンチマークリターン!$B$2:$B$2001, Q985) / 100, 0))</f>
        <v/>
      </c>
      <c r="T985" t="str">
        <f>IF(A985="","", SUMIFS($H$2:$H$2000, $A$2:$A$2000, A985))</f>
        <v/>
      </c>
      <c r="U985" t="str">
        <f t="shared" si="173"/>
        <v/>
      </c>
      <c r="V985" t="str">
        <f t="shared" si="174"/>
        <v/>
      </c>
      <c r="W985" t="str">
        <f t="shared" si="175"/>
        <v/>
      </c>
    </row>
    <row r="986" spans="1:23" x14ac:dyDescent="0.2">
      <c r="A986" s="4" t="str">
        <f>IF(ポートフォリオ実績!A987="","", ポートフォリオ実績!A987)</f>
        <v/>
      </c>
      <c r="B986" t="str">
        <f>IF(ポートフォリオ実績!B987="","", ポートフォリオ実績!B987)</f>
        <v/>
      </c>
      <c r="C986" s="10" t="str">
        <f>IF(ポートフォリオ実績!C987="","", ポートフォリオ実績!C987)</f>
        <v/>
      </c>
      <c r="D986" s="10" t="str">
        <f>IF(ポートフォリオ実績!D987="","", ポートフォリオ実績!D987)</f>
        <v/>
      </c>
      <c r="E986" s="10" t="str">
        <f>IF(ポートフォリオ実績!E987="","", ポートフォリオ実績!E987)</f>
        <v/>
      </c>
      <c r="F986" s="10" t="str">
        <f>IF(ポートフォリオ実績!F987="","", ポートフォリオ実績!F987)</f>
        <v/>
      </c>
      <c r="G986" t="str">
        <f t="shared" si="165"/>
        <v/>
      </c>
      <c r="H986">
        <f>IF(B986&lt;&gt;"", SUMIFS(ポートフォリオ実績!$D$2:$D$2001, ポートフォリオ実績!$B$2:$B$2001, B986, ポートフォリオ実績!$A$2:$A$2001, G986), 0)</f>
        <v>0</v>
      </c>
      <c r="I986">
        <f>IF(B986&lt;&gt;"", SUMIFS(ポートフォリオ実績!$C$2:$C$2001, ポートフォリオ実績!$B$2:$B$2001, B986, ポートフォリオ実績!$A$2:$A$2001, G986), 0)</f>
        <v>0</v>
      </c>
      <c r="J986">
        <f t="shared" si="166"/>
        <v>0</v>
      </c>
      <c r="K986">
        <f t="shared" si="167"/>
        <v>0</v>
      </c>
      <c r="L986">
        <f t="shared" si="168"/>
        <v>0</v>
      </c>
      <c r="M986">
        <f t="shared" si="169"/>
        <v>0</v>
      </c>
      <c r="N986">
        <f t="shared" si="170"/>
        <v>0</v>
      </c>
      <c r="O986">
        <f t="shared" si="171"/>
        <v>0</v>
      </c>
      <c r="P986" t="str">
        <f t="shared" si="172"/>
        <v/>
      </c>
      <c r="Q986" t="str">
        <f>IF(B986="","", IFERROR(VLOOKUP(B986, '基準資産配分（設定）'!$A$2:$C$2001, 3, FALSE), ""))</f>
        <v/>
      </c>
      <c r="R986" t="str">
        <f>IF(B986="","", IFERROR(VLOOKUP(B986, '基準資産配分（設定）'!$A$2:$C$2001, 2, FALSE)/100, 0))</f>
        <v/>
      </c>
      <c r="S986" t="str">
        <f>IF(B986="","", IFERROR(SUMIFS(ベンチマークリターン!$C$2:$C$2001, ベンチマークリターン!$A$2:$A$2001, A986, ベンチマークリターン!$B$2:$B$2001, Q986) / 100, 0))</f>
        <v/>
      </c>
      <c r="T986" t="str">
        <f>IF(A986="","", SUMIFS($H$2:$H$2000, $A$2:$A$2000, A986))</f>
        <v/>
      </c>
      <c r="U986" t="str">
        <f t="shared" si="173"/>
        <v/>
      </c>
      <c r="V986" t="str">
        <f t="shared" si="174"/>
        <v/>
      </c>
      <c r="W986" t="str">
        <f t="shared" si="175"/>
        <v/>
      </c>
    </row>
    <row r="987" spans="1:23" x14ac:dyDescent="0.2">
      <c r="A987" s="4" t="str">
        <f>IF(ポートフォリオ実績!A988="","", ポートフォリオ実績!A988)</f>
        <v/>
      </c>
      <c r="B987" t="str">
        <f>IF(ポートフォリオ実績!B988="","", ポートフォリオ実績!B988)</f>
        <v/>
      </c>
      <c r="C987" s="10" t="str">
        <f>IF(ポートフォリオ実績!C988="","", ポートフォリオ実績!C988)</f>
        <v/>
      </c>
      <c r="D987" s="10" t="str">
        <f>IF(ポートフォリオ実績!D988="","", ポートフォリオ実績!D988)</f>
        <v/>
      </c>
      <c r="E987" s="10" t="str">
        <f>IF(ポートフォリオ実績!E988="","", ポートフォリオ実績!E988)</f>
        <v/>
      </c>
      <c r="F987" s="10" t="str">
        <f>IF(ポートフォリオ実績!F988="","", ポートフォリオ実績!F988)</f>
        <v/>
      </c>
      <c r="G987" t="str">
        <f t="shared" si="165"/>
        <v/>
      </c>
      <c r="H987">
        <f>IF(B987&lt;&gt;"", SUMIFS(ポートフォリオ実績!$D$2:$D$2001, ポートフォリオ実績!$B$2:$B$2001, B987, ポートフォリオ実績!$A$2:$A$2001, G987), 0)</f>
        <v>0</v>
      </c>
      <c r="I987">
        <f>IF(B987&lt;&gt;"", SUMIFS(ポートフォリオ実績!$C$2:$C$2001, ポートフォリオ実績!$B$2:$B$2001, B987, ポートフォリオ実績!$A$2:$A$2001, G987), 0)</f>
        <v>0</v>
      </c>
      <c r="J987">
        <f t="shared" si="166"/>
        <v>0</v>
      </c>
      <c r="K987">
        <f t="shared" si="167"/>
        <v>0</v>
      </c>
      <c r="L987">
        <f t="shared" si="168"/>
        <v>0</v>
      </c>
      <c r="M987">
        <f t="shared" si="169"/>
        <v>0</v>
      </c>
      <c r="N987">
        <f t="shared" si="170"/>
        <v>0</v>
      </c>
      <c r="O987">
        <f t="shared" si="171"/>
        <v>0</v>
      </c>
      <c r="P987" t="str">
        <f t="shared" si="172"/>
        <v/>
      </c>
      <c r="Q987" t="str">
        <f>IF(B987="","", IFERROR(VLOOKUP(B987, '基準資産配分（設定）'!$A$2:$C$2001, 3, FALSE), ""))</f>
        <v/>
      </c>
      <c r="R987" t="str">
        <f>IF(B987="","", IFERROR(VLOOKUP(B987, '基準資産配分（設定）'!$A$2:$C$2001, 2, FALSE)/100, 0))</f>
        <v/>
      </c>
      <c r="S987" t="str">
        <f>IF(B987="","", IFERROR(SUMIFS(ベンチマークリターン!$C$2:$C$2001, ベンチマークリターン!$A$2:$A$2001, A987, ベンチマークリターン!$B$2:$B$2001, Q987) / 100, 0))</f>
        <v/>
      </c>
      <c r="T987" t="str">
        <f>IF(A987="","", SUMIFS($H$2:$H$2000, $A$2:$A$2000, A987))</f>
        <v/>
      </c>
      <c r="U987" t="str">
        <f t="shared" si="173"/>
        <v/>
      </c>
      <c r="V987" t="str">
        <f t="shared" si="174"/>
        <v/>
      </c>
      <c r="W987" t="str">
        <f t="shared" si="175"/>
        <v/>
      </c>
    </row>
    <row r="988" spans="1:23" x14ac:dyDescent="0.2">
      <c r="A988" s="4" t="str">
        <f>IF(ポートフォリオ実績!A989="","", ポートフォリオ実績!A989)</f>
        <v/>
      </c>
      <c r="B988" t="str">
        <f>IF(ポートフォリオ実績!B989="","", ポートフォリオ実績!B989)</f>
        <v/>
      </c>
      <c r="C988" s="10" t="str">
        <f>IF(ポートフォリオ実績!C989="","", ポートフォリオ実績!C989)</f>
        <v/>
      </c>
      <c r="D988" s="10" t="str">
        <f>IF(ポートフォリオ実績!D989="","", ポートフォリオ実績!D989)</f>
        <v/>
      </c>
      <c r="E988" s="10" t="str">
        <f>IF(ポートフォリオ実績!E989="","", ポートフォリオ実績!E989)</f>
        <v/>
      </c>
      <c r="F988" s="10" t="str">
        <f>IF(ポートフォリオ実績!F989="","", ポートフォリオ実績!F989)</f>
        <v/>
      </c>
      <c r="G988" t="str">
        <f t="shared" si="165"/>
        <v/>
      </c>
      <c r="H988">
        <f>IF(B988&lt;&gt;"", SUMIFS(ポートフォリオ実績!$D$2:$D$2001, ポートフォリオ実績!$B$2:$B$2001, B988, ポートフォリオ実績!$A$2:$A$2001, G988), 0)</f>
        <v>0</v>
      </c>
      <c r="I988">
        <f>IF(B988&lt;&gt;"", SUMIFS(ポートフォリオ実績!$C$2:$C$2001, ポートフォリオ実績!$B$2:$B$2001, B988, ポートフォリオ実績!$A$2:$A$2001, G988), 0)</f>
        <v>0</v>
      </c>
      <c r="J988">
        <f t="shared" si="166"/>
        <v>0</v>
      </c>
      <c r="K988">
        <f t="shared" si="167"/>
        <v>0</v>
      </c>
      <c r="L988">
        <f t="shared" si="168"/>
        <v>0</v>
      </c>
      <c r="M988">
        <f t="shared" si="169"/>
        <v>0</v>
      </c>
      <c r="N988">
        <f t="shared" si="170"/>
        <v>0</v>
      </c>
      <c r="O988">
        <f t="shared" si="171"/>
        <v>0</v>
      </c>
      <c r="P988" t="str">
        <f t="shared" si="172"/>
        <v/>
      </c>
      <c r="Q988" t="str">
        <f>IF(B988="","", IFERROR(VLOOKUP(B988, '基準資産配分（設定）'!$A$2:$C$2001, 3, FALSE), ""))</f>
        <v/>
      </c>
      <c r="R988" t="str">
        <f>IF(B988="","", IFERROR(VLOOKUP(B988, '基準資産配分（設定）'!$A$2:$C$2001, 2, FALSE)/100, 0))</f>
        <v/>
      </c>
      <c r="S988" t="str">
        <f>IF(B988="","", IFERROR(SUMIFS(ベンチマークリターン!$C$2:$C$2001, ベンチマークリターン!$A$2:$A$2001, A988, ベンチマークリターン!$B$2:$B$2001, Q988) / 100, 0))</f>
        <v/>
      </c>
      <c r="T988" t="str">
        <f>IF(A988="","", SUMIFS($H$2:$H$2000, $A$2:$A$2000, A988))</f>
        <v/>
      </c>
      <c r="U988" t="str">
        <f t="shared" si="173"/>
        <v/>
      </c>
      <c r="V988" t="str">
        <f t="shared" si="174"/>
        <v/>
      </c>
      <c r="W988" t="str">
        <f t="shared" si="175"/>
        <v/>
      </c>
    </row>
    <row r="989" spans="1:23" x14ac:dyDescent="0.2">
      <c r="A989" s="4" t="str">
        <f>IF(ポートフォリオ実績!A990="","", ポートフォリオ実績!A990)</f>
        <v/>
      </c>
      <c r="B989" t="str">
        <f>IF(ポートフォリオ実績!B990="","", ポートフォリオ実績!B990)</f>
        <v/>
      </c>
      <c r="C989" s="10" t="str">
        <f>IF(ポートフォリオ実績!C990="","", ポートフォリオ実績!C990)</f>
        <v/>
      </c>
      <c r="D989" s="10" t="str">
        <f>IF(ポートフォリオ実績!D990="","", ポートフォリオ実績!D990)</f>
        <v/>
      </c>
      <c r="E989" s="10" t="str">
        <f>IF(ポートフォリオ実績!E990="","", ポートフォリオ実績!E990)</f>
        <v/>
      </c>
      <c r="F989" s="10" t="str">
        <f>IF(ポートフォリオ実績!F990="","", ポートフォリオ実績!F990)</f>
        <v/>
      </c>
      <c r="G989" t="str">
        <f t="shared" si="165"/>
        <v/>
      </c>
      <c r="H989">
        <f>IF(B989&lt;&gt;"", SUMIFS(ポートフォリオ実績!$D$2:$D$2001, ポートフォリオ実績!$B$2:$B$2001, B989, ポートフォリオ実績!$A$2:$A$2001, G989), 0)</f>
        <v>0</v>
      </c>
      <c r="I989">
        <f>IF(B989&lt;&gt;"", SUMIFS(ポートフォリオ実績!$C$2:$C$2001, ポートフォリオ実績!$B$2:$B$2001, B989, ポートフォリオ実績!$A$2:$A$2001, G989), 0)</f>
        <v>0</v>
      </c>
      <c r="J989">
        <f t="shared" si="166"/>
        <v>0</v>
      </c>
      <c r="K989">
        <f t="shared" si="167"/>
        <v>0</v>
      </c>
      <c r="L989">
        <f t="shared" si="168"/>
        <v>0</v>
      </c>
      <c r="M989">
        <f t="shared" si="169"/>
        <v>0</v>
      </c>
      <c r="N989">
        <f t="shared" si="170"/>
        <v>0</v>
      </c>
      <c r="O989">
        <f t="shared" si="171"/>
        <v>0</v>
      </c>
      <c r="P989" t="str">
        <f t="shared" si="172"/>
        <v/>
      </c>
      <c r="Q989" t="str">
        <f>IF(B989="","", IFERROR(VLOOKUP(B989, '基準資産配分（設定）'!$A$2:$C$2001, 3, FALSE), ""))</f>
        <v/>
      </c>
      <c r="R989" t="str">
        <f>IF(B989="","", IFERROR(VLOOKUP(B989, '基準資産配分（設定）'!$A$2:$C$2001, 2, FALSE)/100, 0))</f>
        <v/>
      </c>
      <c r="S989" t="str">
        <f>IF(B989="","", IFERROR(SUMIFS(ベンチマークリターン!$C$2:$C$2001, ベンチマークリターン!$A$2:$A$2001, A989, ベンチマークリターン!$B$2:$B$2001, Q989) / 100, 0))</f>
        <v/>
      </c>
      <c r="T989" t="str">
        <f>IF(A989="","", SUMIFS($H$2:$H$2000, $A$2:$A$2000, A989))</f>
        <v/>
      </c>
      <c r="U989" t="str">
        <f t="shared" si="173"/>
        <v/>
      </c>
      <c r="V989" t="str">
        <f t="shared" si="174"/>
        <v/>
      </c>
      <c r="W989" t="str">
        <f t="shared" si="175"/>
        <v/>
      </c>
    </row>
    <row r="990" spans="1:23" x14ac:dyDescent="0.2">
      <c r="A990" s="4" t="str">
        <f>IF(ポートフォリオ実績!A991="","", ポートフォリオ実績!A991)</f>
        <v/>
      </c>
      <c r="B990" t="str">
        <f>IF(ポートフォリオ実績!B991="","", ポートフォリオ実績!B991)</f>
        <v/>
      </c>
      <c r="C990" s="10" t="str">
        <f>IF(ポートフォリオ実績!C991="","", ポートフォリオ実績!C991)</f>
        <v/>
      </c>
      <c r="D990" s="10" t="str">
        <f>IF(ポートフォリオ実績!D991="","", ポートフォリオ実績!D991)</f>
        <v/>
      </c>
      <c r="E990" s="10" t="str">
        <f>IF(ポートフォリオ実績!E991="","", ポートフォリオ実績!E991)</f>
        <v/>
      </c>
      <c r="F990" s="10" t="str">
        <f>IF(ポートフォリオ実績!F991="","", ポートフォリオ実績!F991)</f>
        <v/>
      </c>
      <c r="G990" t="str">
        <f t="shared" si="165"/>
        <v/>
      </c>
      <c r="H990">
        <f>IF(B990&lt;&gt;"", SUMIFS(ポートフォリオ実績!$D$2:$D$2001, ポートフォリオ実績!$B$2:$B$2001, B990, ポートフォリオ実績!$A$2:$A$2001, G990), 0)</f>
        <v>0</v>
      </c>
      <c r="I990">
        <f>IF(B990&lt;&gt;"", SUMIFS(ポートフォリオ実績!$C$2:$C$2001, ポートフォリオ実績!$B$2:$B$2001, B990, ポートフォリオ実績!$A$2:$A$2001, G990), 0)</f>
        <v>0</v>
      </c>
      <c r="J990">
        <f t="shared" si="166"/>
        <v>0</v>
      </c>
      <c r="K990">
        <f t="shared" si="167"/>
        <v>0</v>
      </c>
      <c r="L990">
        <f t="shared" si="168"/>
        <v>0</v>
      </c>
      <c r="M990">
        <f t="shared" si="169"/>
        <v>0</v>
      </c>
      <c r="N990">
        <f t="shared" si="170"/>
        <v>0</v>
      </c>
      <c r="O990">
        <f t="shared" si="171"/>
        <v>0</v>
      </c>
      <c r="P990" t="str">
        <f t="shared" si="172"/>
        <v/>
      </c>
      <c r="Q990" t="str">
        <f>IF(B990="","", IFERROR(VLOOKUP(B990, '基準資産配分（設定）'!$A$2:$C$2001, 3, FALSE), ""))</f>
        <v/>
      </c>
      <c r="R990" t="str">
        <f>IF(B990="","", IFERROR(VLOOKUP(B990, '基準資産配分（設定）'!$A$2:$C$2001, 2, FALSE)/100, 0))</f>
        <v/>
      </c>
      <c r="S990" t="str">
        <f>IF(B990="","", IFERROR(SUMIFS(ベンチマークリターン!$C$2:$C$2001, ベンチマークリターン!$A$2:$A$2001, A990, ベンチマークリターン!$B$2:$B$2001, Q990) / 100, 0))</f>
        <v/>
      </c>
      <c r="T990" t="str">
        <f>IF(A990="","", SUMIFS($H$2:$H$2000, $A$2:$A$2000, A990))</f>
        <v/>
      </c>
      <c r="U990" t="str">
        <f t="shared" si="173"/>
        <v/>
      </c>
      <c r="V990" t="str">
        <f t="shared" si="174"/>
        <v/>
      </c>
      <c r="W990" t="str">
        <f t="shared" si="175"/>
        <v/>
      </c>
    </row>
    <row r="991" spans="1:23" x14ac:dyDescent="0.2">
      <c r="A991" s="4" t="str">
        <f>IF(ポートフォリオ実績!A992="","", ポートフォリオ実績!A992)</f>
        <v/>
      </c>
      <c r="B991" t="str">
        <f>IF(ポートフォリオ実績!B992="","", ポートフォリオ実績!B992)</f>
        <v/>
      </c>
      <c r="C991" s="10" t="str">
        <f>IF(ポートフォリオ実績!C992="","", ポートフォリオ実績!C992)</f>
        <v/>
      </c>
      <c r="D991" s="10" t="str">
        <f>IF(ポートフォリオ実績!D992="","", ポートフォリオ実績!D992)</f>
        <v/>
      </c>
      <c r="E991" s="10" t="str">
        <f>IF(ポートフォリオ実績!E992="","", ポートフォリオ実績!E992)</f>
        <v/>
      </c>
      <c r="F991" s="10" t="str">
        <f>IF(ポートフォリオ実績!F992="","", ポートフォリオ実績!F992)</f>
        <v/>
      </c>
      <c r="G991" t="str">
        <f t="shared" si="165"/>
        <v/>
      </c>
      <c r="H991">
        <f>IF(B991&lt;&gt;"", SUMIFS(ポートフォリオ実績!$D$2:$D$2001, ポートフォリオ実績!$B$2:$B$2001, B991, ポートフォリオ実績!$A$2:$A$2001, G991), 0)</f>
        <v>0</v>
      </c>
      <c r="I991">
        <f>IF(B991&lt;&gt;"", SUMIFS(ポートフォリオ実績!$C$2:$C$2001, ポートフォリオ実績!$B$2:$B$2001, B991, ポートフォリオ実績!$A$2:$A$2001, G991), 0)</f>
        <v>0</v>
      </c>
      <c r="J991">
        <f t="shared" si="166"/>
        <v>0</v>
      </c>
      <c r="K991">
        <f t="shared" si="167"/>
        <v>0</v>
      </c>
      <c r="L991">
        <f t="shared" si="168"/>
        <v>0</v>
      </c>
      <c r="M991">
        <f t="shared" si="169"/>
        <v>0</v>
      </c>
      <c r="N991">
        <f t="shared" si="170"/>
        <v>0</v>
      </c>
      <c r="O991">
        <f t="shared" si="171"/>
        <v>0</v>
      </c>
      <c r="P991" t="str">
        <f t="shared" si="172"/>
        <v/>
      </c>
      <c r="Q991" t="str">
        <f>IF(B991="","", IFERROR(VLOOKUP(B991, '基準資産配分（設定）'!$A$2:$C$2001, 3, FALSE), ""))</f>
        <v/>
      </c>
      <c r="R991" t="str">
        <f>IF(B991="","", IFERROR(VLOOKUP(B991, '基準資産配分（設定）'!$A$2:$C$2001, 2, FALSE)/100, 0))</f>
        <v/>
      </c>
      <c r="S991" t="str">
        <f>IF(B991="","", IFERROR(SUMIFS(ベンチマークリターン!$C$2:$C$2001, ベンチマークリターン!$A$2:$A$2001, A991, ベンチマークリターン!$B$2:$B$2001, Q991) / 100, 0))</f>
        <v/>
      </c>
      <c r="T991" t="str">
        <f>IF(A991="","", SUMIFS($H$2:$H$2000, $A$2:$A$2000, A991))</f>
        <v/>
      </c>
      <c r="U991" t="str">
        <f t="shared" si="173"/>
        <v/>
      </c>
      <c r="V991" t="str">
        <f t="shared" si="174"/>
        <v/>
      </c>
      <c r="W991" t="str">
        <f t="shared" si="175"/>
        <v/>
      </c>
    </row>
    <row r="992" spans="1:23" x14ac:dyDescent="0.2">
      <c r="A992" s="4" t="str">
        <f>IF(ポートフォリオ実績!A993="","", ポートフォリオ実績!A993)</f>
        <v/>
      </c>
      <c r="B992" t="str">
        <f>IF(ポートフォリオ実績!B993="","", ポートフォリオ実績!B993)</f>
        <v/>
      </c>
      <c r="C992" s="10" t="str">
        <f>IF(ポートフォリオ実績!C993="","", ポートフォリオ実績!C993)</f>
        <v/>
      </c>
      <c r="D992" s="10" t="str">
        <f>IF(ポートフォリオ実績!D993="","", ポートフォリオ実績!D993)</f>
        <v/>
      </c>
      <c r="E992" s="10" t="str">
        <f>IF(ポートフォリオ実績!E993="","", ポートフォリオ実績!E993)</f>
        <v/>
      </c>
      <c r="F992" s="10" t="str">
        <f>IF(ポートフォリオ実績!F993="","", ポートフォリオ実績!F993)</f>
        <v/>
      </c>
      <c r="G992" t="str">
        <f t="shared" si="165"/>
        <v/>
      </c>
      <c r="H992">
        <f>IF(B992&lt;&gt;"", SUMIFS(ポートフォリオ実績!$D$2:$D$2001, ポートフォリオ実績!$B$2:$B$2001, B992, ポートフォリオ実績!$A$2:$A$2001, G992), 0)</f>
        <v>0</v>
      </c>
      <c r="I992">
        <f>IF(B992&lt;&gt;"", SUMIFS(ポートフォリオ実績!$C$2:$C$2001, ポートフォリオ実績!$B$2:$B$2001, B992, ポートフォリオ実績!$A$2:$A$2001, G992), 0)</f>
        <v>0</v>
      </c>
      <c r="J992">
        <f t="shared" si="166"/>
        <v>0</v>
      </c>
      <c r="K992">
        <f t="shared" si="167"/>
        <v>0</v>
      </c>
      <c r="L992">
        <f t="shared" si="168"/>
        <v>0</v>
      </c>
      <c r="M992">
        <f t="shared" si="169"/>
        <v>0</v>
      </c>
      <c r="N992">
        <f t="shared" si="170"/>
        <v>0</v>
      </c>
      <c r="O992">
        <f t="shared" si="171"/>
        <v>0</v>
      </c>
      <c r="P992" t="str">
        <f t="shared" si="172"/>
        <v/>
      </c>
      <c r="Q992" t="str">
        <f>IF(B992="","", IFERROR(VLOOKUP(B992, '基準資産配分（設定）'!$A$2:$C$2001, 3, FALSE), ""))</f>
        <v/>
      </c>
      <c r="R992" t="str">
        <f>IF(B992="","", IFERROR(VLOOKUP(B992, '基準資産配分（設定）'!$A$2:$C$2001, 2, FALSE)/100, 0))</f>
        <v/>
      </c>
      <c r="S992" t="str">
        <f>IF(B992="","", IFERROR(SUMIFS(ベンチマークリターン!$C$2:$C$2001, ベンチマークリターン!$A$2:$A$2001, A992, ベンチマークリターン!$B$2:$B$2001, Q992) / 100, 0))</f>
        <v/>
      </c>
      <c r="T992" t="str">
        <f>IF(A992="","", SUMIFS($H$2:$H$2000, $A$2:$A$2000, A992))</f>
        <v/>
      </c>
      <c r="U992" t="str">
        <f t="shared" si="173"/>
        <v/>
      </c>
      <c r="V992" t="str">
        <f t="shared" si="174"/>
        <v/>
      </c>
      <c r="W992" t="str">
        <f t="shared" si="175"/>
        <v/>
      </c>
    </row>
    <row r="993" spans="1:23" x14ac:dyDescent="0.2">
      <c r="A993" s="4" t="str">
        <f>IF(ポートフォリオ実績!A994="","", ポートフォリオ実績!A994)</f>
        <v/>
      </c>
      <c r="B993" t="str">
        <f>IF(ポートフォリオ実績!B994="","", ポートフォリオ実績!B994)</f>
        <v/>
      </c>
      <c r="C993" s="10" t="str">
        <f>IF(ポートフォリオ実績!C994="","", ポートフォリオ実績!C994)</f>
        <v/>
      </c>
      <c r="D993" s="10" t="str">
        <f>IF(ポートフォリオ実績!D994="","", ポートフォリオ実績!D994)</f>
        <v/>
      </c>
      <c r="E993" s="10" t="str">
        <f>IF(ポートフォリオ実績!E994="","", ポートフォリオ実績!E994)</f>
        <v/>
      </c>
      <c r="F993" s="10" t="str">
        <f>IF(ポートフォリオ実績!F994="","", ポートフォリオ実績!F994)</f>
        <v/>
      </c>
      <c r="G993" t="str">
        <f t="shared" si="165"/>
        <v/>
      </c>
      <c r="H993">
        <f>IF(B993&lt;&gt;"", SUMIFS(ポートフォリオ実績!$D$2:$D$2001, ポートフォリオ実績!$B$2:$B$2001, B993, ポートフォリオ実績!$A$2:$A$2001, G993), 0)</f>
        <v>0</v>
      </c>
      <c r="I993">
        <f>IF(B993&lt;&gt;"", SUMIFS(ポートフォリオ実績!$C$2:$C$2001, ポートフォリオ実績!$B$2:$B$2001, B993, ポートフォリオ実績!$A$2:$A$2001, G993), 0)</f>
        <v>0</v>
      </c>
      <c r="J993">
        <f t="shared" si="166"/>
        <v>0</v>
      </c>
      <c r="K993">
        <f t="shared" si="167"/>
        <v>0</v>
      </c>
      <c r="L993">
        <f t="shared" si="168"/>
        <v>0</v>
      </c>
      <c r="M993">
        <f t="shared" si="169"/>
        <v>0</v>
      </c>
      <c r="N993">
        <f t="shared" si="170"/>
        <v>0</v>
      </c>
      <c r="O993">
        <f t="shared" si="171"/>
        <v>0</v>
      </c>
      <c r="P993" t="str">
        <f t="shared" si="172"/>
        <v/>
      </c>
      <c r="Q993" t="str">
        <f>IF(B993="","", IFERROR(VLOOKUP(B993, '基準資産配分（設定）'!$A$2:$C$2001, 3, FALSE), ""))</f>
        <v/>
      </c>
      <c r="R993" t="str">
        <f>IF(B993="","", IFERROR(VLOOKUP(B993, '基準資産配分（設定）'!$A$2:$C$2001, 2, FALSE)/100, 0))</f>
        <v/>
      </c>
      <c r="S993" t="str">
        <f>IF(B993="","", IFERROR(SUMIFS(ベンチマークリターン!$C$2:$C$2001, ベンチマークリターン!$A$2:$A$2001, A993, ベンチマークリターン!$B$2:$B$2001, Q993) / 100, 0))</f>
        <v/>
      </c>
      <c r="T993" t="str">
        <f>IF(A993="","", SUMIFS($H$2:$H$2000, $A$2:$A$2000, A993))</f>
        <v/>
      </c>
      <c r="U993" t="str">
        <f t="shared" si="173"/>
        <v/>
      </c>
      <c r="V993" t="str">
        <f t="shared" si="174"/>
        <v/>
      </c>
      <c r="W993" t="str">
        <f t="shared" si="175"/>
        <v/>
      </c>
    </row>
    <row r="994" spans="1:23" x14ac:dyDescent="0.2">
      <c r="A994" s="4" t="str">
        <f>IF(ポートフォリオ実績!A995="","", ポートフォリオ実績!A995)</f>
        <v/>
      </c>
      <c r="B994" t="str">
        <f>IF(ポートフォリオ実績!B995="","", ポートフォリオ実績!B995)</f>
        <v/>
      </c>
      <c r="C994" s="10" t="str">
        <f>IF(ポートフォリオ実績!C995="","", ポートフォリオ実績!C995)</f>
        <v/>
      </c>
      <c r="D994" s="10" t="str">
        <f>IF(ポートフォリオ実績!D995="","", ポートフォリオ実績!D995)</f>
        <v/>
      </c>
      <c r="E994" s="10" t="str">
        <f>IF(ポートフォリオ実績!E995="","", ポートフォリオ実績!E995)</f>
        <v/>
      </c>
      <c r="F994" s="10" t="str">
        <f>IF(ポートフォリオ実績!F995="","", ポートフォリオ実績!F995)</f>
        <v/>
      </c>
      <c r="G994" t="str">
        <f t="shared" si="165"/>
        <v/>
      </c>
      <c r="H994">
        <f>IF(B994&lt;&gt;"", SUMIFS(ポートフォリオ実績!$D$2:$D$2001, ポートフォリオ実績!$B$2:$B$2001, B994, ポートフォリオ実績!$A$2:$A$2001, G994), 0)</f>
        <v>0</v>
      </c>
      <c r="I994">
        <f>IF(B994&lt;&gt;"", SUMIFS(ポートフォリオ実績!$C$2:$C$2001, ポートフォリオ実績!$B$2:$B$2001, B994, ポートフォリオ実績!$A$2:$A$2001, G994), 0)</f>
        <v>0</v>
      </c>
      <c r="J994">
        <f t="shared" si="166"/>
        <v>0</v>
      </c>
      <c r="K994">
        <f t="shared" si="167"/>
        <v>0</v>
      </c>
      <c r="L994">
        <f t="shared" si="168"/>
        <v>0</v>
      </c>
      <c r="M994">
        <f t="shared" si="169"/>
        <v>0</v>
      </c>
      <c r="N994">
        <f t="shared" si="170"/>
        <v>0</v>
      </c>
      <c r="O994">
        <f t="shared" si="171"/>
        <v>0</v>
      </c>
      <c r="P994" t="str">
        <f t="shared" si="172"/>
        <v/>
      </c>
      <c r="Q994" t="str">
        <f>IF(B994="","", IFERROR(VLOOKUP(B994, '基準資産配分（設定）'!$A$2:$C$2001, 3, FALSE), ""))</f>
        <v/>
      </c>
      <c r="R994" t="str">
        <f>IF(B994="","", IFERROR(VLOOKUP(B994, '基準資産配分（設定）'!$A$2:$C$2001, 2, FALSE)/100, 0))</f>
        <v/>
      </c>
      <c r="S994" t="str">
        <f>IF(B994="","", IFERROR(SUMIFS(ベンチマークリターン!$C$2:$C$2001, ベンチマークリターン!$A$2:$A$2001, A994, ベンチマークリターン!$B$2:$B$2001, Q994) / 100, 0))</f>
        <v/>
      </c>
      <c r="T994" t="str">
        <f>IF(A994="","", SUMIFS($H$2:$H$2000, $A$2:$A$2000, A994))</f>
        <v/>
      </c>
      <c r="U994" t="str">
        <f t="shared" si="173"/>
        <v/>
      </c>
      <c r="V994" t="str">
        <f t="shared" si="174"/>
        <v/>
      </c>
      <c r="W994" t="str">
        <f t="shared" si="175"/>
        <v/>
      </c>
    </row>
    <row r="995" spans="1:23" x14ac:dyDescent="0.2">
      <c r="A995" s="4" t="str">
        <f>IF(ポートフォリオ実績!A996="","", ポートフォリオ実績!A996)</f>
        <v/>
      </c>
      <c r="B995" t="str">
        <f>IF(ポートフォリオ実績!B996="","", ポートフォリオ実績!B996)</f>
        <v/>
      </c>
      <c r="C995" s="10" t="str">
        <f>IF(ポートフォリオ実績!C996="","", ポートフォリオ実績!C996)</f>
        <v/>
      </c>
      <c r="D995" s="10" t="str">
        <f>IF(ポートフォリオ実績!D996="","", ポートフォリオ実績!D996)</f>
        <v/>
      </c>
      <c r="E995" s="10" t="str">
        <f>IF(ポートフォリオ実績!E996="","", ポートフォリオ実績!E996)</f>
        <v/>
      </c>
      <c r="F995" s="10" t="str">
        <f>IF(ポートフォリオ実績!F996="","", ポートフォリオ実績!F996)</f>
        <v/>
      </c>
      <c r="G995" t="str">
        <f t="shared" si="165"/>
        <v/>
      </c>
      <c r="H995">
        <f>IF(B995&lt;&gt;"", SUMIFS(ポートフォリオ実績!$D$2:$D$2001, ポートフォリオ実績!$B$2:$B$2001, B995, ポートフォリオ実績!$A$2:$A$2001, G995), 0)</f>
        <v>0</v>
      </c>
      <c r="I995">
        <f>IF(B995&lt;&gt;"", SUMIFS(ポートフォリオ実績!$C$2:$C$2001, ポートフォリオ実績!$B$2:$B$2001, B995, ポートフォリオ実績!$A$2:$A$2001, G995), 0)</f>
        <v>0</v>
      </c>
      <c r="J995">
        <f t="shared" si="166"/>
        <v>0</v>
      </c>
      <c r="K995">
        <f t="shared" si="167"/>
        <v>0</v>
      </c>
      <c r="L995">
        <f t="shared" si="168"/>
        <v>0</v>
      </c>
      <c r="M995">
        <f t="shared" si="169"/>
        <v>0</v>
      </c>
      <c r="N995">
        <f t="shared" si="170"/>
        <v>0</v>
      </c>
      <c r="O995">
        <f t="shared" si="171"/>
        <v>0</v>
      </c>
      <c r="P995" t="str">
        <f t="shared" si="172"/>
        <v/>
      </c>
      <c r="Q995" t="str">
        <f>IF(B995="","", IFERROR(VLOOKUP(B995, '基準資産配分（設定）'!$A$2:$C$2001, 3, FALSE), ""))</f>
        <v/>
      </c>
      <c r="R995" t="str">
        <f>IF(B995="","", IFERROR(VLOOKUP(B995, '基準資産配分（設定）'!$A$2:$C$2001, 2, FALSE)/100, 0))</f>
        <v/>
      </c>
      <c r="S995" t="str">
        <f>IF(B995="","", IFERROR(SUMIFS(ベンチマークリターン!$C$2:$C$2001, ベンチマークリターン!$A$2:$A$2001, A995, ベンチマークリターン!$B$2:$B$2001, Q995) / 100, 0))</f>
        <v/>
      </c>
      <c r="T995" t="str">
        <f>IF(A995="","", SUMIFS($H$2:$H$2000, $A$2:$A$2000, A995))</f>
        <v/>
      </c>
      <c r="U995" t="str">
        <f t="shared" si="173"/>
        <v/>
      </c>
      <c r="V995" t="str">
        <f t="shared" si="174"/>
        <v/>
      </c>
      <c r="W995" t="str">
        <f t="shared" si="175"/>
        <v/>
      </c>
    </row>
    <row r="996" spans="1:23" x14ac:dyDescent="0.2">
      <c r="A996" s="4" t="str">
        <f>IF(ポートフォリオ実績!A997="","", ポートフォリオ実績!A997)</f>
        <v/>
      </c>
      <c r="B996" t="str">
        <f>IF(ポートフォリオ実績!B997="","", ポートフォリオ実績!B997)</f>
        <v/>
      </c>
      <c r="C996" s="10" t="str">
        <f>IF(ポートフォリオ実績!C997="","", ポートフォリオ実績!C997)</f>
        <v/>
      </c>
      <c r="D996" s="10" t="str">
        <f>IF(ポートフォリオ実績!D997="","", ポートフォリオ実績!D997)</f>
        <v/>
      </c>
      <c r="E996" s="10" t="str">
        <f>IF(ポートフォリオ実績!E997="","", ポートフォリオ実績!E997)</f>
        <v/>
      </c>
      <c r="F996" s="10" t="str">
        <f>IF(ポートフォリオ実績!F997="","", ポートフォリオ実績!F997)</f>
        <v/>
      </c>
      <c r="G996" t="str">
        <f t="shared" si="165"/>
        <v/>
      </c>
      <c r="H996">
        <f>IF(B996&lt;&gt;"", SUMIFS(ポートフォリオ実績!$D$2:$D$2001, ポートフォリオ実績!$B$2:$B$2001, B996, ポートフォリオ実績!$A$2:$A$2001, G996), 0)</f>
        <v>0</v>
      </c>
      <c r="I996">
        <f>IF(B996&lt;&gt;"", SUMIFS(ポートフォリオ実績!$C$2:$C$2001, ポートフォリオ実績!$B$2:$B$2001, B996, ポートフォリオ実績!$A$2:$A$2001, G996), 0)</f>
        <v>0</v>
      </c>
      <c r="J996">
        <f t="shared" si="166"/>
        <v>0</v>
      </c>
      <c r="K996">
        <f t="shared" si="167"/>
        <v>0</v>
      </c>
      <c r="L996">
        <f t="shared" si="168"/>
        <v>0</v>
      </c>
      <c r="M996">
        <f t="shared" si="169"/>
        <v>0</v>
      </c>
      <c r="N996">
        <f t="shared" si="170"/>
        <v>0</v>
      </c>
      <c r="O996">
        <f t="shared" si="171"/>
        <v>0</v>
      </c>
      <c r="P996" t="str">
        <f t="shared" si="172"/>
        <v/>
      </c>
      <c r="Q996" t="str">
        <f>IF(B996="","", IFERROR(VLOOKUP(B996, '基準資産配分（設定）'!$A$2:$C$2001, 3, FALSE), ""))</f>
        <v/>
      </c>
      <c r="R996" t="str">
        <f>IF(B996="","", IFERROR(VLOOKUP(B996, '基準資産配分（設定）'!$A$2:$C$2001, 2, FALSE)/100, 0))</f>
        <v/>
      </c>
      <c r="S996" t="str">
        <f>IF(B996="","", IFERROR(SUMIFS(ベンチマークリターン!$C$2:$C$2001, ベンチマークリターン!$A$2:$A$2001, A996, ベンチマークリターン!$B$2:$B$2001, Q996) / 100, 0))</f>
        <v/>
      </c>
      <c r="T996" t="str">
        <f>IF(A996="","", SUMIFS($H$2:$H$2000, $A$2:$A$2000, A996))</f>
        <v/>
      </c>
      <c r="U996" t="str">
        <f t="shared" si="173"/>
        <v/>
      </c>
      <c r="V996" t="str">
        <f t="shared" si="174"/>
        <v/>
      </c>
      <c r="W996" t="str">
        <f t="shared" si="175"/>
        <v/>
      </c>
    </row>
    <row r="997" spans="1:23" x14ac:dyDescent="0.2">
      <c r="A997" s="4" t="str">
        <f>IF(ポートフォリオ実績!A998="","", ポートフォリオ実績!A998)</f>
        <v/>
      </c>
      <c r="B997" t="str">
        <f>IF(ポートフォリオ実績!B998="","", ポートフォリオ実績!B998)</f>
        <v/>
      </c>
      <c r="C997" s="10" t="str">
        <f>IF(ポートフォリオ実績!C998="","", ポートフォリオ実績!C998)</f>
        <v/>
      </c>
      <c r="D997" s="10" t="str">
        <f>IF(ポートフォリオ実績!D998="","", ポートフォリオ実績!D998)</f>
        <v/>
      </c>
      <c r="E997" s="10" t="str">
        <f>IF(ポートフォリオ実績!E998="","", ポートフォリオ実績!E998)</f>
        <v/>
      </c>
      <c r="F997" s="10" t="str">
        <f>IF(ポートフォリオ実績!F998="","", ポートフォリオ実績!F998)</f>
        <v/>
      </c>
      <c r="G997" t="str">
        <f t="shared" si="165"/>
        <v/>
      </c>
      <c r="H997">
        <f>IF(B997&lt;&gt;"", SUMIFS(ポートフォリオ実績!$D$2:$D$2001, ポートフォリオ実績!$B$2:$B$2001, B997, ポートフォリオ実績!$A$2:$A$2001, G997), 0)</f>
        <v>0</v>
      </c>
      <c r="I997">
        <f>IF(B997&lt;&gt;"", SUMIFS(ポートフォリオ実績!$C$2:$C$2001, ポートフォリオ実績!$B$2:$B$2001, B997, ポートフォリオ実績!$A$2:$A$2001, G997), 0)</f>
        <v>0</v>
      </c>
      <c r="J997">
        <f t="shared" si="166"/>
        <v>0</v>
      </c>
      <c r="K997">
        <f t="shared" si="167"/>
        <v>0</v>
      </c>
      <c r="L997">
        <f t="shared" si="168"/>
        <v>0</v>
      </c>
      <c r="M997">
        <f t="shared" si="169"/>
        <v>0</v>
      </c>
      <c r="N997">
        <f t="shared" si="170"/>
        <v>0</v>
      </c>
      <c r="O997">
        <f t="shared" si="171"/>
        <v>0</v>
      </c>
      <c r="P997" t="str">
        <f t="shared" si="172"/>
        <v/>
      </c>
      <c r="Q997" t="str">
        <f>IF(B997="","", IFERROR(VLOOKUP(B997, '基準資産配分（設定）'!$A$2:$C$2001, 3, FALSE), ""))</f>
        <v/>
      </c>
      <c r="R997" t="str">
        <f>IF(B997="","", IFERROR(VLOOKUP(B997, '基準資産配分（設定）'!$A$2:$C$2001, 2, FALSE)/100, 0))</f>
        <v/>
      </c>
      <c r="S997" t="str">
        <f>IF(B997="","", IFERROR(SUMIFS(ベンチマークリターン!$C$2:$C$2001, ベンチマークリターン!$A$2:$A$2001, A997, ベンチマークリターン!$B$2:$B$2001, Q997) / 100, 0))</f>
        <v/>
      </c>
      <c r="T997" t="str">
        <f>IF(A997="","", SUMIFS($H$2:$H$2000, $A$2:$A$2000, A997))</f>
        <v/>
      </c>
      <c r="U997" t="str">
        <f t="shared" si="173"/>
        <v/>
      </c>
      <c r="V997" t="str">
        <f t="shared" si="174"/>
        <v/>
      </c>
      <c r="W997" t="str">
        <f t="shared" si="175"/>
        <v/>
      </c>
    </row>
    <row r="998" spans="1:23" x14ac:dyDescent="0.2">
      <c r="A998" s="4" t="str">
        <f>IF(ポートフォリオ実績!A999="","", ポートフォリオ実績!A999)</f>
        <v/>
      </c>
      <c r="B998" t="str">
        <f>IF(ポートフォリオ実績!B999="","", ポートフォリオ実績!B999)</f>
        <v/>
      </c>
      <c r="C998" s="10" t="str">
        <f>IF(ポートフォリオ実績!C999="","", ポートフォリオ実績!C999)</f>
        <v/>
      </c>
      <c r="D998" s="10" t="str">
        <f>IF(ポートフォリオ実績!D999="","", ポートフォリオ実績!D999)</f>
        <v/>
      </c>
      <c r="E998" s="10" t="str">
        <f>IF(ポートフォリオ実績!E999="","", ポートフォリオ実績!E999)</f>
        <v/>
      </c>
      <c r="F998" s="10" t="str">
        <f>IF(ポートフォリオ実績!F999="","", ポートフォリオ実績!F999)</f>
        <v/>
      </c>
      <c r="G998" t="str">
        <f t="shared" si="165"/>
        <v/>
      </c>
      <c r="H998">
        <f>IF(B998&lt;&gt;"", SUMIFS(ポートフォリオ実績!$D$2:$D$2001, ポートフォリオ実績!$B$2:$B$2001, B998, ポートフォリオ実績!$A$2:$A$2001, G998), 0)</f>
        <v>0</v>
      </c>
      <c r="I998">
        <f>IF(B998&lt;&gt;"", SUMIFS(ポートフォリオ実績!$C$2:$C$2001, ポートフォリオ実績!$B$2:$B$2001, B998, ポートフォリオ実績!$A$2:$A$2001, G998), 0)</f>
        <v>0</v>
      </c>
      <c r="J998">
        <f t="shared" si="166"/>
        <v>0</v>
      </c>
      <c r="K998">
        <f t="shared" si="167"/>
        <v>0</v>
      </c>
      <c r="L998">
        <f t="shared" si="168"/>
        <v>0</v>
      </c>
      <c r="M998">
        <f t="shared" si="169"/>
        <v>0</v>
      </c>
      <c r="N998">
        <f t="shared" si="170"/>
        <v>0</v>
      </c>
      <c r="O998">
        <f t="shared" si="171"/>
        <v>0</v>
      </c>
      <c r="P998" t="str">
        <f t="shared" si="172"/>
        <v/>
      </c>
      <c r="Q998" t="str">
        <f>IF(B998="","", IFERROR(VLOOKUP(B998, '基準資産配分（設定）'!$A$2:$C$2001, 3, FALSE), ""))</f>
        <v/>
      </c>
      <c r="R998" t="str">
        <f>IF(B998="","", IFERROR(VLOOKUP(B998, '基準資産配分（設定）'!$A$2:$C$2001, 2, FALSE)/100, 0))</f>
        <v/>
      </c>
      <c r="S998" t="str">
        <f>IF(B998="","", IFERROR(SUMIFS(ベンチマークリターン!$C$2:$C$2001, ベンチマークリターン!$A$2:$A$2001, A998, ベンチマークリターン!$B$2:$B$2001, Q998) / 100, 0))</f>
        <v/>
      </c>
      <c r="T998" t="str">
        <f>IF(A998="","", SUMIFS($H$2:$H$2000, $A$2:$A$2000, A998))</f>
        <v/>
      </c>
      <c r="U998" t="str">
        <f t="shared" si="173"/>
        <v/>
      </c>
      <c r="V998" t="str">
        <f t="shared" si="174"/>
        <v/>
      </c>
      <c r="W998" t="str">
        <f t="shared" si="175"/>
        <v/>
      </c>
    </row>
    <row r="999" spans="1:23" x14ac:dyDescent="0.2">
      <c r="A999" s="4" t="str">
        <f>IF(ポートフォリオ実績!A1000="","", ポートフォリオ実績!A1000)</f>
        <v/>
      </c>
      <c r="B999" t="str">
        <f>IF(ポートフォリオ実績!B1000="","", ポートフォリオ実績!B1000)</f>
        <v/>
      </c>
      <c r="C999" s="10" t="str">
        <f>IF(ポートフォリオ実績!C1000="","", ポートフォリオ実績!C1000)</f>
        <v/>
      </c>
      <c r="D999" s="10" t="str">
        <f>IF(ポートフォリオ実績!D1000="","", ポートフォリオ実績!D1000)</f>
        <v/>
      </c>
      <c r="E999" s="10" t="str">
        <f>IF(ポートフォリオ実績!E1000="","", ポートフォリオ実績!E1000)</f>
        <v/>
      </c>
      <c r="F999" s="10" t="str">
        <f>IF(ポートフォリオ実績!F1000="","", ポートフォリオ実績!F1000)</f>
        <v/>
      </c>
      <c r="G999" t="str">
        <f t="shared" si="165"/>
        <v/>
      </c>
      <c r="H999">
        <f>IF(B999&lt;&gt;"", SUMIFS(ポートフォリオ実績!$D$2:$D$2001, ポートフォリオ実績!$B$2:$B$2001, B999, ポートフォリオ実績!$A$2:$A$2001, G999), 0)</f>
        <v>0</v>
      </c>
      <c r="I999">
        <f>IF(B999&lt;&gt;"", SUMIFS(ポートフォリオ実績!$C$2:$C$2001, ポートフォリオ実績!$B$2:$B$2001, B999, ポートフォリオ実績!$A$2:$A$2001, G999), 0)</f>
        <v>0</v>
      </c>
      <c r="J999">
        <f t="shared" si="166"/>
        <v>0</v>
      </c>
      <c r="K999">
        <f t="shared" si="167"/>
        <v>0</v>
      </c>
      <c r="L999">
        <f t="shared" si="168"/>
        <v>0</v>
      </c>
      <c r="M999">
        <f t="shared" si="169"/>
        <v>0</v>
      </c>
      <c r="N999">
        <f t="shared" si="170"/>
        <v>0</v>
      </c>
      <c r="O999">
        <f t="shared" si="171"/>
        <v>0</v>
      </c>
      <c r="P999" t="str">
        <f t="shared" si="172"/>
        <v/>
      </c>
      <c r="Q999" t="str">
        <f>IF(B999="","", IFERROR(VLOOKUP(B999, '基準資産配分（設定）'!$A$2:$C$2001, 3, FALSE), ""))</f>
        <v/>
      </c>
      <c r="R999" t="str">
        <f>IF(B999="","", IFERROR(VLOOKUP(B999, '基準資産配分（設定）'!$A$2:$C$2001, 2, FALSE)/100, 0))</f>
        <v/>
      </c>
      <c r="S999" t="str">
        <f>IF(B999="","", IFERROR(SUMIFS(ベンチマークリターン!$C$2:$C$2001, ベンチマークリターン!$A$2:$A$2001, A999, ベンチマークリターン!$B$2:$B$2001, Q999) / 100, 0))</f>
        <v/>
      </c>
      <c r="T999" t="str">
        <f>IF(A999="","", SUMIFS($H$2:$H$2000, $A$2:$A$2000, A999))</f>
        <v/>
      </c>
      <c r="U999" t="str">
        <f t="shared" si="173"/>
        <v/>
      </c>
      <c r="V999" t="str">
        <f t="shared" si="174"/>
        <v/>
      </c>
      <c r="W999" t="str">
        <f t="shared" si="175"/>
        <v/>
      </c>
    </row>
    <row r="1000" spans="1:23" x14ac:dyDescent="0.2">
      <c r="A1000" s="4" t="str">
        <f>IF(ポートフォリオ実績!A1001="","", ポートフォリオ実績!A1001)</f>
        <v/>
      </c>
      <c r="B1000" t="str">
        <f>IF(ポートフォリオ実績!B1001="","", ポートフォリオ実績!B1001)</f>
        <v/>
      </c>
      <c r="C1000" s="10" t="str">
        <f>IF(ポートフォリオ実績!C1001="","", ポートフォリオ実績!C1001)</f>
        <v/>
      </c>
      <c r="D1000" s="10" t="str">
        <f>IF(ポートフォリオ実績!D1001="","", ポートフォリオ実績!D1001)</f>
        <v/>
      </c>
      <c r="E1000" s="10" t="str">
        <f>IF(ポートフォリオ実績!E1001="","", ポートフォリオ実績!E1001)</f>
        <v/>
      </c>
      <c r="F1000" s="10" t="str">
        <f>IF(ポートフォリオ実績!F1001="","", ポートフォリオ実績!F1001)</f>
        <v/>
      </c>
      <c r="G1000" t="str">
        <f t="shared" si="165"/>
        <v/>
      </c>
      <c r="H1000">
        <f>IF(B1000&lt;&gt;"", SUMIFS(ポートフォリオ実績!$D$2:$D$2001, ポートフォリオ実績!$B$2:$B$2001, B1000, ポートフォリオ実績!$A$2:$A$2001, G1000), 0)</f>
        <v>0</v>
      </c>
      <c r="I1000">
        <f>IF(B1000&lt;&gt;"", SUMIFS(ポートフォリオ実績!$C$2:$C$2001, ポートフォリオ実績!$B$2:$B$2001, B1000, ポートフォリオ実績!$A$2:$A$2001, G1000), 0)</f>
        <v>0</v>
      </c>
      <c r="J1000">
        <f t="shared" si="166"/>
        <v>0</v>
      </c>
      <c r="K1000">
        <f t="shared" si="167"/>
        <v>0</v>
      </c>
      <c r="L1000">
        <f t="shared" si="168"/>
        <v>0</v>
      </c>
      <c r="M1000">
        <f t="shared" si="169"/>
        <v>0</v>
      </c>
      <c r="N1000">
        <f t="shared" si="170"/>
        <v>0</v>
      </c>
      <c r="O1000">
        <f t="shared" si="171"/>
        <v>0</v>
      </c>
      <c r="P1000" t="str">
        <f t="shared" si="172"/>
        <v/>
      </c>
      <c r="Q1000" t="str">
        <f>IF(B1000="","", IFERROR(VLOOKUP(B1000, '基準資産配分（設定）'!$A$2:$C$2001, 3, FALSE), ""))</f>
        <v/>
      </c>
      <c r="R1000" t="str">
        <f>IF(B1000="","", IFERROR(VLOOKUP(B1000, '基準資産配分（設定）'!$A$2:$C$2001, 2, FALSE)/100, 0))</f>
        <v/>
      </c>
      <c r="S1000" t="str">
        <f>IF(B1000="","", IFERROR(SUMIFS(ベンチマークリターン!$C$2:$C$2001, ベンチマークリターン!$A$2:$A$2001, A1000, ベンチマークリターン!$B$2:$B$2001, Q1000) / 100, 0))</f>
        <v/>
      </c>
      <c r="T1000" t="str">
        <f>IF(A1000="","", SUMIFS($H$2:$H$2000, $A$2:$A$2000, A1000))</f>
        <v/>
      </c>
      <c r="U1000" t="str">
        <f t="shared" si="173"/>
        <v/>
      </c>
      <c r="V1000" t="str">
        <f t="shared" si="174"/>
        <v/>
      </c>
      <c r="W1000" t="str">
        <f t="shared" si="175"/>
        <v/>
      </c>
    </row>
    <row r="1001" spans="1:23" x14ac:dyDescent="0.2">
      <c r="A1001" s="4" t="str">
        <f>IF(ポートフォリオ実績!A1002="","", ポートフォリオ実績!A1002)</f>
        <v/>
      </c>
      <c r="B1001" t="str">
        <f>IF(ポートフォリオ実績!B1002="","", ポートフォリオ実績!B1002)</f>
        <v/>
      </c>
      <c r="C1001" s="10" t="str">
        <f>IF(ポートフォリオ実績!C1002="","", ポートフォリオ実績!C1002)</f>
        <v/>
      </c>
      <c r="D1001" s="10" t="str">
        <f>IF(ポートフォリオ実績!D1002="","", ポートフォリオ実績!D1002)</f>
        <v/>
      </c>
      <c r="E1001" s="10" t="str">
        <f>IF(ポートフォリオ実績!E1002="","", ポートフォリオ実績!E1002)</f>
        <v/>
      </c>
      <c r="F1001" s="10" t="str">
        <f>IF(ポートフォリオ実績!F1002="","", ポートフォリオ実績!F1002)</f>
        <v/>
      </c>
      <c r="G1001" t="str">
        <f t="shared" si="165"/>
        <v/>
      </c>
      <c r="H1001">
        <f>IF(B1001&lt;&gt;"", SUMIFS(ポートフォリオ実績!$D$2:$D$2001, ポートフォリオ実績!$B$2:$B$2001, B1001, ポートフォリオ実績!$A$2:$A$2001, G1001), 0)</f>
        <v>0</v>
      </c>
      <c r="I1001">
        <f>IF(B1001&lt;&gt;"", SUMIFS(ポートフォリオ実績!$C$2:$C$2001, ポートフォリオ実績!$B$2:$B$2001, B1001, ポートフォリオ実績!$A$2:$A$2001, G1001), 0)</f>
        <v>0</v>
      </c>
      <c r="J1001">
        <f t="shared" si="166"/>
        <v>0</v>
      </c>
      <c r="K1001">
        <f t="shared" si="167"/>
        <v>0</v>
      </c>
      <c r="L1001">
        <f t="shared" si="168"/>
        <v>0</v>
      </c>
      <c r="M1001">
        <f t="shared" si="169"/>
        <v>0</v>
      </c>
      <c r="N1001">
        <f t="shared" si="170"/>
        <v>0</v>
      </c>
      <c r="O1001">
        <f t="shared" si="171"/>
        <v>0</v>
      </c>
      <c r="P1001" t="str">
        <f t="shared" si="172"/>
        <v/>
      </c>
      <c r="Q1001" t="str">
        <f>IF(B1001="","", IFERROR(VLOOKUP(B1001, '基準資産配分（設定）'!$A$2:$C$2001, 3, FALSE), ""))</f>
        <v/>
      </c>
      <c r="R1001" t="str">
        <f>IF(B1001="","", IFERROR(VLOOKUP(B1001, '基準資産配分（設定）'!$A$2:$C$2001, 2, FALSE)/100, 0))</f>
        <v/>
      </c>
      <c r="S1001" t="str">
        <f>IF(B1001="","", IFERROR(SUMIFS(ベンチマークリターン!$C$2:$C$2001, ベンチマークリターン!$A$2:$A$2001, A1001, ベンチマークリターン!$B$2:$B$2001, Q1001) / 100, 0))</f>
        <v/>
      </c>
      <c r="T1001" t="str">
        <f>IF(A1001="","", SUMIFS($H$2:$H$2000, $A$2:$A$2000, A1001))</f>
        <v/>
      </c>
      <c r="U1001" t="str">
        <f t="shared" si="173"/>
        <v/>
      </c>
      <c r="V1001" t="str">
        <f t="shared" si="174"/>
        <v/>
      </c>
      <c r="W1001" t="str">
        <f t="shared" si="175"/>
        <v/>
      </c>
    </row>
    <row r="1002" spans="1:23" x14ac:dyDescent="0.2">
      <c r="A1002" s="4" t="str">
        <f>IF(ポートフォリオ実績!A1003="","", ポートフォリオ実績!A1003)</f>
        <v/>
      </c>
      <c r="B1002" t="str">
        <f>IF(ポートフォリオ実績!B1003="","", ポートフォリオ実績!B1003)</f>
        <v/>
      </c>
      <c r="C1002" s="10" t="str">
        <f>IF(ポートフォリオ実績!C1003="","", ポートフォリオ実績!C1003)</f>
        <v/>
      </c>
      <c r="D1002" s="10" t="str">
        <f>IF(ポートフォリオ実績!D1003="","", ポートフォリオ実績!D1003)</f>
        <v/>
      </c>
      <c r="E1002" s="10" t="str">
        <f>IF(ポートフォリオ実績!E1003="","", ポートフォリオ実績!E1003)</f>
        <v/>
      </c>
      <c r="F1002" s="10" t="str">
        <f>IF(ポートフォリオ実績!F1003="","", ポートフォリオ実績!F1003)</f>
        <v/>
      </c>
      <c r="G1002" t="str">
        <f t="shared" si="165"/>
        <v/>
      </c>
      <c r="H1002">
        <f>IF(B1002&lt;&gt;"", SUMIFS(ポートフォリオ実績!$D$2:$D$2001, ポートフォリオ実績!$B$2:$B$2001, B1002, ポートフォリオ実績!$A$2:$A$2001, G1002), 0)</f>
        <v>0</v>
      </c>
      <c r="I1002">
        <f>IF(B1002&lt;&gt;"", SUMIFS(ポートフォリオ実績!$C$2:$C$2001, ポートフォリオ実績!$B$2:$B$2001, B1002, ポートフォリオ実績!$A$2:$A$2001, G1002), 0)</f>
        <v>0</v>
      </c>
      <c r="J1002">
        <f t="shared" si="166"/>
        <v>0</v>
      </c>
      <c r="K1002">
        <f t="shared" si="167"/>
        <v>0</v>
      </c>
      <c r="L1002">
        <f t="shared" si="168"/>
        <v>0</v>
      </c>
      <c r="M1002">
        <f t="shared" si="169"/>
        <v>0</v>
      </c>
      <c r="N1002">
        <f t="shared" si="170"/>
        <v>0</v>
      </c>
      <c r="O1002">
        <f t="shared" si="171"/>
        <v>0</v>
      </c>
      <c r="P1002" t="str">
        <f t="shared" si="172"/>
        <v/>
      </c>
      <c r="Q1002" t="str">
        <f>IF(B1002="","", IFERROR(VLOOKUP(B1002, '基準資産配分（設定）'!$A$2:$C$2001, 3, FALSE), ""))</f>
        <v/>
      </c>
      <c r="R1002" t="str">
        <f>IF(B1002="","", IFERROR(VLOOKUP(B1002, '基準資産配分（設定）'!$A$2:$C$2001, 2, FALSE)/100, 0))</f>
        <v/>
      </c>
      <c r="S1002" t="str">
        <f>IF(B1002="","", IFERROR(SUMIFS(ベンチマークリターン!$C$2:$C$2001, ベンチマークリターン!$A$2:$A$2001, A1002, ベンチマークリターン!$B$2:$B$2001, Q1002) / 100, 0))</f>
        <v/>
      </c>
      <c r="T1002" t="str">
        <f>IF(A1002="","", SUMIFS($H$2:$H$2000, $A$2:$A$2000, A1002))</f>
        <v/>
      </c>
      <c r="U1002" t="str">
        <f t="shared" si="173"/>
        <v/>
      </c>
      <c r="V1002" t="str">
        <f t="shared" si="174"/>
        <v/>
      </c>
      <c r="W1002" t="str">
        <f t="shared" si="175"/>
        <v/>
      </c>
    </row>
    <row r="1003" spans="1:23" x14ac:dyDescent="0.2">
      <c r="A1003" s="4" t="str">
        <f>IF(ポートフォリオ実績!A1004="","", ポートフォリオ実績!A1004)</f>
        <v/>
      </c>
      <c r="B1003" t="str">
        <f>IF(ポートフォリオ実績!B1004="","", ポートフォリオ実績!B1004)</f>
        <v/>
      </c>
      <c r="C1003" s="10" t="str">
        <f>IF(ポートフォリオ実績!C1004="","", ポートフォリオ実績!C1004)</f>
        <v/>
      </c>
      <c r="D1003" s="10" t="str">
        <f>IF(ポートフォリオ実績!D1004="","", ポートフォリオ実績!D1004)</f>
        <v/>
      </c>
      <c r="E1003" s="10" t="str">
        <f>IF(ポートフォリオ実績!E1004="","", ポートフォリオ実績!E1004)</f>
        <v/>
      </c>
      <c r="F1003" s="10" t="str">
        <f>IF(ポートフォリオ実績!F1004="","", ポートフォリオ実績!F1004)</f>
        <v/>
      </c>
      <c r="G1003" t="str">
        <f t="shared" si="165"/>
        <v/>
      </c>
      <c r="H1003">
        <f>IF(B1003&lt;&gt;"", SUMIFS(ポートフォリオ実績!$D$2:$D$2001, ポートフォリオ実績!$B$2:$B$2001, B1003, ポートフォリオ実績!$A$2:$A$2001, G1003), 0)</f>
        <v>0</v>
      </c>
      <c r="I1003">
        <f>IF(B1003&lt;&gt;"", SUMIFS(ポートフォリオ実績!$C$2:$C$2001, ポートフォリオ実績!$B$2:$B$2001, B1003, ポートフォリオ実績!$A$2:$A$2001, G1003), 0)</f>
        <v>0</v>
      </c>
      <c r="J1003">
        <f t="shared" si="166"/>
        <v>0</v>
      </c>
      <c r="K1003">
        <f t="shared" si="167"/>
        <v>0</v>
      </c>
      <c r="L1003">
        <f t="shared" si="168"/>
        <v>0</v>
      </c>
      <c r="M1003">
        <f t="shared" si="169"/>
        <v>0</v>
      </c>
      <c r="N1003">
        <f t="shared" si="170"/>
        <v>0</v>
      </c>
      <c r="O1003">
        <f t="shared" si="171"/>
        <v>0</v>
      </c>
      <c r="P1003" t="str">
        <f t="shared" si="172"/>
        <v/>
      </c>
      <c r="Q1003" t="str">
        <f>IF(B1003="","", IFERROR(VLOOKUP(B1003, '基準資産配分（設定）'!$A$2:$C$2001, 3, FALSE), ""))</f>
        <v/>
      </c>
      <c r="R1003" t="str">
        <f>IF(B1003="","", IFERROR(VLOOKUP(B1003, '基準資産配分（設定）'!$A$2:$C$2001, 2, FALSE)/100, 0))</f>
        <v/>
      </c>
      <c r="S1003" t="str">
        <f>IF(B1003="","", IFERROR(SUMIFS(ベンチマークリターン!$C$2:$C$2001, ベンチマークリターン!$A$2:$A$2001, A1003, ベンチマークリターン!$B$2:$B$2001, Q1003) / 100, 0))</f>
        <v/>
      </c>
      <c r="T1003" t="str">
        <f>IF(A1003="","", SUMIFS($H$2:$H$2000, $A$2:$A$2000, A1003))</f>
        <v/>
      </c>
      <c r="U1003" t="str">
        <f t="shared" si="173"/>
        <v/>
      </c>
      <c r="V1003" t="str">
        <f t="shared" si="174"/>
        <v/>
      </c>
      <c r="W1003" t="str">
        <f t="shared" si="175"/>
        <v/>
      </c>
    </row>
    <row r="1004" spans="1:23" x14ac:dyDescent="0.2">
      <c r="A1004" s="4" t="str">
        <f>IF(ポートフォリオ実績!A1005="","", ポートフォリオ実績!A1005)</f>
        <v/>
      </c>
      <c r="B1004" t="str">
        <f>IF(ポートフォリオ実績!B1005="","", ポートフォリオ実績!B1005)</f>
        <v/>
      </c>
      <c r="C1004" s="10" t="str">
        <f>IF(ポートフォリオ実績!C1005="","", ポートフォリオ実績!C1005)</f>
        <v/>
      </c>
      <c r="D1004" s="10" t="str">
        <f>IF(ポートフォリオ実績!D1005="","", ポートフォリオ実績!D1005)</f>
        <v/>
      </c>
      <c r="E1004" s="10" t="str">
        <f>IF(ポートフォリオ実績!E1005="","", ポートフォリオ実績!E1005)</f>
        <v/>
      </c>
      <c r="F1004" s="10" t="str">
        <f>IF(ポートフォリオ実績!F1005="","", ポートフォリオ実績!F1005)</f>
        <v/>
      </c>
      <c r="G1004" t="str">
        <f t="shared" si="165"/>
        <v/>
      </c>
      <c r="H1004">
        <f>IF(B1004&lt;&gt;"", SUMIFS(ポートフォリオ実績!$D$2:$D$2001, ポートフォリオ実績!$B$2:$B$2001, B1004, ポートフォリオ実績!$A$2:$A$2001, G1004), 0)</f>
        <v>0</v>
      </c>
      <c r="I1004">
        <f>IF(B1004&lt;&gt;"", SUMIFS(ポートフォリオ実績!$C$2:$C$2001, ポートフォリオ実績!$B$2:$B$2001, B1004, ポートフォリオ実績!$A$2:$A$2001, G1004), 0)</f>
        <v>0</v>
      </c>
      <c r="J1004">
        <f t="shared" si="166"/>
        <v>0</v>
      </c>
      <c r="K1004">
        <f t="shared" si="167"/>
        <v>0</v>
      </c>
      <c r="L1004">
        <f t="shared" si="168"/>
        <v>0</v>
      </c>
      <c r="M1004">
        <f t="shared" si="169"/>
        <v>0</v>
      </c>
      <c r="N1004">
        <f t="shared" si="170"/>
        <v>0</v>
      </c>
      <c r="O1004">
        <f t="shared" si="171"/>
        <v>0</v>
      </c>
      <c r="P1004" t="str">
        <f t="shared" si="172"/>
        <v/>
      </c>
      <c r="Q1004" t="str">
        <f>IF(B1004="","", IFERROR(VLOOKUP(B1004, '基準資産配分（設定）'!$A$2:$C$2001, 3, FALSE), ""))</f>
        <v/>
      </c>
      <c r="R1004" t="str">
        <f>IF(B1004="","", IFERROR(VLOOKUP(B1004, '基準資産配分（設定）'!$A$2:$C$2001, 2, FALSE)/100, 0))</f>
        <v/>
      </c>
      <c r="S1004" t="str">
        <f>IF(B1004="","", IFERROR(SUMIFS(ベンチマークリターン!$C$2:$C$2001, ベンチマークリターン!$A$2:$A$2001, A1004, ベンチマークリターン!$B$2:$B$2001, Q1004) / 100, 0))</f>
        <v/>
      </c>
      <c r="T1004" t="str">
        <f>IF(A1004="","", SUMIFS($H$2:$H$2000, $A$2:$A$2000, A1004))</f>
        <v/>
      </c>
      <c r="U1004" t="str">
        <f t="shared" si="173"/>
        <v/>
      </c>
      <c r="V1004" t="str">
        <f t="shared" si="174"/>
        <v/>
      </c>
      <c r="W1004" t="str">
        <f t="shared" si="175"/>
        <v/>
      </c>
    </row>
    <row r="1005" spans="1:23" x14ac:dyDescent="0.2">
      <c r="A1005" s="4" t="str">
        <f>IF(ポートフォリオ実績!A1006="","", ポートフォリオ実績!A1006)</f>
        <v/>
      </c>
      <c r="B1005" t="str">
        <f>IF(ポートフォリオ実績!B1006="","", ポートフォリオ実績!B1006)</f>
        <v/>
      </c>
      <c r="C1005" s="10" t="str">
        <f>IF(ポートフォリオ実績!C1006="","", ポートフォリオ実績!C1006)</f>
        <v/>
      </c>
      <c r="D1005" s="10" t="str">
        <f>IF(ポートフォリオ実績!D1006="","", ポートフォリオ実績!D1006)</f>
        <v/>
      </c>
      <c r="E1005" s="10" t="str">
        <f>IF(ポートフォリオ実績!E1006="","", ポートフォリオ実績!E1006)</f>
        <v/>
      </c>
      <c r="F1005" s="10" t="str">
        <f>IF(ポートフォリオ実績!F1006="","", ポートフォリオ実績!F1006)</f>
        <v/>
      </c>
      <c r="G1005" t="str">
        <f t="shared" si="165"/>
        <v/>
      </c>
      <c r="H1005">
        <f>IF(B1005&lt;&gt;"", SUMIFS(ポートフォリオ実績!$D$2:$D$2001, ポートフォリオ実績!$B$2:$B$2001, B1005, ポートフォリオ実績!$A$2:$A$2001, G1005), 0)</f>
        <v>0</v>
      </c>
      <c r="I1005">
        <f>IF(B1005&lt;&gt;"", SUMIFS(ポートフォリオ実績!$C$2:$C$2001, ポートフォリオ実績!$B$2:$B$2001, B1005, ポートフォリオ実績!$A$2:$A$2001, G1005), 0)</f>
        <v>0</v>
      </c>
      <c r="J1005">
        <f t="shared" si="166"/>
        <v>0</v>
      </c>
      <c r="K1005">
        <f t="shared" si="167"/>
        <v>0</v>
      </c>
      <c r="L1005">
        <f t="shared" si="168"/>
        <v>0</v>
      </c>
      <c r="M1005">
        <f t="shared" si="169"/>
        <v>0</v>
      </c>
      <c r="N1005">
        <f t="shared" si="170"/>
        <v>0</v>
      </c>
      <c r="O1005">
        <f t="shared" si="171"/>
        <v>0</v>
      </c>
      <c r="P1005" t="str">
        <f t="shared" si="172"/>
        <v/>
      </c>
      <c r="Q1005" t="str">
        <f>IF(B1005="","", IFERROR(VLOOKUP(B1005, '基準資産配分（設定）'!$A$2:$C$2001, 3, FALSE), ""))</f>
        <v/>
      </c>
      <c r="R1005" t="str">
        <f>IF(B1005="","", IFERROR(VLOOKUP(B1005, '基準資産配分（設定）'!$A$2:$C$2001, 2, FALSE)/100, 0))</f>
        <v/>
      </c>
      <c r="S1005" t="str">
        <f>IF(B1005="","", IFERROR(SUMIFS(ベンチマークリターン!$C$2:$C$2001, ベンチマークリターン!$A$2:$A$2001, A1005, ベンチマークリターン!$B$2:$B$2001, Q1005) / 100, 0))</f>
        <v/>
      </c>
      <c r="T1005" t="str">
        <f>IF(A1005="","", SUMIFS($H$2:$H$2000, $A$2:$A$2000, A1005))</f>
        <v/>
      </c>
      <c r="U1005" t="str">
        <f t="shared" si="173"/>
        <v/>
      </c>
      <c r="V1005" t="str">
        <f t="shared" si="174"/>
        <v/>
      </c>
      <c r="W1005" t="str">
        <f t="shared" si="175"/>
        <v/>
      </c>
    </row>
    <row r="1006" spans="1:23" x14ac:dyDescent="0.2">
      <c r="A1006" s="4" t="str">
        <f>IF(ポートフォリオ実績!A1007="","", ポートフォリオ実績!A1007)</f>
        <v/>
      </c>
      <c r="B1006" t="str">
        <f>IF(ポートフォリオ実績!B1007="","", ポートフォリオ実績!B1007)</f>
        <v/>
      </c>
      <c r="C1006" s="10" t="str">
        <f>IF(ポートフォリオ実績!C1007="","", ポートフォリオ実績!C1007)</f>
        <v/>
      </c>
      <c r="D1006" s="10" t="str">
        <f>IF(ポートフォリオ実績!D1007="","", ポートフォリオ実績!D1007)</f>
        <v/>
      </c>
      <c r="E1006" s="10" t="str">
        <f>IF(ポートフォリオ実績!E1007="","", ポートフォリオ実績!E1007)</f>
        <v/>
      </c>
      <c r="F1006" s="10" t="str">
        <f>IF(ポートフォリオ実績!F1007="","", ポートフォリオ実績!F1007)</f>
        <v/>
      </c>
      <c r="G1006" t="str">
        <f t="shared" si="165"/>
        <v/>
      </c>
      <c r="H1006">
        <f>IF(B1006&lt;&gt;"", SUMIFS(ポートフォリオ実績!$D$2:$D$2001, ポートフォリオ実績!$B$2:$B$2001, B1006, ポートフォリオ実績!$A$2:$A$2001, G1006), 0)</f>
        <v>0</v>
      </c>
      <c r="I1006">
        <f>IF(B1006&lt;&gt;"", SUMIFS(ポートフォリオ実績!$C$2:$C$2001, ポートフォリオ実績!$B$2:$B$2001, B1006, ポートフォリオ実績!$A$2:$A$2001, G1006), 0)</f>
        <v>0</v>
      </c>
      <c r="J1006">
        <f t="shared" si="166"/>
        <v>0</v>
      </c>
      <c r="K1006">
        <f t="shared" si="167"/>
        <v>0</v>
      </c>
      <c r="L1006">
        <f t="shared" si="168"/>
        <v>0</v>
      </c>
      <c r="M1006">
        <f t="shared" si="169"/>
        <v>0</v>
      </c>
      <c r="N1006">
        <f t="shared" si="170"/>
        <v>0</v>
      </c>
      <c r="O1006">
        <f t="shared" si="171"/>
        <v>0</v>
      </c>
      <c r="P1006" t="str">
        <f t="shared" si="172"/>
        <v/>
      </c>
      <c r="Q1006" t="str">
        <f>IF(B1006="","", IFERROR(VLOOKUP(B1006, '基準資産配分（設定）'!$A$2:$C$2001, 3, FALSE), ""))</f>
        <v/>
      </c>
      <c r="R1006" t="str">
        <f>IF(B1006="","", IFERROR(VLOOKUP(B1006, '基準資産配分（設定）'!$A$2:$C$2001, 2, FALSE)/100, 0))</f>
        <v/>
      </c>
      <c r="S1006" t="str">
        <f>IF(B1006="","", IFERROR(SUMIFS(ベンチマークリターン!$C$2:$C$2001, ベンチマークリターン!$A$2:$A$2001, A1006, ベンチマークリターン!$B$2:$B$2001, Q1006) / 100, 0))</f>
        <v/>
      </c>
      <c r="T1006" t="str">
        <f>IF(A1006="","", SUMIFS($H$2:$H$2000, $A$2:$A$2000, A1006))</f>
        <v/>
      </c>
      <c r="U1006" t="str">
        <f t="shared" si="173"/>
        <v/>
      </c>
      <c r="V1006" t="str">
        <f t="shared" si="174"/>
        <v/>
      </c>
      <c r="W1006" t="str">
        <f t="shared" si="175"/>
        <v/>
      </c>
    </row>
    <row r="1007" spans="1:23" x14ac:dyDescent="0.2">
      <c r="A1007" s="4" t="str">
        <f>IF(ポートフォリオ実績!A1008="","", ポートフォリオ実績!A1008)</f>
        <v/>
      </c>
      <c r="B1007" t="str">
        <f>IF(ポートフォリオ実績!B1008="","", ポートフォリオ実績!B1008)</f>
        <v/>
      </c>
      <c r="C1007" s="10" t="str">
        <f>IF(ポートフォリオ実績!C1008="","", ポートフォリオ実績!C1008)</f>
        <v/>
      </c>
      <c r="D1007" s="10" t="str">
        <f>IF(ポートフォリオ実績!D1008="","", ポートフォリオ実績!D1008)</f>
        <v/>
      </c>
      <c r="E1007" s="10" t="str">
        <f>IF(ポートフォリオ実績!E1008="","", ポートフォリオ実績!E1008)</f>
        <v/>
      </c>
      <c r="F1007" s="10" t="str">
        <f>IF(ポートフォリオ実績!F1008="","", ポートフォリオ実績!F1008)</f>
        <v/>
      </c>
      <c r="G1007" t="str">
        <f t="shared" si="165"/>
        <v/>
      </c>
      <c r="H1007">
        <f>IF(B1007&lt;&gt;"", SUMIFS(ポートフォリオ実績!$D$2:$D$2001, ポートフォリオ実績!$B$2:$B$2001, B1007, ポートフォリオ実績!$A$2:$A$2001, G1007), 0)</f>
        <v>0</v>
      </c>
      <c r="I1007">
        <f>IF(B1007&lt;&gt;"", SUMIFS(ポートフォリオ実績!$C$2:$C$2001, ポートフォリオ実績!$B$2:$B$2001, B1007, ポートフォリオ実績!$A$2:$A$2001, G1007), 0)</f>
        <v>0</v>
      </c>
      <c r="J1007">
        <f t="shared" si="166"/>
        <v>0</v>
      </c>
      <c r="K1007">
        <f t="shared" si="167"/>
        <v>0</v>
      </c>
      <c r="L1007">
        <f t="shared" si="168"/>
        <v>0</v>
      </c>
      <c r="M1007">
        <f t="shared" si="169"/>
        <v>0</v>
      </c>
      <c r="N1007">
        <f t="shared" si="170"/>
        <v>0</v>
      </c>
      <c r="O1007">
        <f t="shared" si="171"/>
        <v>0</v>
      </c>
      <c r="P1007" t="str">
        <f t="shared" si="172"/>
        <v/>
      </c>
      <c r="Q1007" t="str">
        <f>IF(B1007="","", IFERROR(VLOOKUP(B1007, '基準資産配分（設定）'!$A$2:$C$2001, 3, FALSE), ""))</f>
        <v/>
      </c>
      <c r="R1007" t="str">
        <f>IF(B1007="","", IFERROR(VLOOKUP(B1007, '基準資産配分（設定）'!$A$2:$C$2001, 2, FALSE)/100, 0))</f>
        <v/>
      </c>
      <c r="S1007" t="str">
        <f>IF(B1007="","", IFERROR(SUMIFS(ベンチマークリターン!$C$2:$C$2001, ベンチマークリターン!$A$2:$A$2001, A1007, ベンチマークリターン!$B$2:$B$2001, Q1007) / 100, 0))</f>
        <v/>
      </c>
      <c r="T1007" t="str">
        <f>IF(A1007="","", SUMIFS($H$2:$H$2000, $A$2:$A$2000, A1007))</f>
        <v/>
      </c>
      <c r="U1007" t="str">
        <f t="shared" si="173"/>
        <v/>
      </c>
      <c r="V1007" t="str">
        <f t="shared" si="174"/>
        <v/>
      </c>
      <c r="W1007" t="str">
        <f t="shared" si="175"/>
        <v/>
      </c>
    </row>
    <row r="1008" spans="1:23" x14ac:dyDescent="0.2">
      <c r="A1008" s="4" t="str">
        <f>IF(ポートフォリオ実績!A1009="","", ポートフォリオ実績!A1009)</f>
        <v/>
      </c>
      <c r="B1008" t="str">
        <f>IF(ポートフォリオ実績!B1009="","", ポートフォリオ実績!B1009)</f>
        <v/>
      </c>
      <c r="C1008" s="10" t="str">
        <f>IF(ポートフォリオ実績!C1009="","", ポートフォリオ実績!C1009)</f>
        <v/>
      </c>
      <c r="D1008" s="10" t="str">
        <f>IF(ポートフォリオ実績!D1009="","", ポートフォリオ実績!D1009)</f>
        <v/>
      </c>
      <c r="E1008" s="10" t="str">
        <f>IF(ポートフォリオ実績!E1009="","", ポートフォリオ実績!E1009)</f>
        <v/>
      </c>
      <c r="F1008" s="10" t="str">
        <f>IF(ポートフォリオ実績!F1009="","", ポートフォリオ実績!F1009)</f>
        <v/>
      </c>
      <c r="G1008" t="str">
        <f t="shared" si="165"/>
        <v/>
      </c>
      <c r="H1008">
        <f>IF(B1008&lt;&gt;"", SUMIFS(ポートフォリオ実績!$D$2:$D$2001, ポートフォリオ実績!$B$2:$B$2001, B1008, ポートフォリオ実績!$A$2:$A$2001, G1008), 0)</f>
        <v>0</v>
      </c>
      <c r="I1008">
        <f>IF(B1008&lt;&gt;"", SUMIFS(ポートフォリオ実績!$C$2:$C$2001, ポートフォリオ実績!$B$2:$B$2001, B1008, ポートフォリオ実績!$A$2:$A$2001, G1008), 0)</f>
        <v>0</v>
      </c>
      <c r="J1008">
        <f t="shared" si="166"/>
        <v>0</v>
      </c>
      <c r="K1008">
        <f t="shared" si="167"/>
        <v>0</v>
      </c>
      <c r="L1008">
        <f t="shared" si="168"/>
        <v>0</v>
      </c>
      <c r="M1008">
        <f t="shared" si="169"/>
        <v>0</v>
      </c>
      <c r="N1008">
        <f t="shared" si="170"/>
        <v>0</v>
      </c>
      <c r="O1008">
        <f t="shared" si="171"/>
        <v>0</v>
      </c>
      <c r="P1008" t="str">
        <f t="shared" si="172"/>
        <v/>
      </c>
      <c r="Q1008" t="str">
        <f>IF(B1008="","", IFERROR(VLOOKUP(B1008, '基準資産配分（設定）'!$A$2:$C$2001, 3, FALSE), ""))</f>
        <v/>
      </c>
      <c r="R1008" t="str">
        <f>IF(B1008="","", IFERROR(VLOOKUP(B1008, '基準資産配分（設定）'!$A$2:$C$2001, 2, FALSE)/100, 0))</f>
        <v/>
      </c>
      <c r="S1008" t="str">
        <f>IF(B1008="","", IFERROR(SUMIFS(ベンチマークリターン!$C$2:$C$2001, ベンチマークリターン!$A$2:$A$2001, A1008, ベンチマークリターン!$B$2:$B$2001, Q1008) / 100, 0))</f>
        <v/>
      </c>
      <c r="T1008" t="str">
        <f>IF(A1008="","", SUMIFS($H$2:$H$2000, $A$2:$A$2000, A1008))</f>
        <v/>
      </c>
      <c r="U1008" t="str">
        <f t="shared" si="173"/>
        <v/>
      </c>
      <c r="V1008" t="str">
        <f t="shared" si="174"/>
        <v/>
      </c>
      <c r="W1008" t="str">
        <f t="shared" si="175"/>
        <v/>
      </c>
    </row>
    <row r="1009" spans="1:23" x14ac:dyDescent="0.2">
      <c r="A1009" s="4" t="str">
        <f>IF(ポートフォリオ実績!A1010="","", ポートフォリオ実績!A1010)</f>
        <v/>
      </c>
      <c r="B1009" t="str">
        <f>IF(ポートフォリオ実績!B1010="","", ポートフォリオ実績!B1010)</f>
        <v/>
      </c>
      <c r="C1009" s="10" t="str">
        <f>IF(ポートフォリオ実績!C1010="","", ポートフォリオ実績!C1010)</f>
        <v/>
      </c>
      <c r="D1009" s="10" t="str">
        <f>IF(ポートフォリオ実績!D1010="","", ポートフォリオ実績!D1010)</f>
        <v/>
      </c>
      <c r="E1009" s="10" t="str">
        <f>IF(ポートフォリオ実績!E1010="","", ポートフォリオ実績!E1010)</f>
        <v/>
      </c>
      <c r="F1009" s="10" t="str">
        <f>IF(ポートフォリオ実績!F1010="","", ポートフォリオ実績!F1010)</f>
        <v/>
      </c>
      <c r="G1009" t="str">
        <f t="shared" si="165"/>
        <v/>
      </c>
      <c r="H1009">
        <f>IF(B1009&lt;&gt;"", SUMIFS(ポートフォリオ実績!$D$2:$D$2001, ポートフォリオ実績!$B$2:$B$2001, B1009, ポートフォリオ実績!$A$2:$A$2001, G1009), 0)</f>
        <v>0</v>
      </c>
      <c r="I1009">
        <f>IF(B1009&lt;&gt;"", SUMIFS(ポートフォリオ実績!$C$2:$C$2001, ポートフォリオ実績!$B$2:$B$2001, B1009, ポートフォリオ実績!$A$2:$A$2001, G1009), 0)</f>
        <v>0</v>
      </c>
      <c r="J1009">
        <f t="shared" si="166"/>
        <v>0</v>
      </c>
      <c r="K1009">
        <f t="shared" si="167"/>
        <v>0</v>
      </c>
      <c r="L1009">
        <f t="shared" si="168"/>
        <v>0</v>
      </c>
      <c r="M1009">
        <f t="shared" si="169"/>
        <v>0</v>
      </c>
      <c r="N1009">
        <f t="shared" si="170"/>
        <v>0</v>
      </c>
      <c r="O1009">
        <f t="shared" si="171"/>
        <v>0</v>
      </c>
      <c r="P1009" t="str">
        <f t="shared" si="172"/>
        <v/>
      </c>
      <c r="Q1009" t="str">
        <f>IF(B1009="","", IFERROR(VLOOKUP(B1009, '基準資産配分（設定）'!$A$2:$C$2001, 3, FALSE), ""))</f>
        <v/>
      </c>
      <c r="R1009" t="str">
        <f>IF(B1009="","", IFERROR(VLOOKUP(B1009, '基準資産配分（設定）'!$A$2:$C$2001, 2, FALSE)/100, 0))</f>
        <v/>
      </c>
      <c r="S1009" t="str">
        <f>IF(B1009="","", IFERROR(SUMIFS(ベンチマークリターン!$C$2:$C$2001, ベンチマークリターン!$A$2:$A$2001, A1009, ベンチマークリターン!$B$2:$B$2001, Q1009) / 100, 0))</f>
        <v/>
      </c>
      <c r="T1009" t="str">
        <f>IF(A1009="","", SUMIFS($H$2:$H$2000, $A$2:$A$2000, A1009))</f>
        <v/>
      </c>
      <c r="U1009" t="str">
        <f t="shared" si="173"/>
        <v/>
      </c>
      <c r="V1009" t="str">
        <f t="shared" si="174"/>
        <v/>
      </c>
      <c r="W1009" t="str">
        <f t="shared" si="175"/>
        <v/>
      </c>
    </row>
    <row r="1010" spans="1:23" x14ac:dyDescent="0.2">
      <c r="A1010" s="4" t="str">
        <f>IF(ポートフォリオ実績!A1011="","", ポートフォリオ実績!A1011)</f>
        <v/>
      </c>
      <c r="B1010" t="str">
        <f>IF(ポートフォリオ実績!B1011="","", ポートフォリオ実績!B1011)</f>
        <v/>
      </c>
      <c r="C1010" s="10" t="str">
        <f>IF(ポートフォリオ実績!C1011="","", ポートフォリオ実績!C1011)</f>
        <v/>
      </c>
      <c r="D1010" s="10" t="str">
        <f>IF(ポートフォリオ実績!D1011="","", ポートフォリオ実績!D1011)</f>
        <v/>
      </c>
      <c r="E1010" s="10" t="str">
        <f>IF(ポートフォリオ実績!E1011="","", ポートフォリオ実績!E1011)</f>
        <v/>
      </c>
      <c r="F1010" s="10" t="str">
        <f>IF(ポートフォリオ実績!F1011="","", ポートフォリオ実績!F1011)</f>
        <v/>
      </c>
      <c r="G1010" t="str">
        <f t="shared" si="165"/>
        <v/>
      </c>
      <c r="H1010">
        <f>IF(B1010&lt;&gt;"", SUMIFS(ポートフォリオ実績!$D$2:$D$2001, ポートフォリオ実績!$B$2:$B$2001, B1010, ポートフォリオ実績!$A$2:$A$2001, G1010), 0)</f>
        <v>0</v>
      </c>
      <c r="I1010">
        <f>IF(B1010&lt;&gt;"", SUMIFS(ポートフォリオ実績!$C$2:$C$2001, ポートフォリオ実績!$B$2:$B$2001, B1010, ポートフォリオ実績!$A$2:$A$2001, G1010), 0)</f>
        <v>0</v>
      </c>
      <c r="J1010">
        <f t="shared" si="166"/>
        <v>0</v>
      </c>
      <c r="K1010">
        <f t="shared" si="167"/>
        <v>0</v>
      </c>
      <c r="L1010">
        <f t="shared" si="168"/>
        <v>0</v>
      </c>
      <c r="M1010">
        <f t="shared" si="169"/>
        <v>0</v>
      </c>
      <c r="N1010">
        <f t="shared" si="170"/>
        <v>0</v>
      </c>
      <c r="O1010">
        <f t="shared" si="171"/>
        <v>0</v>
      </c>
      <c r="P1010" t="str">
        <f t="shared" si="172"/>
        <v/>
      </c>
      <c r="Q1010" t="str">
        <f>IF(B1010="","", IFERROR(VLOOKUP(B1010, '基準資産配分（設定）'!$A$2:$C$2001, 3, FALSE), ""))</f>
        <v/>
      </c>
      <c r="R1010" t="str">
        <f>IF(B1010="","", IFERROR(VLOOKUP(B1010, '基準資産配分（設定）'!$A$2:$C$2001, 2, FALSE)/100, 0))</f>
        <v/>
      </c>
      <c r="S1010" t="str">
        <f>IF(B1010="","", IFERROR(SUMIFS(ベンチマークリターン!$C$2:$C$2001, ベンチマークリターン!$A$2:$A$2001, A1010, ベンチマークリターン!$B$2:$B$2001, Q1010) / 100, 0))</f>
        <v/>
      </c>
      <c r="T1010" t="str">
        <f>IF(A1010="","", SUMIFS($H$2:$H$2000, $A$2:$A$2000, A1010))</f>
        <v/>
      </c>
      <c r="U1010" t="str">
        <f t="shared" si="173"/>
        <v/>
      </c>
      <c r="V1010" t="str">
        <f t="shared" si="174"/>
        <v/>
      </c>
      <c r="W1010" t="str">
        <f t="shared" si="175"/>
        <v/>
      </c>
    </row>
    <row r="1011" spans="1:23" x14ac:dyDescent="0.2">
      <c r="A1011" s="4" t="str">
        <f>IF(ポートフォリオ実績!A1012="","", ポートフォリオ実績!A1012)</f>
        <v/>
      </c>
      <c r="B1011" t="str">
        <f>IF(ポートフォリオ実績!B1012="","", ポートフォリオ実績!B1012)</f>
        <v/>
      </c>
      <c r="C1011" s="10" t="str">
        <f>IF(ポートフォリオ実績!C1012="","", ポートフォリオ実績!C1012)</f>
        <v/>
      </c>
      <c r="D1011" s="10" t="str">
        <f>IF(ポートフォリオ実績!D1012="","", ポートフォリオ実績!D1012)</f>
        <v/>
      </c>
      <c r="E1011" s="10" t="str">
        <f>IF(ポートフォリオ実績!E1012="","", ポートフォリオ実績!E1012)</f>
        <v/>
      </c>
      <c r="F1011" s="10" t="str">
        <f>IF(ポートフォリオ実績!F1012="","", ポートフォリオ実績!F1012)</f>
        <v/>
      </c>
      <c r="G1011" t="str">
        <f t="shared" si="165"/>
        <v/>
      </c>
      <c r="H1011">
        <f>IF(B1011&lt;&gt;"", SUMIFS(ポートフォリオ実績!$D$2:$D$2001, ポートフォリオ実績!$B$2:$B$2001, B1011, ポートフォリオ実績!$A$2:$A$2001, G1011), 0)</f>
        <v>0</v>
      </c>
      <c r="I1011">
        <f>IF(B1011&lt;&gt;"", SUMIFS(ポートフォリオ実績!$C$2:$C$2001, ポートフォリオ実績!$B$2:$B$2001, B1011, ポートフォリオ実績!$A$2:$A$2001, G1011), 0)</f>
        <v>0</v>
      </c>
      <c r="J1011">
        <f t="shared" si="166"/>
        <v>0</v>
      </c>
      <c r="K1011">
        <f t="shared" si="167"/>
        <v>0</v>
      </c>
      <c r="L1011">
        <f t="shared" si="168"/>
        <v>0</v>
      </c>
      <c r="M1011">
        <f t="shared" si="169"/>
        <v>0</v>
      </c>
      <c r="N1011">
        <f t="shared" si="170"/>
        <v>0</v>
      </c>
      <c r="O1011">
        <f t="shared" si="171"/>
        <v>0</v>
      </c>
      <c r="P1011" t="str">
        <f t="shared" si="172"/>
        <v/>
      </c>
      <c r="Q1011" t="str">
        <f>IF(B1011="","", IFERROR(VLOOKUP(B1011, '基準資産配分（設定）'!$A$2:$C$2001, 3, FALSE), ""))</f>
        <v/>
      </c>
      <c r="R1011" t="str">
        <f>IF(B1011="","", IFERROR(VLOOKUP(B1011, '基準資産配分（設定）'!$A$2:$C$2001, 2, FALSE)/100, 0))</f>
        <v/>
      </c>
      <c r="S1011" t="str">
        <f>IF(B1011="","", IFERROR(SUMIFS(ベンチマークリターン!$C$2:$C$2001, ベンチマークリターン!$A$2:$A$2001, A1011, ベンチマークリターン!$B$2:$B$2001, Q1011) / 100, 0))</f>
        <v/>
      </c>
      <c r="T1011" t="str">
        <f>IF(A1011="","", SUMIFS($H$2:$H$2000, $A$2:$A$2000, A1011))</f>
        <v/>
      </c>
      <c r="U1011" t="str">
        <f t="shared" si="173"/>
        <v/>
      </c>
      <c r="V1011" t="str">
        <f t="shared" si="174"/>
        <v/>
      </c>
      <c r="W1011" t="str">
        <f t="shared" si="175"/>
        <v/>
      </c>
    </row>
    <row r="1012" spans="1:23" x14ac:dyDescent="0.2">
      <c r="A1012" s="4" t="str">
        <f>IF(ポートフォリオ実績!A1013="","", ポートフォリオ実績!A1013)</f>
        <v/>
      </c>
      <c r="B1012" t="str">
        <f>IF(ポートフォリオ実績!B1013="","", ポートフォリオ実績!B1013)</f>
        <v/>
      </c>
      <c r="C1012" s="10" t="str">
        <f>IF(ポートフォリオ実績!C1013="","", ポートフォリオ実績!C1013)</f>
        <v/>
      </c>
      <c r="D1012" s="10" t="str">
        <f>IF(ポートフォリオ実績!D1013="","", ポートフォリオ実績!D1013)</f>
        <v/>
      </c>
      <c r="E1012" s="10" t="str">
        <f>IF(ポートフォリオ実績!E1013="","", ポートフォリオ実績!E1013)</f>
        <v/>
      </c>
      <c r="F1012" s="10" t="str">
        <f>IF(ポートフォリオ実績!F1013="","", ポートフォリオ実績!F1013)</f>
        <v/>
      </c>
      <c r="G1012" t="str">
        <f t="shared" si="165"/>
        <v/>
      </c>
      <c r="H1012">
        <f>IF(B1012&lt;&gt;"", SUMIFS(ポートフォリオ実績!$D$2:$D$2001, ポートフォリオ実績!$B$2:$B$2001, B1012, ポートフォリオ実績!$A$2:$A$2001, G1012), 0)</f>
        <v>0</v>
      </c>
      <c r="I1012">
        <f>IF(B1012&lt;&gt;"", SUMIFS(ポートフォリオ実績!$C$2:$C$2001, ポートフォリオ実績!$B$2:$B$2001, B1012, ポートフォリオ実績!$A$2:$A$2001, G1012), 0)</f>
        <v>0</v>
      </c>
      <c r="J1012">
        <f t="shared" si="166"/>
        <v>0</v>
      </c>
      <c r="K1012">
        <f t="shared" si="167"/>
        <v>0</v>
      </c>
      <c r="L1012">
        <f t="shared" si="168"/>
        <v>0</v>
      </c>
      <c r="M1012">
        <f t="shared" si="169"/>
        <v>0</v>
      </c>
      <c r="N1012">
        <f t="shared" si="170"/>
        <v>0</v>
      </c>
      <c r="O1012">
        <f t="shared" si="171"/>
        <v>0</v>
      </c>
      <c r="P1012" t="str">
        <f t="shared" si="172"/>
        <v/>
      </c>
      <c r="Q1012" t="str">
        <f>IF(B1012="","", IFERROR(VLOOKUP(B1012, '基準資産配分（設定）'!$A$2:$C$2001, 3, FALSE), ""))</f>
        <v/>
      </c>
      <c r="R1012" t="str">
        <f>IF(B1012="","", IFERROR(VLOOKUP(B1012, '基準資産配分（設定）'!$A$2:$C$2001, 2, FALSE)/100, 0))</f>
        <v/>
      </c>
      <c r="S1012" t="str">
        <f>IF(B1012="","", IFERROR(SUMIFS(ベンチマークリターン!$C$2:$C$2001, ベンチマークリターン!$A$2:$A$2001, A1012, ベンチマークリターン!$B$2:$B$2001, Q1012) / 100, 0))</f>
        <v/>
      </c>
      <c r="T1012" t="str">
        <f>IF(A1012="","", SUMIFS($H$2:$H$2000, $A$2:$A$2000, A1012))</f>
        <v/>
      </c>
      <c r="U1012" t="str">
        <f t="shared" si="173"/>
        <v/>
      </c>
      <c r="V1012" t="str">
        <f t="shared" si="174"/>
        <v/>
      </c>
      <c r="W1012" t="str">
        <f t="shared" si="175"/>
        <v/>
      </c>
    </row>
    <row r="1013" spans="1:23" x14ac:dyDescent="0.2">
      <c r="A1013" s="4" t="str">
        <f>IF(ポートフォリオ実績!A1014="","", ポートフォリオ実績!A1014)</f>
        <v/>
      </c>
      <c r="B1013" t="str">
        <f>IF(ポートフォリオ実績!B1014="","", ポートフォリオ実績!B1014)</f>
        <v/>
      </c>
      <c r="C1013" s="10" t="str">
        <f>IF(ポートフォリオ実績!C1014="","", ポートフォリオ実績!C1014)</f>
        <v/>
      </c>
      <c r="D1013" s="10" t="str">
        <f>IF(ポートフォリオ実績!D1014="","", ポートフォリオ実績!D1014)</f>
        <v/>
      </c>
      <c r="E1013" s="10" t="str">
        <f>IF(ポートフォリオ実績!E1014="","", ポートフォリオ実績!E1014)</f>
        <v/>
      </c>
      <c r="F1013" s="10" t="str">
        <f>IF(ポートフォリオ実績!F1014="","", ポートフォリオ実績!F1014)</f>
        <v/>
      </c>
      <c r="G1013" t="str">
        <f t="shared" si="165"/>
        <v/>
      </c>
      <c r="H1013">
        <f>IF(B1013&lt;&gt;"", SUMIFS(ポートフォリオ実績!$D$2:$D$2001, ポートフォリオ実績!$B$2:$B$2001, B1013, ポートフォリオ実績!$A$2:$A$2001, G1013), 0)</f>
        <v>0</v>
      </c>
      <c r="I1013">
        <f>IF(B1013&lt;&gt;"", SUMIFS(ポートフォリオ実績!$C$2:$C$2001, ポートフォリオ実績!$B$2:$B$2001, B1013, ポートフォリオ実績!$A$2:$A$2001, G1013), 0)</f>
        <v>0</v>
      </c>
      <c r="J1013">
        <f t="shared" si="166"/>
        <v>0</v>
      </c>
      <c r="K1013">
        <f t="shared" si="167"/>
        <v>0</v>
      </c>
      <c r="L1013">
        <f t="shared" si="168"/>
        <v>0</v>
      </c>
      <c r="M1013">
        <f t="shared" si="169"/>
        <v>0</v>
      </c>
      <c r="N1013">
        <f t="shared" si="170"/>
        <v>0</v>
      </c>
      <c r="O1013">
        <f t="shared" si="171"/>
        <v>0</v>
      </c>
      <c r="P1013" t="str">
        <f t="shared" si="172"/>
        <v/>
      </c>
      <c r="Q1013" t="str">
        <f>IF(B1013="","", IFERROR(VLOOKUP(B1013, '基準資産配分（設定）'!$A$2:$C$2001, 3, FALSE), ""))</f>
        <v/>
      </c>
      <c r="R1013" t="str">
        <f>IF(B1013="","", IFERROR(VLOOKUP(B1013, '基準資産配分（設定）'!$A$2:$C$2001, 2, FALSE)/100, 0))</f>
        <v/>
      </c>
      <c r="S1013" t="str">
        <f>IF(B1013="","", IFERROR(SUMIFS(ベンチマークリターン!$C$2:$C$2001, ベンチマークリターン!$A$2:$A$2001, A1013, ベンチマークリターン!$B$2:$B$2001, Q1013) / 100, 0))</f>
        <v/>
      </c>
      <c r="T1013" t="str">
        <f>IF(A1013="","", SUMIFS($H$2:$H$2000, $A$2:$A$2000, A1013))</f>
        <v/>
      </c>
      <c r="U1013" t="str">
        <f t="shared" si="173"/>
        <v/>
      </c>
      <c r="V1013" t="str">
        <f t="shared" si="174"/>
        <v/>
      </c>
      <c r="W1013" t="str">
        <f t="shared" si="175"/>
        <v/>
      </c>
    </row>
    <row r="1014" spans="1:23" x14ac:dyDescent="0.2">
      <c r="A1014" s="4" t="str">
        <f>IF(ポートフォリオ実績!A1015="","", ポートフォリオ実績!A1015)</f>
        <v/>
      </c>
      <c r="B1014" t="str">
        <f>IF(ポートフォリオ実績!B1015="","", ポートフォリオ実績!B1015)</f>
        <v/>
      </c>
      <c r="C1014" s="10" t="str">
        <f>IF(ポートフォリオ実績!C1015="","", ポートフォリオ実績!C1015)</f>
        <v/>
      </c>
      <c r="D1014" s="10" t="str">
        <f>IF(ポートフォリオ実績!D1015="","", ポートフォリオ実績!D1015)</f>
        <v/>
      </c>
      <c r="E1014" s="10" t="str">
        <f>IF(ポートフォリオ実績!E1015="","", ポートフォリオ実績!E1015)</f>
        <v/>
      </c>
      <c r="F1014" s="10" t="str">
        <f>IF(ポートフォリオ実績!F1015="","", ポートフォリオ実績!F1015)</f>
        <v/>
      </c>
      <c r="G1014" t="str">
        <f t="shared" si="165"/>
        <v/>
      </c>
      <c r="H1014">
        <f>IF(B1014&lt;&gt;"", SUMIFS(ポートフォリオ実績!$D$2:$D$2001, ポートフォリオ実績!$B$2:$B$2001, B1014, ポートフォリオ実績!$A$2:$A$2001, G1014), 0)</f>
        <v>0</v>
      </c>
      <c r="I1014">
        <f>IF(B1014&lt;&gt;"", SUMIFS(ポートフォリオ実績!$C$2:$C$2001, ポートフォリオ実績!$B$2:$B$2001, B1014, ポートフォリオ実績!$A$2:$A$2001, G1014), 0)</f>
        <v>0</v>
      </c>
      <c r="J1014">
        <f t="shared" si="166"/>
        <v>0</v>
      </c>
      <c r="K1014">
        <f t="shared" si="167"/>
        <v>0</v>
      </c>
      <c r="L1014">
        <f t="shared" si="168"/>
        <v>0</v>
      </c>
      <c r="M1014">
        <f t="shared" si="169"/>
        <v>0</v>
      </c>
      <c r="N1014">
        <f t="shared" si="170"/>
        <v>0</v>
      </c>
      <c r="O1014">
        <f t="shared" si="171"/>
        <v>0</v>
      </c>
      <c r="P1014" t="str">
        <f t="shared" si="172"/>
        <v/>
      </c>
      <c r="Q1014" t="str">
        <f>IF(B1014="","", IFERROR(VLOOKUP(B1014, '基準資産配分（設定）'!$A$2:$C$2001, 3, FALSE), ""))</f>
        <v/>
      </c>
      <c r="R1014" t="str">
        <f>IF(B1014="","", IFERROR(VLOOKUP(B1014, '基準資産配分（設定）'!$A$2:$C$2001, 2, FALSE)/100, 0))</f>
        <v/>
      </c>
      <c r="S1014" t="str">
        <f>IF(B1014="","", IFERROR(SUMIFS(ベンチマークリターン!$C$2:$C$2001, ベンチマークリターン!$A$2:$A$2001, A1014, ベンチマークリターン!$B$2:$B$2001, Q1014) / 100, 0))</f>
        <v/>
      </c>
      <c r="T1014" t="str">
        <f>IF(A1014="","", SUMIFS($H$2:$H$2000, $A$2:$A$2000, A1014))</f>
        <v/>
      </c>
      <c r="U1014" t="str">
        <f t="shared" si="173"/>
        <v/>
      </c>
      <c r="V1014" t="str">
        <f t="shared" si="174"/>
        <v/>
      </c>
      <c r="W1014" t="str">
        <f t="shared" si="175"/>
        <v/>
      </c>
    </row>
    <row r="1015" spans="1:23" x14ac:dyDescent="0.2">
      <c r="A1015" s="4" t="str">
        <f>IF(ポートフォリオ実績!A1016="","", ポートフォリオ実績!A1016)</f>
        <v/>
      </c>
      <c r="B1015" t="str">
        <f>IF(ポートフォリオ実績!B1016="","", ポートフォリオ実績!B1016)</f>
        <v/>
      </c>
      <c r="C1015" s="10" t="str">
        <f>IF(ポートフォリオ実績!C1016="","", ポートフォリオ実績!C1016)</f>
        <v/>
      </c>
      <c r="D1015" s="10" t="str">
        <f>IF(ポートフォリオ実績!D1016="","", ポートフォリオ実績!D1016)</f>
        <v/>
      </c>
      <c r="E1015" s="10" t="str">
        <f>IF(ポートフォリオ実績!E1016="","", ポートフォリオ実績!E1016)</f>
        <v/>
      </c>
      <c r="F1015" s="10" t="str">
        <f>IF(ポートフォリオ実績!F1016="","", ポートフォリオ実績!F1016)</f>
        <v/>
      </c>
      <c r="G1015" t="str">
        <f t="shared" si="165"/>
        <v/>
      </c>
      <c r="H1015">
        <f>IF(B1015&lt;&gt;"", SUMIFS(ポートフォリオ実績!$D$2:$D$2001, ポートフォリオ実績!$B$2:$B$2001, B1015, ポートフォリオ実績!$A$2:$A$2001, G1015), 0)</f>
        <v>0</v>
      </c>
      <c r="I1015">
        <f>IF(B1015&lt;&gt;"", SUMIFS(ポートフォリオ実績!$C$2:$C$2001, ポートフォリオ実績!$B$2:$B$2001, B1015, ポートフォリオ実績!$A$2:$A$2001, G1015), 0)</f>
        <v>0</v>
      </c>
      <c r="J1015">
        <f t="shared" si="166"/>
        <v>0</v>
      </c>
      <c r="K1015">
        <f t="shared" si="167"/>
        <v>0</v>
      </c>
      <c r="L1015">
        <f t="shared" si="168"/>
        <v>0</v>
      </c>
      <c r="M1015">
        <f t="shared" si="169"/>
        <v>0</v>
      </c>
      <c r="N1015">
        <f t="shared" si="170"/>
        <v>0</v>
      </c>
      <c r="O1015">
        <f t="shared" si="171"/>
        <v>0</v>
      </c>
      <c r="P1015" t="str">
        <f t="shared" si="172"/>
        <v/>
      </c>
      <c r="Q1015" t="str">
        <f>IF(B1015="","", IFERROR(VLOOKUP(B1015, '基準資産配分（設定）'!$A$2:$C$2001, 3, FALSE), ""))</f>
        <v/>
      </c>
      <c r="R1015" t="str">
        <f>IF(B1015="","", IFERROR(VLOOKUP(B1015, '基準資産配分（設定）'!$A$2:$C$2001, 2, FALSE)/100, 0))</f>
        <v/>
      </c>
      <c r="S1015" t="str">
        <f>IF(B1015="","", IFERROR(SUMIFS(ベンチマークリターン!$C$2:$C$2001, ベンチマークリターン!$A$2:$A$2001, A1015, ベンチマークリターン!$B$2:$B$2001, Q1015) / 100, 0))</f>
        <v/>
      </c>
      <c r="T1015" t="str">
        <f>IF(A1015="","", SUMIFS($H$2:$H$2000, $A$2:$A$2000, A1015))</f>
        <v/>
      </c>
      <c r="U1015" t="str">
        <f t="shared" si="173"/>
        <v/>
      </c>
      <c r="V1015" t="str">
        <f t="shared" si="174"/>
        <v/>
      </c>
      <c r="W1015" t="str">
        <f t="shared" si="175"/>
        <v/>
      </c>
    </row>
    <row r="1016" spans="1:23" x14ac:dyDescent="0.2">
      <c r="A1016" s="4" t="str">
        <f>IF(ポートフォリオ実績!A1017="","", ポートフォリオ実績!A1017)</f>
        <v/>
      </c>
      <c r="B1016" t="str">
        <f>IF(ポートフォリオ実績!B1017="","", ポートフォリオ実績!B1017)</f>
        <v/>
      </c>
      <c r="C1016" s="10" t="str">
        <f>IF(ポートフォリオ実績!C1017="","", ポートフォリオ実績!C1017)</f>
        <v/>
      </c>
      <c r="D1016" s="10" t="str">
        <f>IF(ポートフォリオ実績!D1017="","", ポートフォリオ実績!D1017)</f>
        <v/>
      </c>
      <c r="E1016" s="10" t="str">
        <f>IF(ポートフォリオ実績!E1017="","", ポートフォリオ実績!E1017)</f>
        <v/>
      </c>
      <c r="F1016" s="10" t="str">
        <f>IF(ポートフォリオ実績!F1017="","", ポートフォリオ実績!F1017)</f>
        <v/>
      </c>
      <c r="G1016" t="str">
        <f t="shared" si="165"/>
        <v/>
      </c>
      <c r="H1016">
        <f>IF(B1016&lt;&gt;"", SUMIFS(ポートフォリオ実績!$D$2:$D$2001, ポートフォリオ実績!$B$2:$B$2001, B1016, ポートフォリオ実績!$A$2:$A$2001, G1016), 0)</f>
        <v>0</v>
      </c>
      <c r="I1016">
        <f>IF(B1016&lt;&gt;"", SUMIFS(ポートフォリオ実績!$C$2:$C$2001, ポートフォリオ実績!$B$2:$B$2001, B1016, ポートフォリオ実績!$A$2:$A$2001, G1016), 0)</f>
        <v>0</v>
      </c>
      <c r="J1016">
        <f t="shared" si="166"/>
        <v>0</v>
      </c>
      <c r="K1016">
        <f t="shared" si="167"/>
        <v>0</v>
      </c>
      <c r="L1016">
        <f t="shared" si="168"/>
        <v>0</v>
      </c>
      <c r="M1016">
        <f t="shared" si="169"/>
        <v>0</v>
      </c>
      <c r="N1016">
        <f t="shared" si="170"/>
        <v>0</v>
      </c>
      <c r="O1016">
        <f t="shared" si="171"/>
        <v>0</v>
      </c>
      <c r="P1016" t="str">
        <f t="shared" si="172"/>
        <v/>
      </c>
      <c r="Q1016" t="str">
        <f>IF(B1016="","", IFERROR(VLOOKUP(B1016, '基準資産配分（設定）'!$A$2:$C$2001, 3, FALSE), ""))</f>
        <v/>
      </c>
      <c r="R1016" t="str">
        <f>IF(B1016="","", IFERROR(VLOOKUP(B1016, '基準資産配分（設定）'!$A$2:$C$2001, 2, FALSE)/100, 0))</f>
        <v/>
      </c>
      <c r="S1016" t="str">
        <f>IF(B1016="","", IFERROR(SUMIFS(ベンチマークリターン!$C$2:$C$2001, ベンチマークリターン!$A$2:$A$2001, A1016, ベンチマークリターン!$B$2:$B$2001, Q1016) / 100, 0))</f>
        <v/>
      </c>
      <c r="T1016" t="str">
        <f>IF(A1016="","", SUMIFS($H$2:$H$2000, $A$2:$A$2000, A1016))</f>
        <v/>
      </c>
      <c r="U1016" t="str">
        <f t="shared" si="173"/>
        <v/>
      </c>
      <c r="V1016" t="str">
        <f t="shared" si="174"/>
        <v/>
      </c>
      <c r="W1016" t="str">
        <f t="shared" si="175"/>
        <v/>
      </c>
    </row>
    <row r="1017" spans="1:23" x14ac:dyDescent="0.2">
      <c r="A1017" s="4" t="str">
        <f>IF(ポートフォリオ実績!A1018="","", ポートフォリオ実績!A1018)</f>
        <v/>
      </c>
      <c r="B1017" t="str">
        <f>IF(ポートフォリオ実績!B1018="","", ポートフォリオ実績!B1018)</f>
        <v/>
      </c>
      <c r="C1017" s="10" t="str">
        <f>IF(ポートフォリオ実績!C1018="","", ポートフォリオ実績!C1018)</f>
        <v/>
      </c>
      <c r="D1017" s="10" t="str">
        <f>IF(ポートフォリオ実績!D1018="","", ポートフォリオ実績!D1018)</f>
        <v/>
      </c>
      <c r="E1017" s="10" t="str">
        <f>IF(ポートフォリオ実績!E1018="","", ポートフォリオ実績!E1018)</f>
        <v/>
      </c>
      <c r="F1017" s="10" t="str">
        <f>IF(ポートフォリオ実績!F1018="","", ポートフォリオ実績!F1018)</f>
        <v/>
      </c>
      <c r="G1017" t="str">
        <f t="shared" si="165"/>
        <v/>
      </c>
      <c r="H1017">
        <f>IF(B1017&lt;&gt;"", SUMIFS(ポートフォリオ実績!$D$2:$D$2001, ポートフォリオ実績!$B$2:$B$2001, B1017, ポートフォリオ実績!$A$2:$A$2001, G1017), 0)</f>
        <v>0</v>
      </c>
      <c r="I1017">
        <f>IF(B1017&lt;&gt;"", SUMIFS(ポートフォリオ実績!$C$2:$C$2001, ポートフォリオ実績!$B$2:$B$2001, B1017, ポートフォリオ実績!$A$2:$A$2001, G1017), 0)</f>
        <v>0</v>
      </c>
      <c r="J1017">
        <f t="shared" si="166"/>
        <v>0</v>
      </c>
      <c r="K1017">
        <f t="shared" si="167"/>
        <v>0</v>
      </c>
      <c r="L1017">
        <f t="shared" si="168"/>
        <v>0</v>
      </c>
      <c r="M1017">
        <f t="shared" si="169"/>
        <v>0</v>
      </c>
      <c r="N1017">
        <f t="shared" si="170"/>
        <v>0</v>
      </c>
      <c r="O1017">
        <f t="shared" si="171"/>
        <v>0</v>
      </c>
      <c r="P1017" t="str">
        <f t="shared" si="172"/>
        <v/>
      </c>
      <c r="Q1017" t="str">
        <f>IF(B1017="","", IFERROR(VLOOKUP(B1017, '基準資産配分（設定）'!$A$2:$C$2001, 3, FALSE), ""))</f>
        <v/>
      </c>
      <c r="R1017" t="str">
        <f>IF(B1017="","", IFERROR(VLOOKUP(B1017, '基準資産配分（設定）'!$A$2:$C$2001, 2, FALSE)/100, 0))</f>
        <v/>
      </c>
      <c r="S1017" t="str">
        <f>IF(B1017="","", IFERROR(SUMIFS(ベンチマークリターン!$C$2:$C$2001, ベンチマークリターン!$A$2:$A$2001, A1017, ベンチマークリターン!$B$2:$B$2001, Q1017) / 100, 0))</f>
        <v/>
      </c>
      <c r="T1017" t="str">
        <f>IF(A1017="","", SUMIFS($H$2:$H$2000, $A$2:$A$2000, A1017))</f>
        <v/>
      </c>
      <c r="U1017" t="str">
        <f t="shared" si="173"/>
        <v/>
      </c>
      <c r="V1017" t="str">
        <f t="shared" si="174"/>
        <v/>
      </c>
      <c r="W1017" t="str">
        <f t="shared" si="175"/>
        <v/>
      </c>
    </row>
    <row r="1018" spans="1:23" x14ac:dyDescent="0.2">
      <c r="A1018" s="4" t="str">
        <f>IF(ポートフォリオ実績!A1019="","", ポートフォリオ実績!A1019)</f>
        <v/>
      </c>
      <c r="B1018" t="str">
        <f>IF(ポートフォリオ実績!B1019="","", ポートフォリオ実績!B1019)</f>
        <v/>
      </c>
      <c r="C1018" s="10" t="str">
        <f>IF(ポートフォリオ実績!C1019="","", ポートフォリオ実績!C1019)</f>
        <v/>
      </c>
      <c r="D1018" s="10" t="str">
        <f>IF(ポートフォリオ実績!D1019="","", ポートフォリオ実績!D1019)</f>
        <v/>
      </c>
      <c r="E1018" s="10" t="str">
        <f>IF(ポートフォリオ実績!E1019="","", ポートフォリオ実績!E1019)</f>
        <v/>
      </c>
      <c r="F1018" s="10" t="str">
        <f>IF(ポートフォリオ実績!F1019="","", ポートフォリオ実績!F1019)</f>
        <v/>
      </c>
      <c r="G1018" t="str">
        <f t="shared" si="165"/>
        <v/>
      </c>
      <c r="H1018">
        <f>IF(B1018&lt;&gt;"", SUMIFS(ポートフォリオ実績!$D$2:$D$2001, ポートフォリオ実績!$B$2:$B$2001, B1018, ポートフォリオ実績!$A$2:$A$2001, G1018), 0)</f>
        <v>0</v>
      </c>
      <c r="I1018">
        <f>IF(B1018&lt;&gt;"", SUMIFS(ポートフォリオ実績!$C$2:$C$2001, ポートフォリオ実績!$B$2:$B$2001, B1018, ポートフォリオ実績!$A$2:$A$2001, G1018), 0)</f>
        <v>0</v>
      </c>
      <c r="J1018">
        <f t="shared" si="166"/>
        <v>0</v>
      </c>
      <c r="K1018">
        <f t="shared" si="167"/>
        <v>0</v>
      </c>
      <c r="L1018">
        <f t="shared" si="168"/>
        <v>0</v>
      </c>
      <c r="M1018">
        <f t="shared" si="169"/>
        <v>0</v>
      </c>
      <c r="N1018">
        <f t="shared" si="170"/>
        <v>0</v>
      </c>
      <c r="O1018">
        <f t="shared" si="171"/>
        <v>0</v>
      </c>
      <c r="P1018" t="str">
        <f t="shared" si="172"/>
        <v/>
      </c>
      <c r="Q1018" t="str">
        <f>IF(B1018="","", IFERROR(VLOOKUP(B1018, '基準資産配分（設定）'!$A$2:$C$2001, 3, FALSE), ""))</f>
        <v/>
      </c>
      <c r="R1018" t="str">
        <f>IF(B1018="","", IFERROR(VLOOKUP(B1018, '基準資産配分（設定）'!$A$2:$C$2001, 2, FALSE)/100, 0))</f>
        <v/>
      </c>
      <c r="S1018" t="str">
        <f>IF(B1018="","", IFERROR(SUMIFS(ベンチマークリターン!$C$2:$C$2001, ベンチマークリターン!$A$2:$A$2001, A1018, ベンチマークリターン!$B$2:$B$2001, Q1018) / 100, 0))</f>
        <v/>
      </c>
      <c r="T1018" t="str">
        <f>IF(A1018="","", SUMIFS($H$2:$H$2000, $A$2:$A$2000, A1018))</f>
        <v/>
      </c>
      <c r="U1018" t="str">
        <f t="shared" si="173"/>
        <v/>
      </c>
      <c r="V1018" t="str">
        <f t="shared" si="174"/>
        <v/>
      </c>
      <c r="W1018" t="str">
        <f t="shared" si="175"/>
        <v/>
      </c>
    </row>
    <row r="1019" spans="1:23" x14ac:dyDescent="0.2">
      <c r="A1019" s="4" t="str">
        <f>IF(ポートフォリオ実績!A1020="","", ポートフォリオ実績!A1020)</f>
        <v/>
      </c>
      <c r="B1019" t="str">
        <f>IF(ポートフォリオ実績!B1020="","", ポートフォリオ実績!B1020)</f>
        <v/>
      </c>
      <c r="C1019" s="10" t="str">
        <f>IF(ポートフォリオ実績!C1020="","", ポートフォリオ実績!C1020)</f>
        <v/>
      </c>
      <c r="D1019" s="10" t="str">
        <f>IF(ポートフォリオ実績!D1020="","", ポートフォリオ実績!D1020)</f>
        <v/>
      </c>
      <c r="E1019" s="10" t="str">
        <f>IF(ポートフォリオ実績!E1020="","", ポートフォリオ実績!E1020)</f>
        <v/>
      </c>
      <c r="F1019" s="10" t="str">
        <f>IF(ポートフォリオ実績!F1020="","", ポートフォリオ実績!F1020)</f>
        <v/>
      </c>
      <c r="G1019" t="str">
        <f t="shared" si="165"/>
        <v/>
      </c>
      <c r="H1019">
        <f>IF(B1019&lt;&gt;"", SUMIFS(ポートフォリオ実績!$D$2:$D$2001, ポートフォリオ実績!$B$2:$B$2001, B1019, ポートフォリオ実績!$A$2:$A$2001, G1019), 0)</f>
        <v>0</v>
      </c>
      <c r="I1019">
        <f>IF(B1019&lt;&gt;"", SUMIFS(ポートフォリオ実績!$C$2:$C$2001, ポートフォリオ実績!$B$2:$B$2001, B1019, ポートフォリオ実績!$A$2:$A$2001, G1019), 0)</f>
        <v>0</v>
      </c>
      <c r="J1019">
        <f t="shared" si="166"/>
        <v>0</v>
      </c>
      <c r="K1019">
        <f t="shared" si="167"/>
        <v>0</v>
      </c>
      <c r="L1019">
        <f t="shared" si="168"/>
        <v>0</v>
      </c>
      <c r="M1019">
        <f t="shared" si="169"/>
        <v>0</v>
      </c>
      <c r="N1019">
        <f t="shared" si="170"/>
        <v>0</v>
      </c>
      <c r="O1019">
        <f t="shared" si="171"/>
        <v>0</v>
      </c>
      <c r="P1019" t="str">
        <f t="shared" si="172"/>
        <v/>
      </c>
      <c r="Q1019" t="str">
        <f>IF(B1019="","", IFERROR(VLOOKUP(B1019, '基準資産配分（設定）'!$A$2:$C$2001, 3, FALSE), ""))</f>
        <v/>
      </c>
      <c r="R1019" t="str">
        <f>IF(B1019="","", IFERROR(VLOOKUP(B1019, '基準資産配分（設定）'!$A$2:$C$2001, 2, FALSE)/100, 0))</f>
        <v/>
      </c>
      <c r="S1019" t="str">
        <f>IF(B1019="","", IFERROR(SUMIFS(ベンチマークリターン!$C$2:$C$2001, ベンチマークリターン!$A$2:$A$2001, A1019, ベンチマークリターン!$B$2:$B$2001, Q1019) / 100, 0))</f>
        <v/>
      </c>
      <c r="T1019" t="str">
        <f>IF(A1019="","", SUMIFS($H$2:$H$2000, $A$2:$A$2000, A1019))</f>
        <v/>
      </c>
      <c r="U1019" t="str">
        <f t="shared" si="173"/>
        <v/>
      </c>
      <c r="V1019" t="str">
        <f t="shared" si="174"/>
        <v/>
      </c>
      <c r="W1019" t="str">
        <f t="shared" si="175"/>
        <v/>
      </c>
    </row>
    <row r="1020" spans="1:23" x14ac:dyDescent="0.2">
      <c r="A1020" s="4" t="str">
        <f>IF(ポートフォリオ実績!A1021="","", ポートフォリオ実績!A1021)</f>
        <v/>
      </c>
      <c r="B1020" t="str">
        <f>IF(ポートフォリオ実績!B1021="","", ポートフォリオ実績!B1021)</f>
        <v/>
      </c>
      <c r="C1020" s="10" t="str">
        <f>IF(ポートフォリオ実績!C1021="","", ポートフォリオ実績!C1021)</f>
        <v/>
      </c>
      <c r="D1020" s="10" t="str">
        <f>IF(ポートフォリオ実績!D1021="","", ポートフォリオ実績!D1021)</f>
        <v/>
      </c>
      <c r="E1020" s="10" t="str">
        <f>IF(ポートフォリオ実績!E1021="","", ポートフォリオ実績!E1021)</f>
        <v/>
      </c>
      <c r="F1020" s="10" t="str">
        <f>IF(ポートフォリオ実績!F1021="","", ポートフォリオ実績!F1021)</f>
        <v/>
      </c>
      <c r="G1020" t="str">
        <f t="shared" si="165"/>
        <v/>
      </c>
      <c r="H1020">
        <f>IF(B1020&lt;&gt;"", SUMIFS(ポートフォリオ実績!$D$2:$D$2001, ポートフォリオ実績!$B$2:$B$2001, B1020, ポートフォリオ実績!$A$2:$A$2001, G1020), 0)</f>
        <v>0</v>
      </c>
      <c r="I1020">
        <f>IF(B1020&lt;&gt;"", SUMIFS(ポートフォリオ実績!$C$2:$C$2001, ポートフォリオ実績!$B$2:$B$2001, B1020, ポートフォリオ実績!$A$2:$A$2001, G1020), 0)</f>
        <v>0</v>
      </c>
      <c r="J1020">
        <f t="shared" si="166"/>
        <v>0</v>
      </c>
      <c r="K1020">
        <f t="shared" si="167"/>
        <v>0</v>
      </c>
      <c r="L1020">
        <f t="shared" si="168"/>
        <v>0</v>
      </c>
      <c r="M1020">
        <f t="shared" si="169"/>
        <v>0</v>
      </c>
      <c r="N1020">
        <f t="shared" si="170"/>
        <v>0</v>
      </c>
      <c r="O1020">
        <f t="shared" si="171"/>
        <v>0</v>
      </c>
      <c r="P1020" t="str">
        <f t="shared" si="172"/>
        <v/>
      </c>
      <c r="Q1020" t="str">
        <f>IF(B1020="","", IFERROR(VLOOKUP(B1020, '基準資産配分（設定）'!$A$2:$C$2001, 3, FALSE), ""))</f>
        <v/>
      </c>
      <c r="R1020" t="str">
        <f>IF(B1020="","", IFERROR(VLOOKUP(B1020, '基準資産配分（設定）'!$A$2:$C$2001, 2, FALSE)/100, 0))</f>
        <v/>
      </c>
      <c r="S1020" t="str">
        <f>IF(B1020="","", IFERROR(SUMIFS(ベンチマークリターン!$C$2:$C$2001, ベンチマークリターン!$A$2:$A$2001, A1020, ベンチマークリターン!$B$2:$B$2001, Q1020) / 100, 0))</f>
        <v/>
      </c>
      <c r="T1020" t="str">
        <f>IF(A1020="","", SUMIFS($H$2:$H$2000, $A$2:$A$2000, A1020))</f>
        <v/>
      </c>
      <c r="U1020" t="str">
        <f t="shared" si="173"/>
        <v/>
      </c>
      <c r="V1020" t="str">
        <f t="shared" si="174"/>
        <v/>
      </c>
      <c r="W1020" t="str">
        <f t="shared" si="175"/>
        <v/>
      </c>
    </row>
    <row r="1021" spans="1:23" x14ac:dyDescent="0.2">
      <c r="A1021" s="4" t="str">
        <f>IF(ポートフォリオ実績!A1022="","", ポートフォリオ実績!A1022)</f>
        <v/>
      </c>
      <c r="B1021" t="str">
        <f>IF(ポートフォリオ実績!B1022="","", ポートフォリオ実績!B1022)</f>
        <v/>
      </c>
      <c r="C1021" s="10" t="str">
        <f>IF(ポートフォリオ実績!C1022="","", ポートフォリオ実績!C1022)</f>
        <v/>
      </c>
      <c r="D1021" s="10" t="str">
        <f>IF(ポートフォリオ実績!D1022="","", ポートフォリオ実績!D1022)</f>
        <v/>
      </c>
      <c r="E1021" s="10" t="str">
        <f>IF(ポートフォリオ実績!E1022="","", ポートフォリオ実績!E1022)</f>
        <v/>
      </c>
      <c r="F1021" s="10" t="str">
        <f>IF(ポートフォリオ実績!F1022="","", ポートフォリオ実績!F1022)</f>
        <v/>
      </c>
      <c r="G1021" t="str">
        <f t="shared" si="165"/>
        <v/>
      </c>
      <c r="H1021">
        <f>IF(B1021&lt;&gt;"", SUMIFS(ポートフォリオ実績!$D$2:$D$2001, ポートフォリオ実績!$B$2:$B$2001, B1021, ポートフォリオ実績!$A$2:$A$2001, G1021), 0)</f>
        <v>0</v>
      </c>
      <c r="I1021">
        <f>IF(B1021&lt;&gt;"", SUMIFS(ポートフォリオ実績!$C$2:$C$2001, ポートフォリオ実績!$B$2:$B$2001, B1021, ポートフォリオ実績!$A$2:$A$2001, G1021), 0)</f>
        <v>0</v>
      </c>
      <c r="J1021">
        <f t="shared" si="166"/>
        <v>0</v>
      </c>
      <c r="K1021">
        <f t="shared" si="167"/>
        <v>0</v>
      </c>
      <c r="L1021">
        <f t="shared" si="168"/>
        <v>0</v>
      </c>
      <c r="M1021">
        <f t="shared" si="169"/>
        <v>0</v>
      </c>
      <c r="N1021">
        <f t="shared" si="170"/>
        <v>0</v>
      </c>
      <c r="O1021">
        <f t="shared" si="171"/>
        <v>0</v>
      </c>
      <c r="P1021" t="str">
        <f t="shared" si="172"/>
        <v/>
      </c>
      <c r="Q1021" t="str">
        <f>IF(B1021="","", IFERROR(VLOOKUP(B1021, '基準資産配分（設定）'!$A$2:$C$2001, 3, FALSE), ""))</f>
        <v/>
      </c>
      <c r="R1021" t="str">
        <f>IF(B1021="","", IFERROR(VLOOKUP(B1021, '基準資産配分（設定）'!$A$2:$C$2001, 2, FALSE)/100, 0))</f>
        <v/>
      </c>
      <c r="S1021" t="str">
        <f>IF(B1021="","", IFERROR(SUMIFS(ベンチマークリターン!$C$2:$C$2001, ベンチマークリターン!$A$2:$A$2001, A1021, ベンチマークリターン!$B$2:$B$2001, Q1021) / 100, 0))</f>
        <v/>
      </c>
      <c r="T1021" t="str">
        <f>IF(A1021="","", SUMIFS($H$2:$H$2000, $A$2:$A$2000, A1021))</f>
        <v/>
      </c>
      <c r="U1021" t="str">
        <f t="shared" si="173"/>
        <v/>
      </c>
      <c r="V1021" t="str">
        <f t="shared" si="174"/>
        <v/>
      </c>
      <c r="W1021" t="str">
        <f t="shared" si="175"/>
        <v/>
      </c>
    </row>
    <row r="1022" spans="1:23" x14ac:dyDescent="0.2">
      <c r="A1022" s="4" t="str">
        <f>IF(ポートフォリオ実績!A1023="","", ポートフォリオ実績!A1023)</f>
        <v/>
      </c>
      <c r="B1022" t="str">
        <f>IF(ポートフォリオ実績!B1023="","", ポートフォリオ実績!B1023)</f>
        <v/>
      </c>
      <c r="C1022" s="10" t="str">
        <f>IF(ポートフォリオ実績!C1023="","", ポートフォリオ実績!C1023)</f>
        <v/>
      </c>
      <c r="D1022" s="10" t="str">
        <f>IF(ポートフォリオ実績!D1023="","", ポートフォリオ実績!D1023)</f>
        <v/>
      </c>
      <c r="E1022" s="10" t="str">
        <f>IF(ポートフォリオ実績!E1023="","", ポートフォリオ実績!E1023)</f>
        <v/>
      </c>
      <c r="F1022" s="10" t="str">
        <f>IF(ポートフォリオ実績!F1023="","", ポートフォリオ実績!F1023)</f>
        <v/>
      </c>
      <c r="G1022" t="str">
        <f t="shared" si="165"/>
        <v/>
      </c>
      <c r="H1022">
        <f>IF(B1022&lt;&gt;"", SUMIFS(ポートフォリオ実績!$D$2:$D$2001, ポートフォリオ実績!$B$2:$B$2001, B1022, ポートフォリオ実績!$A$2:$A$2001, G1022), 0)</f>
        <v>0</v>
      </c>
      <c r="I1022">
        <f>IF(B1022&lt;&gt;"", SUMIFS(ポートフォリオ実績!$C$2:$C$2001, ポートフォリオ実績!$B$2:$B$2001, B1022, ポートフォリオ実績!$A$2:$A$2001, G1022), 0)</f>
        <v>0</v>
      </c>
      <c r="J1022">
        <f t="shared" si="166"/>
        <v>0</v>
      </c>
      <c r="K1022">
        <f t="shared" si="167"/>
        <v>0</v>
      </c>
      <c r="L1022">
        <f t="shared" si="168"/>
        <v>0</v>
      </c>
      <c r="M1022">
        <f t="shared" si="169"/>
        <v>0</v>
      </c>
      <c r="N1022">
        <f t="shared" si="170"/>
        <v>0</v>
      </c>
      <c r="O1022">
        <f t="shared" si="171"/>
        <v>0</v>
      </c>
      <c r="P1022" t="str">
        <f t="shared" si="172"/>
        <v/>
      </c>
      <c r="Q1022" t="str">
        <f>IF(B1022="","", IFERROR(VLOOKUP(B1022, '基準資産配分（設定）'!$A$2:$C$2001, 3, FALSE), ""))</f>
        <v/>
      </c>
      <c r="R1022" t="str">
        <f>IF(B1022="","", IFERROR(VLOOKUP(B1022, '基準資産配分（設定）'!$A$2:$C$2001, 2, FALSE)/100, 0))</f>
        <v/>
      </c>
      <c r="S1022" t="str">
        <f>IF(B1022="","", IFERROR(SUMIFS(ベンチマークリターン!$C$2:$C$2001, ベンチマークリターン!$A$2:$A$2001, A1022, ベンチマークリターン!$B$2:$B$2001, Q1022) / 100, 0))</f>
        <v/>
      </c>
      <c r="T1022" t="str">
        <f>IF(A1022="","", SUMIFS($H$2:$H$2000, $A$2:$A$2000, A1022))</f>
        <v/>
      </c>
      <c r="U1022" t="str">
        <f t="shared" si="173"/>
        <v/>
      </c>
      <c r="V1022" t="str">
        <f t="shared" si="174"/>
        <v/>
      </c>
      <c r="W1022" t="str">
        <f t="shared" si="175"/>
        <v/>
      </c>
    </row>
    <row r="1023" spans="1:23" x14ac:dyDescent="0.2">
      <c r="A1023" s="4" t="str">
        <f>IF(ポートフォリオ実績!A1024="","", ポートフォリオ実績!A1024)</f>
        <v/>
      </c>
      <c r="B1023" t="str">
        <f>IF(ポートフォリオ実績!B1024="","", ポートフォリオ実績!B1024)</f>
        <v/>
      </c>
      <c r="C1023" s="10" t="str">
        <f>IF(ポートフォリオ実績!C1024="","", ポートフォリオ実績!C1024)</f>
        <v/>
      </c>
      <c r="D1023" s="10" t="str">
        <f>IF(ポートフォリオ実績!D1024="","", ポートフォリオ実績!D1024)</f>
        <v/>
      </c>
      <c r="E1023" s="10" t="str">
        <f>IF(ポートフォリオ実績!E1024="","", ポートフォリオ実績!E1024)</f>
        <v/>
      </c>
      <c r="F1023" s="10" t="str">
        <f>IF(ポートフォリオ実績!F1024="","", ポートフォリオ実績!F1024)</f>
        <v/>
      </c>
      <c r="G1023" t="str">
        <f t="shared" si="165"/>
        <v/>
      </c>
      <c r="H1023">
        <f>IF(B1023&lt;&gt;"", SUMIFS(ポートフォリオ実績!$D$2:$D$2001, ポートフォリオ実績!$B$2:$B$2001, B1023, ポートフォリオ実績!$A$2:$A$2001, G1023), 0)</f>
        <v>0</v>
      </c>
      <c r="I1023">
        <f>IF(B1023&lt;&gt;"", SUMIFS(ポートフォリオ実績!$C$2:$C$2001, ポートフォリオ実績!$B$2:$B$2001, B1023, ポートフォリオ実績!$A$2:$A$2001, G1023), 0)</f>
        <v>0</v>
      </c>
      <c r="J1023">
        <f t="shared" si="166"/>
        <v>0</v>
      </c>
      <c r="K1023">
        <f t="shared" si="167"/>
        <v>0</v>
      </c>
      <c r="L1023">
        <f t="shared" si="168"/>
        <v>0</v>
      </c>
      <c r="M1023">
        <f t="shared" si="169"/>
        <v>0</v>
      </c>
      <c r="N1023">
        <f t="shared" si="170"/>
        <v>0</v>
      </c>
      <c r="O1023">
        <f t="shared" si="171"/>
        <v>0</v>
      </c>
      <c r="P1023" t="str">
        <f t="shared" si="172"/>
        <v/>
      </c>
      <c r="Q1023" t="str">
        <f>IF(B1023="","", IFERROR(VLOOKUP(B1023, '基準資産配分（設定）'!$A$2:$C$2001, 3, FALSE), ""))</f>
        <v/>
      </c>
      <c r="R1023" t="str">
        <f>IF(B1023="","", IFERROR(VLOOKUP(B1023, '基準資産配分（設定）'!$A$2:$C$2001, 2, FALSE)/100, 0))</f>
        <v/>
      </c>
      <c r="S1023" t="str">
        <f>IF(B1023="","", IFERROR(SUMIFS(ベンチマークリターン!$C$2:$C$2001, ベンチマークリターン!$A$2:$A$2001, A1023, ベンチマークリターン!$B$2:$B$2001, Q1023) / 100, 0))</f>
        <v/>
      </c>
      <c r="T1023" t="str">
        <f>IF(A1023="","", SUMIFS($H$2:$H$2000, $A$2:$A$2000, A1023))</f>
        <v/>
      </c>
      <c r="U1023" t="str">
        <f t="shared" si="173"/>
        <v/>
      </c>
      <c r="V1023" t="str">
        <f t="shared" si="174"/>
        <v/>
      </c>
      <c r="W1023" t="str">
        <f t="shared" si="175"/>
        <v/>
      </c>
    </row>
    <row r="1024" spans="1:23" x14ac:dyDescent="0.2">
      <c r="A1024" s="4" t="str">
        <f>IF(ポートフォリオ実績!A1025="","", ポートフォリオ実績!A1025)</f>
        <v/>
      </c>
      <c r="B1024" t="str">
        <f>IF(ポートフォリオ実績!B1025="","", ポートフォリオ実績!B1025)</f>
        <v/>
      </c>
      <c r="C1024" s="10" t="str">
        <f>IF(ポートフォリオ実績!C1025="","", ポートフォリオ実績!C1025)</f>
        <v/>
      </c>
      <c r="D1024" s="10" t="str">
        <f>IF(ポートフォリオ実績!D1025="","", ポートフォリオ実績!D1025)</f>
        <v/>
      </c>
      <c r="E1024" s="10" t="str">
        <f>IF(ポートフォリオ実績!E1025="","", ポートフォリオ実績!E1025)</f>
        <v/>
      </c>
      <c r="F1024" s="10" t="str">
        <f>IF(ポートフォリオ実績!F1025="","", ポートフォリオ実績!F1025)</f>
        <v/>
      </c>
      <c r="G1024" t="str">
        <f t="shared" si="165"/>
        <v/>
      </c>
      <c r="H1024">
        <f>IF(B1024&lt;&gt;"", SUMIFS(ポートフォリオ実績!$D$2:$D$2001, ポートフォリオ実績!$B$2:$B$2001, B1024, ポートフォリオ実績!$A$2:$A$2001, G1024), 0)</f>
        <v>0</v>
      </c>
      <c r="I1024">
        <f>IF(B1024&lt;&gt;"", SUMIFS(ポートフォリオ実績!$C$2:$C$2001, ポートフォリオ実績!$B$2:$B$2001, B1024, ポートフォリオ実績!$A$2:$A$2001, G1024), 0)</f>
        <v>0</v>
      </c>
      <c r="J1024">
        <f t="shared" si="166"/>
        <v>0</v>
      </c>
      <c r="K1024">
        <f t="shared" si="167"/>
        <v>0</v>
      </c>
      <c r="L1024">
        <f t="shared" si="168"/>
        <v>0</v>
      </c>
      <c r="M1024">
        <f t="shared" si="169"/>
        <v>0</v>
      </c>
      <c r="N1024">
        <f t="shared" si="170"/>
        <v>0</v>
      </c>
      <c r="O1024">
        <f t="shared" si="171"/>
        <v>0</v>
      </c>
      <c r="P1024" t="str">
        <f t="shared" si="172"/>
        <v/>
      </c>
      <c r="Q1024" t="str">
        <f>IF(B1024="","", IFERROR(VLOOKUP(B1024, '基準資産配分（設定）'!$A$2:$C$2001, 3, FALSE), ""))</f>
        <v/>
      </c>
      <c r="R1024" t="str">
        <f>IF(B1024="","", IFERROR(VLOOKUP(B1024, '基準資産配分（設定）'!$A$2:$C$2001, 2, FALSE)/100, 0))</f>
        <v/>
      </c>
      <c r="S1024" t="str">
        <f>IF(B1024="","", IFERROR(SUMIFS(ベンチマークリターン!$C$2:$C$2001, ベンチマークリターン!$A$2:$A$2001, A1024, ベンチマークリターン!$B$2:$B$2001, Q1024) / 100, 0))</f>
        <v/>
      </c>
      <c r="T1024" t="str">
        <f>IF(A1024="","", SUMIFS($H$2:$H$2000, $A$2:$A$2000, A1024))</f>
        <v/>
      </c>
      <c r="U1024" t="str">
        <f t="shared" si="173"/>
        <v/>
      </c>
      <c r="V1024" t="str">
        <f t="shared" si="174"/>
        <v/>
      </c>
      <c r="W1024" t="str">
        <f t="shared" si="175"/>
        <v/>
      </c>
    </row>
    <row r="1025" spans="1:23" x14ac:dyDescent="0.2">
      <c r="A1025" s="4" t="str">
        <f>IF(ポートフォリオ実績!A1026="","", ポートフォリオ実績!A1026)</f>
        <v/>
      </c>
      <c r="B1025" t="str">
        <f>IF(ポートフォリオ実績!B1026="","", ポートフォリオ実績!B1026)</f>
        <v/>
      </c>
      <c r="C1025" s="10" t="str">
        <f>IF(ポートフォリオ実績!C1026="","", ポートフォリオ実績!C1026)</f>
        <v/>
      </c>
      <c r="D1025" s="10" t="str">
        <f>IF(ポートフォリオ実績!D1026="","", ポートフォリオ実績!D1026)</f>
        <v/>
      </c>
      <c r="E1025" s="10" t="str">
        <f>IF(ポートフォリオ実績!E1026="","", ポートフォリオ実績!E1026)</f>
        <v/>
      </c>
      <c r="F1025" s="10" t="str">
        <f>IF(ポートフォリオ実績!F1026="","", ポートフォリオ実績!F1026)</f>
        <v/>
      </c>
      <c r="G1025" t="str">
        <f t="shared" ref="G1025:G1088" si="176">IF(A1025&lt;&gt;"", EOMONTH(A1025, -1), "")</f>
        <v/>
      </c>
      <c r="H1025">
        <f>IF(B1025&lt;&gt;"", SUMIFS(ポートフォリオ実績!$D$2:$D$2001, ポートフォリオ実績!$B$2:$B$2001, B1025, ポートフォリオ実績!$A$2:$A$2001, G1025), 0)</f>
        <v>0</v>
      </c>
      <c r="I1025">
        <f>IF(B1025&lt;&gt;"", SUMIFS(ポートフォリオ実績!$C$2:$C$2001, ポートフォリオ実績!$B$2:$B$2001, B1025, ポートフォリオ実績!$A$2:$A$2001, G1025), 0)</f>
        <v>0</v>
      </c>
      <c r="J1025">
        <f t="shared" ref="J1025:J1088" si="177">IF(A1025&lt;&gt;"", D1025-C1025, 0)</f>
        <v>0</v>
      </c>
      <c r="K1025">
        <f t="shared" ref="K1025:K1088" si="178">IF(A1025&lt;&gt;"", H1025-I1025, 0)</f>
        <v>0</v>
      </c>
      <c r="L1025">
        <f t="shared" ref="L1025:L1088" si="179">IF(H1025=0, 0, J1025-K1025)</f>
        <v>0</v>
      </c>
      <c r="M1025">
        <f t="shared" ref="M1025:M1088" si="180">IF(A1025&lt;&gt;"", E1025+F1025+L1025, 0)</f>
        <v>0</v>
      </c>
      <c r="N1025">
        <f t="shared" ref="N1025:N1088" si="181">IF(H1025=0, 0, (D1025-H1025)-M1025)</f>
        <v>0</v>
      </c>
      <c r="O1025">
        <f t="shared" ref="O1025:O1088" si="182">IF(A1025&lt;&gt;"", H1025+N1025*0.5, 0)</f>
        <v>0</v>
      </c>
      <c r="P1025" t="str">
        <f t="shared" ref="P1025:P1088" si="183">IF(A1025="","", IF(O1025&gt;0.000001, M1025/O1025, IF(ABS(M1025)&lt;0.000001, 0, 0)))</f>
        <v/>
      </c>
      <c r="Q1025" t="str">
        <f>IF(B1025="","", IFERROR(VLOOKUP(B1025, '基準資産配分（設定）'!$A$2:$C$2001, 3, FALSE), ""))</f>
        <v/>
      </c>
      <c r="R1025" t="str">
        <f>IF(B1025="","", IFERROR(VLOOKUP(B1025, '基準資産配分（設定）'!$A$2:$C$2001, 2, FALSE)/100, 0))</f>
        <v/>
      </c>
      <c r="S1025" t="str">
        <f>IF(B1025="","", IFERROR(SUMIFS(ベンチマークリターン!$C$2:$C$2001, ベンチマークリターン!$A$2:$A$2001, A1025, ベンチマークリターン!$B$2:$B$2001, Q1025) / 100, 0))</f>
        <v/>
      </c>
      <c r="T1025" t="str">
        <f>IF(A1025="","", SUMIFS($H$2:$H$2000, $A$2:$A$2000, A1025))</f>
        <v/>
      </c>
      <c r="U1025" t="str">
        <f t="shared" ref="U1025:U1088" si="184">IF(A1025="","", IFERROR(H1025/T1025, 0))</f>
        <v/>
      </c>
      <c r="V1025" t="str">
        <f t="shared" ref="V1025:V1088" si="185">IF(A1025="","", U1025*P1025)</f>
        <v/>
      </c>
      <c r="W1025" t="str">
        <f t="shared" ref="W1025:W1088" si="186">IF(A1025="","", R1025*S1025)</f>
        <v/>
      </c>
    </row>
    <row r="1026" spans="1:23" x14ac:dyDescent="0.2">
      <c r="A1026" s="4" t="str">
        <f>IF(ポートフォリオ実績!A1027="","", ポートフォリオ実績!A1027)</f>
        <v/>
      </c>
      <c r="B1026" t="str">
        <f>IF(ポートフォリオ実績!B1027="","", ポートフォリオ実績!B1027)</f>
        <v/>
      </c>
      <c r="C1026" s="10" t="str">
        <f>IF(ポートフォリオ実績!C1027="","", ポートフォリオ実績!C1027)</f>
        <v/>
      </c>
      <c r="D1026" s="10" t="str">
        <f>IF(ポートフォリオ実績!D1027="","", ポートフォリオ実績!D1027)</f>
        <v/>
      </c>
      <c r="E1026" s="10" t="str">
        <f>IF(ポートフォリオ実績!E1027="","", ポートフォリオ実績!E1027)</f>
        <v/>
      </c>
      <c r="F1026" s="10" t="str">
        <f>IF(ポートフォリオ実績!F1027="","", ポートフォリオ実績!F1027)</f>
        <v/>
      </c>
      <c r="G1026" t="str">
        <f t="shared" si="176"/>
        <v/>
      </c>
      <c r="H1026">
        <f>IF(B1026&lt;&gt;"", SUMIFS(ポートフォリオ実績!$D$2:$D$2001, ポートフォリオ実績!$B$2:$B$2001, B1026, ポートフォリオ実績!$A$2:$A$2001, G1026), 0)</f>
        <v>0</v>
      </c>
      <c r="I1026">
        <f>IF(B1026&lt;&gt;"", SUMIFS(ポートフォリオ実績!$C$2:$C$2001, ポートフォリオ実績!$B$2:$B$2001, B1026, ポートフォリオ実績!$A$2:$A$2001, G1026), 0)</f>
        <v>0</v>
      </c>
      <c r="J1026">
        <f t="shared" si="177"/>
        <v>0</v>
      </c>
      <c r="K1026">
        <f t="shared" si="178"/>
        <v>0</v>
      </c>
      <c r="L1026">
        <f t="shared" si="179"/>
        <v>0</v>
      </c>
      <c r="M1026">
        <f t="shared" si="180"/>
        <v>0</v>
      </c>
      <c r="N1026">
        <f t="shared" si="181"/>
        <v>0</v>
      </c>
      <c r="O1026">
        <f t="shared" si="182"/>
        <v>0</v>
      </c>
      <c r="P1026" t="str">
        <f t="shared" si="183"/>
        <v/>
      </c>
      <c r="Q1026" t="str">
        <f>IF(B1026="","", IFERROR(VLOOKUP(B1026, '基準資産配分（設定）'!$A$2:$C$2001, 3, FALSE), ""))</f>
        <v/>
      </c>
      <c r="R1026" t="str">
        <f>IF(B1026="","", IFERROR(VLOOKUP(B1026, '基準資産配分（設定）'!$A$2:$C$2001, 2, FALSE)/100, 0))</f>
        <v/>
      </c>
      <c r="S1026" t="str">
        <f>IF(B1026="","", IFERROR(SUMIFS(ベンチマークリターン!$C$2:$C$2001, ベンチマークリターン!$A$2:$A$2001, A1026, ベンチマークリターン!$B$2:$B$2001, Q1026) / 100, 0))</f>
        <v/>
      </c>
      <c r="T1026" t="str">
        <f>IF(A1026="","", SUMIFS($H$2:$H$2000, $A$2:$A$2000, A1026))</f>
        <v/>
      </c>
      <c r="U1026" t="str">
        <f t="shared" si="184"/>
        <v/>
      </c>
      <c r="V1026" t="str">
        <f t="shared" si="185"/>
        <v/>
      </c>
      <c r="W1026" t="str">
        <f t="shared" si="186"/>
        <v/>
      </c>
    </row>
    <row r="1027" spans="1:23" x14ac:dyDescent="0.2">
      <c r="A1027" s="4" t="str">
        <f>IF(ポートフォリオ実績!A1028="","", ポートフォリオ実績!A1028)</f>
        <v/>
      </c>
      <c r="B1027" t="str">
        <f>IF(ポートフォリオ実績!B1028="","", ポートフォリオ実績!B1028)</f>
        <v/>
      </c>
      <c r="C1027" s="10" t="str">
        <f>IF(ポートフォリオ実績!C1028="","", ポートフォリオ実績!C1028)</f>
        <v/>
      </c>
      <c r="D1027" s="10" t="str">
        <f>IF(ポートフォリオ実績!D1028="","", ポートフォリオ実績!D1028)</f>
        <v/>
      </c>
      <c r="E1027" s="10" t="str">
        <f>IF(ポートフォリオ実績!E1028="","", ポートフォリオ実績!E1028)</f>
        <v/>
      </c>
      <c r="F1027" s="10" t="str">
        <f>IF(ポートフォリオ実績!F1028="","", ポートフォリオ実績!F1028)</f>
        <v/>
      </c>
      <c r="G1027" t="str">
        <f t="shared" si="176"/>
        <v/>
      </c>
      <c r="H1027">
        <f>IF(B1027&lt;&gt;"", SUMIFS(ポートフォリオ実績!$D$2:$D$2001, ポートフォリオ実績!$B$2:$B$2001, B1027, ポートフォリオ実績!$A$2:$A$2001, G1027), 0)</f>
        <v>0</v>
      </c>
      <c r="I1027">
        <f>IF(B1027&lt;&gt;"", SUMIFS(ポートフォリオ実績!$C$2:$C$2001, ポートフォリオ実績!$B$2:$B$2001, B1027, ポートフォリオ実績!$A$2:$A$2001, G1027), 0)</f>
        <v>0</v>
      </c>
      <c r="J1027">
        <f t="shared" si="177"/>
        <v>0</v>
      </c>
      <c r="K1027">
        <f t="shared" si="178"/>
        <v>0</v>
      </c>
      <c r="L1027">
        <f t="shared" si="179"/>
        <v>0</v>
      </c>
      <c r="M1027">
        <f t="shared" si="180"/>
        <v>0</v>
      </c>
      <c r="N1027">
        <f t="shared" si="181"/>
        <v>0</v>
      </c>
      <c r="O1027">
        <f t="shared" si="182"/>
        <v>0</v>
      </c>
      <c r="P1027" t="str">
        <f t="shared" si="183"/>
        <v/>
      </c>
      <c r="Q1027" t="str">
        <f>IF(B1027="","", IFERROR(VLOOKUP(B1027, '基準資産配分（設定）'!$A$2:$C$2001, 3, FALSE), ""))</f>
        <v/>
      </c>
      <c r="R1027" t="str">
        <f>IF(B1027="","", IFERROR(VLOOKUP(B1027, '基準資産配分（設定）'!$A$2:$C$2001, 2, FALSE)/100, 0))</f>
        <v/>
      </c>
      <c r="S1027" t="str">
        <f>IF(B1027="","", IFERROR(SUMIFS(ベンチマークリターン!$C$2:$C$2001, ベンチマークリターン!$A$2:$A$2001, A1027, ベンチマークリターン!$B$2:$B$2001, Q1027) / 100, 0))</f>
        <v/>
      </c>
      <c r="T1027" t="str">
        <f>IF(A1027="","", SUMIFS($H$2:$H$2000, $A$2:$A$2000, A1027))</f>
        <v/>
      </c>
      <c r="U1027" t="str">
        <f t="shared" si="184"/>
        <v/>
      </c>
      <c r="V1027" t="str">
        <f t="shared" si="185"/>
        <v/>
      </c>
      <c r="W1027" t="str">
        <f t="shared" si="186"/>
        <v/>
      </c>
    </row>
    <row r="1028" spans="1:23" x14ac:dyDescent="0.2">
      <c r="A1028" s="4" t="str">
        <f>IF(ポートフォリオ実績!A1029="","", ポートフォリオ実績!A1029)</f>
        <v/>
      </c>
      <c r="B1028" t="str">
        <f>IF(ポートフォリオ実績!B1029="","", ポートフォリオ実績!B1029)</f>
        <v/>
      </c>
      <c r="C1028" s="10" t="str">
        <f>IF(ポートフォリオ実績!C1029="","", ポートフォリオ実績!C1029)</f>
        <v/>
      </c>
      <c r="D1028" s="10" t="str">
        <f>IF(ポートフォリオ実績!D1029="","", ポートフォリオ実績!D1029)</f>
        <v/>
      </c>
      <c r="E1028" s="10" t="str">
        <f>IF(ポートフォリオ実績!E1029="","", ポートフォリオ実績!E1029)</f>
        <v/>
      </c>
      <c r="F1028" s="10" t="str">
        <f>IF(ポートフォリオ実績!F1029="","", ポートフォリオ実績!F1029)</f>
        <v/>
      </c>
      <c r="G1028" t="str">
        <f t="shared" si="176"/>
        <v/>
      </c>
      <c r="H1028">
        <f>IF(B1028&lt;&gt;"", SUMIFS(ポートフォリオ実績!$D$2:$D$2001, ポートフォリオ実績!$B$2:$B$2001, B1028, ポートフォリオ実績!$A$2:$A$2001, G1028), 0)</f>
        <v>0</v>
      </c>
      <c r="I1028">
        <f>IF(B1028&lt;&gt;"", SUMIFS(ポートフォリオ実績!$C$2:$C$2001, ポートフォリオ実績!$B$2:$B$2001, B1028, ポートフォリオ実績!$A$2:$A$2001, G1028), 0)</f>
        <v>0</v>
      </c>
      <c r="J1028">
        <f t="shared" si="177"/>
        <v>0</v>
      </c>
      <c r="K1028">
        <f t="shared" si="178"/>
        <v>0</v>
      </c>
      <c r="L1028">
        <f t="shared" si="179"/>
        <v>0</v>
      </c>
      <c r="M1028">
        <f t="shared" si="180"/>
        <v>0</v>
      </c>
      <c r="N1028">
        <f t="shared" si="181"/>
        <v>0</v>
      </c>
      <c r="O1028">
        <f t="shared" si="182"/>
        <v>0</v>
      </c>
      <c r="P1028" t="str">
        <f t="shared" si="183"/>
        <v/>
      </c>
      <c r="Q1028" t="str">
        <f>IF(B1028="","", IFERROR(VLOOKUP(B1028, '基準資産配分（設定）'!$A$2:$C$2001, 3, FALSE), ""))</f>
        <v/>
      </c>
      <c r="R1028" t="str">
        <f>IF(B1028="","", IFERROR(VLOOKUP(B1028, '基準資産配分（設定）'!$A$2:$C$2001, 2, FALSE)/100, 0))</f>
        <v/>
      </c>
      <c r="S1028" t="str">
        <f>IF(B1028="","", IFERROR(SUMIFS(ベンチマークリターン!$C$2:$C$2001, ベンチマークリターン!$A$2:$A$2001, A1028, ベンチマークリターン!$B$2:$B$2001, Q1028) / 100, 0))</f>
        <v/>
      </c>
      <c r="T1028" t="str">
        <f>IF(A1028="","", SUMIFS($H$2:$H$2000, $A$2:$A$2000, A1028))</f>
        <v/>
      </c>
      <c r="U1028" t="str">
        <f t="shared" si="184"/>
        <v/>
      </c>
      <c r="V1028" t="str">
        <f t="shared" si="185"/>
        <v/>
      </c>
      <c r="W1028" t="str">
        <f t="shared" si="186"/>
        <v/>
      </c>
    </row>
    <row r="1029" spans="1:23" x14ac:dyDescent="0.2">
      <c r="A1029" s="4" t="str">
        <f>IF(ポートフォリオ実績!A1030="","", ポートフォリオ実績!A1030)</f>
        <v/>
      </c>
      <c r="B1029" t="str">
        <f>IF(ポートフォリオ実績!B1030="","", ポートフォリオ実績!B1030)</f>
        <v/>
      </c>
      <c r="C1029" s="10" t="str">
        <f>IF(ポートフォリオ実績!C1030="","", ポートフォリオ実績!C1030)</f>
        <v/>
      </c>
      <c r="D1029" s="10" t="str">
        <f>IF(ポートフォリオ実績!D1030="","", ポートフォリオ実績!D1030)</f>
        <v/>
      </c>
      <c r="E1029" s="10" t="str">
        <f>IF(ポートフォリオ実績!E1030="","", ポートフォリオ実績!E1030)</f>
        <v/>
      </c>
      <c r="F1029" s="10" t="str">
        <f>IF(ポートフォリオ実績!F1030="","", ポートフォリオ実績!F1030)</f>
        <v/>
      </c>
      <c r="G1029" t="str">
        <f t="shared" si="176"/>
        <v/>
      </c>
      <c r="H1029">
        <f>IF(B1029&lt;&gt;"", SUMIFS(ポートフォリオ実績!$D$2:$D$2001, ポートフォリオ実績!$B$2:$B$2001, B1029, ポートフォリオ実績!$A$2:$A$2001, G1029), 0)</f>
        <v>0</v>
      </c>
      <c r="I1029">
        <f>IF(B1029&lt;&gt;"", SUMIFS(ポートフォリオ実績!$C$2:$C$2001, ポートフォリオ実績!$B$2:$B$2001, B1029, ポートフォリオ実績!$A$2:$A$2001, G1029), 0)</f>
        <v>0</v>
      </c>
      <c r="J1029">
        <f t="shared" si="177"/>
        <v>0</v>
      </c>
      <c r="K1029">
        <f t="shared" si="178"/>
        <v>0</v>
      </c>
      <c r="L1029">
        <f t="shared" si="179"/>
        <v>0</v>
      </c>
      <c r="M1029">
        <f t="shared" si="180"/>
        <v>0</v>
      </c>
      <c r="N1029">
        <f t="shared" si="181"/>
        <v>0</v>
      </c>
      <c r="O1029">
        <f t="shared" si="182"/>
        <v>0</v>
      </c>
      <c r="P1029" t="str">
        <f t="shared" si="183"/>
        <v/>
      </c>
      <c r="Q1029" t="str">
        <f>IF(B1029="","", IFERROR(VLOOKUP(B1029, '基準資産配分（設定）'!$A$2:$C$2001, 3, FALSE), ""))</f>
        <v/>
      </c>
      <c r="R1029" t="str">
        <f>IF(B1029="","", IFERROR(VLOOKUP(B1029, '基準資産配分（設定）'!$A$2:$C$2001, 2, FALSE)/100, 0))</f>
        <v/>
      </c>
      <c r="S1029" t="str">
        <f>IF(B1029="","", IFERROR(SUMIFS(ベンチマークリターン!$C$2:$C$2001, ベンチマークリターン!$A$2:$A$2001, A1029, ベンチマークリターン!$B$2:$B$2001, Q1029) / 100, 0))</f>
        <v/>
      </c>
      <c r="T1029" t="str">
        <f>IF(A1029="","", SUMIFS($H$2:$H$2000, $A$2:$A$2000, A1029))</f>
        <v/>
      </c>
      <c r="U1029" t="str">
        <f t="shared" si="184"/>
        <v/>
      </c>
      <c r="V1029" t="str">
        <f t="shared" si="185"/>
        <v/>
      </c>
      <c r="W1029" t="str">
        <f t="shared" si="186"/>
        <v/>
      </c>
    </row>
    <row r="1030" spans="1:23" x14ac:dyDescent="0.2">
      <c r="A1030" s="4" t="str">
        <f>IF(ポートフォリオ実績!A1031="","", ポートフォリオ実績!A1031)</f>
        <v/>
      </c>
      <c r="B1030" t="str">
        <f>IF(ポートフォリオ実績!B1031="","", ポートフォリオ実績!B1031)</f>
        <v/>
      </c>
      <c r="C1030" s="10" t="str">
        <f>IF(ポートフォリオ実績!C1031="","", ポートフォリオ実績!C1031)</f>
        <v/>
      </c>
      <c r="D1030" s="10" t="str">
        <f>IF(ポートフォリオ実績!D1031="","", ポートフォリオ実績!D1031)</f>
        <v/>
      </c>
      <c r="E1030" s="10" t="str">
        <f>IF(ポートフォリオ実績!E1031="","", ポートフォリオ実績!E1031)</f>
        <v/>
      </c>
      <c r="F1030" s="10" t="str">
        <f>IF(ポートフォリオ実績!F1031="","", ポートフォリオ実績!F1031)</f>
        <v/>
      </c>
      <c r="G1030" t="str">
        <f t="shared" si="176"/>
        <v/>
      </c>
      <c r="H1030">
        <f>IF(B1030&lt;&gt;"", SUMIFS(ポートフォリオ実績!$D$2:$D$2001, ポートフォリオ実績!$B$2:$B$2001, B1030, ポートフォリオ実績!$A$2:$A$2001, G1030), 0)</f>
        <v>0</v>
      </c>
      <c r="I1030">
        <f>IF(B1030&lt;&gt;"", SUMIFS(ポートフォリオ実績!$C$2:$C$2001, ポートフォリオ実績!$B$2:$B$2001, B1030, ポートフォリオ実績!$A$2:$A$2001, G1030), 0)</f>
        <v>0</v>
      </c>
      <c r="J1030">
        <f t="shared" si="177"/>
        <v>0</v>
      </c>
      <c r="K1030">
        <f t="shared" si="178"/>
        <v>0</v>
      </c>
      <c r="L1030">
        <f t="shared" si="179"/>
        <v>0</v>
      </c>
      <c r="M1030">
        <f t="shared" si="180"/>
        <v>0</v>
      </c>
      <c r="N1030">
        <f t="shared" si="181"/>
        <v>0</v>
      </c>
      <c r="O1030">
        <f t="shared" si="182"/>
        <v>0</v>
      </c>
      <c r="P1030" t="str">
        <f t="shared" si="183"/>
        <v/>
      </c>
      <c r="Q1030" t="str">
        <f>IF(B1030="","", IFERROR(VLOOKUP(B1030, '基準資産配分（設定）'!$A$2:$C$2001, 3, FALSE), ""))</f>
        <v/>
      </c>
      <c r="R1030" t="str">
        <f>IF(B1030="","", IFERROR(VLOOKUP(B1030, '基準資産配分（設定）'!$A$2:$C$2001, 2, FALSE)/100, 0))</f>
        <v/>
      </c>
      <c r="S1030" t="str">
        <f>IF(B1030="","", IFERROR(SUMIFS(ベンチマークリターン!$C$2:$C$2001, ベンチマークリターン!$A$2:$A$2001, A1030, ベンチマークリターン!$B$2:$B$2001, Q1030) / 100, 0))</f>
        <v/>
      </c>
      <c r="T1030" t="str">
        <f>IF(A1030="","", SUMIFS($H$2:$H$2000, $A$2:$A$2000, A1030))</f>
        <v/>
      </c>
      <c r="U1030" t="str">
        <f t="shared" si="184"/>
        <v/>
      </c>
      <c r="V1030" t="str">
        <f t="shared" si="185"/>
        <v/>
      </c>
      <c r="W1030" t="str">
        <f t="shared" si="186"/>
        <v/>
      </c>
    </row>
    <row r="1031" spans="1:23" x14ac:dyDescent="0.2">
      <c r="A1031" s="4" t="str">
        <f>IF(ポートフォリオ実績!A1032="","", ポートフォリオ実績!A1032)</f>
        <v/>
      </c>
      <c r="B1031" t="str">
        <f>IF(ポートフォリオ実績!B1032="","", ポートフォリオ実績!B1032)</f>
        <v/>
      </c>
      <c r="C1031" s="10" t="str">
        <f>IF(ポートフォリオ実績!C1032="","", ポートフォリオ実績!C1032)</f>
        <v/>
      </c>
      <c r="D1031" s="10" t="str">
        <f>IF(ポートフォリオ実績!D1032="","", ポートフォリオ実績!D1032)</f>
        <v/>
      </c>
      <c r="E1031" s="10" t="str">
        <f>IF(ポートフォリオ実績!E1032="","", ポートフォリオ実績!E1032)</f>
        <v/>
      </c>
      <c r="F1031" s="10" t="str">
        <f>IF(ポートフォリオ実績!F1032="","", ポートフォリオ実績!F1032)</f>
        <v/>
      </c>
      <c r="G1031" t="str">
        <f t="shared" si="176"/>
        <v/>
      </c>
      <c r="H1031">
        <f>IF(B1031&lt;&gt;"", SUMIFS(ポートフォリオ実績!$D$2:$D$2001, ポートフォリオ実績!$B$2:$B$2001, B1031, ポートフォリオ実績!$A$2:$A$2001, G1031), 0)</f>
        <v>0</v>
      </c>
      <c r="I1031">
        <f>IF(B1031&lt;&gt;"", SUMIFS(ポートフォリオ実績!$C$2:$C$2001, ポートフォリオ実績!$B$2:$B$2001, B1031, ポートフォリオ実績!$A$2:$A$2001, G1031), 0)</f>
        <v>0</v>
      </c>
      <c r="J1031">
        <f t="shared" si="177"/>
        <v>0</v>
      </c>
      <c r="K1031">
        <f t="shared" si="178"/>
        <v>0</v>
      </c>
      <c r="L1031">
        <f t="shared" si="179"/>
        <v>0</v>
      </c>
      <c r="M1031">
        <f t="shared" si="180"/>
        <v>0</v>
      </c>
      <c r="N1031">
        <f t="shared" si="181"/>
        <v>0</v>
      </c>
      <c r="O1031">
        <f t="shared" si="182"/>
        <v>0</v>
      </c>
      <c r="P1031" t="str">
        <f t="shared" si="183"/>
        <v/>
      </c>
      <c r="Q1031" t="str">
        <f>IF(B1031="","", IFERROR(VLOOKUP(B1031, '基準資産配分（設定）'!$A$2:$C$2001, 3, FALSE), ""))</f>
        <v/>
      </c>
      <c r="R1031" t="str">
        <f>IF(B1031="","", IFERROR(VLOOKUP(B1031, '基準資産配分（設定）'!$A$2:$C$2001, 2, FALSE)/100, 0))</f>
        <v/>
      </c>
      <c r="S1031" t="str">
        <f>IF(B1031="","", IFERROR(SUMIFS(ベンチマークリターン!$C$2:$C$2001, ベンチマークリターン!$A$2:$A$2001, A1031, ベンチマークリターン!$B$2:$B$2001, Q1031) / 100, 0))</f>
        <v/>
      </c>
      <c r="T1031" t="str">
        <f>IF(A1031="","", SUMIFS($H$2:$H$2000, $A$2:$A$2000, A1031))</f>
        <v/>
      </c>
      <c r="U1031" t="str">
        <f t="shared" si="184"/>
        <v/>
      </c>
      <c r="V1031" t="str">
        <f t="shared" si="185"/>
        <v/>
      </c>
      <c r="W1031" t="str">
        <f t="shared" si="186"/>
        <v/>
      </c>
    </row>
    <row r="1032" spans="1:23" x14ac:dyDescent="0.2">
      <c r="A1032" s="4" t="str">
        <f>IF(ポートフォリオ実績!A1033="","", ポートフォリオ実績!A1033)</f>
        <v/>
      </c>
      <c r="B1032" t="str">
        <f>IF(ポートフォリオ実績!B1033="","", ポートフォリオ実績!B1033)</f>
        <v/>
      </c>
      <c r="C1032" s="10" t="str">
        <f>IF(ポートフォリオ実績!C1033="","", ポートフォリオ実績!C1033)</f>
        <v/>
      </c>
      <c r="D1032" s="10" t="str">
        <f>IF(ポートフォリオ実績!D1033="","", ポートフォリオ実績!D1033)</f>
        <v/>
      </c>
      <c r="E1032" s="10" t="str">
        <f>IF(ポートフォリオ実績!E1033="","", ポートフォリオ実績!E1033)</f>
        <v/>
      </c>
      <c r="F1032" s="10" t="str">
        <f>IF(ポートフォリオ実績!F1033="","", ポートフォリオ実績!F1033)</f>
        <v/>
      </c>
      <c r="G1032" t="str">
        <f t="shared" si="176"/>
        <v/>
      </c>
      <c r="H1032">
        <f>IF(B1032&lt;&gt;"", SUMIFS(ポートフォリオ実績!$D$2:$D$2001, ポートフォリオ実績!$B$2:$B$2001, B1032, ポートフォリオ実績!$A$2:$A$2001, G1032), 0)</f>
        <v>0</v>
      </c>
      <c r="I1032">
        <f>IF(B1032&lt;&gt;"", SUMIFS(ポートフォリオ実績!$C$2:$C$2001, ポートフォリオ実績!$B$2:$B$2001, B1032, ポートフォリオ実績!$A$2:$A$2001, G1032), 0)</f>
        <v>0</v>
      </c>
      <c r="J1032">
        <f t="shared" si="177"/>
        <v>0</v>
      </c>
      <c r="K1032">
        <f t="shared" si="178"/>
        <v>0</v>
      </c>
      <c r="L1032">
        <f t="shared" si="179"/>
        <v>0</v>
      </c>
      <c r="M1032">
        <f t="shared" si="180"/>
        <v>0</v>
      </c>
      <c r="N1032">
        <f t="shared" si="181"/>
        <v>0</v>
      </c>
      <c r="O1032">
        <f t="shared" si="182"/>
        <v>0</v>
      </c>
      <c r="P1032" t="str">
        <f t="shared" si="183"/>
        <v/>
      </c>
      <c r="Q1032" t="str">
        <f>IF(B1032="","", IFERROR(VLOOKUP(B1032, '基準資産配分（設定）'!$A$2:$C$2001, 3, FALSE), ""))</f>
        <v/>
      </c>
      <c r="R1032" t="str">
        <f>IF(B1032="","", IFERROR(VLOOKUP(B1032, '基準資産配分（設定）'!$A$2:$C$2001, 2, FALSE)/100, 0))</f>
        <v/>
      </c>
      <c r="S1032" t="str">
        <f>IF(B1032="","", IFERROR(SUMIFS(ベンチマークリターン!$C$2:$C$2001, ベンチマークリターン!$A$2:$A$2001, A1032, ベンチマークリターン!$B$2:$B$2001, Q1032) / 100, 0))</f>
        <v/>
      </c>
      <c r="T1032" t="str">
        <f>IF(A1032="","", SUMIFS($H$2:$H$2000, $A$2:$A$2000, A1032))</f>
        <v/>
      </c>
      <c r="U1032" t="str">
        <f t="shared" si="184"/>
        <v/>
      </c>
      <c r="V1032" t="str">
        <f t="shared" si="185"/>
        <v/>
      </c>
      <c r="W1032" t="str">
        <f t="shared" si="186"/>
        <v/>
      </c>
    </row>
    <row r="1033" spans="1:23" x14ac:dyDescent="0.2">
      <c r="A1033" s="4" t="str">
        <f>IF(ポートフォリオ実績!A1034="","", ポートフォリオ実績!A1034)</f>
        <v/>
      </c>
      <c r="B1033" t="str">
        <f>IF(ポートフォリオ実績!B1034="","", ポートフォリオ実績!B1034)</f>
        <v/>
      </c>
      <c r="C1033" s="10" t="str">
        <f>IF(ポートフォリオ実績!C1034="","", ポートフォリオ実績!C1034)</f>
        <v/>
      </c>
      <c r="D1033" s="10" t="str">
        <f>IF(ポートフォリオ実績!D1034="","", ポートフォリオ実績!D1034)</f>
        <v/>
      </c>
      <c r="E1033" s="10" t="str">
        <f>IF(ポートフォリオ実績!E1034="","", ポートフォリオ実績!E1034)</f>
        <v/>
      </c>
      <c r="F1033" s="10" t="str">
        <f>IF(ポートフォリオ実績!F1034="","", ポートフォリオ実績!F1034)</f>
        <v/>
      </c>
      <c r="G1033" t="str">
        <f t="shared" si="176"/>
        <v/>
      </c>
      <c r="H1033">
        <f>IF(B1033&lt;&gt;"", SUMIFS(ポートフォリオ実績!$D$2:$D$2001, ポートフォリオ実績!$B$2:$B$2001, B1033, ポートフォリオ実績!$A$2:$A$2001, G1033), 0)</f>
        <v>0</v>
      </c>
      <c r="I1033">
        <f>IF(B1033&lt;&gt;"", SUMIFS(ポートフォリオ実績!$C$2:$C$2001, ポートフォリオ実績!$B$2:$B$2001, B1033, ポートフォリオ実績!$A$2:$A$2001, G1033), 0)</f>
        <v>0</v>
      </c>
      <c r="J1033">
        <f t="shared" si="177"/>
        <v>0</v>
      </c>
      <c r="K1033">
        <f t="shared" si="178"/>
        <v>0</v>
      </c>
      <c r="L1033">
        <f t="shared" si="179"/>
        <v>0</v>
      </c>
      <c r="M1033">
        <f t="shared" si="180"/>
        <v>0</v>
      </c>
      <c r="N1033">
        <f t="shared" si="181"/>
        <v>0</v>
      </c>
      <c r="O1033">
        <f t="shared" si="182"/>
        <v>0</v>
      </c>
      <c r="P1033" t="str">
        <f t="shared" si="183"/>
        <v/>
      </c>
      <c r="Q1033" t="str">
        <f>IF(B1033="","", IFERROR(VLOOKUP(B1033, '基準資産配分（設定）'!$A$2:$C$2001, 3, FALSE), ""))</f>
        <v/>
      </c>
      <c r="R1033" t="str">
        <f>IF(B1033="","", IFERROR(VLOOKUP(B1033, '基準資産配分（設定）'!$A$2:$C$2001, 2, FALSE)/100, 0))</f>
        <v/>
      </c>
      <c r="S1033" t="str">
        <f>IF(B1033="","", IFERROR(SUMIFS(ベンチマークリターン!$C$2:$C$2001, ベンチマークリターン!$A$2:$A$2001, A1033, ベンチマークリターン!$B$2:$B$2001, Q1033) / 100, 0))</f>
        <v/>
      </c>
      <c r="T1033" t="str">
        <f>IF(A1033="","", SUMIFS($H$2:$H$2000, $A$2:$A$2000, A1033))</f>
        <v/>
      </c>
      <c r="U1033" t="str">
        <f t="shared" si="184"/>
        <v/>
      </c>
      <c r="V1033" t="str">
        <f t="shared" si="185"/>
        <v/>
      </c>
      <c r="W1033" t="str">
        <f t="shared" si="186"/>
        <v/>
      </c>
    </row>
    <row r="1034" spans="1:23" x14ac:dyDescent="0.2">
      <c r="A1034" s="4" t="str">
        <f>IF(ポートフォリオ実績!A1035="","", ポートフォリオ実績!A1035)</f>
        <v/>
      </c>
      <c r="B1034" t="str">
        <f>IF(ポートフォリオ実績!B1035="","", ポートフォリオ実績!B1035)</f>
        <v/>
      </c>
      <c r="C1034" s="10" t="str">
        <f>IF(ポートフォリオ実績!C1035="","", ポートフォリオ実績!C1035)</f>
        <v/>
      </c>
      <c r="D1034" s="10" t="str">
        <f>IF(ポートフォリオ実績!D1035="","", ポートフォリオ実績!D1035)</f>
        <v/>
      </c>
      <c r="E1034" s="10" t="str">
        <f>IF(ポートフォリオ実績!E1035="","", ポートフォリオ実績!E1035)</f>
        <v/>
      </c>
      <c r="F1034" s="10" t="str">
        <f>IF(ポートフォリオ実績!F1035="","", ポートフォリオ実績!F1035)</f>
        <v/>
      </c>
      <c r="G1034" t="str">
        <f t="shared" si="176"/>
        <v/>
      </c>
      <c r="H1034">
        <f>IF(B1034&lt;&gt;"", SUMIFS(ポートフォリオ実績!$D$2:$D$2001, ポートフォリオ実績!$B$2:$B$2001, B1034, ポートフォリオ実績!$A$2:$A$2001, G1034), 0)</f>
        <v>0</v>
      </c>
      <c r="I1034">
        <f>IF(B1034&lt;&gt;"", SUMIFS(ポートフォリオ実績!$C$2:$C$2001, ポートフォリオ実績!$B$2:$B$2001, B1034, ポートフォリオ実績!$A$2:$A$2001, G1034), 0)</f>
        <v>0</v>
      </c>
      <c r="J1034">
        <f t="shared" si="177"/>
        <v>0</v>
      </c>
      <c r="K1034">
        <f t="shared" si="178"/>
        <v>0</v>
      </c>
      <c r="L1034">
        <f t="shared" si="179"/>
        <v>0</v>
      </c>
      <c r="M1034">
        <f t="shared" si="180"/>
        <v>0</v>
      </c>
      <c r="N1034">
        <f t="shared" si="181"/>
        <v>0</v>
      </c>
      <c r="O1034">
        <f t="shared" si="182"/>
        <v>0</v>
      </c>
      <c r="P1034" t="str">
        <f t="shared" si="183"/>
        <v/>
      </c>
      <c r="Q1034" t="str">
        <f>IF(B1034="","", IFERROR(VLOOKUP(B1034, '基準資産配分（設定）'!$A$2:$C$2001, 3, FALSE), ""))</f>
        <v/>
      </c>
      <c r="R1034" t="str">
        <f>IF(B1034="","", IFERROR(VLOOKUP(B1034, '基準資産配分（設定）'!$A$2:$C$2001, 2, FALSE)/100, 0))</f>
        <v/>
      </c>
      <c r="S1034" t="str">
        <f>IF(B1034="","", IFERROR(SUMIFS(ベンチマークリターン!$C$2:$C$2001, ベンチマークリターン!$A$2:$A$2001, A1034, ベンチマークリターン!$B$2:$B$2001, Q1034) / 100, 0))</f>
        <v/>
      </c>
      <c r="T1034" t="str">
        <f>IF(A1034="","", SUMIFS($H$2:$H$2000, $A$2:$A$2000, A1034))</f>
        <v/>
      </c>
      <c r="U1034" t="str">
        <f t="shared" si="184"/>
        <v/>
      </c>
      <c r="V1034" t="str">
        <f t="shared" si="185"/>
        <v/>
      </c>
      <c r="W1034" t="str">
        <f t="shared" si="186"/>
        <v/>
      </c>
    </row>
    <row r="1035" spans="1:23" x14ac:dyDescent="0.2">
      <c r="A1035" s="4" t="str">
        <f>IF(ポートフォリオ実績!A1036="","", ポートフォリオ実績!A1036)</f>
        <v/>
      </c>
      <c r="B1035" t="str">
        <f>IF(ポートフォリオ実績!B1036="","", ポートフォリオ実績!B1036)</f>
        <v/>
      </c>
      <c r="C1035" s="10" t="str">
        <f>IF(ポートフォリオ実績!C1036="","", ポートフォリオ実績!C1036)</f>
        <v/>
      </c>
      <c r="D1035" s="10" t="str">
        <f>IF(ポートフォリオ実績!D1036="","", ポートフォリオ実績!D1036)</f>
        <v/>
      </c>
      <c r="E1035" s="10" t="str">
        <f>IF(ポートフォリオ実績!E1036="","", ポートフォリオ実績!E1036)</f>
        <v/>
      </c>
      <c r="F1035" s="10" t="str">
        <f>IF(ポートフォリオ実績!F1036="","", ポートフォリオ実績!F1036)</f>
        <v/>
      </c>
      <c r="G1035" t="str">
        <f t="shared" si="176"/>
        <v/>
      </c>
      <c r="H1035">
        <f>IF(B1035&lt;&gt;"", SUMIFS(ポートフォリオ実績!$D$2:$D$2001, ポートフォリオ実績!$B$2:$B$2001, B1035, ポートフォリオ実績!$A$2:$A$2001, G1035), 0)</f>
        <v>0</v>
      </c>
      <c r="I1035">
        <f>IF(B1035&lt;&gt;"", SUMIFS(ポートフォリオ実績!$C$2:$C$2001, ポートフォリオ実績!$B$2:$B$2001, B1035, ポートフォリオ実績!$A$2:$A$2001, G1035), 0)</f>
        <v>0</v>
      </c>
      <c r="J1035">
        <f t="shared" si="177"/>
        <v>0</v>
      </c>
      <c r="K1035">
        <f t="shared" si="178"/>
        <v>0</v>
      </c>
      <c r="L1035">
        <f t="shared" si="179"/>
        <v>0</v>
      </c>
      <c r="M1035">
        <f t="shared" si="180"/>
        <v>0</v>
      </c>
      <c r="N1035">
        <f t="shared" si="181"/>
        <v>0</v>
      </c>
      <c r="O1035">
        <f t="shared" si="182"/>
        <v>0</v>
      </c>
      <c r="P1035" t="str">
        <f t="shared" si="183"/>
        <v/>
      </c>
      <c r="Q1035" t="str">
        <f>IF(B1035="","", IFERROR(VLOOKUP(B1035, '基準資産配分（設定）'!$A$2:$C$2001, 3, FALSE), ""))</f>
        <v/>
      </c>
      <c r="R1035" t="str">
        <f>IF(B1035="","", IFERROR(VLOOKUP(B1035, '基準資産配分（設定）'!$A$2:$C$2001, 2, FALSE)/100, 0))</f>
        <v/>
      </c>
      <c r="S1035" t="str">
        <f>IF(B1035="","", IFERROR(SUMIFS(ベンチマークリターン!$C$2:$C$2001, ベンチマークリターン!$A$2:$A$2001, A1035, ベンチマークリターン!$B$2:$B$2001, Q1035) / 100, 0))</f>
        <v/>
      </c>
      <c r="T1035" t="str">
        <f>IF(A1035="","", SUMIFS($H$2:$H$2000, $A$2:$A$2000, A1035))</f>
        <v/>
      </c>
      <c r="U1035" t="str">
        <f t="shared" si="184"/>
        <v/>
      </c>
      <c r="V1035" t="str">
        <f t="shared" si="185"/>
        <v/>
      </c>
      <c r="W1035" t="str">
        <f t="shared" si="186"/>
        <v/>
      </c>
    </row>
    <row r="1036" spans="1:23" x14ac:dyDescent="0.2">
      <c r="A1036" s="4" t="str">
        <f>IF(ポートフォリオ実績!A1037="","", ポートフォリオ実績!A1037)</f>
        <v/>
      </c>
      <c r="B1036" t="str">
        <f>IF(ポートフォリオ実績!B1037="","", ポートフォリオ実績!B1037)</f>
        <v/>
      </c>
      <c r="C1036" s="10" t="str">
        <f>IF(ポートフォリオ実績!C1037="","", ポートフォリオ実績!C1037)</f>
        <v/>
      </c>
      <c r="D1036" s="10" t="str">
        <f>IF(ポートフォリオ実績!D1037="","", ポートフォリオ実績!D1037)</f>
        <v/>
      </c>
      <c r="E1036" s="10" t="str">
        <f>IF(ポートフォリオ実績!E1037="","", ポートフォリオ実績!E1037)</f>
        <v/>
      </c>
      <c r="F1036" s="10" t="str">
        <f>IF(ポートフォリオ実績!F1037="","", ポートフォリオ実績!F1037)</f>
        <v/>
      </c>
      <c r="G1036" t="str">
        <f t="shared" si="176"/>
        <v/>
      </c>
      <c r="H1036">
        <f>IF(B1036&lt;&gt;"", SUMIFS(ポートフォリオ実績!$D$2:$D$2001, ポートフォリオ実績!$B$2:$B$2001, B1036, ポートフォリオ実績!$A$2:$A$2001, G1036), 0)</f>
        <v>0</v>
      </c>
      <c r="I1036">
        <f>IF(B1036&lt;&gt;"", SUMIFS(ポートフォリオ実績!$C$2:$C$2001, ポートフォリオ実績!$B$2:$B$2001, B1036, ポートフォリオ実績!$A$2:$A$2001, G1036), 0)</f>
        <v>0</v>
      </c>
      <c r="J1036">
        <f t="shared" si="177"/>
        <v>0</v>
      </c>
      <c r="K1036">
        <f t="shared" si="178"/>
        <v>0</v>
      </c>
      <c r="L1036">
        <f t="shared" si="179"/>
        <v>0</v>
      </c>
      <c r="M1036">
        <f t="shared" si="180"/>
        <v>0</v>
      </c>
      <c r="N1036">
        <f t="shared" si="181"/>
        <v>0</v>
      </c>
      <c r="O1036">
        <f t="shared" si="182"/>
        <v>0</v>
      </c>
      <c r="P1036" t="str">
        <f t="shared" si="183"/>
        <v/>
      </c>
      <c r="Q1036" t="str">
        <f>IF(B1036="","", IFERROR(VLOOKUP(B1036, '基準資産配分（設定）'!$A$2:$C$2001, 3, FALSE), ""))</f>
        <v/>
      </c>
      <c r="R1036" t="str">
        <f>IF(B1036="","", IFERROR(VLOOKUP(B1036, '基準資産配分（設定）'!$A$2:$C$2001, 2, FALSE)/100, 0))</f>
        <v/>
      </c>
      <c r="S1036" t="str">
        <f>IF(B1036="","", IFERROR(SUMIFS(ベンチマークリターン!$C$2:$C$2001, ベンチマークリターン!$A$2:$A$2001, A1036, ベンチマークリターン!$B$2:$B$2001, Q1036) / 100, 0))</f>
        <v/>
      </c>
      <c r="T1036" t="str">
        <f>IF(A1036="","", SUMIFS($H$2:$H$2000, $A$2:$A$2000, A1036))</f>
        <v/>
      </c>
      <c r="U1036" t="str">
        <f t="shared" si="184"/>
        <v/>
      </c>
      <c r="V1036" t="str">
        <f t="shared" si="185"/>
        <v/>
      </c>
      <c r="W1036" t="str">
        <f t="shared" si="186"/>
        <v/>
      </c>
    </row>
    <row r="1037" spans="1:23" x14ac:dyDescent="0.2">
      <c r="A1037" s="4" t="str">
        <f>IF(ポートフォリオ実績!A1038="","", ポートフォリオ実績!A1038)</f>
        <v/>
      </c>
      <c r="B1037" t="str">
        <f>IF(ポートフォリオ実績!B1038="","", ポートフォリオ実績!B1038)</f>
        <v/>
      </c>
      <c r="C1037" s="10" t="str">
        <f>IF(ポートフォリオ実績!C1038="","", ポートフォリオ実績!C1038)</f>
        <v/>
      </c>
      <c r="D1037" s="10" t="str">
        <f>IF(ポートフォリオ実績!D1038="","", ポートフォリオ実績!D1038)</f>
        <v/>
      </c>
      <c r="E1037" s="10" t="str">
        <f>IF(ポートフォリオ実績!E1038="","", ポートフォリオ実績!E1038)</f>
        <v/>
      </c>
      <c r="F1037" s="10" t="str">
        <f>IF(ポートフォリオ実績!F1038="","", ポートフォリオ実績!F1038)</f>
        <v/>
      </c>
      <c r="G1037" t="str">
        <f t="shared" si="176"/>
        <v/>
      </c>
      <c r="H1037">
        <f>IF(B1037&lt;&gt;"", SUMIFS(ポートフォリオ実績!$D$2:$D$2001, ポートフォリオ実績!$B$2:$B$2001, B1037, ポートフォリオ実績!$A$2:$A$2001, G1037), 0)</f>
        <v>0</v>
      </c>
      <c r="I1037">
        <f>IF(B1037&lt;&gt;"", SUMIFS(ポートフォリオ実績!$C$2:$C$2001, ポートフォリオ実績!$B$2:$B$2001, B1037, ポートフォリオ実績!$A$2:$A$2001, G1037), 0)</f>
        <v>0</v>
      </c>
      <c r="J1037">
        <f t="shared" si="177"/>
        <v>0</v>
      </c>
      <c r="K1037">
        <f t="shared" si="178"/>
        <v>0</v>
      </c>
      <c r="L1037">
        <f t="shared" si="179"/>
        <v>0</v>
      </c>
      <c r="M1037">
        <f t="shared" si="180"/>
        <v>0</v>
      </c>
      <c r="N1037">
        <f t="shared" si="181"/>
        <v>0</v>
      </c>
      <c r="O1037">
        <f t="shared" si="182"/>
        <v>0</v>
      </c>
      <c r="P1037" t="str">
        <f t="shared" si="183"/>
        <v/>
      </c>
      <c r="Q1037" t="str">
        <f>IF(B1037="","", IFERROR(VLOOKUP(B1037, '基準資産配分（設定）'!$A$2:$C$2001, 3, FALSE), ""))</f>
        <v/>
      </c>
      <c r="R1037" t="str">
        <f>IF(B1037="","", IFERROR(VLOOKUP(B1037, '基準資産配分（設定）'!$A$2:$C$2001, 2, FALSE)/100, 0))</f>
        <v/>
      </c>
      <c r="S1037" t="str">
        <f>IF(B1037="","", IFERROR(SUMIFS(ベンチマークリターン!$C$2:$C$2001, ベンチマークリターン!$A$2:$A$2001, A1037, ベンチマークリターン!$B$2:$B$2001, Q1037) / 100, 0))</f>
        <v/>
      </c>
      <c r="T1037" t="str">
        <f>IF(A1037="","", SUMIFS($H$2:$H$2000, $A$2:$A$2000, A1037))</f>
        <v/>
      </c>
      <c r="U1037" t="str">
        <f t="shared" si="184"/>
        <v/>
      </c>
      <c r="V1037" t="str">
        <f t="shared" si="185"/>
        <v/>
      </c>
      <c r="W1037" t="str">
        <f t="shared" si="186"/>
        <v/>
      </c>
    </row>
    <row r="1038" spans="1:23" x14ac:dyDescent="0.2">
      <c r="A1038" s="4" t="str">
        <f>IF(ポートフォリオ実績!A1039="","", ポートフォリオ実績!A1039)</f>
        <v/>
      </c>
      <c r="B1038" t="str">
        <f>IF(ポートフォリオ実績!B1039="","", ポートフォリオ実績!B1039)</f>
        <v/>
      </c>
      <c r="C1038" s="10" t="str">
        <f>IF(ポートフォリオ実績!C1039="","", ポートフォリオ実績!C1039)</f>
        <v/>
      </c>
      <c r="D1038" s="10" t="str">
        <f>IF(ポートフォリオ実績!D1039="","", ポートフォリオ実績!D1039)</f>
        <v/>
      </c>
      <c r="E1038" s="10" t="str">
        <f>IF(ポートフォリオ実績!E1039="","", ポートフォリオ実績!E1039)</f>
        <v/>
      </c>
      <c r="F1038" s="10" t="str">
        <f>IF(ポートフォリオ実績!F1039="","", ポートフォリオ実績!F1039)</f>
        <v/>
      </c>
      <c r="G1038" t="str">
        <f t="shared" si="176"/>
        <v/>
      </c>
      <c r="H1038">
        <f>IF(B1038&lt;&gt;"", SUMIFS(ポートフォリオ実績!$D$2:$D$2001, ポートフォリオ実績!$B$2:$B$2001, B1038, ポートフォリオ実績!$A$2:$A$2001, G1038), 0)</f>
        <v>0</v>
      </c>
      <c r="I1038">
        <f>IF(B1038&lt;&gt;"", SUMIFS(ポートフォリオ実績!$C$2:$C$2001, ポートフォリオ実績!$B$2:$B$2001, B1038, ポートフォリオ実績!$A$2:$A$2001, G1038), 0)</f>
        <v>0</v>
      </c>
      <c r="J1038">
        <f t="shared" si="177"/>
        <v>0</v>
      </c>
      <c r="K1038">
        <f t="shared" si="178"/>
        <v>0</v>
      </c>
      <c r="L1038">
        <f t="shared" si="179"/>
        <v>0</v>
      </c>
      <c r="M1038">
        <f t="shared" si="180"/>
        <v>0</v>
      </c>
      <c r="N1038">
        <f t="shared" si="181"/>
        <v>0</v>
      </c>
      <c r="O1038">
        <f t="shared" si="182"/>
        <v>0</v>
      </c>
      <c r="P1038" t="str">
        <f t="shared" si="183"/>
        <v/>
      </c>
      <c r="Q1038" t="str">
        <f>IF(B1038="","", IFERROR(VLOOKUP(B1038, '基準資産配分（設定）'!$A$2:$C$2001, 3, FALSE), ""))</f>
        <v/>
      </c>
      <c r="R1038" t="str">
        <f>IF(B1038="","", IFERROR(VLOOKUP(B1038, '基準資産配分（設定）'!$A$2:$C$2001, 2, FALSE)/100, 0))</f>
        <v/>
      </c>
      <c r="S1038" t="str">
        <f>IF(B1038="","", IFERROR(SUMIFS(ベンチマークリターン!$C$2:$C$2001, ベンチマークリターン!$A$2:$A$2001, A1038, ベンチマークリターン!$B$2:$B$2001, Q1038) / 100, 0))</f>
        <v/>
      </c>
      <c r="T1038" t="str">
        <f>IF(A1038="","", SUMIFS($H$2:$H$2000, $A$2:$A$2000, A1038))</f>
        <v/>
      </c>
      <c r="U1038" t="str">
        <f t="shared" si="184"/>
        <v/>
      </c>
      <c r="V1038" t="str">
        <f t="shared" si="185"/>
        <v/>
      </c>
      <c r="W1038" t="str">
        <f t="shared" si="186"/>
        <v/>
      </c>
    </row>
    <row r="1039" spans="1:23" x14ac:dyDescent="0.2">
      <c r="A1039" s="4" t="str">
        <f>IF(ポートフォリオ実績!A1040="","", ポートフォリオ実績!A1040)</f>
        <v/>
      </c>
      <c r="B1039" t="str">
        <f>IF(ポートフォリオ実績!B1040="","", ポートフォリオ実績!B1040)</f>
        <v/>
      </c>
      <c r="C1039" s="10" t="str">
        <f>IF(ポートフォリオ実績!C1040="","", ポートフォリオ実績!C1040)</f>
        <v/>
      </c>
      <c r="D1039" s="10" t="str">
        <f>IF(ポートフォリオ実績!D1040="","", ポートフォリオ実績!D1040)</f>
        <v/>
      </c>
      <c r="E1039" s="10" t="str">
        <f>IF(ポートフォリオ実績!E1040="","", ポートフォリオ実績!E1040)</f>
        <v/>
      </c>
      <c r="F1039" s="10" t="str">
        <f>IF(ポートフォリオ実績!F1040="","", ポートフォリオ実績!F1040)</f>
        <v/>
      </c>
      <c r="G1039" t="str">
        <f t="shared" si="176"/>
        <v/>
      </c>
      <c r="H1039">
        <f>IF(B1039&lt;&gt;"", SUMIFS(ポートフォリオ実績!$D$2:$D$2001, ポートフォリオ実績!$B$2:$B$2001, B1039, ポートフォリオ実績!$A$2:$A$2001, G1039), 0)</f>
        <v>0</v>
      </c>
      <c r="I1039">
        <f>IF(B1039&lt;&gt;"", SUMIFS(ポートフォリオ実績!$C$2:$C$2001, ポートフォリオ実績!$B$2:$B$2001, B1039, ポートフォリオ実績!$A$2:$A$2001, G1039), 0)</f>
        <v>0</v>
      </c>
      <c r="J1039">
        <f t="shared" si="177"/>
        <v>0</v>
      </c>
      <c r="K1039">
        <f t="shared" si="178"/>
        <v>0</v>
      </c>
      <c r="L1039">
        <f t="shared" si="179"/>
        <v>0</v>
      </c>
      <c r="M1039">
        <f t="shared" si="180"/>
        <v>0</v>
      </c>
      <c r="N1039">
        <f t="shared" si="181"/>
        <v>0</v>
      </c>
      <c r="O1039">
        <f t="shared" si="182"/>
        <v>0</v>
      </c>
      <c r="P1039" t="str">
        <f t="shared" si="183"/>
        <v/>
      </c>
      <c r="Q1039" t="str">
        <f>IF(B1039="","", IFERROR(VLOOKUP(B1039, '基準資産配分（設定）'!$A$2:$C$2001, 3, FALSE), ""))</f>
        <v/>
      </c>
      <c r="R1039" t="str">
        <f>IF(B1039="","", IFERROR(VLOOKUP(B1039, '基準資産配分（設定）'!$A$2:$C$2001, 2, FALSE)/100, 0))</f>
        <v/>
      </c>
      <c r="S1039" t="str">
        <f>IF(B1039="","", IFERROR(SUMIFS(ベンチマークリターン!$C$2:$C$2001, ベンチマークリターン!$A$2:$A$2001, A1039, ベンチマークリターン!$B$2:$B$2001, Q1039) / 100, 0))</f>
        <v/>
      </c>
      <c r="T1039" t="str">
        <f>IF(A1039="","", SUMIFS($H$2:$H$2000, $A$2:$A$2000, A1039))</f>
        <v/>
      </c>
      <c r="U1039" t="str">
        <f t="shared" si="184"/>
        <v/>
      </c>
      <c r="V1039" t="str">
        <f t="shared" si="185"/>
        <v/>
      </c>
      <c r="W1039" t="str">
        <f t="shared" si="186"/>
        <v/>
      </c>
    </row>
    <row r="1040" spans="1:23" x14ac:dyDescent="0.2">
      <c r="A1040" s="4" t="str">
        <f>IF(ポートフォリオ実績!A1041="","", ポートフォリオ実績!A1041)</f>
        <v/>
      </c>
      <c r="B1040" t="str">
        <f>IF(ポートフォリオ実績!B1041="","", ポートフォリオ実績!B1041)</f>
        <v/>
      </c>
      <c r="C1040" s="10" t="str">
        <f>IF(ポートフォリオ実績!C1041="","", ポートフォリオ実績!C1041)</f>
        <v/>
      </c>
      <c r="D1040" s="10" t="str">
        <f>IF(ポートフォリオ実績!D1041="","", ポートフォリオ実績!D1041)</f>
        <v/>
      </c>
      <c r="E1040" s="10" t="str">
        <f>IF(ポートフォリオ実績!E1041="","", ポートフォリオ実績!E1041)</f>
        <v/>
      </c>
      <c r="F1040" s="10" t="str">
        <f>IF(ポートフォリオ実績!F1041="","", ポートフォリオ実績!F1041)</f>
        <v/>
      </c>
      <c r="G1040" t="str">
        <f t="shared" si="176"/>
        <v/>
      </c>
      <c r="H1040">
        <f>IF(B1040&lt;&gt;"", SUMIFS(ポートフォリオ実績!$D$2:$D$2001, ポートフォリオ実績!$B$2:$B$2001, B1040, ポートフォリオ実績!$A$2:$A$2001, G1040), 0)</f>
        <v>0</v>
      </c>
      <c r="I1040">
        <f>IF(B1040&lt;&gt;"", SUMIFS(ポートフォリオ実績!$C$2:$C$2001, ポートフォリオ実績!$B$2:$B$2001, B1040, ポートフォリオ実績!$A$2:$A$2001, G1040), 0)</f>
        <v>0</v>
      </c>
      <c r="J1040">
        <f t="shared" si="177"/>
        <v>0</v>
      </c>
      <c r="K1040">
        <f t="shared" si="178"/>
        <v>0</v>
      </c>
      <c r="L1040">
        <f t="shared" si="179"/>
        <v>0</v>
      </c>
      <c r="M1040">
        <f t="shared" si="180"/>
        <v>0</v>
      </c>
      <c r="N1040">
        <f t="shared" si="181"/>
        <v>0</v>
      </c>
      <c r="O1040">
        <f t="shared" si="182"/>
        <v>0</v>
      </c>
      <c r="P1040" t="str">
        <f t="shared" si="183"/>
        <v/>
      </c>
      <c r="Q1040" t="str">
        <f>IF(B1040="","", IFERROR(VLOOKUP(B1040, '基準資産配分（設定）'!$A$2:$C$2001, 3, FALSE), ""))</f>
        <v/>
      </c>
      <c r="R1040" t="str">
        <f>IF(B1040="","", IFERROR(VLOOKUP(B1040, '基準資産配分（設定）'!$A$2:$C$2001, 2, FALSE)/100, 0))</f>
        <v/>
      </c>
      <c r="S1040" t="str">
        <f>IF(B1040="","", IFERROR(SUMIFS(ベンチマークリターン!$C$2:$C$2001, ベンチマークリターン!$A$2:$A$2001, A1040, ベンチマークリターン!$B$2:$B$2001, Q1040) / 100, 0))</f>
        <v/>
      </c>
      <c r="T1040" t="str">
        <f>IF(A1040="","", SUMIFS($H$2:$H$2000, $A$2:$A$2000, A1040))</f>
        <v/>
      </c>
      <c r="U1040" t="str">
        <f t="shared" si="184"/>
        <v/>
      </c>
      <c r="V1040" t="str">
        <f t="shared" si="185"/>
        <v/>
      </c>
      <c r="W1040" t="str">
        <f t="shared" si="186"/>
        <v/>
      </c>
    </row>
    <row r="1041" spans="1:23" x14ac:dyDescent="0.2">
      <c r="A1041" s="4" t="str">
        <f>IF(ポートフォリオ実績!A1042="","", ポートフォリオ実績!A1042)</f>
        <v/>
      </c>
      <c r="B1041" t="str">
        <f>IF(ポートフォリオ実績!B1042="","", ポートフォリオ実績!B1042)</f>
        <v/>
      </c>
      <c r="C1041" s="10" t="str">
        <f>IF(ポートフォリオ実績!C1042="","", ポートフォリオ実績!C1042)</f>
        <v/>
      </c>
      <c r="D1041" s="10" t="str">
        <f>IF(ポートフォリオ実績!D1042="","", ポートフォリオ実績!D1042)</f>
        <v/>
      </c>
      <c r="E1041" s="10" t="str">
        <f>IF(ポートフォリオ実績!E1042="","", ポートフォリオ実績!E1042)</f>
        <v/>
      </c>
      <c r="F1041" s="10" t="str">
        <f>IF(ポートフォリオ実績!F1042="","", ポートフォリオ実績!F1042)</f>
        <v/>
      </c>
      <c r="G1041" t="str">
        <f t="shared" si="176"/>
        <v/>
      </c>
      <c r="H1041">
        <f>IF(B1041&lt;&gt;"", SUMIFS(ポートフォリオ実績!$D$2:$D$2001, ポートフォリオ実績!$B$2:$B$2001, B1041, ポートフォリオ実績!$A$2:$A$2001, G1041), 0)</f>
        <v>0</v>
      </c>
      <c r="I1041">
        <f>IF(B1041&lt;&gt;"", SUMIFS(ポートフォリオ実績!$C$2:$C$2001, ポートフォリオ実績!$B$2:$B$2001, B1041, ポートフォリオ実績!$A$2:$A$2001, G1041), 0)</f>
        <v>0</v>
      </c>
      <c r="J1041">
        <f t="shared" si="177"/>
        <v>0</v>
      </c>
      <c r="K1041">
        <f t="shared" si="178"/>
        <v>0</v>
      </c>
      <c r="L1041">
        <f t="shared" si="179"/>
        <v>0</v>
      </c>
      <c r="M1041">
        <f t="shared" si="180"/>
        <v>0</v>
      </c>
      <c r="N1041">
        <f t="shared" si="181"/>
        <v>0</v>
      </c>
      <c r="O1041">
        <f t="shared" si="182"/>
        <v>0</v>
      </c>
      <c r="P1041" t="str">
        <f t="shared" si="183"/>
        <v/>
      </c>
      <c r="Q1041" t="str">
        <f>IF(B1041="","", IFERROR(VLOOKUP(B1041, '基準資産配分（設定）'!$A$2:$C$2001, 3, FALSE), ""))</f>
        <v/>
      </c>
      <c r="R1041" t="str">
        <f>IF(B1041="","", IFERROR(VLOOKUP(B1041, '基準資産配分（設定）'!$A$2:$C$2001, 2, FALSE)/100, 0))</f>
        <v/>
      </c>
      <c r="S1041" t="str">
        <f>IF(B1041="","", IFERROR(SUMIFS(ベンチマークリターン!$C$2:$C$2001, ベンチマークリターン!$A$2:$A$2001, A1041, ベンチマークリターン!$B$2:$B$2001, Q1041) / 100, 0))</f>
        <v/>
      </c>
      <c r="T1041" t="str">
        <f>IF(A1041="","", SUMIFS($H$2:$H$2000, $A$2:$A$2000, A1041))</f>
        <v/>
      </c>
      <c r="U1041" t="str">
        <f t="shared" si="184"/>
        <v/>
      </c>
      <c r="V1041" t="str">
        <f t="shared" si="185"/>
        <v/>
      </c>
      <c r="W1041" t="str">
        <f t="shared" si="186"/>
        <v/>
      </c>
    </row>
    <row r="1042" spans="1:23" x14ac:dyDescent="0.2">
      <c r="A1042" s="4" t="str">
        <f>IF(ポートフォリオ実績!A1043="","", ポートフォリオ実績!A1043)</f>
        <v/>
      </c>
      <c r="B1042" t="str">
        <f>IF(ポートフォリオ実績!B1043="","", ポートフォリオ実績!B1043)</f>
        <v/>
      </c>
      <c r="C1042" s="10" t="str">
        <f>IF(ポートフォリオ実績!C1043="","", ポートフォリオ実績!C1043)</f>
        <v/>
      </c>
      <c r="D1042" s="10" t="str">
        <f>IF(ポートフォリオ実績!D1043="","", ポートフォリオ実績!D1043)</f>
        <v/>
      </c>
      <c r="E1042" s="10" t="str">
        <f>IF(ポートフォリオ実績!E1043="","", ポートフォリオ実績!E1043)</f>
        <v/>
      </c>
      <c r="F1042" s="10" t="str">
        <f>IF(ポートフォリオ実績!F1043="","", ポートフォリオ実績!F1043)</f>
        <v/>
      </c>
      <c r="G1042" t="str">
        <f t="shared" si="176"/>
        <v/>
      </c>
      <c r="H1042">
        <f>IF(B1042&lt;&gt;"", SUMIFS(ポートフォリオ実績!$D$2:$D$2001, ポートフォリオ実績!$B$2:$B$2001, B1042, ポートフォリオ実績!$A$2:$A$2001, G1042), 0)</f>
        <v>0</v>
      </c>
      <c r="I1042">
        <f>IF(B1042&lt;&gt;"", SUMIFS(ポートフォリオ実績!$C$2:$C$2001, ポートフォリオ実績!$B$2:$B$2001, B1042, ポートフォリオ実績!$A$2:$A$2001, G1042), 0)</f>
        <v>0</v>
      </c>
      <c r="J1042">
        <f t="shared" si="177"/>
        <v>0</v>
      </c>
      <c r="K1042">
        <f t="shared" si="178"/>
        <v>0</v>
      </c>
      <c r="L1042">
        <f t="shared" si="179"/>
        <v>0</v>
      </c>
      <c r="M1042">
        <f t="shared" si="180"/>
        <v>0</v>
      </c>
      <c r="N1042">
        <f t="shared" si="181"/>
        <v>0</v>
      </c>
      <c r="O1042">
        <f t="shared" si="182"/>
        <v>0</v>
      </c>
      <c r="P1042" t="str">
        <f t="shared" si="183"/>
        <v/>
      </c>
      <c r="Q1042" t="str">
        <f>IF(B1042="","", IFERROR(VLOOKUP(B1042, '基準資産配分（設定）'!$A$2:$C$2001, 3, FALSE), ""))</f>
        <v/>
      </c>
      <c r="R1042" t="str">
        <f>IF(B1042="","", IFERROR(VLOOKUP(B1042, '基準資産配分（設定）'!$A$2:$C$2001, 2, FALSE)/100, 0))</f>
        <v/>
      </c>
      <c r="S1042" t="str">
        <f>IF(B1042="","", IFERROR(SUMIFS(ベンチマークリターン!$C$2:$C$2001, ベンチマークリターン!$A$2:$A$2001, A1042, ベンチマークリターン!$B$2:$B$2001, Q1042) / 100, 0))</f>
        <v/>
      </c>
      <c r="T1042" t="str">
        <f>IF(A1042="","", SUMIFS($H$2:$H$2000, $A$2:$A$2000, A1042))</f>
        <v/>
      </c>
      <c r="U1042" t="str">
        <f t="shared" si="184"/>
        <v/>
      </c>
      <c r="V1042" t="str">
        <f t="shared" si="185"/>
        <v/>
      </c>
      <c r="W1042" t="str">
        <f t="shared" si="186"/>
        <v/>
      </c>
    </row>
    <row r="1043" spans="1:23" x14ac:dyDescent="0.2">
      <c r="A1043" s="4" t="str">
        <f>IF(ポートフォリオ実績!A1044="","", ポートフォリオ実績!A1044)</f>
        <v/>
      </c>
      <c r="B1043" t="str">
        <f>IF(ポートフォリオ実績!B1044="","", ポートフォリオ実績!B1044)</f>
        <v/>
      </c>
      <c r="C1043" s="10" t="str">
        <f>IF(ポートフォリオ実績!C1044="","", ポートフォリオ実績!C1044)</f>
        <v/>
      </c>
      <c r="D1043" s="10" t="str">
        <f>IF(ポートフォリオ実績!D1044="","", ポートフォリオ実績!D1044)</f>
        <v/>
      </c>
      <c r="E1043" s="10" t="str">
        <f>IF(ポートフォリオ実績!E1044="","", ポートフォリオ実績!E1044)</f>
        <v/>
      </c>
      <c r="F1043" s="10" t="str">
        <f>IF(ポートフォリオ実績!F1044="","", ポートフォリオ実績!F1044)</f>
        <v/>
      </c>
      <c r="G1043" t="str">
        <f t="shared" si="176"/>
        <v/>
      </c>
      <c r="H1043">
        <f>IF(B1043&lt;&gt;"", SUMIFS(ポートフォリオ実績!$D$2:$D$2001, ポートフォリオ実績!$B$2:$B$2001, B1043, ポートフォリオ実績!$A$2:$A$2001, G1043), 0)</f>
        <v>0</v>
      </c>
      <c r="I1043">
        <f>IF(B1043&lt;&gt;"", SUMIFS(ポートフォリオ実績!$C$2:$C$2001, ポートフォリオ実績!$B$2:$B$2001, B1043, ポートフォリオ実績!$A$2:$A$2001, G1043), 0)</f>
        <v>0</v>
      </c>
      <c r="J1043">
        <f t="shared" si="177"/>
        <v>0</v>
      </c>
      <c r="K1043">
        <f t="shared" si="178"/>
        <v>0</v>
      </c>
      <c r="L1043">
        <f t="shared" si="179"/>
        <v>0</v>
      </c>
      <c r="M1043">
        <f t="shared" si="180"/>
        <v>0</v>
      </c>
      <c r="N1043">
        <f t="shared" si="181"/>
        <v>0</v>
      </c>
      <c r="O1043">
        <f t="shared" si="182"/>
        <v>0</v>
      </c>
      <c r="P1043" t="str">
        <f t="shared" si="183"/>
        <v/>
      </c>
      <c r="Q1043" t="str">
        <f>IF(B1043="","", IFERROR(VLOOKUP(B1043, '基準資産配分（設定）'!$A$2:$C$2001, 3, FALSE), ""))</f>
        <v/>
      </c>
      <c r="R1043" t="str">
        <f>IF(B1043="","", IFERROR(VLOOKUP(B1043, '基準資産配分（設定）'!$A$2:$C$2001, 2, FALSE)/100, 0))</f>
        <v/>
      </c>
      <c r="S1043" t="str">
        <f>IF(B1043="","", IFERROR(SUMIFS(ベンチマークリターン!$C$2:$C$2001, ベンチマークリターン!$A$2:$A$2001, A1043, ベンチマークリターン!$B$2:$B$2001, Q1043) / 100, 0))</f>
        <v/>
      </c>
      <c r="T1043" t="str">
        <f>IF(A1043="","", SUMIFS($H$2:$H$2000, $A$2:$A$2000, A1043))</f>
        <v/>
      </c>
      <c r="U1043" t="str">
        <f t="shared" si="184"/>
        <v/>
      </c>
      <c r="V1043" t="str">
        <f t="shared" si="185"/>
        <v/>
      </c>
      <c r="W1043" t="str">
        <f t="shared" si="186"/>
        <v/>
      </c>
    </row>
    <row r="1044" spans="1:23" x14ac:dyDescent="0.2">
      <c r="A1044" s="4" t="str">
        <f>IF(ポートフォリオ実績!A1045="","", ポートフォリオ実績!A1045)</f>
        <v/>
      </c>
      <c r="B1044" t="str">
        <f>IF(ポートフォリオ実績!B1045="","", ポートフォリオ実績!B1045)</f>
        <v/>
      </c>
      <c r="C1044" s="10" t="str">
        <f>IF(ポートフォリオ実績!C1045="","", ポートフォリオ実績!C1045)</f>
        <v/>
      </c>
      <c r="D1044" s="10" t="str">
        <f>IF(ポートフォリオ実績!D1045="","", ポートフォリオ実績!D1045)</f>
        <v/>
      </c>
      <c r="E1044" s="10" t="str">
        <f>IF(ポートフォリオ実績!E1045="","", ポートフォリオ実績!E1045)</f>
        <v/>
      </c>
      <c r="F1044" s="10" t="str">
        <f>IF(ポートフォリオ実績!F1045="","", ポートフォリオ実績!F1045)</f>
        <v/>
      </c>
      <c r="G1044" t="str">
        <f t="shared" si="176"/>
        <v/>
      </c>
      <c r="H1044">
        <f>IF(B1044&lt;&gt;"", SUMIFS(ポートフォリオ実績!$D$2:$D$2001, ポートフォリオ実績!$B$2:$B$2001, B1044, ポートフォリオ実績!$A$2:$A$2001, G1044), 0)</f>
        <v>0</v>
      </c>
      <c r="I1044">
        <f>IF(B1044&lt;&gt;"", SUMIFS(ポートフォリオ実績!$C$2:$C$2001, ポートフォリオ実績!$B$2:$B$2001, B1044, ポートフォリオ実績!$A$2:$A$2001, G1044), 0)</f>
        <v>0</v>
      </c>
      <c r="J1044">
        <f t="shared" si="177"/>
        <v>0</v>
      </c>
      <c r="K1044">
        <f t="shared" si="178"/>
        <v>0</v>
      </c>
      <c r="L1044">
        <f t="shared" si="179"/>
        <v>0</v>
      </c>
      <c r="M1044">
        <f t="shared" si="180"/>
        <v>0</v>
      </c>
      <c r="N1044">
        <f t="shared" si="181"/>
        <v>0</v>
      </c>
      <c r="O1044">
        <f t="shared" si="182"/>
        <v>0</v>
      </c>
      <c r="P1044" t="str">
        <f t="shared" si="183"/>
        <v/>
      </c>
      <c r="Q1044" t="str">
        <f>IF(B1044="","", IFERROR(VLOOKUP(B1044, '基準資産配分（設定）'!$A$2:$C$2001, 3, FALSE), ""))</f>
        <v/>
      </c>
      <c r="R1044" t="str">
        <f>IF(B1044="","", IFERROR(VLOOKUP(B1044, '基準資産配分（設定）'!$A$2:$C$2001, 2, FALSE)/100, 0))</f>
        <v/>
      </c>
      <c r="S1044" t="str">
        <f>IF(B1044="","", IFERROR(SUMIFS(ベンチマークリターン!$C$2:$C$2001, ベンチマークリターン!$A$2:$A$2001, A1044, ベンチマークリターン!$B$2:$B$2001, Q1044) / 100, 0))</f>
        <v/>
      </c>
      <c r="T1044" t="str">
        <f>IF(A1044="","", SUMIFS($H$2:$H$2000, $A$2:$A$2000, A1044))</f>
        <v/>
      </c>
      <c r="U1044" t="str">
        <f t="shared" si="184"/>
        <v/>
      </c>
      <c r="V1044" t="str">
        <f t="shared" si="185"/>
        <v/>
      </c>
      <c r="W1044" t="str">
        <f t="shared" si="186"/>
        <v/>
      </c>
    </row>
    <row r="1045" spans="1:23" x14ac:dyDescent="0.2">
      <c r="A1045" s="4" t="str">
        <f>IF(ポートフォリオ実績!A1046="","", ポートフォリオ実績!A1046)</f>
        <v/>
      </c>
      <c r="B1045" t="str">
        <f>IF(ポートフォリオ実績!B1046="","", ポートフォリオ実績!B1046)</f>
        <v/>
      </c>
      <c r="C1045" s="10" t="str">
        <f>IF(ポートフォリオ実績!C1046="","", ポートフォリオ実績!C1046)</f>
        <v/>
      </c>
      <c r="D1045" s="10" t="str">
        <f>IF(ポートフォリオ実績!D1046="","", ポートフォリオ実績!D1046)</f>
        <v/>
      </c>
      <c r="E1045" s="10" t="str">
        <f>IF(ポートフォリオ実績!E1046="","", ポートフォリオ実績!E1046)</f>
        <v/>
      </c>
      <c r="F1045" s="10" t="str">
        <f>IF(ポートフォリオ実績!F1046="","", ポートフォリオ実績!F1046)</f>
        <v/>
      </c>
      <c r="G1045" t="str">
        <f t="shared" si="176"/>
        <v/>
      </c>
      <c r="H1045">
        <f>IF(B1045&lt;&gt;"", SUMIFS(ポートフォリオ実績!$D$2:$D$2001, ポートフォリオ実績!$B$2:$B$2001, B1045, ポートフォリオ実績!$A$2:$A$2001, G1045), 0)</f>
        <v>0</v>
      </c>
      <c r="I1045">
        <f>IF(B1045&lt;&gt;"", SUMIFS(ポートフォリオ実績!$C$2:$C$2001, ポートフォリオ実績!$B$2:$B$2001, B1045, ポートフォリオ実績!$A$2:$A$2001, G1045), 0)</f>
        <v>0</v>
      </c>
      <c r="J1045">
        <f t="shared" si="177"/>
        <v>0</v>
      </c>
      <c r="K1045">
        <f t="shared" si="178"/>
        <v>0</v>
      </c>
      <c r="L1045">
        <f t="shared" si="179"/>
        <v>0</v>
      </c>
      <c r="M1045">
        <f t="shared" si="180"/>
        <v>0</v>
      </c>
      <c r="N1045">
        <f t="shared" si="181"/>
        <v>0</v>
      </c>
      <c r="O1045">
        <f t="shared" si="182"/>
        <v>0</v>
      </c>
      <c r="P1045" t="str">
        <f t="shared" si="183"/>
        <v/>
      </c>
      <c r="Q1045" t="str">
        <f>IF(B1045="","", IFERROR(VLOOKUP(B1045, '基準資産配分（設定）'!$A$2:$C$2001, 3, FALSE), ""))</f>
        <v/>
      </c>
      <c r="R1045" t="str">
        <f>IF(B1045="","", IFERROR(VLOOKUP(B1045, '基準資産配分（設定）'!$A$2:$C$2001, 2, FALSE)/100, 0))</f>
        <v/>
      </c>
      <c r="S1045" t="str">
        <f>IF(B1045="","", IFERROR(SUMIFS(ベンチマークリターン!$C$2:$C$2001, ベンチマークリターン!$A$2:$A$2001, A1045, ベンチマークリターン!$B$2:$B$2001, Q1045) / 100, 0))</f>
        <v/>
      </c>
      <c r="T1045" t="str">
        <f>IF(A1045="","", SUMIFS($H$2:$H$2000, $A$2:$A$2000, A1045))</f>
        <v/>
      </c>
      <c r="U1045" t="str">
        <f t="shared" si="184"/>
        <v/>
      </c>
      <c r="V1045" t="str">
        <f t="shared" si="185"/>
        <v/>
      </c>
      <c r="W1045" t="str">
        <f t="shared" si="186"/>
        <v/>
      </c>
    </row>
    <row r="1046" spans="1:23" x14ac:dyDescent="0.2">
      <c r="A1046" s="4" t="str">
        <f>IF(ポートフォリオ実績!A1047="","", ポートフォリオ実績!A1047)</f>
        <v/>
      </c>
      <c r="B1046" t="str">
        <f>IF(ポートフォリオ実績!B1047="","", ポートフォリオ実績!B1047)</f>
        <v/>
      </c>
      <c r="C1046" s="10" t="str">
        <f>IF(ポートフォリオ実績!C1047="","", ポートフォリオ実績!C1047)</f>
        <v/>
      </c>
      <c r="D1046" s="10" t="str">
        <f>IF(ポートフォリオ実績!D1047="","", ポートフォリオ実績!D1047)</f>
        <v/>
      </c>
      <c r="E1046" s="10" t="str">
        <f>IF(ポートフォリオ実績!E1047="","", ポートフォリオ実績!E1047)</f>
        <v/>
      </c>
      <c r="F1046" s="10" t="str">
        <f>IF(ポートフォリオ実績!F1047="","", ポートフォリオ実績!F1047)</f>
        <v/>
      </c>
      <c r="G1046" t="str">
        <f t="shared" si="176"/>
        <v/>
      </c>
      <c r="H1046">
        <f>IF(B1046&lt;&gt;"", SUMIFS(ポートフォリオ実績!$D$2:$D$2001, ポートフォリオ実績!$B$2:$B$2001, B1046, ポートフォリオ実績!$A$2:$A$2001, G1046), 0)</f>
        <v>0</v>
      </c>
      <c r="I1046">
        <f>IF(B1046&lt;&gt;"", SUMIFS(ポートフォリオ実績!$C$2:$C$2001, ポートフォリオ実績!$B$2:$B$2001, B1046, ポートフォリオ実績!$A$2:$A$2001, G1046), 0)</f>
        <v>0</v>
      </c>
      <c r="J1046">
        <f t="shared" si="177"/>
        <v>0</v>
      </c>
      <c r="K1046">
        <f t="shared" si="178"/>
        <v>0</v>
      </c>
      <c r="L1046">
        <f t="shared" si="179"/>
        <v>0</v>
      </c>
      <c r="M1046">
        <f t="shared" si="180"/>
        <v>0</v>
      </c>
      <c r="N1046">
        <f t="shared" si="181"/>
        <v>0</v>
      </c>
      <c r="O1046">
        <f t="shared" si="182"/>
        <v>0</v>
      </c>
      <c r="P1046" t="str">
        <f t="shared" si="183"/>
        <v/>
      </c>
      <c r="Q1046" t="str">
        <f>IF(B1046="","", IFERROR(VLOOKUP(B1046, '基準資産配分（設定）'!$A$2:$C$2001, 3, FALSE), ""))</f>
        <v/>
      </c>
      <c r="R1046" t="str">
        <f>IF(B1046="","", IFERROR(VLOOKUP(B1046, '基準資産配分（設定）'!$A$2:$C$2001, 2, FALSE)/100, 0))</f>
        <v/>
      </c>
      <c r="S1046" t="str">
        <f>IF(B1046="","", IFERROR(SUMIFS(ベンチマークリターン!$C$2:$C$2001, ベンチマークリターン!$A$2:$A$2001, A1046, ベンチマークリターン!$B$2:$B$2001, Q1046) / 100, 0))</f>
        <v/>
      </c>
      <c r="T1046" t="str">
        <f>IF(A1046="","", SUMIFS($H$2:$H$2000, $A$2:$A$2000, A1046))</f>
        <v/>
      </c>
      <c r="U1046" t="str">
        <f t="shared" si="184"/>
        <v/>
      </c>
      <c r="V1046" t="str">
        <f t="shared" si="185"/>
        <v/>
      </c>
      <c r="W1046" t="str">
        <f t="shared" si="186"/>
        <v/>
      </c>
    </row>
    <row r="1047" spans="1:23" x14ac:dyDescent="0.2">
      <c r="A1047" s="4" t="str">
        <f>IF(ポートフォリオ実績!A1048="","", ポートフォリオ実績!A1048)</f>
        <v/>
      </c>
      <c r="B1047" t="str">
        <f>IF(ポートフォリオ実績!B1048="","", ポートフォリオ実績!B1048)</f>
        <v/>
      </c>
      <c r="C1047" s="10" t="str">
        <f>IF(ポートフォリオ実績!C1048="","", ポートフォリオ実績!C1048)</f>
        <v/>
      </c>
      <c r="D1047" s="10" t="str">
        <f>IF(ポートフォリオ実績!D1048="","", ポートフォリオ実績!D1048)</f>
        <v/>
      </c>
      <c r="E1047" s="10" t="str">
        <f>IF(ポートフォリオ実績!E1048="","", ポートフォリオ実績!E1048)</f>
        <v/>
      </c>
      <c r="F1047" s="10" t="str">
        <f>IF(ポートフォリオ実績!F1048="","", ポートフォリオ実績!F1048)</f>
        <v/>
      </c>
      <c r="G1047" t="str">
        <f t="shared" si="176"/>
        <v/>
      </c>
      <c r="H1047">
        <f>IF(B1047&lt;&gt;"", SUMIFS(ポートフォリオ実績!$D$2:$D$2001, ポートフォリオ実績!$B$2:$B$2001, B1047, ポートフォリオ実績!$A$2:$A$2001, G1047), 0)</f>
        <v>0</v>
      </c>
      <c r="I1047">
        <f>IF(B1047&lt;&gt;"", SUMIFS(ポートフォリオ実績!$C$2:$C$2001, ポートフォリオ実績!$B$2:$B$2001, B1047, ポートフォリオ実績!$A$2:$A$2001, G1047), 0)</f>
        <v>0</v>
      </c>
      <c r="J1047">
        <f t="shared" si="177"/>
        <v>0</v>
      </c>
      <c r="K1047">
        <f t="shared" si="178"/>
        <v>0</v>
      </c>
      <c r="L1047">
        <f t="shared" si="179"/>
        <v>0</v>
      </c>
      <c r="M1047">
        <f t="shared" si="180"/>
        <v>0</v>
      </c>
      <c r="N1047">
        <f t="shared" si="181"/>
        <v>0</v>
      </c>
      <c r="O1047">
        <f t="shared" si="182"/>
        <v>0</v>
      </c>
      <c r="P1047" t="str">
        <f t="shared" si="183"/>
        <v/>
      </c>
      <c r="Q1047" t="str">
        <f>IF(B1047="","", IFERROR(VLOOKUP(B1047, '基準資産配分（設定）'!$A$2:$C$2001, 3, FALSE), ""))</f>
        <v/>
      </c>
      <c r="R1047" t="str">
        <f>IF(B1047="","", IFERROR(VLOOKUP(B1047, '基準資産配分（設定）'!$A$2:$C$2001, 2, FALSE)/100, 0))</f>
        <v/>
      </c>
      <c r="S1047" t="str">
        <f>IF(B1047="","", IFERROR(SUMIFS(ベンチマークリターン!$C$2:$C$2001, ベンチマークリターン!$A$2:$A$2001, A1047, ベンチマークリターン!$B$2:$B$2001, Q1047) / 100, 0))</f>
        <v/>
      </c>
      <c r="T1047" t="str">
        <f>IF(A1047="","", SUMIFS($H$2:$H$2000, $A$2:$A$2000, A1047))</f>
        <v/>
      </c>
      <c r="U1047" t="str">
        <f t="shared" si="184"/>
        <v/>
      </c>
      <c r="V1047" t="str">
        <f t="shared" si="185"/>
        <v/>
      </c>
      <c r="W1047" t="str">
        <f t="shared" si="186"/>
        <v/>
      </c>
    </row>
    <row r="1048" spans="1:23" x14ac:dyDescent="0.2">
      <c r="A1048" s="4" t="str">
        <f>IF(ポートフォリオ実績!A1049="","", ポートフォリオ実績!A1049)</f>
        <v/>
      </c>
      <c r="B1048" t="str">
        <f>IF(ポートフォリオ実績!B1049="","", ポートフォリオ実績!B1049)</f>
        <v/>
      </c>
      <c r="C1048" s="10" t="str">
        <f>IF(ポートフォリオ実績!C1049="","", ポートフォリオ実績!C1049)</f>
        <v/>
      </c>
      <c r="D1048" s="10" t="str">
        <f>IF(ポートフォリオ実績!D1049="","", ポートフォリオ実績!D1049)</f>
        <v/>
      </c>
      <c r="E1048" s="10" t="str">
        <f>IF(ポートフォリオ実績!E1049="","", ポートフォリオ実績!E1049)</f>
        <v/>
      </c>
      <c r="F1048" s="10" t="str">
        <f>IF(ポートフォリオ実績!F1049="","", ポートフォリオ実績!F1049)</f>
        <v/>
      </c>
      <c r="G1048" t="str">
        <f t="shared" si="176"/>
        <v/>
      </c>
      <c r="H1048">
        <f>IF(B1048&lt;&gt;"", SUMIFS(ポートフォリオ実績!$D$2:$D$2001, ポートフォリオ実績!$B$2:$B$2001, B1048, ポートフォリオ実績!$A$2:$A$2001, G1048), 0)</f>
        <v>0</v>
      </c>
      <c r="I1048">
        <f>IF(B1048&lt;&gt;"", SUMIFS(ポートフォリオ実績!$C$2:$C$2001, ポートフォリオ実績!$B$2:$B$2001, B1048, ポートフォリオ実績!$A$2:$A$2001, G1048), 0)</f>
        <v>0</v>
      </c>
      <c r="J1048">
        <f t="shared" si="177"/>
        <v>0</v>
      </c>
      <c r="K1048">
        <f t="shared" si="178"/>
        <v>0</v>
      </c>
      <c r="L1048">
        <f t="shared" si="179"/>
        <v>0</v>
      </c>
      <c r="M1048">
        <f t="shared" si="180"/>
        <v>0</v>
      </c>
      <c r="N1048">
        <f t="shared" si="181"/>
        <v>0</v>
      </c>
      <c r="O1048">
        <f t="shared" si="182"/>
        <v>0</v>
      </c>
      <c r="P1048" t="str">
        <f t="shared" si="183"/>
        <v/>
      </c>
      <c r="Q1048" t="str">
        <f>IF(B1048="","", IFERROR(VLOOKUP(B1048, '基準資産配分（設定）'!$A$2:$C$2001, 3, FALSE), ""))</f>
        <v/>
      </c>
      <c r="R1048" t="str">
        <f>IF(B1048="","", IFERROR(VLOOKUP(B1048, '基準資産配分（設定）'!$A$2:$C$2001, 2, FALSE)/100, 0))</f>
        <v/>
      </c>
      <c r="S1048" t="str">
        <f>IF(B1048="","", IFERROR(SUMIFS(ベンチマークリターン!$C$2:$C$2001, ベンチマークリターン!$A$2:$A$2001, A1048, ベンチマークリターン!$B$2:$B$2001, Q1048) / 100, 0))</f>
        <v/>
      </c>
      <c r="T1048" t="str">
        <f>IF(A1048="","", SUMIFS($H$2:$H$2000, $A$2:$A$2000, A1048))</f>
        <v/>
      </c>
      <c r="U1048" t="str">
        <f t="shared" si="184"/>
        <v/>
      </c>
      <c r="V1048" t="str">
        <f t="shared" si="185"/>
        <v/>
      </c>
      <c r="W1048" t="str">
        <f t="shared" si="186"/>
        <v/>
      </c>
    </row>
    <row r="1049" spans="1:23" x14ac:dyDescent="0.2">
      <c r="A1049" s="4" t="str">
        <f>IF(ポートフォリオ実績!A1050="","", ポートフォリオ実績!A1050)</f>
        <v/>
      </c>
      <c r="B1049" t="str">
        <f>IF(ポートフォリオ実績!B1050="","", ポートフォリオ実績!B1050)</f>
        <v/>
      </c>
      <c r="C1049" s="10" t="str">
        <f>IF(ポートフォリオ実績!C1050="","", ポートフォリオ実績!C1050)</f>
        <v/>
      </c>
      <c r="D1049" s="10" t="str">
        <f>IF(ポートフォリオ実績!D1050="","", ポートフォリオ実績!D1050)</f>
        <v/>
      </c>
      <c r="E1049" s="10" t="str">
        <f>IF(ポートフォリオ実績!E1050="","", ポートフォリオ実績!E1050)</f>
        <v/>
      </c>
      <c r="F1049" s="10" t="str">
        <f>IF(ポートフォリオ実績!F1050="","", ポートフォリオ実績!F1050)</f>
        <v/>
      </c>
      <c r="G1049" t="str">
        <f t="shared" si="176"/>
        <v/>
      </c>
      <c r="H1049">
        <f>IF(B1049&lt;&gt;"", SUMIFS(ポートフォリオ実績!$D$2:$D$2001, ポートフォリオ実績!$B$2:$B$2001, B1049, ポートフォリオ実績!$A$2:$A$2001, G1049), 0)</f>
        <v>0</v>
      </c>
      <c r="I1049">
        <f>IF(B1049&lt;&gt;"", SUMIFS(ポートフォリオ実績!$C$2:$C$2001, ポートフォリオ実績!$B$2:$B$2001, B1049, ポートフォリオ実績!$A$2:$A$2001, G1049), 0)</f>
        <v>0</v>
      </c>
      <c r="J1049">
        <f t="shared" si="177"/>
        <v>0</v>
      </c>
      <c r="K1049">
        <f t="shared" si="178"/>
        <v>0</v>
      </c>
      <c r="L1049">
        <f t="shared" si="179"/>
        <v>0</v>
      </c>
      <c r="M1049">
        <f t="shared" si="180"/>
        <v>0</v>
      </c>
      <c r="N1049">
        <f t="shared" si="181"/>
        <v>0</v>
      </c>
      <c r="O1049">
        <f t="shared" si="182"/>
        <v>0</v>
      </c>
      <c r="P1049" t="str">
        <f t="shared" si="183"/>
        <v/>
      </c>
      <c r="Q1049" t="str">
        <f>IF(B1049="","", IFERROR(VLOOKUP(B1049, '基準資産配分（設定）'!$A$2:$C$2001, 3, FALSE), ""))</f>
        <v/>
      </c>
      <c r="R1049" t="str">
        <f>IF(B1049="","", IFERROR(VLOOKUP(B1049, '基準資産配分（設定）'!$A$2:$C$2001, 2, FALSE)/100, 0))</f>
        <v/>
      </c>
      <c r="S1049" t="str">
        <f>IF(B1049="","", IFERROR(SUMIFS(ベンチマークリターン!$C$2:$C$2001, ベンチマークリターン!$A$2:$A$2001, A1049, ベンチマークリターン!$B$2:$B$2001, Q1049) / 100, 0))</f>
        <v/>
      </c>
      <c r="T1049" t="str">
        <f>IF(A1049="","", SUMIFS($H$2:$H$2000, $A$2:$A$2000, A1049))</f>
        <v/>
      </c>
      <c r="U1049" t="str">
        <f t="shared" si="184"/>
        <v/>
      </c>
      <c r="V1049" t="str">
        <f t="shared" si="185"/>
        <v/>
      </c>
      <c r="W1049" t="str">
        <f t="shared" si="186"/>
        <v/>
      </c>
    </row>
    <row r="1050" spans="1:23" x14ac:dyDescent="0.2">
      <c r="A1050" s="4" t="str">
        <f>IF(ポートフォリオ実績!A1051="","", ポートフォリオ実績!A1051)</f>
        <v/>
      </c>
      <c r="B1050" t="str">
        <f>IF(ポートフォリオ実績!B1051="","", ポートフォリオ実績!B1051)</f>
        <v/>
      </c>
      <c r="C1050" s="10" t="str">
        <f>IF(ポートフォリオ実績!C1051="","", ポートフォリオ実績!C1051)</f>
        <v/>
      </c>
      <c r="D1050" s="10" t="str">
        <f>IF(ポートフォリオ実績!D1051="","", ポートフォリオ実績!D1051)</f>
        <v/>
      </c>
      <c r="E1050" s="10" t="str">
        <f>IF(ポートフォリオ実績!E1051="","", ポートフォリオ実績!E1051)</f>
        <v/>
      </c>
      <c r="F1050" s="10" t="str">
        <f>IF(ポートフォリオ実績!F1051="","", ポートフォリオ実績!F1051)</f>
        <v/>
      </c>
      <c r="G1050" t="str">
        <f t="shared" si="176"/>
        <v/>
      </c>
      <c r="H1050">
        <f>IF(B1050&lt;&gt;"", SUMIFS(ポートフォリオ実績!$D$2:$D$2001, ポートフォリオ実績!$B$2:$B$2001, B1050, ポートフォリオ実績!$A$2:$A$2001, G1050), 0)</f>
        <v>0</v>
      </c>
      <c r="I1050">
        <f>IF(B1050&lt;&gt;"", SUMIFS(ポートフォリオ実績!$C$2:$C$2001, ポートフォリオ実績!$B$2:$B$2001, B1050, ポートフォリオ実績!$A$2:$A$2001, G1050), 0)</f>
        <v>0</v>
      </c>
      <c r="J1050">
        <f t="shared" si="177"/>
        <v>0</v>
      </c>
      <c r="K1050">
        <f t="shared" si="178"/>
        <v>0</v>
      </c>
      <c r="L1050">
        <f t="shared" si="179"/>
        <v>0</v>
      </c>
      <c r="M1050">
        <f t="shared" si="180"/>
        <v>0</v>
      </c>
      <c r="N1050">
        <f t="shared" si="181"/>
        <v>0</v>
      </c>
      <c r="O1050">
        <f t="shared" si="182"/>
        <v>0</v>
      </c>
      <c r="P1050" t="str">
        <f t="shared" si="183"/>
        <v/>
      </c>
      <c r="Q1050" t="str">
        <f>IF(B1050="","", IFERROR(VLOOKUP(B1050, '基準資産配分（設定）'!$A$2:$C$2001, 3, FALSE), ""))</f>
        <v/>
      </c>
      <c r="R1050" t="str">
        <f>IF(B1050="","", IFERROR(VLOOKUP(B1050, '基準資産配分（設定）'!$A$2:$C$2001, 2, FALSE)/100, 0))</f>
        <v/>
      </c>
      <c r="S1050" t="str">
        <f>IF(B1050="","", IFERROR(SUMIFS(ベンチマークリターン!$C$2:$C$2001, ベンチマークリターン!$A$2:$A$2001, A1050, ベンチマークリターン!$B$2:$B$2001, Q1050) / 100, 0))</f>
        <v/>
      </c>
      <c r="T1050" t="str">
        <f>IF(A1050="","", SUMIFS($H$2:$H$2000, $A$2:$A$2000, A1050))</f>
        <v/>
      </c>
      <c r="U1050" t="str">
        <f t="shared" si="184"/>
        <v/>
      </c>
      <c r="V1050" t="str">
        <f t="shared" si="185"/>
        <v/>
      </c>
      <c r="W1050" t="str">
        <f t="shared" si="186"/>
        <v/>
      </c>
    </row>
    <row r="1051" spans="1:23" x14ac:dyDescent="0.2">
      <c r="A1051" s="4" t="str">
        <f>IF(ポートフォリオ実績!A1052="","", ポートフォリオ実績!A1052)</f>
        <v/>
      </c>
      <c r="B1051" t="str">
        <f>IF(ポートフォリオ実績!B1052="","", ポートフォリオ実績!B1052)</f>
        <v/>
      </c>
      <c r="C1051" s="10" t="str">
        <f>IF(ポートフォリオ実績!C1052="","", ポートフォリオ実績!C1052)</f>
        <v/>
      </c>
      <c r="D1051" s="10" t="str">
        <f>IF(ポートフォリオ実績!D1052="","", ポートフォリオ実績!D1052)</f>
        <v/>
      </c>
      <c r="E1051" s="10" t="str">
        <f>IF(ポートフォリオ実績!E1052="","", ポートフォリオ実績!E1052)</f>
        <v/>
      </c>
      <c r="F1051" s="10" t="str">
        <f>IF(ポートフォリオ実績!F1052="","", ポートフォリオ実績!F1052)</f>
        <v/>
      </c>
      <c r="G1051" t="str">
        <f t="shared" si="176"/>
        <v/>
      </c>
      <c r="H1051">
        <f>IF(B1051&lt;&gt;"", SUMIFS(ポートフォリオ実績!$D$2:$D$2001, ポートフォリオ実績!$B$2:$B$2001, B1051, ポートフォリオ実績!$A$2:$A$2001, G1051), 0)</f>
        <v>0</v>
      </c>
      <c r="I1051">
        <f>IF(B1051&lt;&gt;"", SUMIFS(ポートフォリオ実績!$C$2:$C$2001, ポートフォリオ実績!$B$2:$B$2001, B1051, ポートフォリオ実績!$A$2:$A$2001, G1051), 0)</f>
        <v>0</v>
      </c>
      <c r="J1051">
        <f t="shared" si="177"/>
        <v>0</v>
      </c>
      <c r="K1051">
        <f t="shared" si="178"/>
        <v>0</v>
      </c>
      <c r="L1051">
        <f t="shared" si="179"/>
        <v>0</v>
      </c>
      <c r="M1051">
        <f t="shared" si="180"/>
        <v>0</v>
      </c>
      <c r="N1051">
        <f t="shared" si="181"/>
        <v>0</v>
      </c>
      <c r="O1051">
        <f t="shared" si="182"/>
        <v>0</v>
      </c>
      <c r="P1051" t="str">
        <f t="shared" si="183"/>
        <v/>
      </c>
      <c r="Q1051" t="str">
        <f>IF(B1051="","", IFERROR(VLOOKUP(B1051, '基準資産配分（設定）'!$A$2:$C$2001, 3, FALSE), ""))</f>
        <v/>
      </c>
      <c r="R1051" t="str">
        <f>IF(B1051="","", IFERROR(VLOOKUP(B1051, '基準資産配分（設定）'!$A$2:$C$2001, 2, FALSE)/100, 0))</f>
        <v/>
      </c>
      <c r="S1051" t="str">
        <f>IF(B1051="","", IFERROR(SUMIFS(ベンチマークリターン!$C$2:$C$2001, ベンチマークリターン!$A$2:$A$2001, A1051, ベンチマークリターン!$B$2:$B$2001, Q1051) / 100, 0))</f>
        <v/>
      </c>
      <c r="T1051" t="str">
        <f>IF(A1051="","", SUMIFS($H$2:$H$2000, $A$2:$A$2000, A1051))</f>
        <v/>
      </c>
      <c r="U1051" t="str">
        <f t="shared" si="184"/>
        <v/>
      </c>
      <c r="V1051" t="str">
        <f t="shared" si="185"/>
        <v/>
      </c>
      <c r="W1051" t="str">
        <f t="shared" si="186"/>
        <v/>
      </c>
    </row>
    <row r="1052" spans="1:23" x14ac:dyDescent="0.2">
      <c r="A1052" s="4" t="str">
        <f>IF(ポートフォリオ実績!A1053="","", ポートフォリオ実績!A1053)</f>
        <v/>
      </c>
      <c r="B1052" t="str">
        <f>IF(ポートフォリオ実績!B1053="","", ポートフォリオ実績!B1053)</f>
        <v/>
      </c>
      <c r="C1052" s="10" t="str">
        <f>IF(ポートフォリオ実績!C1053="","", ポートフォリオ実績!C1053)</f>
        <v/>
      </c>
      <c r="D1052" s="10" t="str">
        <f>IF(ポートフォリオ実績!D1053="","", ポートフォリオ実績!D1053)</f>
        <v/>
      </c>
      <c r="E1052" s="10" t="str">
        <f>IF(ポートフォリオ実績!E1053="","", ポートフォリオ実績!E1053)</f>
        <v/>
      </c>
      <c r="F1052" s="10" t="str">
        <f>IF(ポートフォリオ実績!F1053="","", ポートフォリオ実績!F1053)</f>
        <v/>
      </c>
      <c r="G1052" t="str">
        <f t="shared" si="176"/>
        <v/>
      </c>
      <c r="H1052">
        <f>IF(B1052&lt;&gt;"", SUMIFS(ポートフォリオ実績!$D$2:$D$2001, ポートフォリオ実績!$B$2:$B$2001, B1052, ポートフォリオ実績!$A$2:$A$2001, G1052), 0)</f>
        <v>0</v>
      </c>
      <c r="I1052">
        <f>IF(B1052&lt;&gt;"", SUMIFS(ポートフォリオ実績!$C$2:$C$2001, ポートフォリオ実績!$B$2:$B$2001, B1052, ポートフォリオ実績!$A$2:$A$2001, G1052), 0)</f>
        <v>0</v>
      </c>
      <c r="J1052">
        <f t="shared" si="177"/>
        <v>0</v>
      </c>
      <c r="K1052">
        <f t="shared" si="178"/>
        <v>0</v>
      </c>
      <c r="L1052">
        <f t="shared" si="179"/>
        <v>0</v>
      </c>
      <c r="M1052">
        <f t="shared" si="180"/>
        <v>0</v>
      </c>
      <c r="N1052">
        <f t="shared" si="181"/>
        <v>0</v>
      </c>
      <c r="O1052">
        <f t="shared" si="182"/>
        <v>0</v>
      </c>
      <c r="P1052" t="str">
        <f t="shared" si="183"/>
        <v/>
      </c>
      <c r="Q1052" t="str">
        <f>IF(B1052="","", IFERROR(VLOOKUP(B1052, '基準資産配分（設定）'!$A$2:$C$2001, 3, FALSE), ""))</f>
        <v/>
      </c>
      <c r="R1052" t="str">
        <f>IF(B1052="","", IFERROR(VLOOKUP(B1052, '基準資産配分（設定）'!$A$2:$C$2001, 2, FALSE)/100, 0))</f>
        <v/>
      </c>
      <c r="S1052" t="str">
        <f>IF(B1052="","", IFERROR(SUMIFS(ベンチマークリターン!$C$2:$C$2001, ベンチマークリターン!$A$2:$A$2001, A1052, ベンチマークリターン!$B$2:$B$2001, Q1052) / 100, 0))</f>
        <v/>
      </c>
      <c r="T1052" t="str">
        <f>IF(A1052="","", SUMIFS($H$2:$H$2000, $A$2:$A$2000, A1052))</f>
        <v/>
      </c>
      <c r="U1052" t="str">
        <f t="shared" si="184"/>
        <v/>
      </c>
      <c r="V1052" t="str">
        <f t="shared" si="185"/>
        <v/>
      </c>
      <c r="W1052" t="str">
        <f t="shared" si="186"/>
        <v/>
      </c>
    </row>
    <row r="1053" spans="1:23" x14ac:dyDescent="0.2">
      <c r="A1053" s="4" t="str">
        <f>IF(ポートフォリオ実績!A1054="","", ポートフォリオ実績!A1054)</f>
        <v/>
      </c>
      <c r="B1053" t="str">
        <f>IF(ポートフォリオ実績!B1054="","", ポートフォリオ実績!B1054)</f>
        <v/>
      </c>
      <c r="C1053" s="10" t="str">
        <f>IF(ポートフォリオ実績!C1054="","", ポートフォリオ実績!C1054)</f>
        <v/>
      </c>
      <c r="D1053" s="10" t="str">
        <f>IF(ポートフォリオ実績!D1054="","", ポートフォリオ実績!D1054)</f>
        <v/>
      </c>
      <c r="E1053" s="10" t="str">
        <f>IF(ポートフォリオ実績!E1054="","", ポートフォリオ実績!E1054)</f>
        <v/>
      </c>
      <c r="F1053" s="10" t="str">
        <f>IF(ポートフォリオ実績!F1054="","", ポートフォリオ実績!F1054)</f>
        <v/>
      </c>
      <c r="G1053" t="str">
        <f t="shared" si="176"/>
        <v/>
      </c>
      <c r="H1053">
        <f>IF(B1053&lt;&gt;"", SUMIFS(ポートフォリオ実績!$D$2:$D$2001, ポートフォリオ実績!$B$2:$B$2001, B1053, ポートフォリオ実績!$A$2:$A$2001, G1053), 0)</f>
        <v>0</v>
      </c>
      <c r="I1053">
        <f>IF(B1053&lt;&gt;"", SUMIFS(ポートフォリオ実績!$C$2:$C$2001, ポートフォリオ実績!$B$2:$B$2001, B1053, ポートフォリオ実績!$A$2:$A$2001, G1053), 0)</f>
        <v>0</v>
      </c>
      <c r="J1053">
        <f t="shared" si="177"/>
        <v>0</v>
      </c>
      <c r="K1053">
        <f t="shared" si="178"/>
        <v>0</v>
      </c>
      <c r="L1053">
        <f t="shared" si="179"/>
        <v>0</v>
      </c>
      <c r="M1053">
        <f t="shared" si="180"/>
        <v>0</v>
      </c>
      <c r="N1053">
        <f t="shared" si="181"/>
        <v>0</v>
      </c>
      <c r="O1053">
        <f t="shared" si="182"/>
        <v>0</v>
      </c>
      <c r="P1053" t="str">
        <f t="shared" si="183"/>
        <v/>
      </c>
      <c r="Q1053" t="str">
        <f>IF(B1053="","", IFERROR(VLOOKUP(B1053, '基準資産配分（設定）'!$A$2:$C$2001, 3, FALSE), ""))</f>
        <v/>
      </c>
      <c r="R1053" t="str">
        <f>IF(B1053="","", IFERROR(VLOOKUP(B1053, '基準資産配分（設定）'!$A$2:$C$2001, 2, FALSE)/100, 0))</f>
        <v/>
      </c>
      <c r="S1053" t="str">
        <f>IF(B1053="","", IFERROR(SUMIFS(ベンチマークリターン!$C$2:$C$2001, ベンチマークリターン!$A$2:$A$2001, A1053, ベンチマークリターン!$B$2:$B$2001, Q1053) / 100, 0))</f>
        <v/>
      </c>
      <c r="T1053" t="str">
        <f>IF(A1053="","", SUMIFS($H$2:$H$2000, $A$2:$A$2000, A1053))</f>
        <v/>
      </c>
      <c r="U1053" t="str">
        <f t="shared" si="184"/>
        <v/>
      </c>
      <c r="V1053" t="str">
        <f t="shared" si="185"/>
        <v/>
      </c>
      <c r="W1053" t="str">
        <f t="shared" si="186"/>
        <v/>
      </c>
    </row>
    <row r="1054" spans="1:23" x14ac:dyDescent="0.2">
      <c r="A1054" s="4" t="str">
        <f>IF(ポートフォリオ実績!A1055="","", ポートフォリオ実績!A1055)</f>
        <v/>
      </c>
      <c r="B1054" t="str">
        <f>IF(ポートフォリオ実績!B1055="","", ポートフォリオ実績!B1055)</f>
        <v/>
      </c>
      <c r="C1054" s="10" t="str">
        <f>IF(ポートフォリオ実績!C1055="","", ポートフォリオ実績!C1055)</f>
        <v/>
      </c>
      <c r="D1054" s="10" t="str">
        <f>IF(ポートフォリオ実績!D1055="","", ポートフォリオ実績!D1055)</f>
        <v/>
      </c>
      <c r="E1054" s="10" t="str">
        <f>IF(ポートフォリオ実績!E1055="","", ポートフォリオ実績!E1055)</f>
        <v/>
      </c>
      <c r="F1054" s="10" t="str">
        <f>IF(ポートフォリオ実績!F1055="","", ポートフォリオ実績!F1055)</f>
        <v/>
      </c>
      <c r="G1054" t="str">
        <f t="shared" si="176"/>
        <v/>
      </c>
      <c r="H1054">
        <f>IF(B1054&lt;&gt;"", SUMIFS(ポートフォリオ実績!$D$2:$D$2001, ポートフォリオ実績!$B$2:$B$2001, B1054, ポートフォリオ実績!$A$2:$A$2001, G1054), 0)</f>
        <v>0</v>
      </c>
      <c r="I1054">
        <f>IF(B1054&lt;&gt;"", SUMIFS(ポートフォリオ実績!$C$2:$C$2001, ポートフォリオ実績!$B$2:$B$2001, B1054, ポートフォリオ実績!$A$2:$A$2001, G1054), 0)</f>
        <v>0</v>
      </c>
      <c r="J1054">
        <f t="shared" si="177"/>
        <v>0</v>
      </c>
      <c r="K1054">
        <f t="shared" si="178"/>
        <v>0</v>
      </c>
      <c r="L1054">
        <f t="shared" si="179"/>
        <v>0</v>
      </c>
      <c r="M1054">
        <f t="shared" si="180"/>
        <v>0</v>
      </c>
      <c r="N1054">
        <f t="shared" si="181"/>
        <v>0</v>
      </c>
      <c r="O1054">
        <f t="shared" si="182"/>
        <v>0</v>
      </c>
      <c r="P1054" t="str">
        <f t="shared" si="183"/>
        <v/>
      </c>
      <c r="Q1054" t="str">
        <f>IF(B1054="","", IFERROR(VLOOKUP(B1054, '基準資産配分（設定）'!$A$2:$C$2001, 3, FALSE), ""))</f>
        <v/>
      </c>
      <c r="R1054" t="str">
        <f>IF(B1054="","", IFERROR(VLOOKUP(B1054, '基準資産配分（設定）'!$A$2:$C$2001, 2, FALSE)/100, 0))</f>
        <v/>
      </c>
      <c r="S1054" t="str">
        <f>IF(B1054="","", IFERROR(SUMIFS(ベンチマークリターン!$C$2:$C$2001, ベンチマークリターン!$A$2:$A$2001, A1054, ベンチマークリターン!$B$2:$B$2001, Q1054) / 100, 0))</f>
        <v/>
      </c>
      <c r="T1054" t="str">
        <f>IF(A1054="","", SUMIFS($H$2:$H$2000, $A$2:$A$2000, A1054))</f>
        <v/>
      </c>
      <c r="U1054" t="str">
        <f t="shared" si="184"/>
        <v/>
      </c>
      <c r="V1054" t="str">
        <f t="shared" si="185"/>
        <v/>
      </c>
      <c r="W1054" t="str">
        <f t="shared" si="186"/>
        <v/>
      </c>
    </row>
    <row r="1055" spans="1:23" x14ac:dyDescent="0.2">
      <c r="A1055" s="4" t="str">
        <f>IF(ポートフォリオ実績!A1056="","", ポートフォリオ実績!A1056)</f>
        <v/>
      </c>
      <c r="B1055" t="str">
        <f>IF(ポートフォリオ実績!B1056="","", ポートフォリオ実績!B1056)</f>
        <v/>
      </c>
      <c r="C1055" s="10" t="str">
        <f>IF(ポートフォリオ実績!C1056="","", ポートフォリオ実績!C1056)</f>
        <v/>
      </c>
      <c r="D1055" s="10" t="str">
        <f>IF(ポートフォリオ実績!D1056="","", ポートフォリオ実績!D1056)</f>
        <v/>
      </c>
      <c r="E1055" s="10" t="str">
        <f>IF(ポートフォリオ実績!E1056="","", ポートフォリオ実績!E1056)</f>
        <v/>
      </c>
      <c r="F1055" s="10" t="str">
        <f>IF(ポートフォリオ実績!F1056="","", ポートフォリオ実績!F1056)</f>
        <v/>
      </c>
      <c r="G1055" t="str">
        <f t="shared" si="176"/>
        <v/>
      </c>
      <c r="H1055">
        <f>IF(B1055&lt;&gt;"", SUMIFS(ポートフォリオ実績!$D$2:$D$2001, ポートフォリオ実績!$B$2:$B$2001, B1055, ポートフォリオ実績!$A$2:$A$2001, G1055), 0)</f>
        <v>0</v>
      </c>
      <c r="I1055">
        <f>IF(B1055&lt;&gt;"", SUMIFS(ポートフォリオ実績!$C$2:$C$2001, ポートフォリオ実績!$B$2:$B$2001, B1055, ポートフォリオ実績!$A$2:$A$2001, G1055), 0)</f>
        <v>0</v>
      </c>
      <c r="J1055">
        <f t="shared" si="177"/>
        <v>0</v>
      </c>
      <c r="K1055">
        <f t="shared" si="178"/>
        <v>0</v>
      </c>
      <c r="L1055">
        <f t="shared" si="179"/>
        <v>0</v>
      </c>
      <c r="M1055">
        <f t="shared" si="180"/>
        <v>0</v>
      </c>
      <c r="N1055">
        <f t="shared" si="181"/>
        <v>0</v>
      </c>
      <c r="O1055">
        <f t="shared" si="182"/>
        <v>0</v>
      </c>
      <c r="P1055" t="str">
        <f t="shared" si="183"/>
        <v/>
      </c>
      <c r="Q1055" t="str">
        <f>IF(B1055="","", IFERROR(VLOOKUP(B1055, '基準資産配分（設定）'!$A$2:$C$2001, 3, FALSE), ""))</f>
        <v/>
      </c>
      <c r="R1055" t="str">
        <f>IF(B1055="","", IFERROR(VLOOKUP(B1055, '基準資産配分（設定）'!$A$2:$C$2001, 2, FALSE)/100, 0))</f>
        <v/>
      </c>
      <c r="S1055" t="str">
        <f>IF(B1055="","", IFERROR(SUMIFS(ベンチマークリターン!$C$2:$C$2001, ベンチマークリターン!$A$2:$A$2001, A1055, ベンチマークリターン!$B$2:$B$2001, Q1055) / 100, 0))</f>
        <v/>
      </c>
      <c r="T1055" t="str">
        <f>IF(A1055="","", SUMIFS($H$2:$H$2000, $A$2:$A$2000, A1055))</f>
        <v/>
      </c>
      <c r="U1055" t="str">
        <f t="shared" si="184"/>
        <v/>
      </c>
      <c r="V1055" t="str">
        <f t="shared" si="185"/>
        <v/>
      </c>
      <c r="W1055" t="str">
        <f t="shared" si="186"/>
        <v/>
      </c>
    </row>
    <row r="1056" spans="1:23" x14ac:dyDescent="0.2">
      <c r="A1056" s="4" t="str">
        <f>IF(ポートフォリオ実績!A1057="","", ポートフォリオ実績!A1057)</f>
        <v/>
      </c>
      <c r="B1056" t="str">
        <f>IF(ポートフォリオ実績!B1057="","", ポートフォリオ実績!B1057)</f>
        <v/>
      </c>
      <c r="C1056" s="10" t="str">
        <f>IF(ポートフォリオ実績!C1057="","", ポートフォリオ実績!C1057)</f>
        <v/>
      </c>
      <c r="D1056" s="10" t="str">
        <f>IF(ポートフォリオ実績!D1057="","", ポートフォリオ実績!D1057)</f>
        <v/>
      </c>
      <c r="E1056" s="10" t="str">
        <f>IF(ポートフォリオ実績!E1057="","", ポートフォリオ実績!E1057)</f>
        <v/>
      </c>
      <c r="F1056" s="10" t="str">
        <f>IF(ポートフォリオ実績!F1057="","", ポートフォリオ実績!F1057)</f>
        <v/>
      </c>
      <c r="G1056" t="str">
        <f t="shared" si="176"/>
        <v/>
      </c>
      <c r="H1056">
        <f>IF(B1056&lt;&gt;"", SUMIFS(ポートフォリオ実績!$D$2:$D$2001, ポートフォリオ実績!$B$2:$B$2001, B1056, ポートフォリオ実績!$A$2:$A$2001, G1056), 0)</f>
        <v>0</v>
      </c>
      <c r="I1056">
        <f>IF(B1056&lt;&gt;"", SUMIFS(ポートフォリオ実績!$C$2:$C$2001, ポートフォリオ実績!$B$2:$B$2001, B1056, ポートフォリオ実績!$A$2:$A$2001, G1056), 0)</f>
        <v>0</v>
      </c>
      <c r="J1056">
        <f t="shared" si="177"/>
        <v>0</v>
      </c>
      <c r="K1056">
        <f t="shared" si="178"/>
        <v>0</v>
      </c>
      <c r="L1056">
        <f t="shared" si="179"/>
        <v>0</v>
      </c>
      <c r="M1056">
        <f t="shared" si="180"/>
        <v>0</v>
      </c>
      <c r="N1056">
        <f t="shared" si="181"/>
        <v>0</v>
      </c>
      <c r="O1056">
        <f t="shared" si="182"/>
        <v>0</v>
      </c>
      <c r="P1056" t="str">
        <f t="shared" si="183"/>
        <v/>
      </c>
      <c r="Q1056" t="str">
        <f>IF(B1056="","", IFERROR(VLOOKUP(B1056, '基準資産配分（設定）'!$A$2:$C$2001, 3, FALSE), ""))</f>
        <v/>
      </c>
      <c r="R1056" t="str">
        <f>IF(B1056="","", IFERROR(VLOOKUP(B1056, '基準資産配分（設定）'!$A$2:$C$2001, 2, FALSE)/100, 0))</f>
        <v/>
      </c>
      <c r="S1056" t="str">
        <f>IF(B1056="","", IFERROR(SUMIFS(ベンチマークリターン!$C$2:$C$2001, ベンチマークリターン!$A$2:$A$2001, A1056, ベンチマークリターン!$B$2:$B$2001, Q1056) / 100, 0))</f>
        <v/>
      </c>
      <c r="T1056" t="str">
        <f>IF(A1056="","", SUMIFS($H$2:$H$2000, $A$2:$A$2000, A1056))</f>
        <v/>
      </c>
      <c r="U1056" t="str">
        <f t="shared" si="184"/>
        <v/>
      </c>
      <c r="V1056" t="str">
        <f t="shared" si="185"/>
        <v/>
      </c>
      <c r="W1056" t="str">
        <f t="shared" si="186"/>
        <v/>
      </c>
    </row>
    <row r="1057" spans="1:23" x14ac:dyDescent="0.2">
      <c r="A1057" s="4" t="str">
        <f>IF(ポートフォリオ実績!A1058="","", ポートフォリオ実績!A1058)</f>
        <v/>
      </c>
      <c r="B1057" t="str">
        <f>IF(ポートフォリオ実績!B1058="","", ポートフォリオ実績!B1058)</f>
        <v/>
      </c>
      <c r="C1057" s="10" t="str">
        <f>IF(ポートフォリオ実績!C1058="","", ポートフォリオ実績!C1058)</f>
        <v/>
      </c>
      <c r="D1057" s="10" t="str">
        <f>IF(ポートフォリオ実績!D1058="","", ポートフォリオ実績!D1058)</f>
        <v/>
      </c>
      <c r="E1057" s="10" t="str">
        <f>IF(ポートフォリオ実績!E1058="","", ポートフォリオ実績!E1058)</f>
        <v/>
      </c>
      <c r="F1057" s="10" t="str">
        <f>IF(ポートフォリオ実績!F1058="","", ポートフォリオ実績!F1058)</f>
        <v/>
      </c>
      <c r="G1057" t="str">
        <f t="shared" si="176"/>
        <v/>
      </c>
      <c r="H1057">
        <f>IF(B1057&lt;&gt;"", SUMIFS(ポートフォリオ実績!$D$2:$D$2001, ポートフォリオ実績!$B$2:$B$2001, B1057, ポートフォリオ実績!$A$2:$A$2001, G1057), 0)</f>
        <v>0</v>
      </c>
      <c r="I1057">
        <f>IF(B1057&lt;&gt;"", SUMIFS(ポートフォリオ実績!$C$2:$C$2001, ポートフォリオ実績!$B$2:$B$2001, B1057, ポートフォリオ実績!$A$2:$A$2001, G1057), 0)</f>
        <v>0</v>
      </c>
      <c r="J1057">
        <f t="shared" si="177"/>
        <v>0</v>
      </c>
      <c r="K1057">
        <f t="shared" si="178"/>
        <v>0</v>
      </c>
      <c r="L1057">
        <f t="shared" si="179"/>
        <v>0</v>
      </c>
      <c r="M1057">
        <f t="shared" si="180"/>
        <v>0</v>
      </c>
      <c r="N1057">
        <f t="shared" si="181"/>
        <v>0</v>
      </c>
      <c r="O1057">
        <f t="shared" si="182"/>
        <v>0</v>
      </c>
      <c r="P1057" t="str">
        <f t="shared" si="183"/>
        <v/>
      </c>
      <c r="Q1057" t="str">
        <f>IF(B1057="","", IFERROR(VLOOKUP(B1057, '基準資産配分（設定）'!$A$2:$C$2001, 3, FALSE), ""))</f>
        <v/>
      </c>
      <c r="R1057" t="str">
        <f>IF(B1057="","", IFERROR(VLOOKUP(B1057, '基準資産配分（設定）'!$A$2:$C$2001, 2, FALSE)/100, 0))</f>
        <v/>
      </c>
      <c r="S1057" t="str">
        <f>IF(B1057="","", IFERROR(SUMIFS(ベンチマークリターン!$C$2:$C$2001, ベンチマークリターン!$A$2:$A$2001, A1057, ベンチマークリターン!$B$2:$B$2001, Q1057) / 100, 0))</f>
        <v/>
      </c>
      <c r="T1057" t="str">
        <f>IF(A1057="","", SUMIFS($H$2:$H$2000, $A$2:$A$2000, A1057))</f>
        <v/>
      </c>
      <c r="U1057" t="str">
        <f t="shared" si="184"/>
        <v/>
      </c>
      <c r="V1057" t="str">
        <f t="shared" si="185"/>
        <v/>
      </c>
      <c r="W1057" t="str">
        <f t="shared" si="186"/>
        <v/>
      </c>
    </row>
    <row r="1058" spans="1:23" x14ac:dyDescent="0.2">
      <c r="A1058" s="4" t="str">
        <f>IF(ポートフォリオ実績!A1059="","", ポートフォリオ実績!A1059)</f>
        <v/>
      </c>
      <c r="B1058" t="str">
        <f>IF(ポートフォリオ実績!B1059="","", ポートフォリオ実績!B1059)</f>
        <v/>
      </c>
      <c r="C1058" s="10" t="str">
        <f>IF(ポートフォリオ実績!C1059="","", ポートフォリオ実績!C1059)</f>
        <v/>
      </c>
      <c r="D1058" s="10" t="str">
        <f>IF(ポートフォリオ実績!D1059="","", ポートフォリオ実績!D1059)</f>
        <v/>
      </c>
      <c r="E1058" s="10" t="str">
        <f>IF(ポートフォリオ実績!E1059="","", ポートフォリオ実績!E1059)</f>
        <v/>
      </c>
      <c r="F1058" s="10" t="str">
        <f>IF(ポートフォリオ実績!F1059="","", ポートフォリオ実績!F1059)</f>
        <v/>
      </c>
      <c r="G1058" t="str">
        <f t="shared" si="176"/>
        <v/>
      </c>
      <c r="H1058">
        <f>IF(B1058&lt;&gt;"", SUMIFS(ポートフォリオ実績!$D$2:$D$2001, ポートフォリオ実績!$B$2:$B$2001, B1058, ポートフォリオ実績!$A$2:$A$2001, G1058), 0)</f>
        <v>0</v>
      </c>
      <c r="I1058">
        <f>IF(B1058&lt;&gt;"", SUMIFS(ポートフォリオ実績!$C$2:$C$2001, ポートフォリオ実績!$B$2:$B$2001, B1058, ポートフォリオ実績!$A$2:$A$2001, G1058), 0)</f>
        <v>0</v>
      </c>
      <c r="J1058">
        <f t="shared" si="177"/>
        <v>0</v>
      </c>
      <c r="K1058">
        <f t="shared" si="178"/>
        <v>0</v>
      </c>
      <c r="L1058">
        <f t="shared" si="179"/>
        <v>0</v>
      </c>
      <c r="M1058">
        <f t="shared" si="180"/>
        <v>0</v>
      </c>
      <c r="N1058">
        <f t="shared" si="181"/>
        <v>0</v>
      </c>
      <c r="O1058">
        <f t="shared" si="182"/>
        <v>0</v>
      </c>
      <c r="P1058" t="str">
        <f t="shared" si="183"/>
        <v/>
      </c>
      <c r="Q1058" t="str">
        <f>IF(B1058="","", IFERROR(VLOOKUP(B1058, '基準資産配分（設定）'!$A$2:$C$2001, 3, FALSE), ""))</f>
        <v/>
      </c>
      <c r="R1058" t="str">
        <f>IF(B1058="","", IFERROR(VLOOKUP(B1058, '基準資産配分（設定）'!$A$2:$C$2001, 2, FALSE)/100, 0))</f>
        <v/>
      </c>
      <c r="S1058" t="str">
        <f>IF(B1058="","", IFERROR(SUMIFS(ベンチマークリターン!$C$2:$C$2001, ベンチマークリターン!$A$2:$A$2001, A1058, ベンチマークリターン!$B$2:$B$2001, Q1058) / 100, 0))</f>
        <v/>
      </c>
      <c r="T1058" t="str">
        <f>IF(A1058="","", SUMIFS($H$2:$H$2000, $A$2:$A$2000, A1058))</f>
        <v/>
      </c>
      <c r="U1058" t="str">
        <f t="shared" si="184"/>
        <v/>
      </c>
      <c r="V1058" t="str">
        <f t="shared" si="185"/>
        <v/>
      </c>
      <c r="W1058" t="str">
        <f t="shared" si="186"/>
        <v/>
      </c>
    </row>
    <row r="1059" spans="1:23" x14ac:dyDescent="0.2">
      <c r="A1059" s="4" t="str">
        <f>IF(ポートフォリオ実績!A1060="","", ポートフォリオ実績!A1060)</f>
        <v/>
      </c>
      <c r="B1059" t="str">
        <f>IF(ポートフォリオ実績!B1060="","", ポートフォリオ実績!B1060)</f>
        <v/>
      </c>
      <c r="C1059" s="10" t="str">
        <f>IF(ポートフォリオ実績!C1060="","", ポートフォリオ実績!C1060)</f>
        <v/>
      </c>
      <c r="D1059" s="10" t="str">
        <f>IF(ポートフォリオ実績!D1060="","", ポートフォリオ実績!D1060)</f>
        <v/>
      </c>
      <c r="E1059" s="10" t="str">
        <f>IF(ポートフォリオ実績!E1060="","", ポートフォリオ実績!E1060)</f>
        <v/>
      </c>
      <c r="F1059" s="10" t="str">
        <f>IF(ポートフォリオ実績!F1060="","", ポートフォリオ実績!F1060)</f>
        <v/>
      </c>
      <c r="G1059" t="str">
        <f t="shared" si="176"/>
        <v/>
      </c>
      <c r="H1059">
        <f>IF(B1059&lt;&gt;"", SUMIFS(ポートフォリオ実績!$D$2:$D$2001, ポートフォリオ実績!$B$2:$B$2001, B1059, ポートフォリオ実績!$A$2:$A$2001, G1059), 0)</f>
        <v>0</v>
      </c>
      <c r="I1059">
        <f>IF(B1059&lt;&gt;"", SUMIFS(ポートフォリオ実績!$C$2:$C$2001, ポートフォリオ実績!$B$2:$B$2001, B1059, ポートフォリオ実績!$A$2:$A$2001, G1059), 0)</f>
        <v>0</v>
      </c>
      <c r="J1059">
        <f t="shared" si="177"/>
        <v>0</v>
      </c>
      <c r="K1059">
        <f t="shared" si="178"/>
        <v>0</v>
      </c>
      <c r="L1059">
        <f t="shared" si="179"/>
        <v>0</v>
      </c>
      <c r="M1059">
        <f t="shared" si="180"/>
        <v>0</v>
      </c>
      <c r="N1059">
        <f t="shared" si="181"/>
        <v>0</v>
      </c>
      <c r="O1059">
        <f t="shared" si="182"/>
        <v>0</v>
      </c>
      <c r="P1059" t="str">
        <f t="shared" si="183"/>
        <v/>
      </c>
      <c r="Q1059" t="str">
        <f>IF(B1059="","", IFERROR(VLOOKUP(B1059, '基準資産配分（設定）'!$A$2:$C$2001, 3, FALSE), ""))</f>
        <v/>
      </c>
      <c r="R1059" t="str">
        <f>IF(B1059="","", IFERROR(VLOOKUP(B1059, '基準資産配分（設定）'!$A$2:$C$2001, 2, FALSE)/100, 0))</f>
        <v/>
      </c>
      <c r="S1059" t="str">
        <f>IF(B1059="","", IFERROR(SUMIFS(ベンチマークリターン!$C$2:$C$2001, ベンチマークリターン!$A$2:$A$2001, A1059, ベンチマークリターン!$B$2:$B$2001, Q1059) / 100, 0))</f>
        <v/>
      </c>
      <c r="T1059" t="str">
        <f>IF(A1059="","", SUMIFS($H$2:$H$2000, $A$2:$A$2000, A1059))</f>
        <v/>
      </c>
      <c r="U1059" t="str">
        <f t="shared" si="184"/>
        <v/>
      </c>
      <c r="V1059" t="str">
        <f t="shared" si="185"/>
        <v/>
      </c>
      <c r="W1059" t="str">
        <f t="shared" si="186"/>
        <v/>
      </c>
    </row>
    <row r="1060" spans="1:23" x14ac:dyDescent="0.2">
      <c r="A1060" s="4" t="str">
        <f>IF(ポートフォリオ実績!A1061="","", ポートフォリオ実績!A1061)</f>
        <v/>
      </c>
      <c r="B1060" t="str">
        <f>IF(ポートフォリオ実績!B1061="","", ポートフォリオ実績!B1061)</f>
        <v/>
      </c>
      <c r="C1060" s="10" t="str">
        <f>IF(ポートフォリオ実績!C1061="","", ポートフォリオ実績!C1061)</f>
        <v/>
      </c>
      <c r="D1060" s="10" t="str">
        <f>IF(ポートフォリオ実績!D1061="","", ポートフォリオ実績!D1061)</f>
        <v/>
      </c>
      <c r="E1060" s="10" t="str">
        <f>IF(ポートフォリオ実績!E1061="","", ポートフォリオ実績!E1061)</f>
        <v/>
      </c>
      <c r="F1060" s="10" t="str">
        <f>IF(ポートフォリオ実績!F1061="","", ポートフォリオ実績!F1061)</f>
        <v/>
      </c>
      <c r="G1060" t="str">
        <f t="shared" si="176"/>
        <v/>
      </c>
      <c r="H1060">
        <f>IF(B1060&lt;&gt;"", SUMIFS(ポートフォリオ実績!$D$2:$D$2001, ポートフォリオ実績!$B$2:$B$2001, B1060, ポートフォリオ実績!$A$2:$A$2001, G1060), 0)</f>
        <v>0</v>
      </c>
      <c r="I1060">
        <f>IF(B1060&lt;&gt;"", SUMIFS(ポートフォリオ実績!$C$2:$C$2001, ポートフォリオ実績!$B$2:$B$2001, B1060, ポートフォリオ実績!$A$2:$A$2001, G1060), 0)</f>
        <v>0</v>
      </c>
      <c r="J1060">
        <f t="shared" si="177"/>
        <v>0</v>
      </c>
      <c r="K1060">
        <f t="shared" si="178"/>
        <v>0</v>
      </c>
      <c r="L1060">
        <f t="shared" si="179"/>
        <v>0</v>
      </c>
      <c r="M1060">
        <f t="shared" si="180"/>
        <v>0</v>
      </c>
      <c r="N1060">
        <f t="shared" si="181"/>
        <v>0</v>
      </c>
      <c r="O1060">
        <f t="shared" si="182"/>
        <v>0</v>
      </c>
      <c r="P1060" t="str">
        <f t="shared" si="183"/>
        <v/>
      </c>
      <c r="Q1060" t="str">
        <f>IF(B1060="","", IFERROR(VLOOKUP(B1060, '基準資産配分（設定）'!$A$2:$C$2001, 3, FALSE), ""))</f>
        <v/>
      </c>
      <c r="R1060" t="str">
        <f>IF(B1060="","", IFERROR(VLOOKUP(B1060, '基準資産配分（設定）'!$A$2:$C$2001, 2, FALSE)/100, 0))</f>
        <v/>
      </c>
      <c r="S1060" t="str">
        <f>IF(B1060="","", IFERROR(SUMIFS(ベンチマークリターン!$C$2:$C$2001, ベンチマークリターン!$A$2:$A$2001, A1060, ベンチマークリターン!$B$2:$B$2001, Q1060) / 100, 0))</f>
        <v/>
      </c>
      <c r="T1060" t="str">
        <f>IF(A1060="","", SUMIFS($H$2:$H$2000, $A$2:$A$2000, A1060))</f>
        <v/>
      </c>
      <c r="U1060" t="str">
        <f t="shared" si="184"/>
        <v/>
      </c>
      <c r="V1060" t="str">
        <f t="shared" si="185"/>
        <v/>
      </c>
      <c r="W1060" t="str">
        <f t="shared" si="186"/>
        <v/>
      </c>
    </row>
    <row r="1061" spans="1:23" x14ac:dyDescent="0.2">
      <c r="A1061" s="4" t="str">
        <f>IF(ポートフォリオ実績!A1062="","", ポートフォリオ実績!A1062)</f>
        <v/>
      </c>
      <c r="B1061" t="str">
        <f>IF(ポートフォリオ実績!B1062="","", ポートフォリオ実績!B1062)</f>
        <v/>
      </c>
      <c r="C1061" s="10" t="str">
        <f>IF(ポートフォリオ実績!C1062="","", ポートフォリオ実績!C1062)</f>
        <v/>
      </c>
      <c r="D1061" s="10" t="str">
        <f>IF(ポートフォリオ実績!D1062="","", ポートフォリオ実績!D1062)</f>
        <v/>
      </c>
      <c r="E1061" s="10" t="str">
        <f>IF(ポートフォリオ実績!E1062="","", ポートフォリオ実績!E1062)</f>
        <v/>
      </c>
      <c r="F1061" s="10" t="str">
        <f>IF(ポートフォリオ実績!F1062="","", ポートフォリオ実績!F1062)</f>
        <v/>
      </c>
      <c r="G1061" t="str">
        <f t="shared" si="176"/>
        <v/>
      </c>
      <c r="H1061">
        <f>IF(B1061&lt;&gt;"", SUMIFS(ポートフォリオ実績!$D$2:$D$2001, ポートフォリオ実績!$B$2:$B$2001, B1061, ポートフォリオ実績!$A$2:$A$2001, G1061), 0)</f>
        <v>0</v>
      </c>
      <c r="I1061">
        <f>IF(B1061&lt;&gt;"", SUMIFS(ポートフォリオ実績!$C$2:$C$2001, ポートフォリオ実績!$B$2:$B$2001, B1061, ポートフォリオ実績!$A$2:$A$2001, G1061), 0)</f>
        <v>0</v>
      </c>
      <c r="J1061">
        <f t="shared" si="177"/>
        <v>0</v>
      </c>
      <c r="K1061">
        <f t="shared" si="178"/>
        <v>0</v>
      </c>
      <c r="L1061">
        <f t="shared" si="179"/>
        <v>0</v>
      </c>
      <c r="M1061">
        <f t="shared" si="180"/>
        <v>0</v>
      </c>
      <c r="N1061">
        <f t="shared" si="181"/>
        <v>0</v>
      </c>
      <c r="O1061">
        <f t="shared" si="182"/>
        <v>0</v>
      </c>
      <c r="P1061" t="str">
        <f t="shared" si="183"/>
        <v/>
      </c>
      <c r="Q1061" t="str">
        <f>IF(B1061="","", IFERROR(VLOOKUP(B1061, '基準資産配分（設定）'!$A$2:$C$2001, 3, FALSE), ""))</f>
        <v/>
      </c>
      <c r="R1061" t="str">
        <f>IF(B1061="","", IFERROR(VLOOKUP(B1061, '基準資産配分（設定）'!$A$2:$C$2001, 2, FALSE)/100, 0))</f>
        <v/>
      </c>
      <c r="S1061" t="str">
        <f>IF(B1061="","", IFERROR(SUMIFS(ベンチマークリターン!$C$2:$C$2001, ベンチマークリターン!$A$2:$A$2001, A1061, ベンチマークリターン!$B$2:$B$2001, Q1061) / 100, 0))</f>
        <v/>
      </c>
      <c r="T1061" t="str">
        <f>IF(A1061="","", SUMIFS($H$2:$H$2000, $A$2:$A$2000, A1061))</f>
        <v/>
      </c>
      <c r="U1061" t="str">
        <f t="shared" si="184"/>
        <v/>
      </c>
      <c r="V1061" t="str">
        <f t="shared" si="185"/>
        <v/>
      </c>
      <c r="W1061" t="str">
        <f t="shared" si="186"/>
        <v/>
      </c>
    </row>
    <row r="1062" spans="1:23" x14ac:dyDescent="0.2">
      <c r="A1062" s="4" t="str">
        <f>IF(ポートフォリオ実績!A1063="","", ポートフォリオ実績!A1063)</f>
        <v/>
      </c>
      <c r="B1062" t="str">
        <f>IF(ポートフォリオ実績!B1063="","", ポートフォリオ実績!B1063)</f>
        <v/>
      </c>
      <c r="C1062" s="10" t="str">
        <f>IF(ポートフォリオ実績!C1063="","", ポートフォリオ実績!C1063)</f>
        <v/>
      </c>
      <c r="D1062" s="10" t="str">
        <f>IF(ポートフォリオ実績!D1063="","", ポートフォリオ実績!D1063)</f>
        <v/>
      </c>
      <c r="E1062" s="10" t="str">
        <f>IF(ポートフォリオ実績!E1063="","", ポートフォリオ実績!E1063)</f>
        <v/>
      </c>
      <c r="F1062" s="10" t="str">
        <f>IF(ポートフォリオ実績!F1063="","", ポートフォリオ実績!F1063)</f>
        <v/>
      </c>
      <c r="G1062" t="str">
        <f t="shared" si="176"/>
        <v/>
      </c>
      <c r="H1062">
        <f>IF(B1062&lt;&gt;"", SUMIFS(ポートフォリオ実績!$D$2:$D$2001, ポートフォリオ実績!$B$2:$B$2001, B1062, ポートフォリオ実績!$A$2:$A$2001, G1062), 0)</f>
        <v>0</v>
      </c>
      <c r="I1062">
        <f>IF(B1062&lt;&gt;"", SUMIFS(ポートフォリオ実績!$C$2:$C$2001, ポートフォリオ実績!$B$2:$B$2001, B1062, ポートフォリオ実績!$A$2:$A$2001, G1062), 0)</f>
        <v>0</v>
      </c>
      <c r="J1062">
        <f t="shared" si="177"/>
        <v>0</v>
      </c>
      <c r="K1062">
        <f t="shared" si="178"/>
        <v>0</v>
      </c>
      <c r="L1062">
        <f t="shared" si="179"/>
        <v>0</v>
      </c>
      <c r="M1062">
        <f t="shared" si="180"/>
        <v>0</v>
      </c>
      <c r="N1062">
        <f t="shared" si="181"/>
        <v>0</v>
      </c>
      <c r="O1062">
        <f t="shared" si="182"/>
        <v>0</v>
      </c>
      <c r="P1062" t="str">
        <f t="shared" si="183"/>
        <v/>
      </c>
      <c r="Q1062" t="str">
        <f>IF(B1062="","", IFERROR(VLOOKUP(B1062, '基準資産配分（設定）'!$A$2:$C$2001, 3, FALSE), ""))</f>
        <v/>
      </c>
      <c r="R1062" t="str">
        <f>IF(B1062="","", IFERROR(VLOOKUP(B1062, '基準資産配分（設定）'!$A$2:$C$2001, 2, FALSE)/100, 0))</f>
        <v/>
      </c>
      <c r="S1062" t="str">
        <f>IF(B1062="","", IFERROR(SUMIFS(ベンチマークリターン!$C$2:$C$2001, ベンチマークリターン!$A$2:$A$2001, A1062, ベンチマークリターン!$B$2:$B$2001, Q1062) / 100, 0))</f>
        <v/>
      </c>
      <c r="T1062" t="str">
        <f>IF(A1062="","", SUMIFS($H$2:$H$2000, $A$2:$A$2000, A1062))</f>
        <v/>
      </c>
      <c r="U1062" t="str">
        <f t="shared" si="184"/>
        <v/>
      </c>
      <c r="V1062" t="str">
        <f t="shared" si="185"/>
        <v/>
      </c>
      <c r="W1062" t="str">
        <f t="shared" si="186"/>
        <v/>
      </c>
    </row>
    <row r="1063" spans="1:23" x14ac:dyDescent="0.2">
      <c r="A1063" s="4" t="str">
        <f>IF(ポートフォリオ実績!A1064="","", ポートフォリオ実績!A1064)</f>
        <v/>
      </c>
      <c r="B1063" t="str">
        <f>IF(ポートフォリオ実績!B1064="","", ポートフォリオ実績!B1064)</f>
        <v/>
      </c>
      <c r="C1063" s="10" t="str">
        <f>IF(ポートフォリオ実績!C1064="","", ポートフォリオ実績!C1064)</f>
        <v/>
      </c>
      <c r="D1063" s="10" t="str">
        <f>IF(ポートフォリオ実績!D1064="","", ポートフォリオ実績!D1064)</f>
        <v/>
      </c>
      <c r="E1063" s="10" t="str">
        <f>IF(ポートフォリオ実績!E1064="","", ポートフォリオ実績!E1064)</f>
        <v/>
      </c>
      <c r="F1063" s="10" t="str">
        <f>IF(ポートフォリオ実績!F1064="","", ポートフォリオ実績!F1064)</f>
        <v/>
      </c>
      <c r="G1063" t="str">
        <f t="shared" si="176"/>
        <v/>
      </c>
      <c r="H1063">
        <f>IF(B1063&lt;&gt;"", SUMIFS(ポートフォリオ実績!$D$2:$D$2001, ポートフォリオ実績!$B$2:$B$2001, B1063, ポートフォリオ実績!$A$2:$A$2001, G1063), 0)</f>
        <v>0</v>
      </c>
      <c r="I1063">
        <f>IF(B1063&lt;&gt;"", SUMIFS(ポートフォリオ実績!$C$2:$C$2001, ポートフォリオ実績!$B$2:$B$2001, B1063, ポートフォリオ実績!$A$2:$A$2001, G1063), 0)</f>
        <v>0</v>
      </c>
      <c r="J1063">
        <f t="shared" si="177"/>
        <v>0</v>
      </c>
      <c r="K1063">
        <f t="shared" si="178"/>
        <v>0</v>
      </c>
      <c r="L1063">
        <f t="shared" si="179"/>
        <v>0</v>
      </c>
      <c r="M1063">
        <f t="shared" si="180"/>
        <v>0</v>
      </c>
      <c r="N1063">
        <f t="shared" si="181"/>
        <v>0</v>
      </c>
      <c r="O1063">
        <f t="shared" si="182"/>
        <v>0</v>
      </c>
      <c r="P1063" t="str">
        <f t="shared" si="183"/>
        <v/>
      </c>
      <c r="Q1063" t="str">
        <f>IF(B1063="","", IFERROR(VLOOKUP(B1063, '基準資産配分（設定）'!$A$2:$C$2001, 3, FALSE), ""))</f>
        <v/>
      </c>
      <c r="R1063" t="str">
        <f>IF(B1063="","", IFERROR(VLOOKUP(B1063, '基準資産配分（設定）'!$A$2:$C$2001, 2, FALSE)/100, 0))</f>
        <v/>
      </c>
      <c r="S1063" t="str">
        <f>IF(B1063="","", IFERROR(SUMIFS(ベンチマークリターン!$C$2:$C$2001, ベンチマークリターン!$A$2:$A$2001, A1063, ベンチマークリターン!$B$2:$B$2001, Q1063) / 100, 0))</f>
        <v/>
      </c>
      <c r="T1063" t="str">
        <f>IF(A1063="","", SUMIFS($H$2:$H$2000, $A$2:$A$2000, A1063))</f>
        <v/>
      </c>
      <c r="U1063" t="str">
        <f t="shared" si="184"/>
        <v/>
      </c>
      <c r="V1063" t="str">
        <f t="shared" si="185"/>
        <v/>
      </c>
      <c r="W1063" t="str">
        <f t="shared" si="186"/>
        <v/>
      </c>
    </row>
    <row r="1064" spans="1:23" x14ac:dyDescent="0.2">
      <c r="A1064" s="4" t="str">
        <f>IF(ポートフォリオ実績!A1065="","", ポートフォリオ実績!A1065)</f>
        <v/>
      </c>
      <c r="B1064" t="str">
        <f>IF(ポートフォリオ実績!B1065="","", ポートフォリオ実績!B1065)</f>
        <v/>
      </c>
      <c r="C1064" s="10" t="str">
        <f>IF(ポートフォリオ実績!C1065="","", ポートフォリオ実績!C1065)</f>
        <v/>
      </c>
      <c r="D1064" s="10" t="str">
        <f>IF(ポートフォリオ実績!D1065="","", ポートフォリオ実績!D1065)</f>
        <v/>
      </c>
      <c r="E1064" s="10" t="str">
        <f>IF(ポートフォリオ実績!E1065="","", ポートフォリオ実績!E1065)</f>
        <v/>
      </c>
      <c r="F1064" s="10" t="str">
        <f>IF(ポートフォリオ実績!F1065="","", ポートフォリオ実績!F1065)</f>
        <v/>
      </c>
      <c r="G1064" t="str">
        <f t="shared" si="176"/>
        <v/>
      </c>
      <c r="H1064">
        <f>IF(B1064&lt;&gt;"", SUMIFS(ポートフォリオ実績!$D$2:$D$2001, ポートフォリオ実績!$B$2:$B$2001, B1064, ポートフォリオ実績!$A$2:$A$2001, G1064), 0)</f>
        <v>0</v>
      </c>
      <c r="I1064">
        <f>IF(B1064&lt;&gt;"", SUMIFS(ポートフォリオ実績!$C$2:$C$2001, ポートフォリオ実績!$B$2:$B$2001, B1064, ポートフォリオ実績!$A$2:$A$2001, G1064), 0)</f>
        <v>0</v>
      </c>
      <c r="J1064">
        <f t="shared" si="177"/>
        <v>0</v>
      </c>
      <c r="K1064">
        <f t="shared" si="178"/>
        <v>0</v>
      </c>
      <c r="L1064">
        <f t="shared" si="179"/>
        <v>0</v>
      </c>
      <c r="M1064">
        <f t="shared" si="180"/>
        <v>0</v>
      </c>
      <c r="N1064">
        <f t="shared" si="181"/>
        <v>0</v>
      </c>
      <c r="O1064">
        <f t="shared" si="182"/>
        <v>0</v>
      </c>
      <c r="P1064" t="str">
        <f t="shared" si="183"/>
        <v/>
      </c>
      <c r="Q1064" t="str">
        <f>IF(B1064="","", IFERROR(VLOOKUP(B1064, '基準資産配分（設定）'!$A$2:$C$2001, 3, FALSE), ""))</f>
        <v/>
      </c>
      <c r="R1064" t="str">
        <f>IF(B1064="","", IFERROR(VLOOKUP(B1064, '基準資産配分（設定）'!$A$2:$C$2001, 2, FALSE)/100, 0))</f>
        <v/>
      </c>
      <c r="S1064" t="str">
        <f>IF(B1064="","", IFERROR(SUMIFS(ベンチマークリターン!$C$2:$C$2001, ベンチマークリターン!$A$2:$A$2001, A1064, ベンチマークリターン!$B$2:$B$2001, Q1064) / 100, 0))</f>
        <v/>
      </c>
      <c r="T1064" t="str">
        <f>IF(A1064="","", SUMIFS($H$2:$H$2000, $A$2:$A$2000, A1064))</f>
        <v/>
      </c>
      <c r="U1064" t="str">
        <f t="shared" si="184"/>
        <v/>
      </c>
      <c r="V1064" t="str">
        <f t="shared" si="185"/>
        <v/>
      </c>
      <c r="W1064" t="str">
        <f t="shared" si="186"/>
        <v/>
      </c>
    </row>
    <row r="1065" spans="1:23" x14ac:dyDescent="0.2">
      <c r="A1065" s="4" t="str">
        <f>IF(ポートフォリオ実績!A1066="","", ポートフォリオ実績!A1066)</f>
        <v/>
      </c>
      <c r="B1065" t="str">
        <f>IF(ポートフォリオ実績!B1066="","", ポートフォリオ実績!B1066)</f>
        <v/>
      </c>
      <c r="C1065" s="10" t="str">
        <f>IF(ポートフォリオ実績!C1066="","", ポートフォリオ実績!C1066)</f>
        <v/>
      </c>
      <c r="D1065" s="10" t="str">
        <f>IF(ポートフォリオ実績!D1066="","", ポートフォリオ実績!D1066)</f>
        <v/>
      </c>
      <c r="E1065" s="10" t="str">
        <f>IF(ポートフォリオ実績!E1066="","", ポートフォリオ実績!E1066)</f>
        <v/>
      </c>
      <c r="F1065" s="10" t="str">
        <f>IF(ポートフォリオ実績!F1066="","", ポートフォリオ実績!F1066)</f>
        <v/>
      </c>
      <c r="G1065" t="str">
        <f t="shared" si="176"/>
        <v/>
      </c>
      <c r="H1065">
        <f>IF(B1065&lt;&gt;"", SUMIFS(ポートフォリオ実績!$D$2:$D$2001, ポートフォリオ実績!$B$2:$B$2001, B1065, ポートフォリオ実績!$A$2:$A$2001, G1065), 0)</f>
        <v>0</v>
      </c>
      <c r="I1065">
        <f>IF(B1065&lt;&gt;"", SUMIFS(ポートフォリオ実績!$C$2:$C$2001, ポートフォリオ実績!$B$2:$B$2001, B1065, ポートフォリオ実績!$A$2:$A$2001, G1065), 0)</f>
        <v>0</v>
      </c>
      <c r="J1065">
        <f t="shared" si="177"/>
        <v>0</v>
      </c>
      <c r="K1065">
        <f t="shared" si="178"/>
        <v>0</v>
      </c>
      <c r="L1065">
        <f t="shared" si="179"/>
        <v>0</v>
      </c>
      <c r="M1065">
        <f t="shared" si="180"/>
        <v>0</v>
      </c>
      <c r="N1065">
        <f t="shared" si="181"/>
        <v>0</v>
      </c>
      <c r="O1065">
        <f t="shared" si="182"/>
        <v>0</v>
      </c>
      <c r="P1065" t="str">
        <f t="shared" si="183"/>
        <v/>
      </c>
      <c r="Q1065" t="str">
        <f>IF(B1065="","", IFERROR(VLOOKUP(B1065, '基準資産配分（設定）'!$A$2:$C$2001, 3, FALSE), ""))</f>
        <v/>
      </c>
      <c r="R1065" t="str">
        <f>IF(B1065="","", IFERROR(VLOOKUP(B1065, '基準資産配分（設定）'!$A$2:$C$2001, 2, FALSE)/100, 0))</f>
        <v/>
      </c>
      <c r="S1065" t="str">
        <f>IF(B1065="","", IFERROR(SUMIFS(ベンチマークリターン!$C$2:$C$2001, ベンチマークリターン!$A$2:$A$2001, A1065, ベンチマークリターン!$B$2:$B$2001, Q1065) / 100, 0))</f>
        <v/>
      </c>
      <c r="T1065" t="str">
        <f>IF(A1065="","", SUMIFS($H$2:$H$2000, $A$2:$A$2000, A1065))</f>
        <v/>
      </c>
      <c r="U1065" t="str">
        <f t="shared" si="184"/>
        <v/>
      </c>
      <c r="V1065" t="str">
        <f t="shared" si="185"/>
        <v/>
      </c>
      <c r="W1065" t="str">
        <f t="shared" si="186"/>
        <v/>
      </c>
    </row>
    <row r="1066" spans="1:23" x14ac:dyDescent="0.2">
      <c r="A1066" s="4" t="str">
        <f>IF(ポートフォリオ実績!A1067="","", ポートフォリオ実績!A1067)</f>
        <v/>
      </c>
      <c r="B1066" t="str">
        <f>IF(ポートフォリオ実績!B1067="","", ポートフォリオ実績!B1067)</f>
        <v/>
      </c>
      <c r="C1066" s="10" t="str">
        <f>IF(ポートフォリオ実績!C1067="","", ポートフォリオ実績!C1067)</f>
        <v/>
      </c>
      <c r="D1066" s="10" t="str">
        <f>IF(ポートフォリオ実績!D1067="","", ポートフォリオ実績!D1067)</f>
        <v/>
      </c>
      <c r="E1066" s="10" t="str">
        <f>IF(ポートフォリオ実績!E1067="","", ポートフォリオ実績!E1067)</f>
        <v/>
      </c>
      <c r="F1066" s="10" t="str">
        <f>IF(ポートフォリオ実績!F1067="","", ポートフォリオ実績!F1067)</f>
        <v/>
      </c>
      <c r="G1066" t="str">
        <f t="shared" si="176"/>
        <v/>
      </c>
      <c r="H1066">
        <f>IF(B1066&lt;&gt;"", SUMIFS(ポートフォリオ実績!$D$2:$D$2001, ポートフォリオ実績!$B$2:$B$2001, B1066, ポートフォリオ実績!$A$2:$A$2001, G1066), 0)</f>
        <v>0</v>
      </c>
      <c r="I1066">
        <f>IF(B1066&lt;&gt;"", SUMIFS(ポートフォリオ実績!$C$2:$C$2001, ポートフォリオ実績!$B$2:$B$2001, B1066, ポートフォリオ実績!$A$2:$A$2001, G1066), 0)</f>
        <v>0</v>
      </c>
      <c r="J1066">
        <f t="shared" si="177"/>
        <v>0</v>
      </c>
      <c r="K1066">
        <f t="shared" si="178"/>
        <v>0</v>
      </c>
      <c r="L1066">
        <f t="shared" si="179"/>
        <v>0</v>
      </c>
      <c r="M1066">
        <f t="shared" si="180"/>
        <v>0</v>
      </c>
      <c r="N1066">
        <f t="shared" si="181"/>
        <v>0</v>
      </c>
      <c r="O1066">
        <f t="shared" si="182"/>
        <v>0</v>
      </c>
      <c r="P1066" t="str">
        <f t="shared" si="183"/>
        <v/>
      </c>
      <c r="Q1066" t="str">
        <f>IF(B1066="","", IFERROR(VLOOKUP(B1066, '基準資産配分（設定）'!$A$2:$C$2001, 3, FALSE), ""))</f>
        <v/>
      </c>
      <c r="R1066" t="str">
        <f>IF(B1066="","", IFERROR(VLOOKUP(B1066, '基準資産配分（設定）'!$A$2:$C$2001, 2, FALSE)/100, 0))</f>
        <v/>
      </c>
      <c r="S1066" t="str">
        <f>IF(B1066="","", IFERROR(SUMIFS(ベンチマークリターン!$C$2:$C$2001, ベンチマークリターン!$A$2:$A$2001, A1066, ベンチマークリターン!$B$2:$B$2001, Q1066) / 100, 0))</f>
        <v/>
      </c>
      <c r="T1066" t="str">
        <f>IF(A1066="","", SUMIFS($H$2:$H$2000, $A$2:$A$2000, A1066))</f>
        <v/>
      </c>
      <c r="U1066" t="str">
        <f t="shared" si="184"/>
        <v/>
      </c>
      <c r="V1066" t="str">
        <f t="shared" si="185"/>
        <v/>
      </c>
      <c r="W1066" t="str">
        <f t="shared" si="186"/>
        <v/>
      </c>
    </row>
    <row r="1067" spans="1:23" x14ac:dyDescent="0.2">
      <c r="A1067" s="4" t="str">
        <f>IF(ポートフォリオ実績!A1068="","", ポートフォリオ実績!A1068)</f>
        <v/>
      </c>
      <c r="B1067" t="str">
        <f>IF(ポートフォリオ実績!B1068="","", ポートフォリオ実績!B1068)</f>
        <v/>
      </c>
      <c r="C1067" s="10" t="str">
        <f>IF(ポートフォリオ実績!C1068="","", ポートフォリオ実績!C1068)</f>
        <v/>
      </c>
      <c r="D1067" s="10" t="str">
        <f>IF(ポートフォリオ実績!D1068="","", ポートフォリオ実績!D1068)</f>
        <v/>
      </c>
      <c r="E1067" s="10" t="str">
        <f>IF(ポートフォリオ実績!E1068="","", ポートフォリオ実績!E1068)</f>
        <v/>
      </c>
      <c r="F1067" s="10" t="str">
        <f>IF(ポートフォリオ実績!F1068="","", ポートフォリオ実績!F1068)</f>
        <v/>
      </c>
      <c r="G1067" t="str">
        <f t="shared" si="176"/>
        <v/>
      </c>
      <c r="H1067">
        <f>IF(B1067&lt;&gt;"", SUMIFS(ポートフォリオ実績!$D$2:$D$2001, ポートフォリオ実績!$B$2:$B$2001, B1067, ポートフォリオ実績!$A$2:$A$2001, G1067), 0)</f>
        <v>0</v>
      </c>
      <c r="I1067">
        <f>IF(B1067&lt;&gt;"", SUMIFS(ポートフォリオ実績!$C$2:$C$2001, ポートフォリオ実績!$B$2:$B$2001, B1067, ポートフォリオ実績!$A$2:$A$2001, G1067), 0)</f>
        <v>0</v>
      </c>
      <c r="J1067">
        <f t="shared" si="177"/>
        <v>0</v>
      </c>
      <c r="K1067">
        <f t="shared" si="178"/>
        <v>0</v>
      </c>
      <c r="L1067">
        <f t="shared" si="179"/>
        <v>0</v>
      </c>
      <c r="M1067">
        <f t="shared" si="180"/>
        <v>0</v>
      </c>
      <c r="N1067">
        <f t="shared" si="181"/>
        <v>0</v>
      </c>
      <c r="O1067">
        <f t="shared" si="182"/>
        <v>0</v>
      </c>
      <c r="P1067" t="str">
        <f t="shared" si="183"/>
        <v/>
      </c>
      <c r="Q1067" t="str">
        <f>IF(B1067="","", IFERROR(VLOOKUP(B1067, '基準資産配分（設定）'!$A$2:$C$2001, 3, FALSE), ""))</f>
        <v/>
      </c>
      <c r="R1067" t="str">
        <f>IF(B1067="","", IFERROR(VLOOKUP(B1067, '基準資産配分（設定）'!$A$2:$C$2001, 2, FALSE)/100, 0))</f>
        <v/>
      </c>
      <c r="S1067" t="str">
        <f>IF(B1067="","", IFERROR(SUMIFS(ベンチマークリターン!$C$2:$C$2001, ベンチマークリターン!$A$2:$A$2001, A1067, ベンチマークリターン!$B$2:$B$2001, Q1067) / 100, 0))</f>
        <v/>
      </c>
      <c r="T1067" t="str">
        <f>IF(A1067="","", SUMIFS($H$2:$H$2000, $A$2:$A$2000, A1067))</f>
        <v/>
      </c>
      <c r="U1067" t="str">
        <f t="shared" si="184"/>
        <v/>
      </c>
      <c r="V1067" t="str">
        <f t="shared" si="185"/>
        <v/>
      </c>
      <c r="W1067" t="str">
        <f t="shared" si="186"/>
        <v/>
      </c>
    </row>
    <row r="1068" spans="1:23" x14ac:dyDescent="0.2">
      <c r="A1068" s="4" t="str">
        <f>IF(ポートフォリオ実績!A1069="","", ポートフォリオ実績!A1069)</f>
        <v/>
      </c>
      <c r="B1068" t="str">
        <f>IF(ポートフォリオ実績!B1069="","", ポートフォリオ実績!B1069)</f>
        <v/>
      </c>
      <c r="C1068" s="10" t="str">
        <f>IF(ポートフォリオ実績!C1069="","", ポートフォリオ実績!C1069)</f>
        <v/>
      </c>
      <c r="D1068" s="10" t="str">
        <f>IF(ポートフォリオ実績!D1069="","", ポートフォリオ実績!D1069)</f>
        <v/>
      </c>
      <c r="E1068" s="10" t="str">
        <f>IF(ポートフォリオ実績!E1069="","", ポートフォリオ実績!E1069)</f>
        <v/>
      </c>
      <c r="F1068" s="10" t="str">
        <f>IF(ポートフォリオ実績!F1069="","", ポートフォリオ実績!F1069)</f>
        <v/>
      </c>
      <c r="G1068" t="str">
        <f t="shared" si="176"/>
        <v/>
      </c>
      <c r="H1068">
        <f>IF(B1068&lt;&gt;"", SUMIFS(ポートフォリオ実績!$D$2:$D$2001, ポートフォリオ実績!$B$2:$B$2001, B1068, ポートフォリオ実績!$A$2:$A$2001, G1068), 0)</f>
        <v>0</v>
      </c>
      <c r="I1068">
        <f>IF(B1068&lt;&gt;"", SUMIFS(ポートフォリオ実績!$C$2:$C$2001, ポートフォリオ実績!$B$2:$B$2001, B1068, ポートフォリオ実績!$A$2:$A$2001, G1068), 0)</f>
        <v>0</v>
      </c>
      <c r="J1068">
        <f t="shared" si="177"/>
        <v>0</v>
      </c>
      <c r="K1068">
        <f t="shared" si="178"/>
        <v>0</v>
      </c>
      <c r="L1068">
        <f t="shared" si="179"/>
        <v>0</v>
      </c>
      <c r="M1068">
        <f t="shared" si="180"/>
        <v>0</v>
      </c>
      <c r="N1068">
        <f t="shared" si="181"/>
        <v>0</v>
      </c>
      <c r="O1068">
        <f t="shared" si="182"/>
        <v>0</v>
      </c>
      <c r="P1068" t="str">
        <f t="shared" si="183"/>
        <v/>
      </c>
      <c r="Q1068" t="str">
        <f>IF(B1068="","", IFERROR(VLOOKUP(B1068, '基準資産配分（設定）'!$A$2:$C$2001, 3, FALSE), ""))</f>
        <v/>
      </c>
      <c r="R1068" t="str">
        <f>IF(B1068="","", IFERROR(VLOOKUP(B1068, '基準資産配分（設定）'!$A$2:$C$2001, 2, FALSE)/100, 0))</f>
        <v/>
      </c>
      <c r="S1068" t="str">
        <f>IF(B1068="","", IFERROR(SUMIFS(ベンチマークリターン!$C$2:$C$2001, ベンチマークリターン!$A$2:$A$2001, A1068, ベンチマークリターン!$B$2:$B$2001, Q1068) / 100, 0))</f>
        <v/>
      </c>
      <c r="T1068" t="str">
        <f>IF(A1068="","", SUMIFS($H$2:$H$2000, $A$2:$A$2000, A1068))</f>
        <v/>
      </c>
      <c r="U1068" t="str">
        <f t="shared" si="184"/>
        <v/>
      </c>
      <c r="V1068" t="str">
        <f t="shared" si="185"/>
        <v/>
      </c>
      <c r="W1068" t="str">
        <f t="shared" si="186"/>
        <v/>
      </c>
    </row>
    <row r="1069" spans="1:23" x14ac:dyDescent="0.2">
      <c r="A1069" s="4" t="str">
        <f>IF(ポートフォリオ実績!A1070="","", ポートフォリオ実績!A1070)</f>
        <v/>
      </c>
      <c r="B1069" t="str">
        <f>IF(ポートフォリオ実績!B1070="","", ポートフォリオ実績!B1070)</f>
        <v/>
      </c>
      <c r="C1069" s="10" t="str">
        <f>IF(ポートフォリオ実績!C1070="","", ポートフォリオ実績!C1070)</f>
        <v/>
      </c>
      <c r="D1069" s="10" t="str">
        <f>IF(ポートフォリオ実績!D1070="","", ポートフォリオ実績!D1070)</f>
        <v/>
      </c>
      <c r="E1069" s="10" t="str">
        <f>IF(ポートフォリオ実績!E1070="","", ポートフォリオ実績!E1070)</f>
        <v/>
      </c>
      <c r="F1069" s="10" t="str">
        <f>IF(ポートフォリオ実績!F1070="","", ポートフォリオ実績!F1070)</f>
        <v/>
      </c>
      <c r="G1069" t="str">
        <f t="shared" si="176"/>
        <v/>
      </c>
      <c r="H1069">
        <f>IF(B1069&lt;&gt;"", SUMIFS(ポートフォリオ実績!$D$2:$D$2001, ポートフォリオ実績!$B$2:$B$2001, B1069, ポートフォリオ実績!$A$2:$A$2001, G1069), 0)</f>
        <v>0</v>
      </c>
      <c r="I1069">
        <f>IF(B1069&lt;&gt;"", SUMIFS(ポートフォリオ実績!$C$2:$C$2001, ポートフォリオ実績!$B$2:$B$2001, B1069, ポートフォリオ実績!$A$2:$A$2001, G1069), 0)</f>
        <v>0</v>
      </c>
      <c r="J1069">
        <f t="shared" si="177"/>
        <v>0</v>
      </c>
      <c r="K1069">
        <f t="shared" si="178"/>
        <v>0</v>
      </c>
      <c r="L1069">
        <f t="shared" si="179"/>
        <v>0</v>
      </c>
      <c r="M1069">
        <f t="shared" si="180"/>
        <v>0</v>
      </c>
      <c r="N1069">
        <f t="shared" si="181"/>
        <v>0</v>
      </c>
      <c r="O1069">
        <f t="shared" si="182"/>
        <v>0</v>
      </c>
      <c r="P1069" t="str">
        <f t="shared" si="183"/>
        <v/>
      </c>
      <c r="Q1069" t="str">
        <f>IF(B1069="","", IFERROR(VLOOKUP(B1069, '基準資産配分（設定）'!$A$2:$C$2001, 3, FALSE), ""))</f>
        <v/>
      </c>
      <c r="R1069" t="str">
        <f>IF(B1069="","", IFERROR(VLOOKUP(B1069, '基準資産配分（設定）'!$A$2:$C$2001, 2, FALSE)/100, 0))</f>
        <v/>
      </c>
      <c r="S1069" t="str">
        <f>IF(B1069="","", IFERROR(SUMIFS(ベンチマークリターン!$C$2:$C$2001, ベンチマークリターン!$A$2:$A$2001, A1069, ベンチマークリターン!$B$2:$B$2001, Q1069) / 100, 0))</f>
        <v/>
      </c>
      <c r="T1069" t="str">
        <f>IF(A1069="","", SUMIFS($H$2:$H$2000, $A$2:$A$2000, A1069))</f>
        <v/>
      </c>
      <c r="U1069" t="str">
        <f t="shared" si="184"/>
        <v/>
      </c>
      <c r="V1069" t="str">
        <f t="shared" si="185"/>
        <v/>
      </c>
      <c r="W1069" t="str">
        <f t="shared" si="186"/>
        <v/>
      </c>
    </row>
    <row r="1070" spans="1:23" x14ac:dyDescent="0.2">
      <c r="A1070" s="4" t="str">
        <f>IF(ポートフォリオ実績!A1071="","", ポートフォリオ実績!A1071)</f>
        <v/>
      </c>
      <c r="B1070" t="str">
        <f>IF(ポートフォリオ実績!B1071="","", ポートフォリオ実績!B1071)</f>
        <v/>
      </c>
      <c r="C1070" s="10" t="str">
        <f>IF(ポートフォリオ実績!C1071="","", ポートフォリオ実績!C1071)</f>
        <v/>
      </c>
      <c r="D1070" s="10" t="str">
        <f>IF(ポートフォリオ実績!D1071="","", ポートフォリオ実績!D1071)</f>
        <v/>
      </c>
      <c r="E1070" s="10" t="str">
        <f>IF(ポートフォリオ実績!E1071="","", ポートフォリオ実績!E1071)</f>
        <v/>
      </c>
      <c r="F1070" s="10" t="str">
        <f>IF(ポートフォリオ実績!F1071="","", ポートフォリオ実績!F1071)</f>
        <v/>
      </c>
      <c r="G1070" t="str">
        <f t="shared" si="176"/>
        <v/>
      </c>
      <c r="H1070">
        <f>IF(B1070&lt;&gt;"", SUMIFS(ポートフォリオ実績!$D$2:$D$2001, ポートフォリオ実績!$B$2:$B$2001, B1070, ポートフォリオ実績!$A$2:$A$2001, G1070), 0)</f>
        <v>0</v>
      </c>
      <c r="I1070">
        <f>IF(B1070&lt;&gt;"", SUMIFS(ポートフォリオ実績!$C$2:$C$2001, ポートフォリオ実績!$B$2:$B$2001, B1070, ポートフォリオ実績!$A$2:$A$2001, G1070), 0)</f>
        <v>0</v>
      </c>
      <c r="J1070">
        <f t="shared" si="177"/>
        <v>0</v>
      </c>
      <c r="K1070">
        <f t="shared" si="178"/>
        <v>0</v>
      </c>
      <c r="L1070">
        <f t="shared" si="179"/>
        <v>0</v>
      </c>
      <c r="M1070">
        <f t="shared" si="180"/>
        <v>0</v>
      </c>
      <c r="N1070">
        <f t="shared" si="181"/>
        <v>0</v>
      </c>
      <c r="O1070">
        <f t="shared" si="182"/>
        <v>0</v>
      </c>
      <c r="P1070" t="str">
        <f t="shared" si="183"/>
        <v/>
      </c>
      <c r="Q1070" t="str">
        <f>IF(B1070="","", IFERROR(VLOOKUP(B1070, '基準資産配分（設定）'!$A$2:$C$2001, 3, FALSE), ""))</f>
        <v/>
      </c>
      <c r="R1070" t="str">
        <f>IF(B1070="","", IFERROR(VLOOKUP(B1070, '基準資産配分（設定）'!$A$2:$C$2001, 2, FALSE)/100, 0))</f>
        <v/>
      </c>
      <c r="S1070" t="str">
        <f>IF(B1070="","", IFERROR(SUMIFS(ベンチマークリターン!$C$2:$C$2001, ベンチマークリターン!$A$2:$A$2001, A1070, ベンチマークリターン!$B$2:$B$2001, Q1070) / 100, 0))</f>
        <v/>
      </c>
      <c r="T1070" t="str">
        <f>IF(A1070="","", SUMIFS($H$2:$H$2000, $A$2:$A$2000, A1070))</f>
        <v/>
      </c>
      <c r="U1070" t="str">
        <f t="shared" si="184"/>
        <v/>
      </c>
      <c r="V1070" t="str">
        <f t="shared" si="185"/>
        <v/>
      </c>
      <c r="W1070" t="str">
        <f t="shared" si="186"/>
        <v/>
      </c>
    </row>
    <row r="1071" spans="1:23" x14ac:dyDescent="0.2">
      <c r="A1071" s="4" t="str">
        <f>IF(ポートフォリオ実績!A1072="","", ポートフォリオ実績!A1072)</f>
        <v/>
      </c>
      <c r="B1071" t="str">
        <f>IF(ポートフォリオ実績!B1072="","", ポートフォリオ実績!B1072)</f>
        <v/>
      </c>
      <c r="C1071" s="10" t="str">
        <f>IF(ポートフォリオ実績!C1072="","", ポートフォリオ実績!C1072)</f>
        <v/>
      </c>
      <c r="D1071" s="10" t="str">
        <f>IF(ポートフォリオ実績!D1072="","", ポートフォリオ実績!D1072)</f>
        <v/>
      </c>
      <c r="E1071" s="10" t="str">
        <f>IF(ポートフォリオ実績!E1072="","", ポートフォリオ実績!E1072)</f>
        <v/>
      </c>
      <c r="F1071" s="10" t="str">
        <f>IF(ポートフォリオ実績!F1072="","", ポートフォリオ実績!F1072)</f>
        <v/>
      </c>
      <c r="G1071" t="str">
        <f t="shared" si="176"/>
        <v/>
      </c>
      <c r="H1071">
        <f>IF(B1071&lt;&gt;"", SUMIFS(ポートフォリオ実績!$D$2:$D$2001, ポートフォリオ実績!$B$2:$B$2001, B1071, ポートフォリオ実績!$A$2:$A$2001, G1071), 0)</f>
        <v>0</v>
      </c>
      <c r="I1071">
        <f>IF(B1071&lt;&gt;"", SUMIFS(ポートフォリオ実績!$C$2:$C$2001, ポートフォリオ実績!$B$2:$B$2001, B1071, ポートフォリオ実績!$A$2:$A$2001, G1071), 0)</f>
        <v>0</v>
      </c>
      <c r="J1071">
        <f t="shared" si="177"/>
        <v>0</v>
      </c>
      <c r="K1071">
        <f t="shared" si="178"/>
        <v>0</v>
      </c>
      <c r="L1071">
        <f t="shared" si="179"/>
        <v>0</v>
      </c>
      <c r="M1071">
        <f t="shared" si="180"/>
        <v>0</v>
      </c>
      <c r="N1071">
        <f t="shared" si="181"/>
        <v>0</v>
      </c>
      <c r="O1071">
        <f t="shared" si="182"/>
        <v>0</v>
      </c>
      <c r="P1071" t="str">
        <f t="shared" si="183"/>
        <v/>
      </c>
      <c r="Q1071" t="str">
        <f>IF(B1071="","", IFERROR(VLOOKUP(B1071, '基準資産配分（設定）'!$A$2:$C$2001, 3, FALSE), ""))</f>
        <v/>
      </c>
      <c r="R1071" t="str">
        <f>IF(B1071="","", IFERROR(VLOOKUP(B1071, '基準資産配分（設定）'!$A$2:$C$2001, 2, FALSE)/100, 0))</f>
        <v/>
      </c>
      <c r="S1071" t="str">
        <f>IF(B1071="","", IFERROR(SUMIFS(ベンチマークリターン!$C$2:$C$2001, ベンチマークリターン!$A$2:$A$2001, A1071, ベンチマークリターン!$B$2:$B$2001, Q1071) / 100, 0))</f>
        <v/>
      </c>
      <c r="T1071" t="str">
        <f>IF(A1071="","", SUMIFS($H$2:$H$2000, $A$2:$A$2000, A1071))</f>
        <v/>
      </c>
      <c r="U1071" t="str">
        <f t="shared" si="184"/>
        <v/>
      </c>
      <c r="V1071" t="str">
        <f t="shared" si="185"/>
        <v/>
      </c>
      <c r="W1071" t="str">
        <f t="shared" si="186"/>
        <v/>
      </c>
    </row>
    <row r="1072" spans="1:23" x14ac:dyDescent="0.2">
      <c r="A1072" s="4" t="str">
        <f>IF(ポートフォリオ実績!A1073="","", ポートフォリオ実績!A1073)</f>
        <v/>
      </c>
      <c r="B1072" t="str">
        <f>IF(ポートフォリオ実績!B1073="","", ポートフォリオ実績!B1073)</f>
        <v/>
      </c>
      <c r="C1072" s="10" t="str">
        <f>IF(ポートフォリオ実績!C1073="","", ポートフォリオ実績!C1073)</f>
        <v/>
      </c>
      <c r="D1072" s="10" t="str">
        <f>IF(ポートフォリオ実績!D1073="","", ポートフォリオ実績!D1073)</f>
        <v/>
      </c>
      <c r="E1072" s="10" t="str">
        <f>IF(ポートフォリオ実績!E1073="","", ポートフォリオ実績!E1073)</f>
        <v/>
      </c>
      <c r="F1072" s="10" t="str">
        <f>IF(ポートフォリオ実績!F1073="","", ポートフォリオ実績!F1073)</f>
        <v/>
      </c>
      <c r="G1072" t="str">
        <f t="shared" si="176"/>
        <v/>
      </c>
      <c r="H1072">
        <f>IF(B1072&lt;&gt;"", SUMIFS(ポートフォリオ実績!$D$2:$D$2001, ポートフォリオ実績!$B$2:$B$2001, B1072, ポートフォリオ実績!$A$2:$A$2001, G1072), 0)</f>
        <v>0</v>
      </c>
      <c r="I1072">
        <f>IF(B1072&lt;&gt;"", SUMIFS(ポートフォリオ実績!$C$2:$C$2001, ポートフォリオ実績!$B$2:$B$2001, B1072, ポートフォリオ実績!$A$2:$A$2001, G1072), 0)</f>
        <v>0</v>
      </c>
      <c r="J1072">
        <f t="shared" si="177"/>
        <v>0</v>
      </c>
      <c r="K1072">
        <f t="shared" si="178"/>
        <v>0</v>
      </c>
      <c r="L1072">
        <f t="shared" si="179"/>
        <v>0</v>
      </c>
      <c r="M1072">
        <f t="shared" si="180"/>
        <v>0</v>
      </c>
      <c r="N1072">
        <f t="shared" si="181"/>
        <v>0</v>
      </c>
      <c r="O1072">
        <f t="shared" si="182"/>
        <v>0</v>
      </c>
      <c r="P1072" t="str">
        <f t="shared" si="183"/>
        <v/>
      </c>
      <c r="Q1072" t="str">
        <f>IF(B1072="","", IFERROR(VLOOKUP(B1072, '基準資産配分（設定）'!$A$2:$C$2001, 3, FALSE), ""))</f>
        <v/>
      </c>
      <c r="R1072" t="str">
        <f>IF(B1072="","", IFERROR(VLOOKUP(B1072, '基準資産配分（設定）'!$A$2:$C$2001, 2, FALSE)/100, 0))</f>
        <v/>
      </c>
      <c r="S1072" t="str">
        <f>IF(B1072="","", IFERROR(SUMIFS(ベンチマークリターン!$C$2:$C$2001, ベンチマークリターン!$A$2:$A$2001, A1072, ベンチマークリターン!$B$2:$B$2001, Q1072) / 100, 0))</f>
        <v/>
      </c>
      <c r="T1072" t="str">
        <f>IF(A1072="","", SUMIFS($H$2:$H$2000, $A$2:$A$2000, A1072))</f>
        <v/>
      </c>
      <c r="U1072" t="str">
        <f t="shared" si="184"/>
        <v/>
      </c>
      <c r="V1072" t="str">
        <f t="shared" si="185"/>
        <v/>
      </c>
      <c r="W1072" t="str">
        <f t="shared" si="186"/>
        <v/>
      </c>
    </row>
    <row r="1073" spans="1:23" x14ac:dyDescent="0.2">
      <c r="A1073" s="4" t="str">
        <f>IF(ポートフォリオ実績!A1074="","", ポートフォリオ実績!A1074)</f>
        <v/>
      </c>
      <c r="B1073" t="str">
        <f>IF(ポートフォリオ実績!B1074="","", ポートフォリオ実績!B1074)</f>
        <v/>
      </c>
      <c r="C1073" s="10" t="str">
        <f>IF(ポートフォリオ実績!C1074="","", ポートフォリオ実績!C1074)</f>
        <v/>
      </c>
      <c r="D1073" s="10" t="str">
        <f>IF(ポートフォリオ実績!D1074="","", ポートフォリオ実績!D1074)</f>
        <v/>
      </c>
      <c r="E1073" s="10" t="str">
        <f>IF(ポートフォリオ実績!E1074="","", ポートフォリオ実績!E1074)</f>
        <v/>
      </c>
      <c r="F1073" s="10" t="str">
        <f>IF(ポートフォリオ実績!F1074="","", ポートフォリオ実績!F1074)</f>
        <v/>
      </c>
      <c r="G1073" t="str">
        <f t="shared" si="176"/>
        <v/>
      </c>
      <c r="H1073">
        <f>IF(B1073&lt;&gt;"", SUMIFS(ポートフォリオ実績!$D$2:$D$2001, ポートフォリオ実績!$B$2:$B$2001, B1073, ポートフォリオ実績!$A$2:$A$2001, G1073), 0)</f>
        <v>0</v>
      </c>
      <c r="I1073">
        <f>IF(B1073&lt;&gt;"", SUMIFS(ポートフォリオ実績!$C$2:$C$2001, ポートフォリオ実績!$B$2:$B$2001, B1073, ポートフォリオ実績!$A$2:$A$2001, G1073), 0)</f>
        <v>0</v>
      </c>
      <c r="J1073">
        <f t="shared" si="177"/>
        <v>0</v>
      </c>
      <c r="K1073">
        <f t="shared" si="178"/>
        <v>0</v>
      </c>
      <c r="L1073">
        <f t="shared" si="179"/>
        <v>0</v>
      </c>
      <c r="M1073">
        <f t="shared" si="180"/>
        <v>0</v>
      </c>
      <c r="N1073">
        <f t="shared" si="181"/>
        <v>0</v>
      </c>
      <c r="O1073">
        <f t="shared" si="182"/>
        <v>0</v>
      </c>
      <c r="P1073" t="str">
        <f t="shared" si="183"/>
        <v/>
      </c>
      <c r="Q1073" t="str">
        <f>IF(B1073="","", IFERROR(VLOOKUP(B1073, '基準資産配分（設定）'!$A$2:$C$2001, 3, FALSE), ""))</f>
        <v/>
      </c>
      <c r="R1073" t="str">
        <f>IF(B1073="","", IFERROR(VLOOKUP(B1073, '基準資産配分（設定）'!$A$2:$C$2001, 2, FALSE)/100, 0))</f>
        <v/>
      </c>
      <c r="S1073" t="str">
        <f>IF(B1073="","", IFERROR(SUMIFS(ベンチマークリターン!$C$2:$C$2001, ベンチマークリターン!$A$2:$A$2001, A1073, ベンチマークリターン!$B$2:$B$2001, Q1073) / 100, 0))</f>
        <v/>
      </c>
      <c r="T1073" t="str">
        <f>IF(A1073="","", SUMIFS($H$2:$H$2000, $A$2:$A$2000, A1073))</f>
        <v/>
      </c>
      <c r="U1073" t="str">
        <f t="shared" si="184"/>
        <v/>
      </c>
      <c r="V1073" t="str">
        <f t="shared" si="185"/>
        <v/>
      </c>
      <c r="W1073" t="str">
        <f t="shared" si="186"/>
        <v/>
      </c>
    </row>
    <row r="1074" spans="1:23" x14ac:dyDescent="0.2">
      <c r="A1074" s="4" t="str">
        <f>IF(ポートフォリオ実績!A1075="","", ポートフォリオ実績!A1075)</f>
        <v/>
      </c>
      <c r="B1074" t="str">
        <f>IF(ポートフォリオ実績!B1075="","", ポートフォリオ実績!B1075)</f>
        <v/>
      </c>
      <c r="C1074" s="10" t="str">
        <f>IF(ポートフォリオ実績!C1075="","", ポートフォリオ実績!C1075)</f>
        <v/>
      </c>
      <c r="D1074" s="10" t="str">
        <f>IF(ポートフォリオ実績!D1075="","", ポートフォリオ実績!D1075)</f>
        <v/>
      </c>
      <c r="E1074" s="10" t="str">
        <f>IF(ポートフォリオ実績!E1075="","", ポートフォリオ実績!E1075)</f>
        <v/>
      </c>
      <c r="F1074" s="10" t="str">
        <f>IF(ポートフォリオ実績!F1075="","", ポートフォリオ実績!F1075)</f>
        <v/>
      </c>
      <c r="G1074" t="str">
        <f t="shared" si="176"/>
        <v/>
      </c>
      <c r="H1074">
        <f>IF(B1074&lt;&gt;"", SUMIFS(ポートフォリオ実績!$D$2:$D$2001, ポートフォリオ実績!$B$2:$B$2001, B1074, ポートフォリオ実績!$A$2:$A$2001, G1074), 0)</f>
        <v>0</v>
      </c>
      <c r="I1074">
        <f>IF(B1074&lt;&gt;"", SUMIFS(ポートフォリオ実績!$C$2:$C$2001, ポートフォリオ実績!$B$2:$B$2001, B1074, ポートフォリオ実績!$A$2:$A$2001, G1074), 0)</f>
        <v>0</v>
      </c>
      <c r="J1074">
        <f t="shared" si="177"/>
        <v>0</v>
      </c>
      <c r="K1074">
        <f t="shared" si="178"/>
        <v>0</v>
      </c>
      <c r="L1074">
        <f t="shared" si="179"/>
        <v>0</v>
      </c>
      <c r="M1074">
        <f t="shared" si="180"/>
        <v>0</v>
      </c>
      <c r="N1074">
        <f t="shared" si="181"/>
        <v>0</v>
      </c>
      <c r="O1074">
        <f t="shared" si="182"/>
        <v>0</v>
      </c>
      <c r="P1074" t="str">
        <f t="shared" si="183"/>
        <v/>
      </c>
      <c r="Q1074" t="str">
        <f>IF(B1074="","", IFERROR(VLOOKUP(B1074, '基準資産配分（設定）'!$A$2:$C$2001, 3, FALSE), ""))</f>
        <v/>
      </c>
      <c r="R1074" t="str">
        <f>IF(B1074="","", IFERROR(VLOOKUP(B1074, '基準資産配分（設定）'!$A$2:$C$2001, 2, FALSE)/100, 0))</f>
        <v/>
      </c>
      <c r="S1074" t="str">
        <f>IF(B1074="","", IFERROR(SUMIFS(ベンチマークリターン!$C$2:$C$2001, ベンチマークリターン!$A$2:$A$2001, A1074, ベンチマークリターン!$B$2:$B$2001, Q1074) / 100, 0))</f>
        <v/>
      </c>
      <c r="T1074" t="str">
        <f>IF(A1074="","", SUMIFS($H$2:$H$2000, $A$2:$A$2000, A1074))</f>
        <v/>
      </c>
      <c r="U1074" t="str">
        <f t="shared" si="184"/>
        <v/>
      </c>
      <c r="V1074" t="str">
        <f t="shared" si="185"/>
        <v/>
      </c>
      <c r="W1074" t="str">
        <f t="shared" si="186"/>
        <v/>
      </c>
    </row>
    <row r="1075" spans="1:23" x14ac:dyDescent="0.2">
      <c r="A1075" s="4" t="str">
        <f>IF(ポートフォリオ実績!A1076="","", ポートフォリオ実績!A1076)</f>
        <v/>
      </c>
      <c r="B1075" t="str">
        <f>IF(ポートフォリオ実績!B1076="","", ポートフォリオ実績!B1076)</f>
        <v/>
      </c>
      <c r="C1075" s="10" t="str">
        <f>IF(ポートフォリオ実績!C1076="","", ポートフォリオ実績!C1076)</f>
        <v/>
      </c>
      <c r="D1075" s="10" t="str">
        <f>IF(ポートフォリオ実績!D1076="","", ポートフォリオ実績!D1076)</f>
        <v/>
      </c>
      <c r="E1075" s="10" t="str">
        <f>IF(ポートフォリオ実績!E1076="","", ポートフォリオ実績!E1076)</f>
        <v/>
      </c>
      <c r="F1075" s="10" t="str">
        <f>IF(ポートフォリオ実績!F1076="","", ポートフォリオ実績!F1076)</f>
        <v/>
      </c>
      <c r="G1075" t="str">
        <f t="shared" si="176"/>
        <v/>
      </c>
      <c r="H1075">
        <f>IF(B1075&lt;&gt;"", SUMIFS(ポートフォリオ実績!$D$2:$D$2001, ポートフォリオ実績!$B$2:$B$2001, B1075, ポートフォリオ実績!$A$2:$A$2001, G1075), 0)</f>
        <v>0</v>
      </c>
      <c r="I1075">
        <f>IF(B1075&lt;&gt;"", SUMIFS(ポートフォリオ実績!$C$2:$C$2001, ポートフォリオ実績!$B$2:$B$2001, B1075, ポートフォリオ実績!$A$2:$A$2001, G1075), 0)</f>
        <v>0</v>
      </c>
      <c r="J1075">
        <f t="shared" si="177"/>
        <v>0</v>
      </c>
      <c r="K1075">
        <f t="shared" si="178"/>
        <v>0</v>
      </c>
      <c r="L1075">
        <f t="shared" si="179"/>
        <v>0</v>
      </c>
      <c r="M1075">
        <f t="shared" si="180"/>
        <v>0</v>
      </c>
      <c r="N1075">
        <f t="shared" si="181"/>
        <v>0</v>
      </c>
      <c r="O1075">
        <f t="shared" si="182"/>
        <v>0</v>
      </c>
      <c r="P1075" t="str">
        <f t="shared" si="183"/>
        <v/>
      </c>
      <c r="Q1075" t="str">
        <f>IF(B1075="","", IFERROR(VLOOKUP(B1075, '基準資産配分（設定）'!$A$2:$C$2001, 3, FALSE), ""))</f>
        <v/>
      </c>
      <c r="R1075" t="str">
        <f>IF(B1075="","", IFERROR(VLOOKUP(B1075, '基準資産配分（設定）'!$A$2:$C$2001, 2, FALSE)/100, 0))</f>
        <v/>
      </c>
      <c r="S1075" t="str">
        <f>IF(B1075="","", IFERROR(SUMIFS(ベンチマークリターン!$C$2:$C$2001, ベンチマークリターン!$A$2:$A$2001, A1075, ベンチマークリターン!$B$2:$B$2001, Q1075) / 100, 0))</f>
        <v/>
      </c>
      <c r="T1075" t="str">
        <f>IF(A1075="","", SUMIFS($H$2:$H$2000, $A$2:$A$2000, A1075))</f>
        <v/>
      </c>
      <c r="U1075" t="str">
        <f t="shared" si="184"/>
        <v/>
      </c>
      <c r="V1075" t="str">
        <f t="shared" si="185"/>
        <v/>
      </c>
      <c r="W1075" t="str">
        <f t="shared" si="186"/>
        <v/>
      </c>
    </row>
    <row r="1076" spans="1:23" x14ac:dyDescent="0.2">
      <c r="A1076" s="4" t="str">
        <f>IF(ポートフォリオ実績!A1077="","", ポートフォリオ実績!A1077)</f>
        <v/>
      </c>
      <c r="B1076" t="str">
        <f>IF(ポートフォリオ実績!B1077="","", ポートフォリオ実績!B1077)</f>
        <v/>
      </c>
      <c r="C1076" s="10" t="str">
        <f>IF(ポートフォリオ実績!C1077="","", ポートフォリオ実績!C1077)</f>
        <v/>
      </c>
      <c r="D1076" s="10" t="str">
        <f>IF(ポートフォリオ実績!D1077="","", ポートフォリオ実績!D1077)</f>
        <v/>
      </c>
      <c r="E1076" s="10" t="str">
        <f>IF(ポートフォリオ実績!E1077="","", ポートフォリオ実績!E1077)</f>
        <v/>
      </c>
      <c r="F1076" s="10" t="str">
        <f>IF(ポートフォリオ実績!F1077="","", ポートフォリオ実績!F1077)</f>
        <v/>
      </c>
      <c r="G1076" t="str">
        <f t="shared" si="176"/>
        <v/>
      </c>
      <c r="H1076">
        <f>IF(B1076&lt;&gt;"", SUMIFS(ポートフォリオ実績!$D$2:$D$2001, ポートフォリオ実績!$B$2:$B$2001, B1076, ポートフォリオ実績!$A$2:$A$2001, G1076), 0)</f>
        <v>0</v>
      </c>
      <c r="I1076">
        <f>IF(B1076&lt;&gt;"", SUMIFS(ポートフォリオ実績!$C$2:$C$2001, ポートフォリオ実績!$B$2:$B$2001, B1076, ポートフォリオ実績!$A$2:$A$2001, G1076), 0)</f>
        <v>0</v>
      </c>
      <c r="J1076">
        <f t="shared" si="177"/>
        <v>0</v>
      </c>
      <c r="K1076">
        <f t="shared" si="178"/>
        <v>0</v>
      </c>
      <c r="L1076">
        <f t="shared" si="179"/>
        <v>0</v>
      </c>
      <c r="M1076">
        <f t="shared" si="180"/>
        <v>0</v>
      </c>
      <c r="N1076">
        <f t="shared" si="181"/>
        <v>0</v>
      </c>
      <c r="O1076">
        <f t="shared" si="182"/>
        <v>0</v>
      </c>
      <c r="P1076" t="str">
        <f t="shared" si="183"/>
        <v/>
      </c>
      <c r="Q1076" t="str">
        <f>IF(B1076="","", IFERROR(VLOOKUP(B1076, '基準資産配分（設定）'!$A$2:$C$2001, 3, FALSE), ""))</f>
        <v/>
      </c>
      <c r="R1076" t="str">
        <f>IF(B1076="","", IFERROR(VLOOKUP(B1076, '基準資産配分（設定）'!$A$2:$C$2001, 2, FALSE)/100, 0))</f>
        <v/>
      </c>
      <c r="S1076" t="str">
        <f>IF(B1076="","", IFERROR(SUMIFS(ベンチマークリターン!$C$2:$C$2001, ベンチマークリターン!$A$2:$A$2001, A1076, ベンチマークリターン!$B$2:$B$2001, Q1076) / 100, 0))</f>
        <v/>
      </c>
      <c r="T1076" t="str">
        <f>IF(A1076="","", SUMIFS($H$2:$H$2000, $A$2:$A$2000, A1076))</f>
        <v/>
      </c>
      <c r="U1076" t="str">
        <f t="shared" si="184"/>
        <v/>
      </c>
      <c r="V1076" t="str">
        <f t="shared" si="185"/>
        <v/>
      </c>
      <c r="W1076" t="str">
        <f t="shared" si="186"/>
        <v/>
      </c>
    </row>
    <row r="1077" spans="1:23" x14ac:dyDescent="0.2">
      <c r="A1077" s="4" t="str">
        <f>IF(ポートフォリオ実績!A1078="","", ポートフォリオ実績!A1078)</f>
        <v/>
      </c>
      <c r="B1077" t="str">
        <f>IF(ポートフォリオ実績!B1078="","", ポートフォリオ実績!B1078)</f>
        <v/>
      </c>
      <c r="C1077" s="10" t="str">
        <f>IF(ポートフォリオ実績!C1078="","", ポートフォリオ実績!C1078)</f>
        <v/>
      </c>
      <c r="D1077" s="10" t="str">
        <f>IF(ポートフォリオ実績!D1078="","", ポートフォリオ実績!D1078)</f>
        <v/>
      </c>
      <c r="E1077" s="10" t="str">
        <f>IF(ポートフォリオ実績!E1078="","", ポートフォリオ実績!E1078)</f>
        <v/>
      </c>
      <c r="F1077" s="10" t="str">
        <f>IF(ポートフォリオ実績!F1078="","", ポートフォリオ実績!F1078)</f>
        <v/>
      </c>
      <c r="G1077" t="str">
        <f t="shared" si="176"/>
        <v/>
      </c>
      <c r="H1077">
        <f>IF(B1077&lt;&gt;"", SUMIFS(ポートフォリオ実績!$D$2:$D$2001, ポートフォリオ実績!$B$2:$B$2001, B1077, ポートフォリオ実績!$A$2:$A$2001, G1077), 0)</f>
        <v>0</v>
      </c>
      <c r="I1077">
        <f>IF(B1077&lt;&gt;"", SUMIFS(ポートフォリオ実績!$C$2:$C$2001, ポートフォリオ実績!$B$2:$B$2001, B1077, ポートフォリオ実績!$A$2:$A$2001, G1077), 0)</f>
        <v>0</v>
      </c>
      <c r="J1077">
        <f t="shared" si="177"/>
        <v>0</v>
      </c>
      <c r="K1077">
        <f t="shared" si="178"/>
        <v>0</v>
      </c>
      <c r="L1077">
        <f t="shared" si="179"/>
        <v>0</v>
      </c>
      <c r="M1077">
        <f t="shared" si="180"/>
        <v>0</v>
      </c>
      <c r="N1077">
        <f t="shared" si="181"/>
        <v>0</v>
      </c>
      <c r="O1077">
        <f t="shared" si="182"/>
        <v>0</v>
      </c>
      <c r="P1077" t="str">
        <f t="shared" si="183"/>
        <v/>
      </c>
      <c r="Q1077" t="str">
        <f>IF(B1077="","", IFERROR(VLOOKUP(B1077, '基準資産配分（設定）'!$A$2:$C$2001, 3, FALSE), ""))</f>
        <v/>
      </c>
      <c r="R1077" t="str">
        <f>IF(B1077="","", IFERROR(VLOOKUP(B1077, '基準資産配分（設定）'!$A$2:$C$2001, 2, FALSE)/100, 0))</f>
        <v/>
      </c>
      <c r="S1077" t="str">
        <f>IF(B1077="","", IFERROR(SUMIFS(ベンチマークリターン!$C$2:$C$2001, ベンチマークリターン!$A$2:$A$2001, A1077, ベンチマークリターン!$B$2:$B$2001, Q1077) / 100, 0))</f>
        <v/>
      </c>
      <c r="T1077" t="str">
        <f>IF(A1077="","", SUMIFS($H$2:$H$2000, $A$2:$A$2000, A1077))</f>
        <v/>
      </c>
      <c r="U1077" t="str">
        <f t="shared" si="184"/>
        <v/>
      </c>
      <c r="V1077" t="str">
        <f t="shared" si="185"/>
        <v/>
      </c>
      <c r="W1077" t="str">
        <f t="shared" si="186"/>
        <v/>
      </c>
    </row>
    <row r="1078" spans="1:23" x14ac:dyDescent="0.2">
      <c r="A1078" s="4" t="str">
        <f>IF(ポートフォリオ実績!A1079="","", ポートフォリオ実績!A1079)</f>
        <v/>
      </c>
      <c r="B1078" t="str">
        <f>IF(ポートフォリオ実績!B1079="","", ポートフォリオ実績!B1079)</f>
        <v/>
      </c>
      <c r="C1078" s="10" t="str">
        <f>IF(ポートフォリオ実績!C1079="","", ポートフォリオ実績!C1079)</f>
        <v/>
      </c>
      <c r="D1078" s="10" t="str">
        <f>IF(ポートフォリオ実績!D1079="","", ポートフォリオ実績!D1079)</f>
        <v/>
      </c>
      <c r="E1078" s="10" t="str">
        <f>IF(ポートフォリオ実績!E1079="","", ポートフォリオ実績!E1079)</f>
        <v/>
      </c>
      <c r="F1078" s="10" t="str">
        <f>IF(ポートフォリオ実績!F1079="","", ポートフォリオ実績!F1079)</f>
        <v/>
      </c>
      <c r="G1078" t="str">
        <f t="shared" si="176"/>
        <v/>
      </c>
      <c r="H1078">
        <f>IF(B1078&lt;&gt;"", SUMIFS(ポートフォリオ実績!$D$2:$D$2001, ポートフォリオ実績!$B$2:$B$2001, B1078, ポートフォリオ実績!$A$2:$A$2001, G1078), 0)</f>
        <v>0</v>
      </c>
      <c r="I1078">
        <f>IF(B1078&lt;&gt;"", SUMIFS(ポートフォリオ実績!$C$2:$C$2001, ポートフォリオ実績!$B$2:$B$2001, B1078, ポートフォリオ実績!$A$2:$A$2001, G1078), 0)</f>
        <v>0</v>
      </c>
      <c r="J1078">
        <f t="shared" si="177"/>
        <v>0</v>
      </c>
      <c r="K1078">
        <f t="shared" si="178"/>
        <v>0</v>
      </c>
      <c r="L1078">
        <f t="shared" si="179"/>
        <v>0</v>
      </c>
      <c r="M1078">
        <f t="shared" si="180"/>
        <v>0</v>
      </c>
      <c r="N1078">
        <f t="shared" si="181"/>
        <v>0</v>
      </c>
      <c r="O1078">
        <f t="shared" si="182"/>
        <v>0</v>
      </c>
      <c r="P1078" t="str">
        <f t="shared" si="183"/>
        <v/>
      </c>
      <c r="Q1078" t="str">
        <f>IF(B1078="","", IFERROR(VLOOKUP(B1078, '基準資産配分（設定）'!$A$2:$C$2001, 3, FALSE), ""))</f>
        <v/>
      </c>
      <c r="R1078" t="str">
        <f>IF(B1078="","", IFERROR(VLOOKUP(B1078, '基準資産配分（設定）'!$A$2:$C$2001, 2, FALSE)/100, 0))</f>
        <v/>
      </c>
      <c r="S1078" t="str">
        <f>IF(B1078="","", IFERROR(SUMIFS(ベンチマークリターン!$C$2:$C$2001, ベンチマークリターン!$A$2:$A$2001, A1078, ベンチマークリターン!$B$2:$B$2001, Q1078) / 100, 0))</f>
        <v/>
      </c>
      <c r="T1078" t="str">
        <f>IF(A1078="","", SUMIFS($H$2:$H$2000, $A$2:$A$2000, A1078))</f>
        <v/>
      </c>
      <c r="U1078" t="str">
        <f t="shared" si="184"/>
        <v/>
      </c>
      <c r="V1078" t="str">
        <f t="shared" si="185"/>
        <v/>
      </c>
      <c r="W1078" t="str">
        <f t="shared" si="186"/>
        <v/>
      </c>
    </row>
    <row r="1079" spans="1:23" x14ac:dyDescent="0.2">
      <c r="A1079" s="4" t="str">
        <f>IF(ポートフォリオ実績!A1080="","", ポートフォリオ実績!A1080)</f>
        <v/>
      </c>
      <c r="B1079" t="str">
        <f>IF(ポートフォリオ実績!B1080="","", ポートフォリオ実績!B1080)</f>
        <v/>
      </c>
      <c r="C1079" s="10" t="str">
        <f>IF(ポートフォリオ実績!C1080="","", ポートフォリオ実績!C1080)</f>
        <v/>
      </c>
      <c r="D1079" s="10" t="str">
        <f>IF(ポートフォリオ実績!D1080="","", ポートフォリオ実績!D1080)</f>
        <v/>
      </c>
      <c r="E1079" s="10" t="str">
        <f>IF(ポートフォリオ実績!E1080="","", ポートフォリオ実績!E1080)</f>
        <v/>
      </c>
      <c r="F1079" s="10" t="str">
        <f>IF(ポートフォリオ実績!F1080="","", ポートフォリオ実績!F1080)</f>
        <v/>
      </c>
      <c r="G1079" t="str">
        <f t="shared" si="176"/>
        <v/>
      </c>
      <c r="H1079">
        <f>IF(B1079&lt;&gt;"", SUMIFS(ポートフォリオ実績!$D$2:$D$2001, ポートフォリオ実績!$B$2:$B$2001, B1079, ポートフォリオ実績!$A$2:$A$2001, G1079), 0)</f>
        <v>0</v>
      </c>
      <c r="I1079">
        <f>IF(B1079&lt;&gt;"", SUMIFS(ポートフォリオ実績!$C$2:$C$2001, ポートフォリオ実績!$B$2:$B$2001, B1079, ポートフォリオ実績!$A$2:$A$2001, G1079), 0)</f>
        <v>0</v>
      </c>
      <c r="J1079">
        <f t="shared" si="177"/>
        <v>0</v>
      </c>
      <c r="K1079">
        <f t="shared" si="178"/>
        <v>0</v>
      </c>
      <c r="L1079">
        <f t="shared" si="179"/>
        <v>0</v>
      </c>
      <c r="M1079">
        <f t="shared" si="180"/>
        <v>0</v>
      </c>
      <c r="N1079">
        <f t="shared" si="181"/>
        <v>0</v>
      </c>
      <c r="O1079">
        <f t="shared" si="182"/>
        <v>0</v>
      </c>
      <c r="P1079" t="str">
        <f t="shared" si="183"/>
        <v/>
      </c>
      <c r="Q1079" t="str">
        <f>IF(B1079="","", IFERROR(VLOOKUP(B1079, '基準資産配分（設定）'!$A$2:$C$2001, 3, FALSE), ""))</f>
        <v/>
      </c>
      <c r="R1079" t="str">
        <f>IF(B1079="","", IFERROR(VLOOKUP(B1079, '基準資産配分（設定）'!$A$2:$C$2001, 2, FALSE)/100, 0))</f>
        <v/>
      </c>
      <c r="S1079" t="str">
        <f>IF(B1079="","", IFERROR(SUMIFS(ベンチマークリターン!$C$2:$C$2001, ベンチマークリターン!$A$2:$A$2001, A1079, ベンチマークリターン!$B$2:$B$2001, Q1079) / 100, 0))</f>
        <v/>
      </c>
      <c r="T1079" t="str">
        <f>IF(A1079="","", SUMIFS($H$2:$H$2000, $A$2:$A$2000, A1079))</f>
        <v/>
      </c>
      <c r="U1079" t="str">
        <f t="shared" si="184"/>
        <v/>
      </c>
      <c r="V1079" t="str">
        <f t="shared" si="185"/>
        <v/>
      </c>
      <c r="W1079" t="str">
        <f t="shared" si="186"/>
        <v/>
      </c>
    </row>
    <row r="1080" spans="1:23" x14ac:dyDescent="0.2">
      <c r="A1080" s="4" t="str">
        <f>IF(ポートフォリオ実績!A1081="","", ポートフォリオ実績!A1081)</f>
        <v/>
      </c>
      <c r="B1080" t="str">
        <f>IF(ポートフォリオ実績!B1081="","", ポートフォリオ実績!B1081)</f>
        <v/>
      </c>
      <c r="C1080" s="10" t="str">
        <f>IF(ポートフォリオ実績!C1081="","", ポートフォリオ実績!C1081)</f>
        <v/>
      </c>
      <c r="D1080" s="10" t="str">
        <f>IF(ポートフォリオ実績!D1081="","", ポートフォリオ実績!D1081)</f>
        <v/>
      </c>
      <c r="E1080" s="10" t="str">
        <f>IF(ポートフォリオ実績!E1081="","", ポートフォリオ実績!E1081)</f>
        <v/>
      </c>
      <c r="F1080" s="10" t="str">
        <f>IF(ポートフォリオ実績!F1081="","", ポートフォリオ実績!F1081)</f>
        <v/>
      </c>
      <c r="G1080" t="str">
        <f t="shared" si="176"/>
        <v/>
      </c>
      <c r="H1080">
        <f>IF(B1080&lt;&gt;"", SUMIFS(ポートフォリオ実績!$D$2:$D$2001, ポートフォリオ実績!$B$2:$B$2001, B1080, ポートフォリオ実績!$A$2:$A$2001, G1080), 0)</f>
        <v>0</v>
      </c>
      <c r="I1080">
        <f>IF(B1080&lt;&gt;"", SUMIFS(ポートフォリオ実績!$C$2:$C$2001, ポートフォリオ実績!$B$2:$B$2001, B1080, ポートフォリオ実績!$A$2:$A$2001, G1080), 0)</f>
        <v>0</v>
      </c>
      <c r="J1080">
        <f t="shared" si="177"/>
        <v>0</v>
      </c>
      <c r="K1080">
        <f t="shared" si="178"/>
        <v>0</v>
      </c>
      <c r="L1080">
        <f t="shared" si="179"/>
        <v>0</v>
      </c>
      <c r="M1080">
        <f t="shared" si="180"/>
        <v>0</v>
      </c>
      <c r="N1080">
        <f t="shared" si="181"/>
        <v>0</v>
      </c>
      <c r="O1080">
        <f t="shared" si="182"/>
        <v>0</v>
      </c>
      <c r="P1080" t="str">
        <f t="shared" si="183"/>
        <v/>
      </c>
      <c r="Q1080" t="str">
        <f>IF(B1080="","", IFERROR(VLOOKUP(B1080, '基準資産配分（設定）'!$A$2:$C$2001, 3, FALSE), ""))</f>
        <v/>
      </c>
      <c r="R1080" t="str">
        <f>IF(B1080="","", IFERROR(VLOOKUP(B1080, '基準資産配分（設定）'!$A$2:$C$2001, 2, FALSE)/100, 0))</f>
        <v/>
      </c>
      <c r="S1080" t="str">
        <f>IF(B1080="","", IFERROR(SUMIFS(ベンチマークリターン!$C$2:$C$2001, ベンチマークリターン!$A$2:$A$2001, A1080, ベンチマークリターン!$B$2:$B$2001, Q1080) / 100, 0))</f>
        <v/>
      </c>
      <c r="T1080" t="str">
        <f>IF(A1080="","", SUMIFS($H$2:$H$2000, $A$2:$A$2000, A1080))</f>
        <v/>
      </c>
      <c r="U1080" t="str">
        <f t="shared" si="184"/>
        <v/>
      </c>
      <c r="V1080" t="str">
        <f t="shared" si="185"/>
        <v/>
      </c>
      <c r="W1080" t="str">
        <f t="shared" si="186"/>
        <v/>
      </c>
    </row>
    <row r="1081" spans="1:23" x14ac:dyDescent="0.2">
      <c r="A1081" s="4" t="str">
        <f>IF(ポートフォリオ実績!A1082="","", ポートフォリオ実績!A1082)</f>
        <v/>
      </c>
      <c r="B1081" t="str">
        <f>IF(ポートフォリオ実績!B1082="","", ポートフォリオ実績!B1082)</f>
        <v/>
      </c>
      <c r="C1081" s="10" t="str">
        <f>IF(ポートフォリオ実績!C1082="","", ポートフォリオ実績!C1082)</f>
        <v/>
      </c>
      <c r="D1081" s="10" t="str">
        <f>IF(ポートフォリオ実績!D1082="","", ポートフォリオ実績!D1082)</f>
        <v/>
      </c>
      <c r="E1081" s="10" t="str">
        <f>IF(ポートフォリオ実績!E1082="","", ポートフォリオ実績!E1082)</f>
        <v/>
      </c>
      <c r="F1081" s="10" t="str">
        <f>IF(ポートフォリオ実績!F1082="","", ポートフォリオ実績!F1082)</f>
        <v/>
      </c>
      <c r="G1081" t="str">
        <f t="shared" si="176"/>
        <v/>
      </c>
      <c r="H1081">
        <f>IF(B1081&lt;&gt;"", SUMIFS(ポートフォリオ実績!$D$2:$D$2001, ポートフォリオ実績!$B$2:$B$2001, B1081, ポートフォリオ実績!$A$2:$A$2001, G1081), 0)</f>
        <v>0</v>
      </c>
      <c r="I1081">
        <f>IF(B1081&lt;&gt;"", SUMIFS(ポートフォリオ実績!$C$2:$C$2001, ポートフォリオ実績!$B$2:$B$2001, B1081, ポートフォリオ実績!$A$2:$A$2001, G1081), 0)</f>
        <v>0</v>
      </c>
      <c r="J1081">
        <f t="shared" si="177"/>
        <v>0</v>
      </c>
      <c r="K1081">
        <f t="shared" si="178"/>
        <v>0</v>
      </c>
      <c r="L1081">
        <f t="shared" si="179"/>
        <v>0</v>
      </c>
      <c r="M1081">
        <f t="shared" si="180"/>
        <v>0</v>
      </c>
      <c r="N1081">
        <f t="shared" si="181"/>
        <v>0</v>
      </c>
      <c r="O1081">
        <f t="shared" si="182"/>
        <v>0</v>
      </c>
      <c r="P1081" t="str">
        <f t="shared" si="183"/>
        <v/>
      </c>
      <c r="Q1081" t="str">
        <f>IF(B1081="","", IFERROR(VLOOKUP(B1081, '基準資産配分（設定）'!$A$2:$C$2001, 3, FALSE), ""))</f>
        <v/>
      </c>
      <c r="R1081" t="str">
        <f>IF(B1081="","", IFERROR(VLOOKUP(B1081, '基準資産配分（設定）'!$A$2:$C$2001, 2, FALSE)/100, 0))</f>
        <v/>
      </c>
      <c r="S1081" t="str">
        <f>IF(B1081="","", IFERROR(SUMIFS(ベンチマークリターン!$C$2:$C$2001, ベンチマークリターン!$A$2:$A$2001, A1081, ベンチマークリターン!$B$2:$B$2001, Q1081) / 100, 0))</f>
        <v/>
      </c>
      <c r="T1081" t="str">
        <f>IF(A1081="","", SUMIFS($H$2:$H$2000, $A$2:$A$2000, A1081))</f>
        <v/>
      </c>
      <c r="U1081" t="str">
        <f t="shared" si="184"/>
        <v/>
      </c>
      <c r="V1081" t="str">
        <f t="shared" si="185"/>
        <v/>
      </c>
      <c r="W1081" t="str">
        <f t="shared" si="186"/>
        <v/>
      </c>
    </row>
    <row r="1082" spans="1:23" x14ac:dyDescent="0.2">
      <c r="A1082" s="4" t="str">
        <f>IF(ポートフォリオ実績!A1083="","", ポートフォリオ実績!A1083)</f>
        <v/>
      </c>
      <c r="B1082" t="str">
        <f>IF(ポートフォリオ実績!B1083="","", ポートフォリオ実績!B1083)</f>
        <v/>
      </c>
      <c r="C1082" s="10" t="str">
        <f>IF(ポートフォリオ実績!C1083="","", ポートフォリオ実績!C1083)</f>
        <v/>
      </c>
      <c r="D1082" s="10" t="str">
        <f>IF(ポートフォリオ実績!D1083="","", ポートフォリオ実績!D1083)</f>
        <v/>
      </c>
      <c r="E1082" s="10" t="str">
        <f>IF(ポートフォリオ実績!E1083="","", ポートフォリオ実績!E1083)</f>
        <v/>
      </c>
      <c r="F1082" s="10" t="str">
        <f>IF(ポートフォリオ実績!F1083="","", ポートフォリオ実績!F1083)</f>
        <v/>
      </c>
      <c r="G1082" t="str">
        <f t="shared" si="176"/>
        <v/>
      </c>
      <c r="H1082">
        <f>IF(B1082&lt;&gt;"", SUMIFS(ポートフォリオ実績!$D$2:$D$2001, ポートフォリオ実績!$B$2:$B$2001, B1082, ポートフォリオ実績!$A$2:$A$2001, G1082), 0)</f>
        <v>0</v>
      </c>
      <c r="I1082">
        <f>IF(B1082&lt;&gt;"", SUMIFS(ポートフォリオ実績!$C$2:$C$2001, ポートフォリオ実績!$B$2:$B$2001, B1082, ポートフォリオ実績!$A$2:$A$2001, G1082), 0)</f>
        <v>0</v>
      </c>
      <c r="J1082">
        <f t="shared" si="177"/>
        <v>0</v>
      </c>
      <c r="K1082">
        <f t="shared" si="178"/>
        <v>0</v>
      </c>
      <c r="L1082">
        <f t="shared" si="179"/>
        <v>0</v>
      </c>
      <c r="M1082">
        <f t="shared" si="180"/>
        <v>0</v>
      </c>
      <c r="N1082">
        <f t="shared" si="181"/>
        <v>0</v>
      </c>
      <c r="O1082">
        <f t="shared" si="182"/>
        <v>0</v>
      </c>
      <c r="P1082" t="str">
        <f t="shared" si="183"/>
        <v/>
      </c>
      <c r="Q1082" t="str">
        <f>IF(B1082="","", IFERROR(VLOOKUP(B1082, '基準資産配分（設定）'!$A$2:$C$2001, 3, FALSE), ""))</f>
        <v/>
      </c>
      <c r="R1082" t="str">
        <f>IF(B1082="","", IFERROR(VLOOKUP(B1082, '基準資産配分（設定）'!$A$2:$C$2001, 2, FALSE)/100, 0))</f>
        <v/>
      </c>
      <c r="S1082" t="str">
        <f>IF(B1082="","", IFERROR(SUMIFS(ベンチマークリターン!$C$2:$C$2001, ベンチマークリターン!$A$2:$A$2001, A1082, ベンチマークリターン!$B$2:$B$2001, Q1082) / 100, 0))</f>
        <v/>
      </c>
      <c r="T1082" t="str">
        <f>IF(A1082="","", SUMIFS($H$2:$H$2000, $A$2:$A$2000, A1082))</f>
        <v/>
      </c>
      <c r="U1082" t="str">
        <f t="shared" si="184"/>
        <v/>
      </c>
      <c r="V1082" t="str">
        <f t="shared" si="185"/>
        <v/>
      </c>
      <c r="W1082" t="str">
        <f t="shared" si="186"/>
        <v/>
      </c>
    </row>
    <row r="1083" spans="1:23" x14ac:dyDescent="0.2">
      <c r="A1083" s="4" t="str">
        <f>IF(ポートフォリオ実績!A1084="","", ポートフォリオ実績!A1084)</f>
        <v/>
      </c>
      <c r="B1083" t="str">
        <f>IF(ポートフォリオ実績!B1084="","", ポートフォリオ実績!B1084)</f>
        <v/>
      </c>
      <c r="C1083" s="10" t="str">
        <f>IF(ポートフォリオ実績!C1084="","", ポートフォリオ実績!C1084)</f>
        <v/>
      </c>
      <c r="D1083" s="10" t="str">
        <f>IF(ポートフォリオ実績!D1084="","", ポートフォリオ実績!D1084)</f>
        <v/>
      </c>
      <c r="E1083" s="10" t="str">
        <f>IF(ポートフォリオ実績!E1084="","", ポートフォリオ実績!E1084)</f>
        <v/>
      </c>
      <c r="F1083" s="10" t="str">
        <f>IF(ポートフォリオ実績!F1084="","", ポートフォリオ実績!F1084)</f>
        <v/>
      </c>
      <c r="G1083" t="str">
        <f t="shared" si="176"/>
        <v/>
      </c>
      <c r="H1083">
        <f>IF(B1083&lt;&gt;"", SUMIFS(ポートフォリオ実績!$D$2:$D$2001, ポートフォリオ実績!$B$2:$B$2001, B1083, ポートフォリオ実績!$A$2:$A$2001, G1083), 0)</f>
        <v>0</v>
      </c>
      <c r="I1083">
        <f>IF(B1083&lt;&gt;"", SUMIFS(ポートフォリオ実績!$C$2:$C$2001, ポートフォリオ実績!$B$2:$B$2001, B1083, ポートフォリオ実績!$A$2:$A$2001, G1083), 0)</f>
        <v>0</v>
      </c>
      <c r="J1083">
        <f t="shared" si="177"/>
        <v>0</v>
      </c>
      <c r="K1083">
        <f t="shared" si="178"/>
        <v>0</v>
      </c>
      <c r="L1083">
        <f t="shared" si="179"/>
        <v>0</v>
      </c>
      <c r="M1083">
        <f t="shared" si="180"/>
        <v>0</v>
      </c>
      <c r="N1083">
        <f t="shared" si="181"/>
        <v>0</v>
      </c>
      <c r="O1083">
        <f t="shared" si="182"/>
        <v>0</v>
      </c>
      <c r="P1083" t="str">
        <f t="shared" si="183"/>
        <v/>
      </c>
      <c r="Q1083" t="str">
        <f>IF(B1083="","", IFERROR(VLOOKUP(B1083, '基準資産配分（設定）'!$A$2:$C$2001, 3, FALSE), ""))</f>
        <v/>
      </c>
      <c r="R1083" t="str">
        <f>IF(B1083="","", IFERROR(VLOOKUP(B1083, '基準資産配分（設定）'!$A$2:$C$2001, 2, FALSE)/100, 0))</f>
        <v/>
      </c>
      <c r="S1083" t="str">
        <f>IF(B1083="","", IFERROR(SUMIFS(ベンチマークリターン!$C$2:$C$2001, ベンチマークリターン!$A$2:$A$2001, A1083, ベンチマークリターン!$B$2:$B$2001, Q1083) / 100, 0))</f>
        <v/>
      </c>
      <c r="T1083" t="str">
        <f>IF(A1083="","", SUMIFS($H$2:$H$2000, $A$2:$A$2000, A1083))</f>
        <v/>
      </c>
      <c r="U1083" t="str">
        <f t="shared" si="184"/>
        <v/>
      </c>
      <c r="V1083" t="str">
        <f t="shared" si="185"/>
        <v/>
      </c>
      <c r="W1083" t="str">
        <f t="shared" si="186"/>
        <v/>
      </c>
    </row>
    <row r="1084" spans="1:23" x14ac:dyDescent="0.2">
      <c r="A1084" s="4" t="str">
        <f>IF(ポートフォリオ実績!A1085="","", ポートフォリオ実績!A1085)</f>
        <v/>
      </c>
      <c r="B1084" t="str">
        <f>IF(ポートフォリオ実績!B1085="","", ポートフォリオ実績!B1085)</f>
        <v/>
      </c>
      <c r="C1084" s="10" t="str">
        <f>IF(ポートフォリオ実績!C1085="","", ポートフォリオ実績!C1085)</f>
        <v/>
      </c>
      <c r="D1084" s="10" t="str">
        <f>IF(ポートフォリオ実績!D1085="","", ポートフォリオ実績!D1085)</f>
        <v/>
      </c>
      <c r="E1084" s="10" t="str">
        <f>IF(ポートフォリオ実績!E1085="","", ポートフォリオ実績!E1085)</f>
        <v/>
      </c>
      <c r="F1084" s="10" t="str">
        <f>IF(ポートフォリオ実績!F1085="","", ポートフォリオ実績!F1085)</f>
        <v/>
      </c>
      <c r="G1084" t="str">
        <f t="shared" si="176"/>
        <v/>
      </c>
      <c r="H1084">
        <f>IF(B1084&lt;&gt;"", SUMIFS(ポートフォリオ実績!$D$2:$D$2001, ポートフォリオ実績!$B$2:$B$2001, B1084, ポートフォリオ実績!$A$2:$A$2001, G1084), 0)</f>
        <v>0</v>
      </c>
      <c r="I1084">
        <f>IF(B1084&lt;&gt;"", SUMIFS(ポートフォリオ実績!$C$2:$C$2001, ポートフォリオ実績!$B$2:$B$2001, B1084, ポートフォリオ実績!$A$2:$A$2001, G1084), 0)</f>
        <v>0</v>
      </c>
      <c r="J1084">
        <f t="shared" si="177"/>
        <v>0</v>
      </c>
      <c r="K1084">
        <f t="shared" si="178"/>
        <v>0</v>
      </c>
      <c r="L1084">
        <f t="shared" si="179"/>
        <v>0</v>
      </c>
      <c r="M1084">
        <f t="shared" si="180"/>
        <v>0</v>
      </c>
      <c r="N1084">
        <f t="shared" si="181"/>
        <v>0</v>
      </c>
      <c r="O1084">
        <f t="shared" si="182"/>
        <v>0</v>
      </c>
      <c r="P1084" t="str">
        <f t="shared" si="183"/>
        <v/>
      </c>
      <c r="Q1084" t="str">
        <f>IF(B1084="","", IFERROR(VLOOKUP(B1084, '基準資産配分（設定）'!$A$2:$C$2001, 3, FALSE), ""))</f>
        <v/>
      </c>
      <c r="R1084" t="str">
        <f>IF(B1084="","", IFERROR(VLOOKUP(B1084, '基準資産配分（設定）'!$A$2:$C$2001, 2, FALSE)/100, 0))</f>
        <v/>
      </c>
      <c r="S1084" t="str">
        <f>IF(B1084="","", IFERROR(SUMIFS(ベンチマークリターン!$C$2:$C$2001, ベンチマークリターン!$A$2:$A$2001, A1084, ベンチマークリターン!$B$2:$B$2001, Q1084) / 100, 0))</f>
        <v/>
      </c>
      <c r="T1084" t="str">
        <f>IF(A1084="","", SUMIFS($H$2:$H$2000, $A$2:$A$2000, A1084))</f>
        <v/>
      </c>
      <c r="U1084" t="str">
        <f t="shared" si="184"/>
        <v/>
      </c>
      <c r="V1084" t="str">
        <f t="shared" si="185"/>
        <v/>
      </c>
      <c r="W1084" t="str">
        <f t="shared" si="186"/>
        <v/>
      </c>
    </row>
    <row r="1085" spans="1:23" x14ac:dyDescent="0.2">
      <c r="A1085" s="4" t="str">
        <f>IF(ポートフォリオ実績!A1086="","", ポートフォリオ実績!A1086)</f>
        <v/>
      </c>
      <c r="B1085" t="str">
        <f>IF(ポートフォリオ実績!B1086="","", ポートフォリオ実績!B1086)</f>
        <v/>
      </c>
      <c r="C1085" s="10" t="str">
        <f>IF(ポートフォリオ実績!C1086="","", ポートフォリオ実績!C1086)</f>
        <v/>
      </c>
      <c r="D1085" s="10" t="str">
        <f>IF(ポートフォリオ実績!D1086="","", ポートフォリオ実績!D1086)</f>
        <v/>
      </c>
      <c r="E1085" s="10" t="str">
        <f>IF(ポートフォリオ実績!E1086="","", ポートフォリオ実績!E1086)</f>
        <v/>
      </c>
      <c r="F1085" s="10" t="str">
        <f>IF(ポートフォリオ実績!F1086="","", ポートフォリオ実績!F1086)</f>
        <v/>
      </c>
      <c r="G1085" t="str">
        <f t="shared" si="176"/>
        <v/>
      </c>
      <c r="H1085">
        <f>IF(B1085&lt;&gt;"", SUMIFS(ポートフォリオ実績!$D$2:$D$2001, ポートフォリオ実績!$B$2:$B$2001, B1085, ポートフォリオ実績!$A$2:$A$2001, G1085), 0)</f>
        <v>0</v>
      </c>
      <c r="I1085">
        <f>IF(B1085&lt;&gt;"", SUMIFS(ポートフォリオ実績!$C$2:$C$2001, ポートフォリオ実績!$B$2:$B$2001, B1085, ポートフォリオ実績!$A$2:$A$2001, G1085), 0)</f>
        <v>0</v>
      </c>
      <c r="J1085">
        <f t="shared" si="177"/>
        <v>0</v>
      </c>
      <c r="K1085">
        <f t="shared" si="178"/>
        <v>0</v>
      </c>
      <c r="L1085">
        <f t="shared" si="179"/>
        <v>0</v>
      </c>
      <c r="M1085">
        <f t="shared" si="180"/>
        <v>0</v>
      </c>
      <c r="N1085">
        <f t="shared" si="181"/>
        <v>0</v>
      </c>
      <c r="O1085">
        <f t="shared" si="182"/>
        <v>0</v>
      </c>
      <c r="P1085" t="str">
        <f t="shared" si="183"/>
        <v/>
      </c>
      <c r="Q1085" t="str">
        <f>IF(B1085="","", IFERROR(VLOOKUP(B1085, '基準資産配分（設定）'!$A$2:$C$2001, 3, FALSE), ""))</f>
        <v/>
      </c>
      <c r="R1085" t="str">
        <f>IF(B1085="","", IFERROR(VLOOKUP(B1085, '基準資産配分（設定）'!$A$2:$C$2001, 2, FALSE)/100, 0))</f>
        <v/>
      </c>
      <c r="S1085" t="str">
        <f>IF(B1085="","", IFERROR(SUMIFS(ベンチマークリターン!$C$2:$C$2001, ベンチマークリターン!$A$2:$A$2001, A1085, ベンチマークリターン!$B$2:$B$2001, Q1085) / 100, 0))</f>
        <v/>
      </c>
      <c r="T1085" t="str">
        <f>IF(A1085="","", SUMIFS($H$2:$H$2000, $A$2:$A$2000, A1085))</f>
        <v/>
      </c>
      <c r="U1085" t="str">
        <f t="shared" si="184"/>
        <v/>
      </c>
      <c r="V1085" t="str">
        <f t="shared" si="185"/>
        <v/>
      </c>
      <c r="W1085" t="str">
        <f t="shared" si="186"/>
        <v/>
      </c>
    </row>
    <row r="1086" spans="1:23" x14ac:dyDescent="0.2">
      <c r="A1086" s="4" t="str">
        <f>IF(ポートフォリオ実績!A1087="","", ポートフォリオ実績!A1087)</f>
        <v/>
      </c>
      <c r="B1086" t="str">
        <f>IF(ポートフォリオ実績!B1087="","", ポートフォリオ実績!B1087)</f>
        <v/>
      </c>
      <c r="C1086" s="10" t="str">
        <f>IF(ポートフォリオ実績!C1087="","", ポートフォリオ実績!C1087)</f>
        <v/>
      </c>
      <c r="D1086" s="10" t="str">
        <f>IF(ポートフォリオ実績!D1087="","", ポートフォリオ実績!D1087)</f>
        <v/>
      </c>
      <c r="E1086" s="10" t="str">
        <f>IF(ポートフォリオ実績!E1087="","", ポートフォリオ実績!E1087)</f>
        <v/>
      </c>
      <c r="F1086" s="10" t="str">
        <f>IF(ポートフォリオ実績!F1087="","", ポートフォリオ実績!F1087)</f>
        <v/>
      </c>
      <c r="G1086" t="str">
        <f t="shared" si="176"/>
        <v/>
      </c>
      <c r="H1086">
        <f>IF(B1086&lt;&gt;"", SUMIFS(ポートフォリオ実績!$D$2:$D$2001, ポートフォリオ実績!$B$2:$B$2001, B1086, ポートフォリオ実績!$A$2:$A$2001, G1086), 0)</f>
        <v>0</v>
      </c>
      <c r="I1086">
        <f>IF(B1086&lt;&gt;"", SUMIFS(ポートフォリオ実績!$C$2:$C$2001, ポートフォリオ実績!$B$2:$B$2001, B1086, ポートフォリオ実績!$A$2:$A$2001, G1086), 0)</f>
        <v>0</v>
      </c>
      <c r="J1086">
        <f t="shared" si="177"/>
        <v>0</v>
      </c>
      <c r="K1086">
        <f t="shared" si="178"/>
        <v>0</v>
      </c>
      <c r="L1086">
        <f t="shared" si="179"/>
        <v>0</v>
      </c>
      <c r="M1086">
        <f t="shared" si="180"/>
        <v>0</v>
      </c>
      <c r="N1086">
        <f t="shared" si="181"/>
        <v>0</v>
      </c>
      <c r="O1086">
        <f t="shared" si="182"/>
        <v>0</v>
      </c>
      <c r="P1086" t="str">
        <f t="shared" si="183"/>
        <v/>
      </c>
      <c r="Q1086" t="str">
        <f>IF(B1086="","", IFERROR(VLOOKUP(B1086, '基準資産配分（設定）'!$A$2:$C$2001, 3, FALSE), ""))</f>
        <v/>
      </c>
      <c r="R1086" t="str">
        <f>IF(B1086="","", IFERROR(VLOOKUP(B1086, '基準資産配分（設定）'!$A$2:$C$2001, 2, FALSE)/100, 0))</f>
        <v/>
      </c>
      <c r="S1086" t="str">
        <f>IF(B1086="","", IFERROR(SUMIFS(ベンチマークリターン!$C$2:$C$2001, ベンチマークリターン!$A$2:$A$2001, A1086, ベンチマークリターン!$B$2:$B$2001, Q1086) / 100, 0))</f>
        <v/>
      </c>
      <c r="T1086" t="str">
        <f>IF(A1086="","", SUMIFS($H$2:$H$2000, $A$2:$A$2000, A1086))</f>
        <v/>
      </c>
      <c r="U1086" t="str">
        <f t="shared" si="184"/>
        <v/>
      </c>
      <c r="V1086" t="str">
        <f t="shared" si="185"/>
        <v/>
      </c>
      <c r="W1086" t="str">
        <f t="shared" si="186"/>
        <v/>
      </c>
    </row>
    <row r="1087" spans="1:23" x14ac:dyDescent="0.2">
      <c r="A1087" s="4" t="str">
        <f>IF(ポートフォリオ実績!A1088="","", ポートフォリオ実績!A1088)</f>
        <v/>
      </c>
      <c r="B1087" t="str">
        <f>IF(ポートフォリオ実績!B1088="","", ポートフォリオ実績!B1088)</f>
        <v/>
      </c>
      <c r="C1087" s="10" t="str">
        <f>IF(ポートフォリオ実績!C1088="","", ポートフォリオ実績!C1088)</f>
        <v/>
      </c>
      <c r="D1087" s="10" t="str">
        <f>IF(ポートフォリオ実績!D1088="","", ポートフォリオ実績!D1088)</f>
        <v/>
      </c>
      <c r="E1087" s="10" t="str">
        <f>IF(ポートフォリオ実績!E1088="","", ポートフォリオ実績!E1088)</f>
        <v/>
      </c>
      <c r="F1087" s="10" t="str">
        <f>IF(ポートフォリオ実績!F1088="","", ポートフォリオ実績!F1088)</f>
        <v/>
      </c>
      <c r="G1087" t="str">
        <f t="shared" si="176"/>
        <v/>
      </c>
      <c r="H1087">
        <f>IF(B1087&lt;&gt;"", SUMIFS(ポートフォリオ実績!$D$2:$D$2001, ポートフォリオ実績!$B$2:$B$2001, B1087, ポートフォリオ実績!$A$2:$A$2001, G1087), 0)</f>
        <v>0</v>
      </c>
      <c r="I1087">
        <f>IF(B1087&lt;&gt;"", SUMIFS(ポートフォリオ実績!$C$2:$C$2001, ポートフォリオ実績!$B$2:$B$2001, B1087, ポートフォリオ実績!$A$2:$A$2001, G1087), 0)</f>
        <v>0</v>
      </c>
      <c r="J1087">
        <f t="shared" si="177"/>
        <v>0</v>
      </c>
      <c r="K1087">
        <f t="shared" si="178"/>
        <v>0</v>
      </c>
      <c r="L1087">
        <f t="shared" si="179"/>
        <v>0</v>
      </c>
      <c r="M1087">
        <f t="shared" si="180"/>
        <v>0</v>
      </c>
      <c r="N1087">
        <f t="shared" si="181"/>
        <v>0</v>
      </c>
      <c r="O1087">
        <f t="shared" si="182"/>
        <v>0</v>
      </c>
      <c r="P1087" t="str">
        <f t="shared" si="183"/>
        <v/>
      </c>
      <c r="Q1087" t="str">
        <f>IF(B1087="","", IFERROR(VLOOKUP(B1087, '基準資産配分（設定）'!$A$2:$C$2001, 3, FALSE), ""))</f>
        <v/>
      </c>
      <c r="R1087" t="str">
        <f>IF(B1087="","", IFERROR(VLOOKUP(B1087, '基準資産配分（設定）'!$A$2:$C$2001, 2, FALSE)/100, 0))</f>
        <v/>
      </c>
      <c r="S1087" t="str">
        <f>IF(B1087="","", IFERROR(SUMIFS(ベンチマークリターン!$C$2:$C$2001, ベンチマークリターン!$A$2:$A$2001, A1087, ベンチマークリターン!$B$2:$B$2001, Q1087) / 100, 0))</f>
        <v/>
      </c>
      <c r="T1087" t="str">
        <f>IF(A1087="","", SUMIFS($H$2:$H$2000, $A$2:$A$2000, A1087))</f>
        <v/>
      </c>
      <c r="U1087" t="str">
        <f t="shared" si="184"/>
        <v/>
      </c>
      <c r="V1087" t="str">
        <f t="shared" si="185"/>
        <v/>
      </c>
      <c r="W1087" t="str">
        <f t="shared" si="186"/>
        <v/>
      </c>
    </row>
    <row r="1088" spans="1:23" x14ac:dyDescent="0.2">
      <c r="A1088" s="4" t="str">
        <f>IF(ポートフォリオ実績!A1089="","", ポートフォリオ実績!A1089)</f>
        <v/>
      </c>
      <c r="B1088" t="str">
        <f>IF(ポートフォリオ実績!B1089="","", ポートフォリオ実績!B1089)</f>
        <v/>
      </c>
      <c r="C1088" s="10" t="str">
        <f>IF(ポートフォリオ実績!C1089="","", ポートフォリオ実績!C1089)</f>
        <v/>
      </c>
      <c r="D1088" s="10" t="str">
        <f>IF(ポートフォリオ実績!D1089="","", ポートフォリオ実績!D1089)</f>
        <v/>
      </c>
      <c r="E1088" s="10" t="str">
        <f>IF(ポートフォリオ実績!E1089="","", ポートフォリオ実績!E1089)</f>
        <v/>
      </c>
      <c r="F1088" s="10" t="str">
        <f>IF(ポートフォリオ実績!F1089="","", ポートフォリオ実績!F1089)</f>
        <v/>
      </c>
      <c r="G1088" t="str">
        <f t="shared" si="176"/>
        <v/>
      </c>
      <c r="H1088">
        <f>IF(B1088&lt;&gt;"", SUMIFS(ポートフォリオ実績!$D$2:$D$2001, ポートフォリオ実績!$B$2:$B$2001, B1088, ポートフォリオ実績!$A$2:$A$2001, G1088), 0)</f>
        <v>0</v>
      </c>
      <c r="I1088">
        <f>IF(B1088&lt;&gt;"", SUMIFS(ポートフォリオ実績!$C$2:$C$2001, ポートフォリオ実績!$B$2:$B$2001, B1088, ポートフォリオ実績!$A$2:$A$2001, G1088), 0)</f>
        <v>0</v>
      </c>
      <c r="J1088">
        <f t="shared" si="177"/>
        <v>0</v>
      </c>
      <c r="K1088">
        <f t="shared" si="178"/>
        <v>0</v>
      </c>
      <c r="L1088">
        <f t="shared" si="179"/>
        <v>0</v>
      </c>
      <c r="M1088">
        <f t="shared" si="180"/>
        <v>0</v>
      </c>
      <c r="N1088">
        <f t="shared" si="181"/>
        <v>0</v>
      </c>
      <c r="O1088">
        <f t="shared" si="182"/>
        <v>0</v>
      </c>
      <c r="P1088" t="str">
        <f t="shared" si="183"/>
        <v/>
      </c>
      <c r="Q1088" t="str">
        <f>IF(B1088="","", IFERROR(VLOOKUP(B1088, '基準資産配分（設定）'!$A$2:$C$2001, 3, FALSE), ""))</f>
        <v/>
      </c>
      <c r="R1088" t="str">
        <f>IF(B1088="","", IFERROR(VLOOKUP(B1088, '基準資産配分（設定）'!$A$2:$C$2001, 2, FALSE)/100, 0))</f>
        <v/>
      </c>
      <c r="S1088" t="str">
        <f>IF(B1088="","", IFERROR(SUMIFS(ベンチマークリターン!$C$2:$C$2001, ベンチマークリターン!$A$2:$A$2001, A1088, ベンチマークリターン!$B$2:$B$2001, Q1088) / 100, 0))</f>
        <v/>
      </c>
      <c r="T1088" t="str">
        <f>IF(A1088="","", SUMIFS($H$2:$H$2000, $A$2:$A$2000, A1088))</f>
        <v/>
      </c>
      <c r="U1088" t="str">
        <f t="shared" si="184"/>
        <v/>
      </c>
      <c r="V1088" t="str">
        <f t="shared" si="185"/>
        <v/>
      </c>
      <c r="W1088" t="str">
        <f t="shared" si="186"/>
        <v/>
      </c>
    </row>
    <row r="1089" spans="1:23" x14ac:dyDescent="0.2">
      <c r="A1089" s="4" t="str">
        <f>IF(ポートフォリオ実績!A1090="","", ポートフォリオ実績!A1090)</f>
        <v/>
      </c>
      <c r="B1089" t="str">
        <f>IF(ポートフォリオ実績!B1090="","", ポートフォリオ実績!B1090)</f>
        <v/>
      </c>
      <c r="C1089" s="10" t="str">
        <f>IF(ポートフォリオ実績!C1090="","", ポートフォリオ実績!C1090)</f>
        <v/>
      </c>
      <c r="D1089" s="10" t="str">
        <f>IF(ポートフォリオ実績!D1090="","", ポートフォリオ実績!D1090)</f>
        <v/>
      </c>
      <c r="E1089" s="10" t="str">
        <f>IF(ポートフォリオ実績!E1090="","", ポートフォリオ実績!E1090)</f>
        <v/>
      </c>
      <c r="F1089" s="10" t="str">
        <f>IF(ポートフォリオ実績!F1090="","", ポートフォリオ実績!F1090)</f>
        <v/>
      </c>
      <c r="G1089" t="str">
        <f t="shared" ref="G1089:G1152" si="187">IF(A1089&lt;&gt;"", EOMONTH(A1089, -1), "")</f>
        <v/>
      </c>
      <c r="H1089">
        <f>IF(B1089&lt;&gt;"", SUMIFS(ポートフォリオ実績!$D$2:$D$2001, ポートフォリオ実績!$B$2:$B$2001, B1089, ポートフォリオ実績!$A$2:$A$2001, G1089), 0)</f>
        <v>0</v>
      </c>
      <c r="I1089">
        <f>IF(B1089&lt;&gt;"", SUMIFS(ポートフォリオ実績!$C$2:$C$2001, ポートフォリオ実績!$B$2:$B$2001, B1089, ポートフォリオ実績!$A$2:$A$2001, G1089), 0)</f>
        <v>0</v>
      </c>
      <c r="J1089">
        <f t="shared" ref="J1089:J1152" si="188">IF(A1089&lt;&gt;"", D1089-C1089, 0)</f>
        <v>0</v>
      </c>
      <c r="K1089">
        <f t="shared" ref="K1089:K1152" si="189">IF(A1089&lt;&gt;"", H1089-I1089, 0)</f>
        <v>0</v>
      </c>
      <c r="L1089">
        <f t="shared" ref="L1089:L1152" si="190">IF(H1089=0, 0, J1089-K1089)</f>
        <v>0</v>
      </c>
      <c r="M1089">
        <f t="shared" ref="M1089:M1152" si="191">IF(A1089&lt;&gt;"", E1089+F1089+L1089, 0)</f>
        <v>0</v>
      </c>
      <c r="N1089">
        <f t="shared" ref="N1089:N1152" si="192">IF(H1089=0, 0, (D1089-H1089)-M1089)</f>
        <v>0</v>
      </c>
      <c r="O1089">
        <f t="shared" ref="O1089:O1152" si="193">IF(A1089&lt;&gt;"", H1089+N1089*0.5, 0)</f>
        <v>0</v>
      </c>
      <c r="P1089" t="str">
        <f t="shared" ref="P1089:P1152" si="194">IF(A1089="","", IF(O1089&gt;0.000001, M1089/O1089, IF(ABS(M1089)&lt;0.000001, 0, 0)))</f>
        <v/>
      </c>
      <c r="Q1089" t="str">
        <f>IF(B1089="","", IFERROR(VLOOKUP(B1089, '基準資産配分（設定）'!$A$2:$C$2001, 3, FALSE), ""))</f>
        <v/>
      </c>
      <c r="R1089" t="str">
        <f>IF(B1089="","", IFERROR(VLOOKUP(B1089, '基準資産配分（設定）'!$A$2:$C$2001, 2, FALSE)/100, 0))</f>
        <v/>
      </c>
      <c r="S1089" t="str">
        <f>IF(B1089="","", IFERROR(SUMIFS(ベンチマークリターン!$C$2:$C$2001, ベンチマークリターン!$A$2:$A$2001, A1089, ベンチマークリターン!$B$2:$B$2001, Q1089) / 100, 0))</f>
        <v/>
      </c>
      <c r="T1089" t="str">
        <f>IF(A1089="","", SUMIFS($H$2:$H$2000, $A$2:$A$2000, A1089))</f>
        <v/>
      </c>
      <c r="U1089" t="str">
        <f t="shared" ref="U1089:U1152" si="195">IF(A1089="","", IFERROR(H1089/T1089, 0))</f>
        <v/>
      </c>
      <c r="V1089" t="str">
        <f t="shared" ref="V1089:V1152" si="196">IF(A1089="","", U1089*P1089)</f>
        <v/>
      </c>
      <c r="W1089" t="str">
        <f t="shared" ref="W1089:W1152" si="197">IF(A1089="","", R1089*S1089)</f>
        <v/>
      </c>
    </row>
    <row r="1090" spans="1:23" x14ac:dyDescent="0.2">
      <c r="A1090" s="4" t="str">
        <f>IF(ポートフォリオ実績!A1091="","", ポートフォリオ実績!A1091)</f>
        <v/>
      </c>
      <c r="B1090" t="str">
        <f>IF(ポートフォリオ実績!B1091="","", ポートフォリオ実績!B1091)</f>
        <v/>
      </c>
      <c r="C1090" s="10" t="str">
        <f>IF(ポートフォリオ実績!C1091="","", ポートフォリオ実績!C1091)</f>
        <v/>
      </c>
      <c r="D1090" s="10" t="str">
        <f>IF(ポートフォリオ実績!D1091="","", ポートフォリオ実績!D1091)</f>
        <v/>
      </c>
      <c r="E1090" s="10" t="str">
        <f>IF(ポートフォリオ実績!E1091="","", ポートフォリオ実績!E1091)</f>
        <v/>
      </c>
      <c r="F1090" s="10" t="str">
        <f>IF(ポートフォリオ実績!F1091="","", ポートフォリオ実績!F1091)</f>
        <v/>
      </c>
      <c r="G1090" t="str">
        <f t="shared" si="187"/>
        <v/>
      </c>
      <c r="H1090">
        <f>IF(B1090&lt;&gt;"", SUMIFS(ポートフォリオ実績!$D$2:$D$2001, ポートフォリオ実績!$B$2:$B$2001, B1090, ポートフォリオ実績!$A$2:$A$2001, G1090), 0)</f>
        <v>0</v>
      </c>
      <c r="I1090">
        <f>IF(B1090&lt;&gt;"", SUMIFS(ポートフォリオ実績!$C$2:$C$2001, ポートフォリオ実績!$B$2:$B$2001, B1090, ポートフォリオ実績!$A$2:$A$2001, G1090), 0)</f>
        <v>0</v>
      </c>
      <c r="J1090">
        <f t="shared" si="188"/>
        <v>0</v>
      </c>
      <c r="K1090">
        <f t="shared" si="189"/>
        <v>0</v>
      </c>
      <c r="L1090">
        <f t="shared" si="190"/>
        <v>0</v>
      </c>
      <c r="M1090">
        <f t="shared" si="191"/>
        <v>0</v>
      </c>
      <c r="N1090">
        <f t="shared" si="192"/>
        <v>0</v>
      </c>
      <c r="O1090">
        <f t="shared" si="193"/>
        <v>0</v>
      </c>
      <c r="P1090" t="str">
        <f t="shared" si="194"/>
        <v/>
      </c>
      <c r="Q1090" t="str">
        <f>IF(B1090="","", IFERROR(VLOOKUP(B1090, '基準資産配分（設定）'!$A$2:$C$2001, 3, FALSE), ""))</f>
        <v/>
      </c>
      <c r="R1090" t="str">
        <f>IF(B1090="","", IFERROR(VLOOKUP(B1090, '基準資産配分（設定）'!$A$2:$C$2001, 2, FALSE)/100, 0))</f>
        <v/>
      </c>
      <c r="S1090" t="str">
        <f>IF(B1090="","", IFERROR(SUMIFS(ベンチマークリターン!$C$2:$C$2001, ベンチマークリターン!$A$2:$A$2001, A1090, ベンチマークリターン!$B$2:$B$2001, Q1090) / 100, 0))</f>
        <v/>
      </c>
      <c r="T1090" t="str">
        <f>IF(A1090="","", SUMIFS($H$2:$H$2000, $A$2:$A$2000, A1090))</f>
        <v/>
      </c>
      <c r="U1090" t="str">
        <f t="shared" si="195"/>
        <v/>
      </c>
      <c r="V1090" t="str">
        <f t="shared" si="196"/>
        <v/>
      </c>
      <c r="W1090" t="str">
        <f t="shared" si="197"/>
        <v/>
      </c>
    </row>
    <row r="1091" spans="1:23" x14ac:dyDescent="0.2">
      <c r="A1091" s="4" t="str">
        <f>IF(ポートフォリオ実績!A1092="","", ポートフォリオ実績!A1092)</f>
        <v/>
      </c>
      <c r="B1091" t="str">
        <f>IF(ポートフォリオ実績!B1092="","", ポートフォリオ実績!B1092)</f>
        <v/>
      </c>
      <c r="C1091" s="10" t="str">
        <f>IF(ポートフォリオ実績!C1092="","", ポートフォリオ実績!C1092)</f>
        <v/>
      </c>
      <c r="D1091" s="10" t="str">
        <f>IF(ポートフォリオ実績!D1092="","", ポートフォリオ実績!D1092)</f>
        <v/>
      </c>
      <c r="E1091" s="10" t="str">
        <f>IF(ポートフォリオ実績!E1092="","", ポートフォリオ実績!E1092)</f>
        <v/>
      </c>
      <c r="F1091" s="10" t="str">
        <f>IF(ポートフォリオ実績!F1092="","", ポートフォリオ実績!F1092)</f>
        <v/>
      </c>
      <c r="G1091" t="str">
        <f t="shared" si="187"/>
        <v/>
      </c>
      <c r="H1091">
        <f>IF(B1091&lt;&gt;"", SUMIFS(ポートフォリオ実績!$D$2:$D$2001, ポートフォリオ実績!$B$2:$B$2001, B1091, ポートフォリオ実績!$A$2:$A$2001, G1091), 0)</f>
        <v>0</v>
      </c>
      <c r="I1091">
        <f>IF(B1091&lt;&gt;"", SUMIFS(ポートフォリオ実績!$C$2:$C$2001, ポートフォリオ実績!$B$2:$B$2001, B1091, ポートフォリオ実績!$A$2:$A$2001, G1091), 0)</f>
        <v>0</v>
      </c>
      <c r="J1091">
        <f t="shared" si="188"/>
        <v>0</v>
      </c>
      <c r="K1091">
        <f t="shared" si="189"/>
        <v>0</v>
      </c>
      <c r="L1091">
        <f t="shared" si="190"/>
        <v>0</v>
      </c>
      <c r="M1091">
        <f t="shared" si="191"/>
        <v>0</v>
      </c>
      <c r="N1091">
        <f t="shared" si="192"/>
        <v>0</v>
      </c>
      <c r="O1091">
        <f t="shared" si="193"/>
        <v>0</v>
      </c>
      <c r="P1091" t="str">
        <f t="shared" si="194"/>
        <v/>
      </c>
      <c r="Q1091" t="str">
        <f>IF(B1091="","", IFERROR(VLOOKUP(B1091, '基準資産配分（設定）'!$A$2:$C$2001, 3, FALSE), ""))</f>
        <v/>
      </c>
      <c r="R1091" t="str">
        <f>IF(B1091="","", IFERROR(VLOOKUP(B1091, '基準資産配分（設定）'!$A$2:$C$2001, 2, FALSE)/100, 0))</f>
        <v/>
      </c>
      <c r="S1091" t="str">
        <f>IF(B1091="","", IFERROR(SUMIFS(ベンチマークリターン!$C$2:$C$2001, ベンチマークリターン!$A$2:$A$2001, A1091, ベンチマークリターン!$B$2:$B$2001, Q1091) / 100, 0))</f>
        <v/>
      </c>
      <c r="T1091" t="str">
        <f>IF(A1091="","", SUMIFS($H$2:$H$2000, $A$2:$A$2000, A1091))</f>
        <v/>
      </c>
      <c r="U1091" t="str">
        <f t="shared" si="195"/>
        <v/>
      </c>
      <c r="V1091" t="str">
        <f t="shared" si="196"/>
        <v/>
      </c>
      <c r="W1091" t="str">
        <f t="shared" si="197"/>
        <v/>
      </c>
    </row>
    <row r="1092" spans="1:23" x14ac:dyDescent="0.2">
      <c r="A1092" s="4" t="str">
        <f>IF(ポートフォリオ実績!A1093="","", ポートフォリオ実績!A1093)</f>
        <v/>
      </c>
      <c r="B1092" t="str">
        <f>IF(ポートフォリオ実績!B1093="","", ポートフォリオ実績!B1093)</f>
        <v/>
      </c>
      <c r="C1092" s="10" t="str">
        <f>IF(ポートフォリオ実績!C1093="","", ポートフォリオ実績!C1093)</f>
        <v/>
      </c>
      <c r="D1092" s="10" t="str">
        <f>IF(ポートフォリオ実績!D1093="","", ポートフォリオ実績!D1093)</f>
        <v/>
      </c>
      <c r="E1092" s="10" t="str">
        <f>IF(ポートフォリオ実績!E1093="","", ポートフォリオ実績!E1093)</f>
        <v/>
      </c>
      <c r="F1092" s="10" t="str">
        <f>IF(ポートフォリオ実績!F1093="","", ポートフォリオ実績!F1093)</f>
        <v/>
      </c>
      <c r="G1092" t="str">
        <f t="shared" si="187"/>
        <v/>
      </c>
      <c r="H1092">
        <f>IF(B1092&lt;&gt;"", SUMIFS(ポートフォリオ実績!$D$2:$D$2001, ポートフォリオ実績!$B$2:$B$2001, B1092, ポートフォリオ実績!$A$2:$A$2001, G1092), 0)</f>
        <v>0</v>
      </c>
      <c r="I1092">
        <f>IF(B1092&lt;&gt;"", SUMIFS(ポートフォリオ実績!$C$2:$C$2001, ポートフォリオ実績!$B$2:$B$2001, B1092, ポートフォリオ実績!$A$2:$A$2001, G1092), 0)</f>
        <v>0</v>
      </c>
      <c r="J1092">
        <f t="shared" si="188"/>
        <v>0</v>
      </c>
      <c r="K1092">
        <f t="shared" si="189"/>
        <v>0</v>
      </c>
      <c r="L1092">
        <f t="shared" si="190"/>
        <v>0</v>
      </c>
      <c r="M1092">
        <f t="shared" si="191"/>
        <v>0</v>
      </c>
      <c r="N1092">
        <f t="shared" si="192"/>
        <v>0</v>
      </c>
      <c r="O1092">
        <f t="shared" si="193"/>
        <v>0</v>
      </c>
      <c r="P1092" t="str">
        <f t="shared" si="194"/>
        <v/>
      </c>
      <c r="Q1092" t="str">
        <f>IF(B1092="","", IFERROR(VLOOKUP(B1092, '基準資産配分（設定）'!$A$2:$C$2001, 3, FALSE), ""))</f>
        <v/>
      </c>
      <c r="R1092" t="str">
        <f>IF(B1092="","", IFERROR(VLOOKUP(B1092, '基準資産配分（設定）'!$A$2:$C$2001, 2, FALSE)/100, 0))</f>
        <v/>
      </c>
      <c r="S1092" t="str">
        <f>IF(B1092="","", IFERROR(SUMIFS(ベンチマークリターン!$C$2:$C$2001, ベンチマークリターン!$A$2:$A$2001, A1092, ベンチマークリターン!$B$2:$B$2001, Q1092) / 100, 0))</f>
        <v/>
      </c>
      <c r="T1092" t="str">
        <f>IF(A1092="","", SUMIFS($H$2:$H$2000, $A$2:$A$2000, A1092))</f>
        <v/>
      </c>
      <c r="U1092" t="str">
        <f t="shared" si="195"/>
        <v/>
      </c>
      <c r="V1092" t="str">
        <f t="shared" si="196"/>
        <v/>
      </c>
      <c r="W1092" t="str">
        <f t="shared" si="197"/>
        <v/>
      </c>
    </row>
    <row r="1093" spans="1:23" x14ac:dyDescent="0.2">
      <c r="A1093" s="4" t="str">
        <f>IF(ポートフォリオ実績!A1094="","", ポートフォリオ実績!A1094)</f>
        <v/>
      </c>
      <c r="B1093" t="str">
        <f>IF(ポートフォリオ実績!B1094="","", ポートフォリオ実績!B1094)</f>
        <v/>
      </c>
      <c r="C1093" s="10" t="str">
        <f>IF(ポートフォリオ実績!C1094="","", ポートフォリオ実績!C1094)</f>
        <v/>
      </c>
      <c r="D1093" s="10" t="str">
        <f>IF(ポートフォリオ実績!D1094="","", ポートフォリオ実績!D1094)</f>
        <v/>
      </c>
      <c r="E1093" s="10" t="str">
        <f>IF(ポートフォリオ実績!E1094="","", ポートフォリオ実績!E1094)</f>
        <v/>
      </c>
      <c r="F1093" s="10" t="str">
        <f>IF(ポートフォリオ実績!F1094="","", ポートフォリオ実績!F1094)</f>
        <v/>
      </c>
      <c r="G1093" t="str">
        <f t="shared" si="187"/>
        <v/>
      </c>
      <c r="H1093">
        <f>IF(B1093&lt;&gt;"", SUMIFS(ポートフォリオ実績!$D$2:$D$2001, ポートフォリオ実績!$B$2:$B$2001, B1093, ポートフォリオ実績!$A$2:$A$2001, G1093), 0)</f>
        <v>0</v>
      </c>
      <c r="I1093">
        <f>IF(B1093&lt;&gt;"", SUMIFS(ポートフォリオ実績!$C$2:$C$2001, ポートフォリオ実績!$B$2:$B$2001, B1093, ポートフォリオ実績!$A$2:$A$2001, G1093), 0)</f>
        <v>0</v>
      </c>
      <c r="J1093">
        <f t="shared" si="188"/>
        <v>0</v>
      </c>
      <c r="K1093">
        <f t="shared" si="189"/>
        <v>0</v>
      </c>
      <c r="L1093">
        <f t="shared" si="190"/>
        <v>0</v>
      </c>
      <c r="M1093">
        <f t="shared" si="191"/>
        <v>0</v>
      </c>
      <c r="N1093">
        <f t="shared" si="192"/>
        <v>0</v>
      </c>
      <c r="O1093">
        <f t="shared" si="193"/>
        <v>0</v>
      </c>
      <c r="P1093" t="str">
        <f t="shared" si="194"/>
        <v/>
      </c>
      <c r="Q1093" t="str">
        <f>IF(B1093="","", IFERROR(VLOOKUP(B1093, '基準資産配分（設定）'!$A$2:$C$2001, 3, FALSE), ""))</f>
        <v/>
      </c>
      <c r="R1093" t="str">
        <f>IF(B1093="","", IFERROR(VLOOKUP(B1093, '基準資産配分（設定）'!$A$2:$C$2001, 2, FALSE)/100, 0))</f>
        <v/>
      </c>
      <c r="S1093" t="str">
        <f>IF(B1093="","", IFERROR(SUMIFS(ベンチマークリターン!$C$2:$C$2001, ベンチマークリターン!$A$2:$A$2001, A1093, ベンチマークリターン!$B$2:$B$2001, Q1093) / 100, 0))</f>
        <v/>
      </c>
      <c r="T1093" t="str">
        <f>IF(A1093="","", SUMIFS($H$2:$H$2000, $A$2:$A$2000, A1093))</f>
        <v/>
      </c>
      <c r="U1093" t="str">
        <f t="shared" si="195"/>
        <v/>
      </c>
      <c r="V1093" t="str">
        <f t="shared" si="196"/>
        <v/>
      </c>
      <c r="W1093" t="str">
        <f t="shared" si="197"/>
        <v/>
      </c>
    </row>
    <row r="1094" spans="1:23" x14ac:dyDescent="0.2">
      <c r="A1094" s="4" t="str">
        <f>IF(ポートフォリオ実績!A1095="","", ポートフォリオ実績!A1095)</f>
        <v/>
      </c>
      <c r="B1094" t="str">
        <f>IF(ポートフォリオ実績!B1095="","", ポートフォリオ実績!B1095)</f>
        <v/>
      </c>
      <c r="C1094" s="10" t="str">
        <f>IF(ポートフォリオ実績!C1095="","", ポートフォリオ実績!C1095)</f>
        <v/>
      </c>
      <c r="D1094" s="10" t="str">
        <f>IF(ポートフォリオ実績!D1095="","", ポートフォリオ実績!D1095)</f>
        <v/>
      </c>
      <c r="E1094" s="10" t="str">
        <f>IF(ポートフォリオ実績!E1095="","", ポートフォリオ実績!E1095)</f>
        <v/>
      </c>
      <c r="F1094" s="10" t="str">
        <f>IF(ポートフォリオ実績!F1095="","", ポートフォリオ実績!F1095)</f>
        <v/>
      </c>
      <c r="G1094" t="str">
        <f t="shared" si="187"/>
        <v/>
      </c>
      <c r="H1094">
        <f>IF(B1094&lt;&gt;"", SUMIFS(ポートフォリオ実績!$D$2:$D$2001, ポートフォリオ実績!$B$2:$B$2001, B1094, ポートフォリオ実績!$A$2:$A$2001, G1094), 0)</f>
        <v>0</v>
      </c>
      <c r="I1094">
        <f>IF(B1094&lt;&gt;"", SUMIFS(ポートフォリオ実績!$C$2:$C$2001, ポートフォリオ実績!$B$2:$B$2001, B1094, ポートフォリオ実績!$A$2:$A$2001, G1094), 0)</f>
        <v>0</v>
      </c>
      <c r="J1094">
        <f t="shared" si="188"/>
        <v>0</v>
      </c>
      <c r="K1094">
        <f t="shared" si="189"/>
        <v>0</v>
      </c>
      <c r="L1094">
        <f t="shared" si="190"/>
        <v>0</v>
      </c>
      <c r="M1094">
        <f t="shared" si="191"/>
        <v>0</v>
      </c>
      <c r="N1094">
        <f t="shared" si="192"/>
        <v>0</v>
      </c>
      <c r="O1094">
        <f t="shared" si="193"/>
        <v>0</v>
      </c>
      <c r="P1094" t="str">
        <f t="shared" si="194"/>
        <v/>
      </c>
      <c r="Q1094" t="str">
        <f>IF(B1094="","", IFERROR(VLOOKUP(B1094, '基準資産配分（設定）'!$A$2:$C$2001, 3, FALSE), ""))</f>
        <v/>
      </c>
      <c r="R1094" t="str">
        <f>IF(B1094="","", IFERROR(VLOOKUP(B1094, '基準資産配分（設定）'!$A$2:$C$2001, 2, FALSE)/100, 0))</f>
        <v/>
      </c>
      <c r="S1094" t="str">
        <f>IF(B1094="","", IFERROR(SUMIFS(ベンチマークリターン!$C$2:$C$2001, ベンチマークリターン!$A$2:$A$2001, A1094, ベンチマークリターン!$B$2:$B$2001, Q1094) / 100, 0))</f>
        <v/>
      </c>
      <c r="T1094" t="str">
        <f>IF(A1094="","", SUMIFS($H$2:$H$2000, $A$2:$A$2000, A1094))</f>
        <v/>
      </c>
      <c r="U1094" t="str">
        <f t="shared" si="195"/>
        <v/>
      </c>
      <c r="V1094" t="str">
        <f t="shared" si="196"/>
        <v/>
      </c>
      <c r="W1094" t="str">
        <f t="shared" si="197"/>
        <v/>
      </c>
    </row>
    <row r="1095" spans="1:23" x14ac:dyDescent="0.2">
      <c r="A1095" s="4" t="str">
        <f>IF(ポートフォリオ実績!A1096="","", ポートフォリオ実績!A1096)</f>
        <v/>
      </c>
      <c r="B1095" t="str">
        <f>IF(ポートフォリオ実績!B1096="","", ポートフォリオ実績!B1096)</f>
        <v/>
      </c>
      <c r="C1095" s="10" t="str">
        <f>IF(ポートフォリオ実績!C1096="","", ポートフォリオ実績!C1096)</f>
        <v/>
      </c>
      <c r="D1095" s="10" t="str">
        <f>IF(ポートフォリオ実績!D1096="","", ポートフォリオ実績!D1096)</f>
        <v/>
      </c>
      <c r="E1095" s="10" t="str">
        <f>IF(ポートフォリオ実績!E1096="","", ポートフォリオ実績!E1096)</f>
        <v/>
      </c>
      <c r="F1095" s="10" t="str">
        <f>IF(ポートフォリオ実績!F1096="","", ポートフォリオ実績!F1096)</f>
        <v/>
      </c>
      <c r="G1095" t="str">
        <f t="shared" si="187"/>
        <v/>
      </c>
      <c r="H1095">
        <f>IF(B1095&lt;&gt;"", SUMIFS(ポートフォリオ実績!$D$2:$D$2001, ポートフォリオ実績!$B$2:$B$2001, B1095, ポートフォリオ実績!$A$2:$A$2001, G1095), 0)</f>
        <v>0</v>
      </c>
      <c r="I1095">
        <f>IF(B1095&lt;&gt;"", SUMIFS(ポートフォリオ実績!$C$2:$C$2001, ポートフォリオ実績!$B$2:$B$2001, B1095, ポートフォリオ実績!$A$2:$A$2001, G1095), 0)</f>
        <v>0</v>
      </c>
      <c r="J1095">
        <f t="shared" si="188"/>
        <v>0</v>
      </c>
      <c r="K1095">
        <f t="shared" si="189"/>
        <v>0</v>
      </c>
      <c r="L1095">
        <f t="shared" si="190"/>
        <v>0</v>
      </c>
      <c r="M1095">
        <f t="shared" si="191"/>
        <v>0</v>
      </c>
      <c r="N1095">
        <f t="shared" si="192"/>
        <v>0</v>
      </c>
      <c r="O1095">
        <f t="shared" si="193"/>
        <v>0</v>
      </c>
      <c r="P1095" t="str">
        <f t="shared" si="194"/>
        <v/>
      </c>
      <c r="Q1095" t="str">
        <f>IF(B1095="","", IFERROR(VLOOKUP(B1095, '基準資産配分（設定）'!$A$2:$C$2001, 3, FALSE), ""))</f>
        <v/>
      </c>
      <c r="R1095" t="str">
        <f>IF(B1095="","", IFERROR(VLOOKUP(B1095, '基準資産配分（設定）'!$A$2:$C$2001, 2, FALSE)/100, 0))</f>
        <v/>
      </c>
      <c r="S1095" t="str">
        <f>IF(B1095="","", IFERROR(SUMIFS(ベンチマークリターン!$C$2:$C$2001, ベンチマークリターン!$A$2:$A$2001, A1095, ベンチマークリターン!$B$2:$B$2001, Q1095) / 100, 0))</f>
        <v/>
      </c>
      <c r="T1095" t="str">
        <f>IF(A1095="","", SUMIFS($H$2:$H$2000, $A$2:$A$2000, A1095))</f>
        <v/>
      </c>
      <c r="U1095" t="str">
        <f t="shared" si="195"/>
        <v/>
      </c>
      <c r="V1095" t="str">
        <f t="shared" si="196"/>
        <v/>
      </c>
      <c r="W1095" t="str">
        <f t="shared" si="197"/>
        <v/>
      </c>
    </row>
    <row r="1096" spans="1:23" x14ac:dyDescent="0.2">
      <c r="A1096" s="4" t="str">
        <f>IF(ポートフォリオ実績!A1097="","", ポートフォリオ実績!A1097)</f>
        <v/>
      </c>
      <c r="B1096" t="str">
        <f>IF(ポートフォリオ実績!B1097="","", ポートフォリオ実績!B1097)</f>
        <v/>
      </c>
      <c r="C1096" s="10" t="str">
        <f>IF(ポートフォリオ実績!C1097="","", ポートフォリオ実績!C1097)</f>
        <v/>
      </c>
      <c r="D1096" s="10" t="str">
        <f>IF(ポートフォリオ実績!D1097="","", ポートフォリオ実績!D1097)</f>
        <v/>
      </c>
      <c r="E1096" s="10" t="str">
        <f>IF(ポートフォリオ実績!E1097="","", ポートフォリオ実績!E1097)</f>
        <v/>
      </c>
      <c r="F1096" s="10" t="str">
        <f>IF(ポートフォリオ実績!F1097="","", ポートフォリオ実績!F1097)</f>
        <v/>
      </c>
      <c r="G1096" t="str">
        <f t="shared" si="187"/>
        <v/>
      </c>
      <c r="H1096">
        <f>IF(B1096&lt;&gt;"", SUMIFS(ポートフォリオ実績!$D$2:$D$2001, ポートフォリオ実績!$B$2:$B$2001, B1096, ポートフォリオ実績!$A$2:$A$2001, G1096), 0)</f>
        <v>0</v>
      </c>
      <c r="I1096">
        <f>IF(B1096&lt;&gt;"", SUMIFS(ポートフォリオ実績!$C$2:$C$2001, ポートフォリオ実績!$B$2:$B$2001, B1096, ポートフォリオ実績!$A$2:$A$2001, G1096), 0)</f>
        <v>0</v>
      </c>
      <c r="J1096">
        <f t="shared" si="188"/>
        <v>0</v>
      </c>
      <c r="K1096">
        <f t="shared" si="189"/>
        <v>0</v>
      </c>
      <c r="L1096">
        <f t="shared" si="190"/>
        <v>0</v>
      </c>
      <c r="M1096">
        <f t="shared" si="191"/>
        <v>0</v>
      </c>
      <c r="N1096">
        <f t="shared" si="192"/>
        <v>0</v>
      </c>
      <c r="O1096">
        <f t="shared" si="193"/>
        <v>0</v>
      </c>
      <c r="P1096" t="str">
        <f t="shared" si="194"/>
        <v/>
      </c>
      <c r="Q1096" t="str">
        <f>IF(B1096="","", IFERROR(VLOOKUP(B1096, '基準資産配分（設定）'!$A$2:$C$2001, 3, FALSE), ""))</f>
        <v/>
      </c>
      <c r="R1096" t="str">
        <f>IF(B1096="","", IFERROR(VLOOKUP(B1096, '基準資産配分（設定）'!$A$2:$C$2001, 2, FALSE)/100, 0))</f>
        <v/>
      </c>
      <c r="S1096" t="str">
        <f>IF(B1096="","", IFERROR(SUMIFS(ベンチマークリターン!$C$2:$C$2001, ベンチマークリターン!$A$2:$A$2001, A1096, ベンチマークリターン!$B$2:$B$2001, Q1096) / 100, 0))</f>
        <v/>
      </c>
      <c r="T1096" t="str">
        <f>IF(A1096="","", SUMIFS($H$2:$H$2000, $A$2:$A$2000, A1096))</f>
        <v/>
      </c>
      <c r="U1096" t="str">
        <f t="shared" si="195"/>
        <v/>
      </c>
      <c r="V1096" t="str">
        <f t="shared" si="196"/>
        <v/>
      </c>
      <c r="W1096" t="str">
        <f t="shared" si="197"/>
        <v/>
      </c>
    </row>
    <row r="1097" spans="1:23" x14ac:dyDescent="0.2">
      <c r="A1097" s="4" t="str">
        <f>IF(ポートフォリオ実績!A1098="","", ポートフォリオ実績!A1098)</f>
        <v/>
      </c>
      <c r="B1097" t="str">
        <f>IF(ポートフォリオ実績!B1098="","", ポートフォリオ実績!B1098)</f>
        <v/>
      </c>
      <c r="C1097" s="10" t="str">
        <f>IF(ポートフォリオ実績!C1098="","", ポートフォリオ実績!C1098)</f>
        <v/>
      </c>
      <c r="D1097" s="10" t="str">
        <f>IF(ポートフォリオ実績!D1098="","", ポートフォリオ実績!D1098)</f>
        <v/>
      </c>
      <c r="E1097" s="10" t="str">
        <f>IF(ポートフォリオ実績!E1098="","", ポートフォリオ実績!E1098)</f>
        <v/>
      </c>
      <c r="F1097" s="10" t="str">
        <f>IF(ポートフォリオ実績!F1098="","", ポートフォリオ実績!F1098)</f>
        <v/>
      </c>
      <c r="G1097" t="str">
        <f t="shared" si="187"/>
        <v/>
      </c>
      <c r="H1097">
        <f>IF(B1097&lt;&gt;"", SUMIFS(ポートフォリオ実績!$D$2:$D$2001, ポートフォリオ実績!$B$2:$B$2001, B1097, ポートフォリオ実績!$A$2:$A$2001, G1097), 0)</f>
        <v>0</v>
      </c>
      <c r="I1097">
        <f>IF(B1097&lt;&gt;"", SUMIFS(ポートフォリオ実績!$C$2:$C$2001, ポートフォリオ実績!$B$2:$B$2001, B1097, ポートフォリオ実績!$A$2:$A$2001, G1097), 0)</f>
        <v>0</v>
      </c>
      <c r="J1097">
        <f t="shared" si="188"/>
        <v>0</v>
      </c>
      <c r="K1097">
        <f t="shared" si="189"/>
        <v>0</v>
      </c>
      <c r="L1097">
        <f t="shared" si="190"/>
        <v>0</v>
      </c>
      <c r="M1097">
        <f t="shared" si="191"/>
        <v>0</v>
      </c>
      <c r="N1097">
        <f t="shared" si="192"/>
        <v>0</v>
      </c>
      <c r="O1097">
        <f t="shared" si="193"/>
        <v>0</v>
      </c>
      <c r="P1097" t="str">
        <f t="shared" si="194"/>
        <v/>
      </c>
      <c r="Q1097" t="str">
        <f>IF(B1097="","", IFERROR(VLOOKUP(B1097, '基準資産配分（設定）'!$A$2:$C$2001, 3, FALSE), ""))</f>
        <v/>
      </c>
      <c r="R1097" t="str">
        <f>IF(B1097="","", IFERROR(VLOOKUP(B1097, '基準資産配分（設定）'!$A$2:$C$2001, 2, FALSE)/100, 0))</f>
        <v/>
      </c>
      <c r="S1097" t="str">
        <f>IF(B1097="","", IFERROR(SUMIFS(ベンチマークリターン!$C$2:$C$2001, ベンチマークリターン!$A$2:$A$2001, A1097, ベンチマークリターン!$B$2:$B$2001, Q1097) / 100, 0))</f>
        <v/>
      </c>
      <c r="T1097" t="str">
        <f>IF(A1097="","", SUMIFS($H$2:$H$2000, $A$2:$A$2000, A1097))</f>
        <v/>
      </c>
      <c r="U1097" t="str">
        <f t="shared" si="195"/>
        <v/>
      </c>
      <c r="V1097" t="str">
        <f t="shared" si="196"/>
        <v/>
      </c>
      <c r="W1097" t="str">
        <f t="shared" si="197"/>
        <v/>
      </c>
    </row>
    <row r="1098" spans="1:23" x14ac:dyDescent="0.2">
      <c r="A1098" s="4" t="str">
        <f>IF(ポートフォリオ実績!A1099="","", ポートフォリオ実績!A1099)</f>
        <v/>
      </c>
      <c r="B1098" t="str">
        <f>IF(ポートフォリオ実績!B1099="","", ポートフォリオ実績!B1099)</f>
        <v/>
      </c>
      <c r="C1098" s="10" t="str">
        <f>IF(ポートフォリオ実績!C1099="","", ポートフォリオ実績!C1099)</f>
        <v/>
      </c>
      <c r="D1098" s="10" t="str">
        <f>IF(ポートフォリオ実績!D1099="","", ポートフォリオ実績!D1099)</f>
        <v/>
      </c>
      <c r="E1098" s="10" t="str">
        <f>IF(ポートフォリオ実績!E1099="","", ポートフォリオ実績!E1099)</f>
        <v/>
      </c>
      <c r="F1098" s="10" t="str">
        <f>IF(ポートフォリオ実績!F1099="","", ポートフォリオ実績!F1099)</f>
        <v/>
      </c>
      <c r="G1098" t="str">
        <f t="shared" si="187"/>
        <v/>
      </c>
      <c r="H1098">
        <f>IF(B1098&lt;&gt;"", SUMIFS(ポートフォリオ実績!$D$2:$D$2001, ポートフォリオ実績!$B$2:$B$2001, B1098, ポートフォリオ実績!$A$2:$A$2001, G1098), 0)</f>
        <v>0</v>
      </c>
      <c r="I1098">
        <f>IF(B1098&lt;&gt;"", SUMIFS(ポートフォリオ実績!$C$2:$C$2001, ポートフォリオ実績!$B$2:$B$2001, B1098, ポートフォリオ実績!$A$2:$A$2001, G1098), 0)</f>
        <v>0</v>
      </c>
      <c r="J1098">
        <f t="shared" si="188"/>
        <v>0</v>
      </c>
      <c r="K1098">
        <f t="shared" si="189"/>
        <v>0</v>
      </c>
      <c r="L1098">
        <f t="shared" si="190"/>
        <v>0</v>
      </c>
      <c r="M1098">
        <f t="shared" si="191"/>
        <v>0</v>
      </c>
      <c r="N1098">
        <f t="shared" si="192"/>
        <v>0</v>
      </c>
      <c r="O1098">
        <f t="shared" si="193"/>
        <v>0</v>
      </c>
      <c r="P1098" t="str">
        <f t="shared" si="194"/>
        <v/>
      </c>
      <c r="Q1098" t="str">
        <f>IF(B1098="","", IFERROR(VLOOKUP(B1098, '基準資産配分（設定）'!$A$2:$C$2001, 3, FALSE), ""))</f>
        <v/>
      </c>
      <c r="R1098" t="str">
        <f>IF(B1098="","", IFERROR(VLOOKUP(B1098, '基準資産配分（設定）'!$A$2:$C$2001, 2, FALSE)/100, 0))</f>
        <v/>
      </c>
      <c r="S1098" t="str">
        <f>IF(B1098="","", IFERROR(SUMIFS(ベンチマークリターン!$C$2:$C$2001, ベンチマークリターン!$A$2:$A$2001, A1098, ベンチマークリターン!$B$2:$B$2001, Q1098) / 100, 0))</f>
        <v/>
      </c>
      <c r="T1098" t="str">
        <f>IF(A1098="","", SUMIFS($H$2:$H$2000, $A$2:$A$2000, A1098))</f>
        <v/>
      </c>
      <c r="U1098" t="str">
        <f t="shared" si="195"/>
        <v/>
      </c>
      <c r="V1098" t="str">
        <f t="shared" si="196"/>
        <v/>
      </c>
      <c r="W1098" t="str">
        <f t="shared" si="197"/>
        <v/>
      </c>
    </row>
    <row r="1099" spans="1:23" x14ac:dyDescent="0.2">
      <c r="A1099" s="4" t="str">
        <f>IF(ポートフォリオ実績!A1100="","", ポートフォリオ実績!A1100)</f>
        <v/>
      </c>
      <c r="B1099" t="str">
        <f>IF(ポートフォリオ実績!B1100="","", ポートフォリオ実績!B1100)</f>
        <v/>
      </c>
      <c r="C1099" s="10" t="str">
        <f>IF(ポートフォリオ実績!C1100="","", ポートフォリオ実績!C1100)</f>
        <v/>
      </c>
      <c r="D1099" s="10" t="str">
        <f>IF(ポートフォリオ実績!D1100="","", ポートフォリオ実績!D1100)</f>
        <v/>
      </c>
      <c r="E1099" s="10" t="str">
        <f>IF(ポートフォリオ実績!E1100="","", ポートフォリオ実績!E1100)</f>
        <v/>
      </c>
      <c r="F1099" s="10" t="str">
        <f>IF(ポートフォリオ実績!F1100="","", ポートフォリオ実績!F1100)</f>
        <v/>
      </c>
      <c r="G1099" t="str">
        <f t="shared" si="187"/>
        <v/>
      </c>
      <c r="H1099">
        <f>IF(B1099&lt;&gt;"", SUMIFS(ポートフォリオ実績!$D$2:$D$2001, ポートフォリオ実績!$B$2:$B$2001, B1099, ポートフォリオ実績!$A$2:$A$2001, G1099), 0)</f>
        <v>0</v>
      </c>
      <c r="I1099">
        <f>IF(B1099&lt;&gt;"", SUMIFS(ポートフォリオ実績!$C$2:$C$2001, ポートフォリオ実績!$B$2:$B$2001, B1099, ポートフォリオ実績!$A$2:$A$2001, G1099), 0)</f>
        <v>0</v>
      </c>
      <c r="J1099">
        <f t="shared" si="188"/>
        <v>0</v>
      </c>
      <c r="K1099">
        <f t="shared" si="189"/>
        <v>0</v>
      </c>
      <c r="L1099">
        <f t="shared" si="190"/>
        <v>0</v>
      </c>
      <c r="M1099">
        <f t="shared" si="191"/>
        <v>0</v>
      </c>
      <c r="N1099">
        <f t="shared" si="192"/>
        <v>0</v>
      </c>
      <c r="O1099">
        <f t="shared" si="193"/>
        <v>0</v>
      </c>
      <c r="P1099" t="str">
        <f t="shared" si="194"/>
        <v/>
      </c>
      <c r="Q1099" t="str">
        <f>IF(B1099="","", IFERROR(VLOOKUP(B1099, '基準資産配分（設定）'!$A$2:$C$2001, 3, FALSE), ""))</f>
        <v/>
      </c>
      <c r="R1099" t="str">
        <f>IF(B1099="","", IFERROR(VLOOKUP(B1099, '基準資産配分（設定）'!$A$2:$C$2001, 2, FALSE)/100, 0))</f>
        <v/>
      </c>
      <c r="S1099" t="str">
        <f>IF(B1099="","", IFERROR(SUMIFS(ベンチマークリターン!$C$2:$C$2001, ベンチマークリターン!$A$2:$A$2001, A1099, ベンチマークリターン!$B$2:$B$2001, Q1099) / 100, 0))</f>
        <v/>
      </c>
      <c r="T1099" t="str">
        <f>IF(A1099="","", SUMIFS($H$2:$H$2000, $A$2:$A$2000, A1099))</f>
        <v/>
      </c>
      <c r="U1099" t="str">
        <f t="shared" si="195"/>
        <v/>
      </c>
      <c r="V1099" t="str">
        <f t="shared" si="196"/>
        <v/>
      </c>
      <c r="W1099" t="str">
        <f t="shared" si="197"/>
        <v/>
      </c>
    </row>
    <row r="1100" spans="1:23" x14ac:dyDescent="0.2">
      <c r="A1100" s="4" t="str">
        <f>IF(ポートフォリオ実績!A1101="","", ポートフォリオ実績!A1101)</f>
        <v/>
      </c>
      <c r="B1100" t="str">
        <f>IF(ポートフォリオ実績!B1101="","", ポートフォリオ実績!B1101)</f>
        <v/>
      </c>
      <c r="C1100" s="10" t="str">
        <f>IF(ポートフォリオ実績!C1101="","", ポートフォリオ実績!C1101)</f>
        <v/>
      </c>
      <c r="D1100" s="10" t="str">
        <f>IF(ポートフォリオ実績!D1101="","", ポートフォリオ実績!D1101)</f>
        <v/>
      </c>
      <c r="E1100" s="10" t="str">
        <f>IF(ポートフォリオ実績!E1101="","", ポートフォリオ実績!E1101)</f>
        <v/>
      </c>
      <c r="F1100" s="10" t="str">
        <f>IF(ポートフォリオ実績!F1101="","", ポートフォリオ実績!F1101)</f>
        <v/>
      </c>
      <c r="G1100" t="str">
        <f t="shared" si="187"/>
        <v/>
      </c>
      <c r="H1100">
        <f>IF(B1100&lt;&gt;"", SUMIFS(ポートフォリオ実績!$D$2:$D$2001, ポートフォリオ実績!$B$2:$B$2001, B1100, ポートフォリオ実績!$A$2:$A$2001, G1100), 0)</f>
        <v>0</v>
      </c>
      <c r="I1100">
        <f>IF(B1100&lt;&gt;"", SUMIFS(ポートフォリオ実績!$C$2:$C$2001, ポートフォリオ実績!$B$2:$B$2001, B1100, ポートフォリオ実績!$A$2:$A$2001, G1100), 0)</f>
        <v>0</v>
      </c>
      <c r="J1100">
        <f t="shared" si="188"/>
        <v>0</v>
      </c>
      <c r="K1100">
        <f t="shared" si="189"/>
        <v>0</v>
      </c>
      <c r="L1100">
        <f t="shared" si="190"/>
        <v>0</v>
      </c>
      <c r="M1100">
        <f t="shared" si="191"/>
        <v>0</v>
      </c>
      <c r="N1100">
        <f t="shared" si="192"/>
        <v>0</v>
      </c>
      <c r="O1100">
        <f t="shared" si="193"/>
        <v>0</v>
      </c>
      <c r="P1100" t="str">
        <f t="shared" si="194"/>
        <v/>
      </c>
      <c r="Q1100" t="str">
        <f>IF(B1100="","", IFERROR(VLOOKUP(B1100, '基準資産配分（設定）'!$A$2:$C$2001, 3, FALSE), ""))</f>
        <v/>
      </c>
      <c r="R1100" t="str">
        <f>IF(B1100="","", IFERROR(VLOOKUP(B1100, '基準資産配分（設定）'!$A$2:$C$2001, 2, FALSE)/100, 0))</f>
        <v/>
      </c>
      <c r="S1100" t="str">
        <f>IF(B1100="","", IFERROR(SUMIFS(ベンチマークリターン!$C$2:$C$2001, ベンチマークリターン!$A$2:$A$2001, A1100, ベンチマークリターン!$B$2:$B$2001, Q1100) / 100, 0))</f>
        <v/>
      </c>
      <c r="T1100" t="str">
        <f>IF(A1100="","", SUMIFS($H$2:$H$2000, $A$2:$A$2000, A1100))</f>
        <v/>
      </c>
      <c r="U1100" t="str">
        <f t="shared" si="195"/>
        <v/>
      </c>
      <c r="V1100" t="str">
        <f t="shared" si="196"/>
        <v/>
      </c>
      <c r="W1100" t="str">
        <f t="shared" si="197"/>
        <v/>
      </c>
    </row>
    <row r="1101" spans="1:23" x14ac:dyDescent="0.2">
      <c r="A1101" s="4" t="str">
        <f>IF(ポートフォリオ実績!A1102="","", ポートフォリオ実績!A1102)</f>
        <v/>
      </c>
      <c r="B1101" t="str">
        <f>IF(ポートフォリオ実績!B1102="","", ポートフォリオ実績!B1102)</f>
        <v/>
      </c>
      <c r="C1101" s="10" t="str">
        <f>IF(ポートフォリオ実績!C1102="","", ポートフォリオ実績!C1102)</f>
        <v/>
      </c>
      <c r="D1101" s="10" t="str">
        <f>IF(ポートフォリオ実績!D1102="","", ポートフォリオ実績!D1102)</f>
        <v/>
      </c>
      <c r="E1101" s="10" t="str">
        <f>IF(ポートフォリオ実績!E1102="","", ポートフォリオ実績!E1102)</f>
        <v/>
      </c>
      <c r="F1101" s="10" t="str">
        <f>IF(ポートフォリオ実績!F1102="","", ポートフォリオ実績!F1102)</f>
        <v/>
      </c>
      <c r="G1101" t="str">
        <f t="shared" si="187"/>
        <v/>
      </c>
      <c r="H1101">
        <f>IF(B1101&lt;&gt;"", SUMIFS(ポートフォリオ実績!$D$2:$D$2001, ポートフォリオ実績!$B$2:$B$2001, B1101, ポートフォリオ実績!$A$2:$A$2001, G1101), 0)</f>
        <v>0</v>
      </c>
      <c r="I1101">
        <f>IF(B1101&lt;&gt;"", SUMIFS(ポートフォリオ実績!$C$2:$C$2001, ポートフォリオ実績!$B$2:$B$2001, B1101, ポートフォリオ実績!$A$2:$A$2001, G1101), 0)</f>
        <v>0</v>
      </c>
      <c r="J1101">
        <f t="shared" si="188"/>
        <v>0</v>
      </c>
      <c r="K1101">
        <f t="shared" si="189"/>
        <v>0</v>
      </c>
      <c r="L1101">
        <f t="shared" si="190"/>
        <v>0</v>
      </c>
      <c r="M1101">
        <f t="shared" si="191"/>
        <v>0</v>
      </c>
      <c r="N1101">
        <f t="shared" si="192"/>
        <v>0</v>
      </c>
      <c r="O1101">
        <f t="shared" si="193"/>
        <v>0</v>
      </c>
      <c r="P1101" t="str">
        <f t="shared" si="194"/>
        <v/>
      </c>
      <c r="Q1101" t="str">
        <f>IF(B1101="","", IFERROR(VLOOKUP(B1101, '基準資産配分（設定）'!$A$2:$C$2001, 3, FALSE), ""))</f>
        <v/>
      </c>
      <c r="R1101" t="str">
        <f>IF(B1101="","", IFERROR(VLOOKUP(B1101, '基準資産配分（設定）'!$A$2:$C$2001, 2, FALSE)/100, 0))</f>
        <v/>
      </c>
      <c r="S1101" t="str">
        <f>IF(B1101="","", IFERROR(SUMIFS(ベンチマークリターン!$C$2:$C$2001, ベンチマークリターン!$A$2:$A$2001, A1101, ベンチマークリターン!$B$2:$B$2001, Q1101) / 100, 0))</f>
        <v/>
      </c>
      <c r="T1101" t="str">
        <f>IF(A1101="","", SUMIFS($H$2:$H$2000, $A$2:$A$2000, A1101))</f>
        <v/>
      </c>
      <c r="U1101" t="str">
        <f t="shared" si="195"/>
        <v/>
      </c>
      <c r="V1101" t="str">
        <f t="shared" si="196"/>
        <v/>
      </c>
      <c r="W1101" t="str">
        <f t="shared" si="197"/>
        <v/>
      </c>
    </row>
    <row r="1102" spans="1:23" x14ac:dyDescent="0.2">
      <c r="A1102" s="4" t="str">
        <f>IF(ポートフォリオ実績!A1103="","", ポートフォリオ実績!A1103)</f>
        <v/>
      </c>
      <c r="B1102" t="str">
        <f>IF(ポートフォリオ実績!B1103="","", ポートフォリオ実績!B1103)</f>
        <v/>
      </c>
      <c r="C1102" s="10" t="str">
        <f>IF(ポートフォリオ実績!C1103="","", ポートフォリオ実績!C1103)</f>
        <v/>
      </c>
      <c r="D1102" s="10" t="str">
        <f>IF(ポートフォリオ実績!D1103="","", ポートフォリオ実績!D1103)</f>
        <v/>
      </c>
      <c r="E1102" s="10" t="str">
        <f>IF(ポートフォリオ実績!E1103="","", ポートフォリオ実績!E1103)</f>
        <v/>
      </c>
      <c r="F1102" s="10" t="str">
        <f>IF(ポートフォリオ実績!F1103="","", ポートフォリオ実績!F1103)</f>
        <v/>
      </c>
      <c r="G1102" t="str">
        <f t="shared" si="187"/>
        <v/>
      </c>
      <c r="H1102">
        <f>IF(B1102&lt;&gt;"", SUMIFS(ポートフォリオ実績!$D$2:$D$2001, ポートフォリオ実績!$B$2:$B$2001, B1102, ポートフォリオ実績!$A$2:$A$2001, G1102), 0)</f>
        <v>0</v>
      </c>
      <c r="I1102">
        <f>IF(B1102&lt;&gt;"", SUMIFS(ポートフォリオ実績!$C$2:$C$2001, ポートフォリオ実績!$B$2:$B$2001, B1102, ポートフォリオ実績!$A$2:$A$2001, G1102), 0)</f>
        <v>0</v>
      </c>
      <c r="J1102">
        <f t="shared" si="188"/>
        <v>0</v>
      </c>
      <c r="K1102">
        <f t="shared" si="189"/>
        <v>0</v>
      </c>
      <c r="L1102">
        <f t="shared" si="190"/>
        <v>0</v>
      </c>
      <c r="M1102">
        <f t="shared" si="191"/>
        <v>0</v>
      </c>
      <c r="N1102">
        <f t="shared" si="192"/>
        <v>0</v>
      </c>
      <c r="O1102">
        <f t="shared" si="193"/>
        <v>0</v>
      </c>
      <c r="P1102" t="str">
        <f t="shared" si="194"/>
        <v/>
      </c>
      <c r="Q1102" t="str">
        <f>IF(B1102="","", IFERROR(VLOOKUP(B1102, '基準資産配分（設定）'!$A$2:$C$2001, 3, FALSE), ""))</f>
        <v/>
      </c>
      <c r="R1102" t="str">
        <f>IF(B1102="","", IFERROR(VLOOKUP(B1102, '基準資産配分（設定）'!$A$2:$C$2001, 2, FALSE)/100, 0))</f>
        <v/>
      </c>
      <c r="S1102" t="str">
        <f>IF(B1102="","", IFERROR(SUMIFS(ベンチマークリターン!$C$2:$C$2001, ベンチマークリターン!$A$2:$A$2001, A1102, ベンチマークリターン!$B$2:$B$2001, Q1102) / 100, 0))</f>
        <v/>
      </c>
      <c r="T1102" t="str">
        <f>IF(A1102="","", SUMIFS($H$2:$H$2000, $A$2:$A$2000, A1102))</f>
        <v/>
      </c>
      <c r="U1102" t="str">
        <f t="shared" si="195"/>
        <v/>
      </c>
      <c r="V1102" t="str">
        <f t="shared" si="196"/>
        <v/>
      </c>
      <c r="W1102" t="str">
        <f t="shared" si="197"/>
        <v/>
      </c>
    </row>
    <row r="1103" spans="1:23" x14ac:dyDescent="0.2">
      <c r="A1103" s="4" t="str">
        <f>IF(ポートフォリオ実績!A1104="","", ポートフォリオ実績!A1104)</f>
        <v/>
      </c>
      <c r="B1103" t="str">
        <f>IF(ポートフォリオ実績!B1104="","", ポートフォリオ実績!B1104)</f>
        <v/>
      </c>
      <c r="C1103" s="10" t="str">
        <f>IF(ポートフォリオ実績!C1104="","", ポートフォリオ実績!C1104)</f>
        <v/>
      </c>
      <c r="D1103" s="10" t="str">
        <f>IF(ポートフォリオ実績!D1104="","", ポートフォリオ実績!D1104)</f>
        <v/>
      </c>
      <c r="E1103" s="10" t="str">
        <f>IF(ポートフォリオ実績!E1104="","", ポートフォリオ実績!E1104)</f>
        <v/>
      </c>
      <c r="F1103" s="10" t="str">
        <f>IF(ポートフォリオ実績!F1104="","", ポートフォリオ実績!F1104)</f>
        <v/>
      </c>
      <c r="G1103" t="str">
        <f t="shared" si="187"/>
        <v/>
      </c>
      <c r="H1103">
        <f>IF(B1103&lt;&gt;"", SUMIFS(ポートフォリオ実績!$D$2:$D$2001, ポートフォリオ実績!$B$2:$B$2001, B1103, ポートフォリオ実績!$A$2:$A$2001, G1103), 0)</f>
        <v>0</v>
      </c>
      <c r="I1103">
        <f>IF(B1103&lt;&gt;"", SUMIFS(ポートフォリオ実績!$C$2:$C$2001, ポートフォリオ実績!$B$2:$B$2001, B1103, ポートフォリオ実績!$A$2:$A$2001, G1103), 0)</f>
        <v>0</v>
      </c>
      <c r="J1103">
        <f t="shared" si="188"/>
        <v>0</v>
      </c>
      <c r="K1103">
        <f t="shared" si="189"/>
        <v>0</v>
      </c>
      <c r="L1103">
        <f t="shared" si="190"/>
        <v>0</v>
      </c>
      <c r="M1103">
        <f t="shared" si="191"/>
        <v>0</v>
      </c>
      <c r="N1103">
        <f t="shared" si="192"/>
        <v>0</v>
      </c>
      <c r="O1103">
        <f t="shared" si="193"/>
        <v>0</v>
      </c>
      <c r="P1103" t="str">
        <f t="shared" si="194"/>
        <v/>
      </c>
      <c r="Q1103" t="str">
        <f>IF(B1103="","", IFERROR(VLOOKUP(B1103, '基準資産配分（設定）'!$A$2:$C$2001, 3, FALSE), ""))</f>
        <v/>
      </c>
      <c r="R1103" t="str">
        <f>IF(B1103="","", IFERROR(VLOOKUP(B1103, '基準資産配分（設定）'!$A$2:$C$2001, 2, FALSE)/100, 0))</f>
        <v/>
      </c>
      <c r="S1103" t="str">
        <f>IF(B1103="","", IFERROR(SUMIFS(ベンチマークリターン!$C$2:$C$2001, ベンチマークリターン!$A$2:$A$2001, A1103, ベンチマークリターン!$B$2:$B$2001, Q1103) / 100, 0))</f>
        <v/>
      </c>
      <c r="T1103" t="str">
        <f>IF(A1103="","", SUMIFS($H$2:$H$2000, $A$2:$A$2000, A1103))</f>
        <v/>
      </c>
      <c r="U1103" t="str">
        <f t="shared" si="195"/>
        <v/>
      </c>
      <c r="V1103" t="str">
        <f t="shared" si="196"/>
        <v/>
      </c>
      <c r="W1103" t="str">
        <f t="shared" si="197"/>
        <v/>
      </c>
    </row>
    <row r="1104" spans="1:23" x14ac:dyDescent="0.2">
      <c r="A1104" s="4" t="str">
        <f>IF(ポートフォリオ実績!A1105="","", ポートフォリオ実績!A1105)</f>
        <v/>
      </c>
      <c r="B1104" t="str">
        <f>IF(ポートフォリオ実績!B1105="","", ポートフォリオ実績!B1105)</f>
        <v/>
      </c>
      <c r="C1104" s="10" t="str">
        <f>IF(ポートフォリオ実績!C1105="","", ポートフォリオ実績!C1105)</f>
        <v/>
      </c>
      <c r="D1104" s="10" t="str">
        <f>IF(ポートフォリオ実績!D1105="","", ポートフォリオ実績!D1105)</f>
        <v/>
      </c>
      <c r="E1104" s="10" t="str">
        <f>IF(ポートフォリオ実績!E1105="","", ポートフォリオ実績!E1105)</f>
        <v/>
      </c>
      <c r="F1104" s="10" t="str">
        <f>IF(ポートフォリオ実績!F1105="","", ポートフォリオ実績!F1105)</f>
        <v/>
      </c>
      <c r="G1104" t="str">
        <f t="shared" si="187"/>
        <v/>
      </c>
      <c r="H1104">
        <f>IF(B1104&lt;&gt;"", SUMIFS(ポートフォリオ実績!$D$2:$D$2001, ポートフォリオ実績!$B$2:$B$2001, B1104, ポートフォリオ実績!$A$2:$A$2001, G1104), 0)</f>
        <v>0</v>
      </c>
      <c r="I1104">
        <f>IF(B1104&lt;&gt;"", SUMIFS(ポートフォリオ実績!$C$2:$C$2001, ポートフォリオ実績!$B$2:$B$2001, B1104, ポートフォリオ実績!$A$2:$A$2001, G1104), 0)</f>
        <v>0</v>
      </c>
      <c r="J1104">
        <f t="shared" si="188"/>
        <v>0</v>
      </c>
      <c r="K1104">
        <f t="shared" si="189"/>
        <v>0</v>
      </c>
      <c r="L1104">
        <f t="shared" si="190"/>
        <v>0</v>
      </c>
      <c r="M1104">
        <f t="shared" si="191"/>
        <v>0</v>
      </c>
      <c r="N1104">
        <f t="shared" si="192"/>
        <v>0</v>
      </c>
      <c r="O1104">
        <f t="shared" si="193"/>
        <v>0</v>
      </c>
      <c r="P1104" t="str">
        <f t="shared" si="194"/>
        <v/>
      </c>
      <c r="Q1104" t="str">
        <f>IF(B1104="","", IFERROR(VLOOKUP(B1104, '基準資産配分（設定）'!$A$2:$C$2001, 3, FALSE), ""))</f>
        <v/>
      </c>
      <c r="R1104" t="str">
        <f>IF(B1104="","", IFERROR(VLOOKUP(B1104, '基準資産配分（設定）'!$A$2:$C$2001, 2, FALSE)/100, 0))</f>
        <v/>
      </c>
      <c r="S1104" t="str">
        <f>IF(B1104="","", IFERROR(SUMIFS(ベンチマークリターン!$C$2:$C$2001, ベンチマークリターン!$A$2:$A$2001, A1104, ベンチマークリターン!$B$2:$B$2001, Q1104) / 100, 0))</f>
        <v/>
      </c>
      <c r="T1104" t="str">
        <f>IF(A1104="","", SUMIFS($H$2:$H$2000, $A$2:$A$2000, A1104))</f>
        <v/>
      </c>
      <c r="U1104" t="str">
        <f t="shared" si="195"/>
        <v/>
      </c>
      <c r="V1104" t="str">
        <f t="shared" si="196"/>
        <v/>
      </c>
      <c r="W1104" t="str">
        <f t="shared" si="197"/>
        <v/>
      </c>
    </row>
    <row r="1105" spans="1:23" x14ac:dyDescent="0.2">
      <c r="A1105" s="4" t="str">
        <f>IF(ポートフォリオ実績!A1106="","", ポートフォリオ実績!A1106)</f>
        <v/>
      </c>
      <c r="B1105" t="str">
        <f>IF(ポートフォリオ実績!B1106="","", ポートフォリオ実績!B1106)</f>
        <v/>
      </c>
      <c r="C1105" s="10" t="str">
        <f>IF(ポートフォリオ実績!C1106="","", ポートフォリオ実績!C1106)</f>
        <v/>
      </c>
      <c r="D1105" s="10" t="str">
        <f>IF(ポートフォリオ実績!D1106="","", ポートフォリオ実績!D1106)</f>
        <v/>
      </c>
      <c r="E1105" s="10" t="str">
        <f>IF(ポートフォリオ実績!E1106="","", ポートフォリオ実績!E1106)</f>
        <v/>
      </c>
      <c r="F1105" s="10" t="str">
        <f>IF(ポートフォリオ実績!F1106="","", ポートフォリオ実績!F1106)</f>
        <v/>
      </c>
      <c r="G1105" t="str">
        <f t="shared" si="187"/>
        <v/>
      </c>
      <c r="H1105">
        <f>IF(B1105&lt;&gt;"", SUMIFS(ポートフォリオ実績!$D$2:$D$2001, ポートフォリオ実績!$B$2:$B$2001, B1105, ポートフォリオ実績!$A$2:$A$2001, G1105), 0)</f>
        <v>0</v>
      </c>
      <c r="I1105">
        <f>IF(B1105&lt;&gt;"", SUMIFS(ポートフォリオ実績!$C$2:$C$2001, ポートフォリオ実績!$B$2:$B$2001, B1105, ポートフォリオ実績!$A$2:$A$2001, G1105), 0)</f>
        <v>0</v>
      </c>
      <c r="J1105">
        <f t="shared" si="188"/>
        <v>0</v>
      </c>
      <c r="K1105">
        <f t="shared" si="189"/>
        <v>0</v>
      </c>
      <c r="L1105">
        <f t="shared" si="190"/>
        <v>0</v>
      </c>
      <c r="M1105">
        <f t="shared" si="191"/>
        <v>0</v>
      </c>
      <c r="N1105">
        <f t="shared" si="192"/>
        <v>0</v>
      </c>
      <c r="O1105">
        <f t="shared" si="193"/>
        <v>0</v>
      </c>
      <c r="P1105" t="str">
        <f t="shared" si="194"/>
        <v/>
      </c>
      <c r="Q1105" t="str">
        <f>IF(B1105="","", IFERROR(VLOOKUP(B1105, '基準資産配分（設定）'!$A$2:$C$2001, 3, FALSE), ""))</f>
        <v/>
      </c>
      <c r="R1105" t="str">
        <f>IF(B1105="","", IFERROR(VLOOKUP(B1105, '基準資産配分（設定）'!$A$2:$C$2001, 2, FALSE)/100, 0))</f>
        <v/>
      </c>
      <c r="S1105" t="str">
        <f>IF(B1105="","", IFERROR(SUMIFS(ベンチマークリターン!$C$2:$C$2001, ベンチマークリターン!$A$2:$A$2001, A1105, ベンチマークリターン!$B$2:$B$2001, Q1105) / 100, 0))</f>
        <v/>
      </c>
      <c r="T1105" t="str">
        <f>IF(A1105="","", SUMIFS($H$2:$H$2000, $A$2:$A$2000, A1105))</f>
        <v/>
      </c>
      <c r="U1105" t="str">
        <f t="shared" si="195"/>
        <v/>
      </c>
      <c r="V1105" t="str">
        <f t="shared" si="196"/>
        <v/>
      </c>
      <c r="W1105" t="str">
        <f t="shared" si="197"/>
        <v/>
      </c>
    </row>
    <row r="1106" spans="1:23" x14ac:dyDescent="0.2">
      <c r="A1106" s="4" t="str">
        <f>IF(ポートフォリオ実績!A1107="","", ポートフォリオ実績!A1107)</f>
        <v/>
      </c>
      <c r="B1106" t="str">
        <f>IF(ポートフォリオ実績!B1107="","", ポートフォリオ実績!B1107)</f>
        <v/>
      </c>
      <c r="C1106" s="10" t="str">
        <f>IF(ポートフォリオ実績!C1107="","", ポートフォリオ実績!C1107)</f>
        <v/>
      </c>
      <c r="D1106" s="10" t="str">
        <f>IF(ポートフォリオ実績!D1107="","", ポートフォリオ実績!D1107)</f>
        <v/>
      </c>
      <c r="E1106" s="10" t="str">
        <f>IF(ポートフォリオ実績!E1107="","", ポートフォリオ実績!E1107)</f>
        <v/>
      </c>
      <c r="F1106" s="10" t="str">
        <f>IF(ポートフォリオ実績!F1107="","", ポートフォリオ実績!F1107)</f>
        <v/>
      </c>
      <c r="G1106" t="str">
        <f t="shared" si="187"/>
        <v/>
      </c>
      <c r="H1106">
        <f>IF(B1106&lt;&gt;"", SUMIFS(ポートフォリオ実績!$D$2:$D$2001, ポートフォリオ実績!$B$2:$B$2001, B1106, ポートフォリオ実績!$A$2:$A$2001, G1106), 0)</f>
        <v>0</v>
      </c>
      <c r="I1106">
        <f>IF(B1106&lt;&gt;"", SUMIFS(ポートフォリオ実績!$C$2:$C$2001, ポートフォリオ実績!$B$2:$B$2001, B1106, ポートフォリオ実績!$A$2:$A$2001, G1106), 0)</f>
        <v>0</v>
      </c>
      <c r="J1106">
        <f t="shared" si="188"/>
        <v>0</v>
      </c>
      <c r="K1106">
        <f t="shared" si="189"/>
        <v>0</v>
      </c>
      <c r="L1106">
        <f t="shared" si="190"/>
        <v>0</v>
      </c>
      <c r="M1106">
        <f t="shared" si="191"/>
        <v>0</v>
      </c>
      <c r="N1106">
        <f t="shared" si="192"/>
        <v>0</v>
      </c>
      <c r="O1106">
        <f t="shared" si="193"/>
        <v>0</v>
      </c>
      <c r="P1106" t="str">
        <f t="shared" si="194"/>
        <v/>
      </c>
      <c r="Q1106" t="str">
        <f>IF(B1106="","", IFERROR(VLOOKUP(B1106, '基準資産配分（設定）'!$A$2:$C$2001, 3, FALSE), ""))</f>
        <v/>
      </c>
      <c r="R1106" t="str">
        <f>IF(B1106="","", IFERROR(VLOOKUP(B1106, '基準資産配分（設定）'!$A$2:$C$2001, 2, FALSE)/100, 0))</f>
        <v/>
      </c>
      <c r="S1106" t="str">
        <f>IF(B1106="","", IFERROR(SUMIFS(ベンチマークリターン!$C$2:$C$2001, ベンチマークリターン!$A$2:$A$2001, A1106, ベンチマークリターン!$B$2:$B$2001, Q1106) / 100, 0))</f>
        <v/>
      </c>
      <c r="T1106" t="str">
        <f>IF(A1106="","", SUMIFS($H$2:$H$2000, $A$2:$A$2000, A1106))</f>
        <v/>
      </c>
      <c r="U1106" t="str">
        <f t="shared" si="195"/>
        <v/>
      </c>
      <c r="V1106" t="str">
        <f t="shared" si="196"/>
        <v/>
      </c>
      <c r="W1106" t="str">
        <f t="shared" si="197"/>
        <v/>
      </c>
    </row>
    <row r="1107" spans="1:23" x14ac:dyDescent="0.2">
      <c r="A1107" s="4" t="str">
        <f>IF(ポートフォリオ実績!A1108="","", ポートフォリオ実績!A1108)</f>
        <v/>
      </c>
      <c r="B1107" t="str">
        <f>IF(ポートフォリオ実績!B1108="","", ポートフォリオ実績!B1108)</f>
        <v/>
      </c>
      <c r="C1107" s="10" t="str">
        <f>IF(ポートフォリオ実績!C1108="","", ポートフォリオ実績!C1108)</f>
        <v/>
      </c>
      <c r="D1107" s="10" t="str">
        <f>IF(ポートフォリオ実績!D1108="","", ポートフォリオ実績!D1108)</f>
        <v/>
      </c>
      <c r="E1107" s="10" t="str">
        <f>IF(ポートフォリオ実績!E1108="","", ポートフォリオ実績!E1108)</f>
        <v/>
      </c>
      <c r="F1107" s="10" t="str">
        <f>IF(ポートフォリオ実績!F1108="","", ポートフォリオ実績!F1108)</f>
        <v/>
      </c>
      <c r="G1107" t="str">
        <f t="shared" si="187"/>
        <v/>
      </c>
      <c r="H1107">
        <f>IF(B1107&lt;&gt;"", SUMIFS(ポートフォリオ実績!$D$2:$D$2001, ポートフォリオ実績!$B$2:$B$2001, B1107, ポートフォリオ実績!$A$2:$A$2001, G1107), 0)</f>
        <v>0</v>
      </c>
      <c r="I1107">
        <f>IF(B1107&lt;&gt;"", SUMIFS(ポートフォリオ実績!$C$2:$C$2001, ポートフォリオ実績!$B$2:$B$2001, B1107, ポートフォリオ実績!$A$2:$A$2001, G1107), 0)</f>
        <v>0</v>
      </c>
      <c r="J1107">
        <f t="shared" si="188"/>
        <v>0</v>
      </c>
      <c r="K1107">
        <f t="shared" si="189"/>
        <v>0</v>
      </c>
      <c r="L1107">
        <f t="shared" si="190"/>
        <v>0</v>
      </c>
      <c r="M1107">
        <f t="shared" si="191"/>
        <v>0</v>
      </c>
      <c r="N1107">
        <f t="shared" si="192"/>
        <v>0</v>
      </c>
      <c r="O1107">
        <f t="shared" si="193"/>
        <v>0</v>
      </c>
      <c r="P1107" t="str">
        <f t="shared" si="194"/>
        <v/>
      </c>
      <c r="Q1107" t="str">
        <f>IF(B1107="","", IFERROR(VLOOKUP(B1107, '基準資産配分（設定）'!$A$2:$C$2001, 3, FALSE), ""))</f>
        <v/>
      </c>
      <c r="R1107" t="str">
        <f>IF(B1107="","", IFERROR(VLOOKUP(B1107, '基準資産配分（設定）'!$A$2:$C$2001, 2, FALSE)/100, 0))</f>
        <v/>
      </c>
      <c r="S1107" t="str">
        <f>IF(B1107="","", IFERROR(SUMIFS(ベンチマークリターン!$C$2:$C$2001, ベンチマークリターン!$A$2:$A$2001, A1107, ベンチマークリターン!$B$2:$B$2001, Q1107) / 100, 0))</f>
        <v/>
      </c>
      <c r="T1107" t="str">
        <f>IF(A1107="","", SUMIFS($H$2:$H$2000, $A$2:$A$2000, A1107))</f>
        <v/>
      </c>
      <c r="U1107" t="str">
        <f t="shared" si="195"/>
        <v/>
      </c>
      <c r="V1107" t="str">
        <f t="shared" si="196"/>
        <v/>
      </c>
      <c r="W1107" t="str">
        <f t="shared" si="197"/>
        <v/>
      </c>
    </row>
    <row r="1108" spans="1:23" x14ac:dyDescent="0.2">
      <c r="A1108" s="4" t="str">
        <f>IF(ポートフォリオ実績!A1109="","", ポートフォリオ実績!A1109)</f>
        <v/>
      </c>
      <c r="B1108" t="str">
        <f>IF(ポートフォリオ実績!B1109="","", ポートフォリオ実績!B1109)</f>
        <v/>
      </c>
      <c r="C1108" s="10" t="str">
        <f>IF(ポートフォリオ実績!C1109="","", ポートフォリオ実績!C1109)</f>
        <v/>
      </c>
      <c r="D1108" s="10" t="str">
        <f>IF(ポートフォリオ実績!D1109="","", ポートフォリオ実績!D1109)</f>
        <v/>
      </c>
      <c r="E1108" s="10" t="str">
        <f>IF(ポートフォリオ実績!E1109="","", ポートフォリオ実績!E1109)</f>
        <v/>
      </c>
      <c r="F1108" s="10" t="str">
        <f>IF(ポートフォリオ実績!F1109="","", ポートフォリオ実績!F1109)</f>
        <v/>
      </c>
      <c r="G1108" t="str">
        <f t="shared" si="187"/>
        <v/>
      </c>
      <c r="H1108">
        <f>IF(B1108&lt;&gt;"", SUMIFS(ポートフォリオ実績!$D$2:$D$2001, ポートフォリオ実績!$B$2:$B$2001, B1108, ポートフォリオ実績!$A$2:$A$2001, G1108), 0)</f>
        <v>0</v>
      </c>
      <c r="I1108">
        <f>IF(B1108&lt;&gt;"", SUMIFS(ポートフォリオ実績!$C$2:$C$2001, ポートフォリオ実績!$B$2:$B$2001, B1108, ポートフォリオ実績!$A$2:$A$2001, G1108), 0)</f>
        <v>0</v>
      </c>
      <c r="J1108">
        <f t="shared" si="188"/>
        <v>0</v>
      </c>
      <c r="K1108">
        <f t="shared" si="189"/>
        <v>0</v>
      </c>
      <c r="L1108">
        <f t="shared" si="190"/>
        <v>0</v>
      </c>
      <c r="M1108">
        <f t="shared" si="191"/>
        <v>0</v>
      </c>
      <c r="N1108">
        <f t="shared" si="192"/>
        <v>0</v>
      </c>
      <c r="O1108">
        <f t="shared" si="193"/>
        <v>0</v>
      </c>
      <c r="P1108" t="str">
        <f t="shared" si="194"/>
        <v/>
      </c>
      <c r="Q1108" t="str">
        <f>IF(B1108="","", IFERROR(VLOOKUP(B1108, '基準資産配分（設定）'!$A$2:$C$2001, 3, FALSE), ""))</f>
        <v/>
      </c>
      <c r="R1108" t="str">
        <f>IF(B1108="","", IFERROR(VLOOKUP(B1108, '基準資産配分（設定）'!$A$2:$C$2001, 2, FALSE)/100, 0))</f>
        <v/>
      </c>
      <c r="S1108" t="str">
        <f>IF(B1108="","", IFERROR(SUMIFS(ベンチマークリターン!$C$2:$C$2001, ベンチマークリターン!$A$2:$A$2001, A1108, ベンチマークリターン!$B$2:$B$2001, Q1108) / 100, 0))</f>
        <v/>
      </c>
      <c r="T1108" t="str">
        <f>IF(A1108="","", SUMIFS($H$2:$H$2000, $A$2:$A$2000, A1108))</f>
        <v/>
      </c>
      <c r="U1108" t="str">
        <f t="shared" si="195"/>
        <v/>
      </c>
      <c r="V1108" t="str">
        <f t="shared" si="196"/>
        <v/>
      </c>
      <c r="W1108" t="str">
        <f t="shared" si="197"/>
        <v/>
      </c>
    </row>
    <row r="1109" spans="1:23" x14ac:dyDescent="0.2">
      <c r="A1109" s="4" t="str">
        <f>IF(ポートフォリオ実績!A1110="","", ポートフォリオ実績!A1110)</f>
        <v/>
      </c>
      <c r="B1109" t="str">
        <f>IF(ポートフォリオ実績!B1110="","", ポートフォリオ実績!B1110)</f>
        <v/>
      </c>
      <c r="C1109" s="10" t="str">
        <f>IF(ポートフォリオ実績!C1110="","", ポートフォリオ実績!C1110)</f>
        <v/>
      </c>
      <c r="D1109" s="10" t="str">
        <f>IF(ポートフォリオ実績!D1110="","", ポートフォリオ実績!D1110)</f>
        <v/>
      </c>
      <c r="E1109" s="10" t="str">
        <f>IF(ポートフォリオ実績!E1110="","", ポートフォリオ実績!E1110)</f>
        <v/>
      </c>
      <c r="F1109" s="10" t="str">
        <f>IF(ポートフォリオ実績!F1110="","", ポートフォリオ実績!F1110)</f>
        <v/>
      </c>
      <c r="G1109" t="str">
        <f t="shared" si="187"/>
        <v/>
      </c>
      <c r="H1109">
        <f>IF(B1109&lt;&gt;"", SUMIFS(ポートフォリオ実績!$D$2:$D$2001, ポートフォリオ実績!$B$2:$B$2001, B1109, ポートフォリオ実績!$A$2:$A$2001, G1109), 0)</f>
        <v>0</v>
      </c>
      <c r="I1109">
        <f>IF(B1109&lt;&gt;"", SUMIFS(ポートフォリオ実績!$C$2:$C$2001, ポートフォリオ実績!$B$2:$B$2001, B1109, ポートフォリオ実績!$A$2:$A$2001, G1109), 0)</f>
        <v>0</v>
      </c>
      <c r="J1109">
        <f t="shared" si="188"/>
        <v>0</v>
      </c>
      <c r="K1109">
        <f t="shared" si="189"/>
        <v>0</v>
      </c>
      <c r="L1109">
        <f t="shared" si="190"/>
        <v>0</v>
      </c>
      <c r="M1109">
        <f t="shared" si="191"/>
        <v>0</v>
      </c>
      <c r="N1109">
        <f t="shared" si="192"/>
        <v>0</v>
      </c>
      <c r="O1109">
        <f t="shared" si="193"/>
        <v>0</v>
      </c>
      <c r="P1109" t="str">
        <f t="shared" si="194"/>
        <v/>
      </c>
      <c r="Q1109" t="str">
        <f>IF(B1109="","", IFERROR(VLOOKUP(B1109, '基準資産配分（設定）'!$A$2:$C$2001, 3, FALSE), ""))</f>
        <v/>
      </c>
      <c r="R1109" t="str">
        <f>IF(B1109="","", IFERROR(VLOOKUP(B1109, '基準資産配分（設定）'!$A$2:$C$2001, 2, FALSE)/100, 0))</f>
        <v/>
      </c>
      <c r="S1109" t="str">
        <f>IF(B1109="","", IFERROR(SUMIFS(ベンチマークリターン!$C$2:$C$2001, ベンチマークリターン!$A$2:$A$2001, A1109, ベンチマークリターン!$B$2:$B$2001, Q1109) / 100, 0))</f>
        <v/>
      </c>
      <c r="T1109" t="str">
        <f>IF(A1109="","", SUMIFS($H$2:$H$2000, $A$2:$A$2000, A1109))</f>
        <v/>
      </c>
      <c r="U1109" t="str">
        <f t="shared" si="195"/>
        <v/>
      </c>
      <c r="V1109" t="str">
        <f t="shared" si="196"/>
        <v/>
      </c>
      <c r="W1109" t="str">
        <f t="shared" si="197"/>
        <v/>
      </c>
    </row>
    <row r="1110" spans="1:23" x14ac:dyDescent="0.2">
      <c r="A1110" s="4" t="str">
        <f>IF(ポートフォリオ実績!A1111="","", ポートフォリオ実績!A1111)</f>
        <v/>
      </c>
      <c r="B1110" t="str">
        <f>IF(ポートフォリオ実績!B1111="","", ポートフォリオ実績!B1111)</f>
        <v/>
      </c>
      <c r="C1110" s="10" t="str">
        <f>IF(ポートフォリオ実績!C1111="","", ポートフォリオ実績!C1111)</f>
        <v/>
      </c>
      <c r="D1110" s="10" t="str">
        <f>IF(ポートフォリオ実績!D1111="","", ポートフォリオ実績!D1111)</f>
        <v/>
      </c>
      <c r="E1110" s="10" t="str">
        <f>IF(ポートフォリオ実績!E1111="","", ポートフォリオ実績!E1111)</f>
        <v/>
      </c>
      <c r="F1110" s="10" t="str">
        <f>IF(ポートフォリオ実績!F1111="","", ポートフォリオ実績!F1111)</f>
        <v/>
      </c>
      <c r="G1110" t="str">
        <f t="shared" si="187"/>
        <v/>
      </c>
      <c r="H1110">
        <f>IF(B1110&lt;&gt;"", SUMIFS(ポートフォリオ実績!$D$2:$D$2001, ポートフォリオ実績!$B$2:$B$2001, B1110, ポートフォリオ実績!$A$2:$A$2001, G1110), 0)</f>
        <v>0</v>
      </c>
      <c r="I1110">
        <f>IF(B1110&lt;&gt;"", SUMIFS(ポートフォリオ実績!$C$2:$C$2001, ポートフォリオ実績!$B$2:$B$2001, B1110, ポートフォリオ実績!$A$2:$A$2001, G1110), 0)</f>
        <v>0</v>
      </c>
      <c r="J1110">
        <f t="shared" si="188"/>
        <v>0</v>
      </c>
      <c r="K1110">
        <f t="shared" si="189"/>
        <v>0</v>
      </c>
      <c r="L1110">
        <f t="shared" si="190"/>
        <v>0</v>
      </c>
      <c r="M1110">
        <f t="shared" si="191"/>
        <v>0</v>
      </c>
      <c r="N1110">
        <f t="shared" si="192"/>
        <v>0</v>
      </c>
      <c r="O1110">
        <f t="shared" si="193"/>
        <v>0</v>
      </c>
      <c r="P1110" t="str">
        <f t="shared" si="194"/>
        <v/>
      </c>
      <c r="Q1110" t="str">
        <f>IF(B1110="","", IFERROR(VLOOKUP(B1110, '基準資産配分（設定）'!$A$2:$C$2001, 3, FALSE), ""))</f>
        <v/>
      </c>
      <c r="R1110" t="str">
        <f>IF(B1110="","", IFERROR(VLOOKUP(B1110, '基準資産配分（設定）'!$A$2:$C$2001, 2, FALSE)/100, 0))</f>
        <v/>
      </c>
      <c r="S1110" t="str">
        <f>IF(B1110="","", IFERROR(SUMIFS(ベンチマークリターン!$C$2:$C$2001, ベンチマークリターン!$A$2:$A$2001, A1110, ベンチマークリターン!$B$2:$B$2001, Q1110) / 100, 0))</f>
        <v/>
      </c>
      <c r="T1110" t="str">
        <f>IF(A1110="","", SUMIFS($H$2:$H$2000, $A$2:$A$2000, A1110))</f>
        <v/>
      </c>
      <c r="U1110" t="str">
        <f t="shared" si="195"/>
        <v/>
      </c>
      <c r="V1110" t="str">
        <f t="shared" si="196"/>
        <v/>
      </c>
      <c r="W1110" t="str">
        <f t="shared" si="197"/>
        <v/>
      </c>
    </row>
    <row r="1111" spans="1:23" x14ac:dyDescent="0.2">
      <c r="A1111" s="4" t="str">
        <f>IF(ポートフォリオ実績!A1112="","", ポートフォリオ実績!A1112)</f>
        <v/>
      </c>
      <c r="B1111" t="str">
        <f>IF(ポートフォリオ実績!B1112="","", ポートフォリオ実績!B1112)</f>
        <v/>
      </c>
      <c r="C1111" s="10" t="str">
        <f>IF(ポートフォリオ実績!C1112="","", ポートフォリオ実績!C1112)</f>
        <v/>
      </c>
      <c r="D1111" s="10" t="str">
        <f>IF(ポートフォリオ実績!D1112="","", ポートフォリオ実績!D1112)</f>
        <v/>
      </c>
      <c r="E1111" s="10" t="str">
        <f>IF(ポートフォリオ実績!E1112="","", ポートフォリオ実績!E1112)</f>
        <v/>
      </c>
      <c r="F1111" s="10" t="str">
        <f>IF(ポートフォリオ実績!F1112="","", ポートフォリオ実績!F1112)</f>
        <v/>
      </c>
      <c r="G1111" t="str">
        <f t="shared" si="187"/>
        <v/>
      </c>
      <c r="H1111">
        <f>IF(B1111&lt;&gt;"", SUMIFS(ポートフォリオ実績!$D$2:$D$2001, ポートフォリオ実績!$B$2:$B$2001, B1111, ポートフォリオ実績!$A$2:$A$2001, G1111), 0)</f>
        <v>0</v>
      </c>
      <c r="I1111">
        <f>IF(B1111&lt;&gt;"", SUMIFS(ポートフォリオ実績!$C$2:$C$2001, ポートフォリオ実績!$B$2:$B$2001, B1111, ポートフォリオ実績!$A$2:$A$2001, G1111), 0)</f>
        <v>0</v>
      </c>
      <c r="J1111">
        <f t="shared" si="188"/>
        <v>0</v>
      </c>
      <c r="K1111">
        <f t="shared" si="189"/>
        <v>0</v>
      </c>
      <c r="L1111">
        <f t="shared" si="190"/>
        <v>0</v>
      </c>
      <c r="M1111">
        <f t="shared" si="191"/>
        <v>0</v>
      </c>
      <c r="N1111">
        <f t="shared" si="192"/>
        <v>0</v>
      </c>
      <c r="O1111">
        <f t="shared" si="193"/>
        <v>0</v>
      </c>
      <c r="P1111" t="str">
        <f t="shared" si="194"/>
        <v/>
      </c>
      <c r="Q1111" t="str">
        <f>IF(B1111="","", IFERROR(VLOOKUP(B1111, '基準資産配分（設定）'!$A$2:$C$2001, 3, FALSE), ""))</f>
        <v/>
      </c>
      <c r="R1111" t="str">
        <f>IF(B1111="","", IFERROR(VLOOKUP(B1111, '基準資産配分（設定）'!$A$2:$C$2001, 2, FALSE)/100, 0))</f>
        <v/>
      </c>
      <c r="S1111" t="str">
        <f>IF(B1111="","", IFERROR(SUMIFS(ベンチマークリターン!$C$2:$C$2001, ベンチマークリターン!$A$2:$A$2001, A1111, ベンチマークリターン!$B$2:$B$2001, Q1111) / 100, 0))</f>
        <v/>
      </c>
      <c r="T1111" t="str">
        <f>IF(A1111="","", SUMIFS($H$2:$H$2000, $A$2:$A$2000, A1111))</f>
        <v/>
      </c>
      <c r="U1111" t="str">
        <f t="shared" si="195"/>
        <v/>
      </c>
      <c r="V1111" t="str">
        <f t="shared" si="196"/>
        <v/>
      </c>
      <c r="W1111" t="str">
        <f t="shared" si="197"/>
        <v/>
      </c>
    </row>
    <row r="1112" spans="1:23" x14ac:dyDescent="0.2">
      <c r="A1112" s="4" t="str">
        <f>IF(ポートフォリオ実績!A1113="","", ポートフォリオ実績!A1113)</f>
        <v/>
      </c>
      <c r="B1112" t="str">
        <f>IF(ポートフォリオ実績!B1113="","", ポートフォリオ実績!B1113)</f>
        <v/>
      </c>
      <c r="C1112" s="10" t="str">
        <f>IF(ポートフォリオ実績!C1113="","", ポートフォリオ実績!C1113)</f>
        <v/>
      </c>
      <c r="D1112" s="10" t="str">
        <f>IF(ポートフォリオ実績!D1113="","", ポートフォリオ実績!D1113)</f>
        <v/>
      </c>
      <c r="E1112" s="10" t="str">
        <f>IF(ポートフォリオ実績!E1113="","", ポートフォリオ実績!E1113)</f>
        <v/>
      </c>
      <c r="F1112" s="10" t="str">
        <f>IF(ポートフォリオ実績!F1113="","", ポートフォリオ実績!F1113)</f>
        <v/>
      </c>
      <c r="G1112" t="str">
        <f t="shared" si="187"/>
        <v/>
      </c>
      <c r="H1112">
        <f>IF(B1112&lt;&gt;"", SUMIFS(ポートフォリオ実績!$D$2:$D$2001, ポートフォリオ実績!$B$2:$B$2001, B1112, ポートフォリオ実績!$A$2:$A$2001, G1112), 0)</f>
        <v>0</v>
      </c>
      <c r="I1112">
        <f>IF(B1112&lt;&gt;"", SUMIFS(ポートフォリオ実績!$C$2:$C$2001, ポートフォリオ実績!$B$2:$B$2001, B1112, ポートフォリオ実績!$A$2:$A$2001, G1112), 0)</f>
        <v>0</v>
      </c>
      <c r="J1112">
        <f t="shared" si="188"/>
        <v>0</v>
      </c>
      <c r="K1112">
        <f t="shared" si="189"/>
        <v>0</v>
      </c>
      <c r="L1112">
        <f t="shared" si="190"/>
        <v>0</v>
      </c>
      <c r="M1112">
        <f t="shared" si="191"/>
        <v>0</v>
      </c>
      <c r="N1112">
        <f t="shared" si="192"/>
        <v>0</v>
      </c>
      <c r="O1112">
        <f t="shared" si="193"/>
        <v>0</v>
      </c>
      <c r="P1112" t="str">
        <f t="shared" si="194"/>
        <v/>
      </c>
      <c r="Q1112" t="str">
        <f>IF(B1112="","", IFERROR(VLOOKUP(B1112, '基準資産配分（設定）'!$A$2:$C$2001, 3, FALSE), ""))</f>
        <v/>
      </c>
      <c r="R1112" t="str">
        <f>IF(B1112="","", IFERROR(VLOOKUP(B1112, '基準資産配分（設定）'!$A$2:$C$2001, 2, FALSE)/100, 0))</f>
        <v/>
      </c>
      <c r="S1112" t="str">
        <f>IF(B1112="","", IFERROR(SUMIFS(ベンチマークリターン!$C$2:$C$2001, ベンチマークリターン!$A$2:$A$2001, A1112, ベンチマークリターン!$B$2:$B$2001, Q1112) / 100, 0))</f>
        <v/>
      </c>
      <c r="T1112" t="str">
        <f>IF(A1112="","", SUMIFS($H$2:$H$2000, $A$2:$A$2000, A1112))</f>
        <v/>
      </c>
      <c r="U1112" t="str">
        <f t="shared" si="195"/>
        <v/>
      </c>
      <c r="V1112" t="str">
        <f t="shared" si="196"/>
        <v/>
      </c>
      <c r="W1112" t="str">
        <f t="shared" si="197"/>
        <v/>
      </c>
    </row>
    <row r="1113" spans="1:23" x14ac:dyDescent="0.2">
      <c r="A1113" s="4" t="str">
        <f>IF(ポートフォリオ実績!A1114="","", ポートフォリオ実績!A1114)</f>
        <v/>
      </c>
      <c r="B1113" t="str">
        <f>IF(ポートフォリオ実績!B1114="","", ポートフォリオ実績!B1114)</f>
        <v/>
      </c>
      <c r="C1113" s="10" t="str">
        <f>IF(ポートフォリオ実績!C1114="","", ポートフォリオ実績!C1114)</f>
        <v/>
      </c>
      <c r="D1113" s="10" t="str">
        <f>IF(ポートフォリオ実績!D1114="","", ポートフォリオ実績!D1114)</f>
        <v/>
      </c>
      <c r="E1113" s="10" t="str">
        <f>IF(ポートフォリオ実績!E1114="","", ポートフォリオ実績!E1114)</f>
        <v/>
      </c>
      <c r="F1113" s="10" t="str">
        <f>IF(ポートフォリオ実績!F1114="","", ポートフォリオ実績!F1114)</f>
        <v/>
      </c>
      <c r="G1113" t="str">
        <f t="shared" si="187"/>
        <v/>
      </c>
      <c r="H1113">
        <f>IF(B1113&lt;&gt;"", SUMIFS(ポートフォリオ実績!$D$2:$D$2001, ポートフォリオ実績!$B$2:$B$2001, B1113, ポートフォリオ実績!$A$2:$A$2001, G1113), 0)</f>
        <v>0</v>
      </c>
      <c r="I1113">
        <f>IF(B1113&lt;&gt;"", SUMIFS(ポートフォリオ実績!$C$2:$C$2001, ポートフォリオ実績!$B$2:$B$2001, B1113, ポートフォリオ実績!$A$2:$A$2001, G1113), 0)</f>
        <v>0</v>
      </c>
      <c r="J1113">
        <f t="shared" si="188"/>
        <v>0</v>
      </c>
      <c r="K1113">
        <f t="shared" si="189"/>
        <v>0</v>
      </c>
      <c r="L1113">
        <f t="shared" si="190"/>
        <v>0</v>
      </c>
      <c r="M1113">
        <f t="shared" si="191"/>
        <v>0</v>
      </c>
      <c r="N1113">
        <f t="shared" si="192"/>
        <v>0</v>
      </c>
      <c r="O1113">
        <f t="shared" si="193"/>
        <v>0</v>
      </c>
      <c r="P1113" t="str">
        <f t="shared" si="194"/>
        <v/>
      </c>
      <c r="Q1113" t="str">
        <f>IF(B1113="","", IFERROR(VLOOKUP(B1113, '基準資産配分（設定）'!$A$2:$C$2001, 3, FALSE), ""))</f>
        <v/>
      </c>
      <c r="R1113" t="str">
        <f>IF(B1113="","", IFERROR(VLOOKUP(B1113, '基準資産配分（設定）'!$A$2:$C$2001, 2, FALSE)/100, 0))</f>
        <v/>
      </c>
      <c r="S1113" t="str">
        <f>IF(B1113="","", IFERROR(SUMIFS(ベンチマークリターン!$C$2:$C$2001, ベンチマークリターン!$A$2:$A$2001, A1113, ベンチマークリターン!$B$2:$B$2001, Q1113) / 100, 0))</f>
        <v/>
      </c>
      <c r="T1113" t="str">
        <f>IF(A1113="","", SUMIFS($H$2:$H$2000, $A$2:$A$2000, A1113))</f>
        <v/>
      </c>
      <c r="U1113" t="str">
        <f t="shared" si="195"/>
        <v/>
      </c>
      <c r="V1113" t="str">
        <f t="shared" si="196"/>
        <v/>
      </c>
      <c r="W1113" t="str">
        <f t="shared" si="197"/>
        <v/>
      </c>
    </row>
    <row r="1114" spans="1:23" x14ac:dyDescent="0.2">
      <c r="A1114" s="4" t="str">
        <f>IF(ポートフォリオ実績!A1115="","", ポートフォリオ実績!A1115)</f>
        <v/>
      </c>
      <c r="B1114" t="str">
        <f>IF(ポートフォリオ実績!B1115="","", ポートフォリオ実績!B1115)</f>
        <v/>
      </c>
      <c r="C1114" s="10" t="str">
        <f>IF(ポートフォリオ実績!C1115="","", ポートフォリオ実績!C1115)</f>
        <v/>
      </c>
      <c r="D1114" s="10" t="str">
        <f>IF(ポートフォリオ実績!D1115="","", ポートフォリオ実績!D1115)</f>
        <v/>
      </c>
      <c r="E1114" s="10" t="str">
        <f>IF(ポートフォリオ実績!E1115="","", ポートフォリオ実績!E1115)</f>
        <v/>
      </c>
      <c r="F1114" s="10" t="str">
        <f>IF(ポートフォリオ実績!F1115="","", ポートフォリオ実績!F1115)</f>
        <v/>
      </c>
      <c r="G1114" t="str">
        <f t="shared" si="187"/>
        <v/>
      </c>
      <c r="H1114">
        <f>IF(B1114&lt;&gt;"", SUMIFS(ポートフォリオ実績!$D$2:$D$2001, ポートフォリオ実績!$B$2:$B$2001, B1114, ポートフォリオ実績!$A$2:$A$2001, G1114), 0)</f>
        <v>0</v>
      </c>
      <c r="I1114">
        <f>IF(B1114&lt;&gt;"", SUMIFS(ポートフォリオ実績!$C$2:$C$2001, ポートフォリオ実績!$B$2:$B$2001, B1114, ポートフォリオ実績!$A$2:$A$2001, G1114), 0)</f>
        <v>0</v>
      </c>
      <c r="J1114">
        <f t="shared" si="188"/>
        <v>0</v>
      </c>
      <c r="K1114">
        <f t="shared" si="189"/>
        <v>0</v>
      </c>
      <c r="L1114">
        <f t="shared" si="190"/>
        <v>0</v>
      </c>
      <c r="M1114">
        <f t="shared" si="191"/>
        <v>0</v>
      </c>
      <c r="N1114">
        <f t="shared" si="192"/>
        <v>0</v>
      </c>
      <c r="O1114">
        <f t="shared" si="193"/>
        <v>0</v>
      </c>
      <c r="P1114" t="str">
        <f t="shared" si="194"/>
        <v/>
      </c>
      <c r="Q1114" t="str">
        <f>IF(B1114="","", IFERROR(VLOOKUP(B1114, '基準資産配分（設定）'!$A$2:$C$2001, 3, FALSE), ""))</f>
        <v/>
      </c>
      <c r="R1114" t="str">
        <f>IF(B1114="","", IFERROR(VLOOKUP(B1114, '基準資産配分（設定）'!$A$2:$C$2001, 2, FALSE)/100, 0))</f>
        <v/>
      </c>
      <c r="S1114" t="str">
        <f>IF(B1114="","", IFERROR(SUMIFS(ベンチマークリターン!$C$2:$C$2001, ベンチマークリターン!$A$2:$A$2001, A1114, ベンチマークリターン!$B$2:$B$2001, Q1114) / 100, 0))</f>
        <v/>
      </c>
      <c r="T1114" t="str">
        <f>IF(A1114="","", SUMIFS($H$2:$H$2000, $A$2:$A$2000, A1114))</f>
        <v/>
      </c>
      <c r="U1114" t="str">
        <f t="shared" si="195"/>
        <v/>
      </c>
      <c r="V1114" t="str">
        <f t="shared" si="196"/>
        <v/>
      </c>
      <c r="W1114" t="str">
        <f t="shared" si="197"/>
        <v/>
      </c>
    </row>
    <row r="1115" spans="1:23" x14ac:dyDescent="0.2">
      <c r="A1115" s="4" t="str">
        <f>IF(ポートフォリオ実績!A1116="","", ポートフォリオ実績!A1116)</f>
        <v/>
      </c>
      <c r="B1115" t="str">
        <f>IF(ポートフォリオ実績!B1116="","", ポートフォリオ実績!B1116)</f>
        <v/>
      </c>
      <c r="C1115" s="10" t="str">
        <f>IF(ポートフォリオ実績!C1116="","", ポートフォリオ実績!C1116)</f>
        <v/>
      </c>
      <c r="D1115" s="10" t="str">
        <f>IF(ポートフォリオ実績!D1116="","", ポートフォリオ実績!D1116)</f>
        <v/>
      </c>
      <c r="E1115" s="10" t="str">
        <f>IF(ポートフォリオ実績!E1116="","", ポートフォリオ実績!E1116)</f>
        <v/>
      </c>
      <c r="F1115" s="10" t="str">
        <f>IF(ポートフォリオ実績!F1116="","", ポートフォリオ実績!F1116)</f>
        <v/>
      </c>
      <c r="G1115" t="str">
        <f t="shared" si="187"/>
        <v/>
      </c>
      <c r="H1115">
        <f>IF(B1115&lt;&gt;"", SUMIFS(ポートフォリオ実績!$D$2:$D$2001, ポートフォリオ実績!$B$2:$B$2001, B1115, ポートフォリオ実績!$A$2:$A$2001, G1115), 0)</f>
        <v>0</v>
      </c>
      <c r="I1115">
        <f>IF(B1115&lt;&gt;"", SUMIFS(ポートフォリオ実績!$C$2:$C$2001, ポートフォリオ実績!$B$2:$B$2001, B1115, ポートフォリオ実績!$A$2:$A$2001, G1115), 0)</f>
        <v>0</v>
      </c>
      <c r="J1115">
        <f t="shared" si="188"/>
        <v>0</v>
      </c>
      <c r="K1115">
        <f t="shared" si="189"/>
        <v>0</v>
      </c>
      <c r="L1115">
        <f t="shared" si="190"/>
        <v>0</v>
      </c>
      <c r="M1115">
        <f t="shared" si="191"/>
        <v>0</v>
      </c>
      <c r="N1115">
        <f t="shared" si="192"/>
        <v>0</v>
      </c>
      <c r="O1115">
        <f t="shared" si="193"/>
        <v>0</v>
      </c>
      <c r="P1115" t="str">
        <f t="shared" si="194"/>
        <v/>
      </c>
      <c r="Q1115" t="str">
        <f>IF(B1115="","", IFERROR(VLOOKUP(B1115, '基準資産配分（設定）'!$A$2:$C$2001, 3, FALSE), ""))</f>
        <v/>
      </c>
      <c r="R1115" t="str">
        <f>IF(B1115="","", IFERROR(VLOOKUP(B1115, '基準資産配分（設定）'!$A$2:$C$2001, 2, FALSE)/100, 0))</f>
        <v/>
      </c>
      <c r="S1115" t="str">
        <f>IF(B1115="","", IFERROR(SUMIFS(ベンチマークリターン!$C$2:$C$2001, ベンチマークリターン!$A$2:$A$2001, A1115, ベンチマークリターン!$B$2:$B$2001, Q1115) / 100, 0))</f>
        <v/>
      </c>
      <c r="T1115" t="str">
        <f>IF(A1115="","", SUMIFS($H$2:$H$2000, $A$2:$A$2000, A1115))</f>
        <v/>
      </c>
      <c r="U1115" t="str">
        <f t="shared" si="195"/>
        <v/>
      </c>
      <c r="V1115" t="str">
        <f t="shared" si="196"/>
        <v/>
      </c>
      <c r="W1115" t="str">
        <f t="shared" si="197"/>
        <v/>
      </c>
    </row>
    <row r="1116" spans="1:23" x14ac:dyDescent="0.2">
      <c r="A1116" s="4" t="str">
        <f>IF(ポートフォリオ実績!A1117="","", ポートフォリオ実績!A1117)</f>
        <v/>
      </c>
      <c r="B1116" t="str">
        <f>IF(ポートフォリオ実績!B1117="","", ポートフォリオ実績!B1117)</f>
        <v/>
      </c>
      <c r="C1116" s="10" t="str">
        <f>IF(ポートフォリオ実績!C1117="","", ポートフォリオ実績!C1117)</f>
        <v/>
      </c>
      <c r="D1116" s="10" t="str">
        <f>IF(ポートフォリオ実績!D1117="","", ポートフォリオ実績!D1117)</f>
        <v/>
      </c>
      <c r="E1116" s="10" t="str">
        <f>IF(ポートフォリオ実績!E1117="","", ポートフォリオ実績!E1117)</f>
        <v/>
      </c>
      <c r="F1116" s="10" t="str">
        <f>IF(ポートフォリオ実績!F1117="","", ポートフォリオ実績!F1117)</f>
        <v/>
      </c>
      <c r="G1116" t="str">
        <f t="shared" si="187"/>
        <v/>
      </c>
      <c r="H1116">
        <f>IF(B1116&lt;&gt;"", SUMIFS(ポートフォリオ実績!$D$2:$D$2001, ポートフォリオ実績!$B$2:$B$2001, B1116, ポートフォリオ実績!$A$2:$A$2001, G1116), 0)</f>
        <v>0</v>
      </c>
      <c r="I1116">
        <f>IF(B1116&lt;&gt;"", SUMIFS(ポートフォリオ実績!$C$2:$C$2001, ポートフォリオ実績!$B$2:$B$2001, B1116, ポートフォリオ実績!$A$2:$A$2001, G1116), 0)</f>
        <v>0</v>
      </c>
      <c r="J1116">
        <f t="shared" si="188"/>
        <v>0</v>
      </c>
      <c r="K1116">
        <f t="shared" si="189"/>
        <v>0</v>
      </c>
      <c r="L1116">
        <f t="shared" si="190"/>
        <v>0</v>
      </c>
      <c r="M1116">
        <f t="shared" si="191"/>
        <v>0</v>
      </c>
      <c r="N1116">
        <f t="shared" si="192"/>
        <v>0</v>
      </c>
      <c r="O1116">
        <f t="shared" si="193"/>
        <v>0</v>
      </c>
      <c r="P1116" t="str">
        <f t="shared" si="194"/>
        <v/>
      </c>
      <c r="Q1116" t="str">
        <f>IF(B1116="","", IFERROR(VLOOKUP(B1116, '基準資産配分（設定）'!$A$2:$C$2001, 3, FALSE), ""))</f>
        <v/>
      </c>
      <c r="R1116" t="str">
        <f>IF(B1116="","", IFERROR(VLOOKUP(B1116, '基準資産配分（設定）'!$A$2:$C$2001, 2, FALSE)/100, 0))</f>
        <v/>
      </c>
      <c r="S1116" t="str">
        <f>IF(B1116="","", IFERROR(SUMIFS(ベンチマークリターン!$C$2:$C$2001, ベンチマークリターン!$A$2:$A$2001, A1116, ベンチマークリターン!$B$2:$B$2001, Q1116) / 100, 0))</f>
        <v/>
      </c>
      <c r="T1116" t="str">
        <f>IF(A1116="","", SUMIFS($H$2:$H$2000, $A$2:$A$2000, A1116))</f>
        <v/>
      </c>
      <c r="U1116" t="str">
        <f t="shared" si="195"/>
        <v/>
      </c>
      <c r="V1116" t="str">
        <f t="shared" si="196"/>
        <v/>
      </c>
      <c r="W1116" t="str">
        <f t="shared" si="197"/>
        <v/>
      </c>
    </row>
    <row r="1117" spans="1:23" x14ac:dyDescent="0.2">
      <c r="A1117" s="4" t="str">
        <f>IF(ポートフォリオ実績!A1118="","", ポートフォリオ実績!A1118)</f>
        <v/>
      </c>
      <c r="B1117" t="str">
        <f>IF(ポートフォリオ実績!B1118="","", ポートフォリオ実績!B1118)</f>
        <v/>
      </c>
      <c r="C1117" s="10" t="str">
        <f>IF(ポートフォリオ実績!C1118="","", ポートフォリオ実績!C1118)</f>
        <v/>
      </c>
      <c r="D1117" s="10" t="str">
        <f>IF(ポートフォリオ実績!D1118="","", ポートフォリオ実績!D1118)</f>
        <v/>
      </c>
      <c r="E1117" s="10" t="str">
        <f>IF(ポートフォリオ実績!E1118="","", ポートフォリオ実績!E1118)</f>
        <v/>
      </c>
      <c r="F1117" s="10" t="str">
        <f>IF(ポートフォリオ実績!F1118="","", ポートフォリオ実績!F1118)</f>
        <v/>
      </c>
      <c r="G1117" t="str">
        <f t="shared" si="187"/>
        <v/>
      </c>
      <c r="H1117">
        <f>IF(B1117&lt;&gt;"", SUMIFS(ポートフォリオ実績!$D$2:$D$2001, ポートフォリオ実績!$B$2:$B$2001, B1117, ポートフォリオ実績!$A$2:$A$2001, G1117), 0)</f>
        <v>0</v>
      </c>
      <c r="I1117">
        <f>IF(B1117&lt;&gt;"", SUMIFS(ポートフォリオ実績!$C$2:$C$2001, ポートフォリオ実績!$B$2:$B$2001, B1117, ポートフォリオ実績!$A$2:$A$2001, G1117), 0)</f>
        <v>0</v>
      </c>
      <c r="J1117">
        <f t="shared" si="188"/>
        <v>0</v>
      </c>
      <c r="K1117">
        <f t="shared" si="189"/>
        <v>0</v>
      </c>
      <c r="L1117">
        <f t="shared" si="190"/>
        <v>0</v>
      </c>
      <c r="M1117">
        <f t="shared" si="191"/>
        <v>0</v>
      </c>
      <c r="N1117">
        <f t="shared" si="192"/>
        <v>0</v>
      </c>
      <c r="O1117">
        <f t="shared" si="193"/>
        <v>0</v>
      </c>
      <c r="P1117" t="str">
        <f t="shared" si="194"/>
        <v/>
      </c>
      <c r="Q1117" t="str">
        <f>IF(B1117="","", IFERROR(VLOOKUP(B1117, '基準資産配分（設定）'!$A$2:$C$2001, 3, FALSE), ""))</f>
        <v/>
      </c>
      <c r="R1117" t="str">
        <f>IF(B1117="","", IFERROR(VLOOKUP(B1117, '基準資産配分（設定）'!$A$2:$C$2001, 2, FALSE)/100, 0))</f>
        <v/>
      </c>
      <c r="S1117" t="str">
        <f>IF(B1117="","", IFERROR(SUMIFS(ベンチマークリターン!$C$2:$C$2001, ベンチマークリターン!$A$2:$A$2001, A1117, ベンチマークリターン!$B$2:$B$2001, Q1117) / 100, 0))</f>
        <v/>
      </c>
      <c r="T1117" t="str">
        <f>IF(A1117="","", SUMIFS($H$2:$H$2000, $A$2:$A$2000, A1117))</f>
        <v/>
      </c>
      <c r="U1117" t="str">
        <f t="shared" si="195"/>
        <v/>
      </c>
      <c r="V1117" t="str">
        <f t="shared" si="196"/>
        <v/>
      </c>
      <c r="W1117" t="str">
        <f t="shared" si="197"/>
        <v/>
      </c>
    </row>
    <row r="1118" spans="1:23" x14ac:dyDescent="0.2">
      <c r="A1118" s="4" t="str">
        <f>IF(ポートフォリオ実績!A1119="","", ポートフォリオ実績!A1119)</f>
        <v/>
      </c>
      <c r="B1118" t="str">
        <f>IF(ポートフォリオ実績!B1119="","", ポートフォリオ実績!B1119)</f>
        <v/>
      </c>
      <c r="C1118" s="10" t="str">
        <f>IF(ポートフォリオ実績!C1119="","", ポートフォリオ実績!C1119)</f>
        <v/>
      </c>
      <c r="D1118" s="10" t="str">
        <f>IF(ポートフォリオ実績!D1119="","", ポートフォリオ実績!D1119)</f>
        <v/>
      </c>
      <c r="E1118" s="10" t="str">
        <f>IF(ポートフォリオ実績!E1119="","", ポートフォリオ実績!E1119)</f>
        <v/>
      </c>
      <c r="F1118" s="10" t="str">
        <f>IF(ポートフォリオ実績!F1119="","", ポートフォリオ実績!F1119)</f>
        <v/>
      </c>
      <c r="G1118" t="str">
        <f t="shared" si="187"/>
        <v/>
      </c>
      <c r="H1118">
        <f>IF(B1118&lt;&gt;"", SUMIFS(ポートフォリオ実績!$D$2:$D$2001, ポートフォリオ実績!$B$2:$B$2001, B1118, ポートフォリオ実績!$A$2:$A$2001, G1118), 0)</f>
        <v>0</v>
      </c>
      <c r="I1118">
        <f>IF(B1118&lt;&gt;"", SUMIFS(ポートフォリオ実績!$C$2:$C$2001, ポートフォリオ実績!$B$2:$B$2001, B1118, ポートフォリオ実績!$A$2:$A$2001, G1118), 0)</f>
        <v>0</v>
      </c>
      <c r="J1118">
        <f t="shared" si="188"/>
        <v>0</v>
      </c>
      <c r="K1118">
        <f t="shared" si="189"/>
        <v>0</v>
      </c>
      <c r="L1118">
        <f t="shared" si="190"/>
        <v>0</v>
      </c>
      <c r="M1118">
        <f t="shared" si="191"/>
        <v>0</v>
      </c>
      <c r="N1118">
        <f t="shared" si="192"/>
        <v>0</v>
      </c>
      <c r="O1118">
        <f t="shared" si="193"/>
        <v>0</v>
      </c>
      <c r="P1118" t="str">
        <f t="shared" si="194"/>
        <v/>
      </c>
      <c r="Q1118" t="str">
        <f>IF(B1118="","", IFERROR(VLOOKUP(B1118, '基準資産配分（設定）'!$A$2:$C$2001, 3, FALSE), ""))</f>
        <v/>
      </c>
      <c r="R1118" t="str">
        <f>IF(B1118="","", IFERROR(VLOOKUP(B1118, '基準資産配分（設定）'!$A$2:$C$2001, 2, FALSE)/100, 0))</f>
        <v/>
      </c>
      <c r="S1118" t="str">
        <f>IF(B1118="","", IFERROR(SUMIFS(ベンチマークリターン!$C$2:$C$2001, ベンチマークリターン!$A$2:$A$2001, A1118, ベンチマークリターン!$B$2:$B$2001, Q1118) / 100, 0))</f>
        <v/>
      </c>
      <c r="T1118" t="str">
        <f>IF(A1118="","", SUMIFS($H$2:$H$2000, $A$2:$A$2000, A1118))</f>
        <v/>
      </c>
      <c r="U1118" t="str">
        <f t="shared" si="195"/>
        <v/>
      </c>
      <c r="V1118" t="str">
        <f t="shared" si="196"/>
        <v/>
      </c>
      <c r="W1118" t="str">
        <f t="shared" si="197"/>
        <v/>
      </c>
    </row>
    <row r="1119" spans="1:23" x14ac:dyDescent="0.2">
      <c r="A1119" s="4" t="str">
        <f>IF(ポートフォリオ実績!A1120="","", ポートフォリオ実績!A1120)</f>
        <v/>
      </c>
      <c r="B1119" t="str">
        <f>IF(ポートフォリオ実績!B1120="","", ポートフォリオ実績!B1120)</f>
        <v/>
      </c>
      <c r="C1119" s="10" t="str">
        <f>IF(ポートフォリオ実績!C1120="","", ポートフォリオ実績!C1120)</f>
        <v/>
      </c>
      <c r="D1119" s="10" t="str">
        <f>IF(ポートフォリオ実績!D1120="","", ポートフォリオ実績!D1120)</f>
        <v/>
      </c>
      <c r="E1119" s="10" t="str">
        <f>IF(ポートフォリオ実績!E1120="","", ポートフォリオ実績!E1120)</f>
        <v/>
      </c>
      <c r="F1119" s="10" t="str">
        <f>IF(ポートフォリオ実績!F1120="","", ポートフォリオ実績!F1120)</f>
        <v/>
      </c>
      <c r="G1119" t="str">
        <f t="shared" si="187"/>
        <v/>
      </c>
      <c r="H1119">
        <f>IF(B1119&lt;&gt;"", SUMIFS(ポートフォリオ実績!$D$2:$D$2001, ポートフォリオ実績!$B$2:$B$2001, B1119, ポートフォリオ実績!$A$2:$A$2001, G1119), 0)</f>
        <v>0</v>
      </c>
      <c r="I1119">
        <f>IF(B1119&lt;&gt;"", SUMIFS(ポートフォリオ実績!$C$2:$C$2001, ポートフォリオ実績!$B$2:$B$2001, B1119, ポートフォリオ実績!$A$2:$A$2001, G1119), 0)</f>
        <v>0</v>
      </c>
      <c r="J1119">
        <f t="shared" si="188"/>
        <v>0</v>
      </c>
      <c r="K1119">
        <f t="shared" si="189"/>
        <v>0</v>
      </c>
      <c r="L1119">
        <f t="shared" si="190"/>
        <v>0</v>
      </c>
      <c r="M1119">
        <f t="shared" si="191"/>
        <v>0</v>
      </c>
      <c r="N1119">
        <f t="shared" si="192"/>
        <v>0</v>
      </c>
      <c r="O1119">
        <f t="shared" si="193"/>
        <v>0</v>
      </c>
      <c r="P1119" t="str">
        <f t="shared" si="194"/>
        <v/>
      </c>
      <c r="Q1119" t="str">
        <f>IF(B1119="","", IFERROR(VLOOKUP(B1119, '基準資産配分（設定）'!$A$2:$C$2001, 3, FALSE), ""))</f>
        <v/>
      </c>
      <c r="R1119" t="str">
        <f>IF(B1119="","", IFERROR(VLOOKUP(B1119, '基準資産配分（設定）'!$A$2:$C$2001, 2, FALSE)/100, 0))</f>
        <v/>
      </c>
      <c r="S1119" t="str">
        <f>IF(B1119="","", IFERROR(SUMIFS(ベンチマークリターン!$C$2:$C$2001, ベンチマークリターン!$A$2:$A$2001, A1119, ベンチマークリターン!$B$2:$B$2001, Q1119) / 100, 0))</f>
        <v/>
      </c>
      <c r="T1119" t="str">
        <f>IF(A1119="","", SUMIFS($H$2:$H$2000, $A$2:$A$2000, A1119))</f>
        <v/>
      </c>
      <c r="U1119" t="str">
        <f t="shared" si="195"/>
        <v/>
      </c>
      <c r="V1119" t="str">
        <f t="shared" si="196"/>
        <v/>
      </c>
      <c r="W1119" t="str">
        <f t="shared" si="197"/>
        <v/>
      </c>
    </row>
    <row r="1120" spans="1:23" x14ac:dyDescent="0.2">
      <c r="A1120" s="4" t="str">
        <f>IF(ポートフォリオ実績!A1121="","", ポートフォリオ実績!A1121)</f>
        <v/>
      </c>
      <c r="B1120" t="str">
        <f>IF(ポートフォリオ実績!B1121="","", ポートフォリオ実績!B1121)</f>
        <v/>
      </c>
      <c r="C1120" s="10" t="str">
        <f>IF(ポートフォリオ実績!C1121="","", ポートフォリオ実績!C1121)</f>
        <v/>
      </c>
      <c r="D1120" s="10" t="str">
        <f>IF(ポートフォリオ実績!D1121="","", ポートフォリオ実績!D1121)</f>
        <v/>
      </c>
      <c r="E1120" s="10" t="str">
        <f>IF(ポートフォリオ実績!E1121="","", ポートフォリオ実績!E1121)</f>
        <v/>
      </c>
      <c r="F1120" s="10" t="str">
        <f>IF(ポートフォリオ実績!F1121="","", ポートフォリオ実績!F1121)</f>
        <v/>
      </c>
      <c r="G1120" t="str">
        <f t="shared" si="187"/>
        <v/>
      </c>
      <c r="H1120">
        <f>IF(B1120&lt;&gt;"", SUMIFS(ポートフォリオ実績!$D$2:$D$2001, ポートフォリオ実績!$B$2:$B$2001, B1120, ポートフォリオ実績!$A$2:$A$2001, G1120), 0)</f>
        <v>0</v>
      </c>
      <c r="I1120">
        <f>IF(B1120&lt;&gt;"", SUMIFS(ポートフォリオ実績!$C$2:$C$2001, ポートフォリオ実績!$B$2:$B$2001, B1120, ポートフォリオ実績!$A$2:$A$2001, G1120), 0)</f>
        <v>0</v>
      </c>
      <c r="J1120">
        <f t="shared" si="188"/>
        <v>0</v>
      </c>
      <c r="K1120">
        <f t="shared" si="189"/>
        <v>0</v>
      </c>
      <c r="L1120">
        <f t="shared" si="190"/>
        <v>0</v>
      </c>
      <c r="M1120">
        <f t="shared" si="191"/>
        <v>0</v>
      </c>
      <c r="N1120">
        <f t="shared" si="192"/>
        <v>0</v>
      </c>
      <c r="O1120">
        <f t="shared" si="193"/>
        <v>0</v>
      </c>
      <c r="P1120" t="str">
        <f t="shared" si="194"/>
        <v/>
      </c>
      <c r="Q1120" t="str">
        <f>IF(B1120="","", IFERROR(VLOOKUP(B1120, '基準資産配分（設定）'!$A$2:$C$2001, 3, FALSE), ""))</f>
        <v/>
      </c>
      <c r="R1120" t="str">
        <f>IF(B1120="","", IFERROR(VLOOKUP(B1120, '基準資産配分（設定）'!$A$2:$C$2001, 2, FALSE)/100, 0))</f>
        <v/>
      </c>
      <c r="S1120" t="str">
        <f>IF(B1120="","", IFERROR(SUMIFS(ベンチマークリターン!$C$2:$C$2001, ベンチマークリターン!$A$2:$A$2001, A1120, ベンチマークリターン!$B$2:$B$2001, Q1120) / 100, 0))</f>
        <v/>
      </c>
      <c r="T1120" t="str">
        <f>IF(A1120="","", SUMIFS($H$2:$H$2000, $A$2:$A$2000, A1120))</f>
        <v/>
      </c>
      <c r="U1120" t="str">
        <f t="shared" si="195"/>
        <v/>
      </c>
      <c r="V1120" t="str">
        <f t="shared" si="196"/>
        <v/>
      </c>
      <c r="W1120" t="str">
        <f t="shared" si="197"/>
        <v/>
      </c>
    </row>
    <row r="1121" spans="1:23" x14ac:dyDescent="0.2">
      <c r="A1121" s="4" t="str">
        <f>IF(ポートフォリオ実績!A1122="","", ポートフォリオ実績!A1122)</f>
        <v/>
      </c>
      <c r="B1121" t="str">
        <f>IF(ポートフォリオ実績!B1122="","", ポートフォリオ実績!B1122)</f>
        <v/>
      </c>
      <c r="C1121" s="10" t="str">
        <f>IF(ポートフォリオ実績!C1122="","", ポートフォリオ実績!C1122)</f>
        <v/>
      </c>
      <c r="D1121" s="10" t="str">
        <f>IF(ポートフォリオ実績!D1122="","", ポートフォリオ実績!D1122)</f>
        <v/>
      </c>
      <c r="E1121" s="10" t="str">
        <f>IF(ポートフォリオ実績!E1122="","", ポートフォリオ実績!E1122)</f>
        <v/>
      </c>
      <c r="F1121" s="10" t="str">
        <f>IF(ポートフォリオ実績!F1122="","", ポートフォリオ実績!F1122)</f>
        <v/>
      </c>
      <c r="G1121" t="str">
        <f t="shared" si="187"/>
        <v/>
      </c>
      <c r="H1121">
        <f>IF(B1121&lt;&gt;"", SUMIFS(ポートフォリオ実績!$D$2:$D$2001, ポートフォリオ実績!$B$2:$B$2001, B1121, ポートフォリオ実績!$A$2:$A$2001, G1121), 0)</f>
        <v>0</v>
      </c>
      <c r="I1121">
        <f>IF(B1121&lt;&gt;"", SUMIFS(ポートフォリオ実績!$C$2:$C$2001, ポートフォリオ実績!$B$2:$B$2001, B1121, ポートフォリオ実績!$A$2:$A$2001, G1121), 0)</f>
        <v>0</v>
      </c>
      <c r="J1121">
        <f t="shared" si="188"/>
        <v>0</v>
      </c>
      <c r="K1121">
        <f t="shared" si="189"/>
        <v>0</v>
      </c>
      <c r="L1121">
        <f t="shared" si="190"/>
        <v>0</v>
      </c>
      <c r="M1121">
        <f t="shared" si="191"/>
        <v>0</v>
      </c>
      <c r="N1121">
        <f t="shared" si="192"/>
        <v>0</v>
      </c>
      <c r="O1121">
        <f t="shared" si="193"/>
        <v>0</v>
      </c>
      <c r="P1121" t="str">
        <f t="shared" si="194"/>
        <v/>
      </c>
      <c r="Q1121" t="str">
        <f>IF(B1121="","", IFERROR(VLOOKUP(B1121, '基準資産配分（設定）'!$A$2:$C$2001, 3, FALSE), ""))</f>
        <v/>
      </c>
      <c r="R1121" t="str">
        <f>IF(B1121="","", IFERROR(VLOOKUP(B1121, '基準資産配分（設定）'!$A$2:$C$2001, 2, FALSE)/100, 0))</f>
        <v/>
      </c>
      <c r="S1121" t="str">
        <f>IF(B1121="","", IFERROR(SUMIFS(ベンチマークリターン!$C$2:$C$2001, ベンチマークリターン!$A$2:$A$2001, A1121, ベンチマークリターン!$B$2:$B$2001, Q1121) / 100, 0))</f>
        <v/>
      </c>
      <c r="T1121" t="str">
        <f>IF(A1121="","", SUMIFS($H$2:$H$2000, $A$2:$A$2000, A1121))</f>
        <v/>
      </c>
      <c r="U1121" t="str">
        <f t="shared" si="195"/>
        <v/>
      </c>
      <c r="V1121" t="str">
        <f t="shared" si="196"/>
        <v/>
      </c>
      <c r="W1121" t="str">
        <f t="shared" si="197"/>
        <v/>
      </c>
    </row>
    <row r="1122" spans="1:23" x14ac:dyDescent="0.2">
      <c r="A1122" s="4" t="str">
        <f>IF(ポートフォリオ実績!A1123="","", ポートフォリオ実績!A1123)</f>
        <v/>
      </c>
      <c r="B1122" t="str">
        <f>IF(ポートフォリオ実績!B1123="","", ポートフォリオ実績!B1123)</f>
        <v/>
      </c>
      <c r="C1122" s="10" t="str">
        <f>IF(ポートフォリオ実績!C1123="","", ポートフォリオ実績!C1123)</f>
        <v/>
      </c>
      <c r="D1122" s="10" t="str">
        <f>IF(ポートフォリオ実績!D1123="","", ポートフォリオ実績!D1123)</f>
        <v/>
      </c>
      <c r="E1122" s="10" t="str">
        <f>IF(ポートフォリオ実績!E1123="","", ポートフォリオ実績!E1123)</f>
        <v/>
      </c>
      <c r="F1122" s="10" t="str">
        <f>IF(ポートフォリオ実績!F1123="","", ポートフォリオ実績!F1123)</f>
        <v/>
      </c>
      <c r="G1122" t="str">
        <f t="shared" si="187"/>
        <v/>
      </c>
      <c r="H1122">
        <f>IF(B1122&lt;&gt;"", SUMIFS(ポートフォリオ実績!$D$2:$D$2001, ポートフォリオ実績!$B$2:$B$2001, B1122, ポートフォリオ実績!$A$2:$A$2001, G1122), 0)</f>
        <v>0</v>
      </c>
      <c r="I1122">
        <f>IF(B1122&lt;&gt;"", SUMIFS(ポートフォリオ実績!$C$2:$C$2001, ポートフォリオ実績!$B$2:$B$2001, B1122, ポートフォリオ実績!$A$2:$A$2001, G1122), 0)</f>
        <v>0</v>
      </c>
      <c r="J1122">
        <f t="shared" si="188"/>
        <v>0</v>
      </c>
      <c r="K1122">
        <f t="shared" si="189"/>
        <v>0</v>
      </c>
      <c r="L1122">
        <f t="shared" si="190"/>
        <v>0</v>
      </c>
      <c r="M1122">
        <f t="shared" si="191"/>
        <v>0</v>
      </c>
      <c r="N1122">
        <f t="shared" si="192"/>
        <v>0</v>
      </c>
      <c r="O1122">
        <f t="shared" si="193"/>
        <v>0</v>
      </c>
      <c r="P1122" t="str">
        <f t="shared" si="194"/>
        <v/>
      </c>
      <c r="Q1122" t="str">
        <f>IF(B1122="","", IFERROR(VLOOKUP(B1122, '基準資産配分（設定）'!$A$2:$C$2001, 3, FALSE), ""))</f>
        <v/>
      </c>
      <c r="R1122" t="str">
        <f>IF(B1122="","", IFERROR(VLOOKUP(B1122, '基準資産配分（設定）'!$A$2:$C$2001, 2, FALSE)/100, 0))</f>
        <v/>
      </c>
      <c r="S1122" t="str">
        <f>IF(B1122="","", IFERROR(SUMIFS(ベンチマークリターン!$C$2:$C$2001, ベンチマークリターン!$A$2:$A$2001, A1122, ベンチマークリターン!$B$2:$B$2001, Q1122) / 100, 0))</f>
        <v/>
      </c>
      <c r="T1122" t="str">
        <f>IF(A1122="","", SUMIFS($H$2:$H$2000, $A$2:$A$2000, A1122))</f>
        <v/>
      </c>
      <c r="U1122" t="str">
        <f t="shared" si="195"/>
        <v/>
      </c>
      <c r="V1122" t="str">
        <f t="shared" si="196"/>
        <v/>
      </c>
      <c r="W1122" t="str">
        <f t="shared" si="197"/>
        <v/>
      </c>
    </row>
    <row r="1123" spans="1:23" x14ac:dyDescent="0.2">
      <c r="A1123" s="4" t="str">
        <f>IF(ポートフォリオ実績!A1124="","", ポートフォリオ実績!A1124)</f>
        <v/>
      </c>
      <c r="B1123" t="str">
        <f>IF(ポートフォリオ実績!B1124="","", ポートフォリオ実績!B1124)</f>
        <v/>
      </c>
      <c r="C1123" s="10" t="str">
        <f>IF(ポートフォリオ実績!C1124="","", ポートフォリオ実績!C1124)</f>
        <v/>
      </c>
      <c r="D1123" s="10" t="str">
        <f>IF(ポートフォリオ実績!D1124="","", ポートフォリオ実績!D1124)</f>
        <v/>
      </c>
      <c r="E1123" s="10" t="str">
        <f>IF(ポートフォリオ実績!E1124="","", ポートフォリオ実績!E1124)</f>
        <v/>
      </c>
      <c r="F1123" s="10" t="str">
        <f>IF(ポートフォリオ実績!F1124="","", ポートフォリオ実績!F1124)</f>
        <v/>
      </c>
      <c r="G1123" t="str">
        <f t="shared" si="187"/>
        <v/>
      </c>
      <c r="H1123">
        <f>IF(B1123&lt;&gt;"", SUMIFS(ポートフォリオ実績!$D$2:$D$2001, ポートフォリオ実績!$B$2:$B$2001, B1123, ポートフォリオ実績!$A$2:$A$2001, G1123), 0)</f>
        <v>0</v>
      </c>
      <c r="I1123">
        <f>IF(B1123&lt;&gt;"", SUMIFS(ポートフォリオ実績!$C$2:$C$2001, ポートフォリオ実績!$B$2:$B$2001, B1123, ポートフォリオ実績!$A$2:$A$2001, G1123), 0)</f>
        <v>0</v>
      </c>
      <c r="J1123">
        <f t="shared" si="188"/>
        <v>0</v>
      </c>
      <c r="K1123">
        <f t="shared" si="189"/>
        <v>0</v>
      </c>
      <c r="L1123">
        <f t="shared" si="190"/>
        <v>0</v>
      </c>
      <c r="M1123">
        <f t="shared" si="191"/>
        <v>0</v>
      </c>
      <c r="N1123">
        <f t="shared" si="192"/>
        <v>0</v>
      </c>
      <c r="O1123">
        <f t="shared" si="193"/>
        <v>0</v>
      </c>
      <c r="P1123" t="str">
        <f t="shared" si="194"/>
        <v/>
      </c>
      <c r="Q1123" t="str">
        <f>IF(B1123="","", IFERROR(VLOOKUP(B1123, '基準資産配分（設定）'!$A$2:$C$2001, 3, FALSE), ""))</f>
        <v/>
      </c>
      <c r="R1123" t="str">
        <f>IF(B1123="","", IFERROR(VLOOKUP(B1123, '基準資産配分（設定）'!$A$2:$C$2001, 2, FALSE)/100, 0))</f>
        <v/>
      </c>
      <c r="S1123" t="str">
        <f>IF(B1123="","", IFERROR(SUMIFS(ベンチマークリターン!$C$2:$C$2001, ベンチマークリターン!$A$2:$A$2001, A1123, ベンチマークリターン!$B$2:$B$2001, Q1123) / 100, 0))</f>
        <v/>
      </c>
      <c r="T1123" t="str">
        <f>IF(A1123="","", SUMIFS($H$2:$H$2000, $A$2:$A$2000, A1123))</f>
        <v/>
      </c>
      <c r="U1123" t="str">
        <f t="shared" si="195"/>
        <v/>
      </c>
      <c r="V1123" t="str">
        <f t="shared" si="196"/>
        <v/>
      </c>
      <c r="W1123" t="str">
        <f t="shared" si="197"/>
        <v/>
      </c>
    </row>
    <row r="1124" spans="1:23" x14ac:dyDescent="0.2">
      <c r="A1124" s="4" t="str">
        <f>IF(ポートフォリオ実績!A1125="","", ポートフォリオ実績!A1125)</f>
        <v/>
      </c>
      <c r="B1124" t="str">
        <f>IF(ポートフォリオ実績!B1125="","", ポートフォリオ実績!B1125)</f>
        <v/>
      </c>
      <c r="C1124" s="10" t="str">
        <f>IF(ポートフォリオ実績!C1125="","", ポートフォリオ実績!C1125)</f>
        <v/>
      </c>
      <c r="D1124" s="10" t="str">
        <f>IF(ポートフォリオ実績!D1125="","", ポートフォリオ実績!D1125)</f>
        <v/>
      </c>
      <c r="E1124" s="10" t="str">
        <f>IF(ポートフォリオ実績!E1125="","", ポートフォリオ実績!E1125)</f>
        <v/>
      </c>
      <c r="F1124" s="10" t="str">
        <f>IF(ポートフォリオ実績!F1125="","", ポートフォリオ実績!F1125)</f>
        <v/>
      </c>
      <c r="G1124" t="str">
        <f t="shared" si="187"/>
        <v/>
      </c>
      <c r="H1124">
        <f>IF(B1124&lt;&gt;"", SUMIFS(ポートフォリオ実績!$D$2:$D$2001, ポートフォリオ実績!$B$2:$B$2001, B1124, ポートフォリオ実績!$A$2:$A$2001, G1124), 0)</f>
        <v>0</v>
      </c>
      <c r="I1124">
        <f>IF(B1124&lt;&gt;"", SUMIFS(ポートフォリオ実績!$C$2:$C$2001, ポートフォリオ実績!$B$2:$B$2001, B1124, ポートフォリオ実績!$A$2:$A$2001, G1124), 0)</f>
        <v>0</v>
      </c>
      <c r="J1124">
        <f t="shared" si="188"/>
        <v>0</v>
      </c>
      <c r="K1124">
        <f t="shared" si="189"/>
        <v>0</v>
      </c>
      <c r="L1124">
        <f t="shared" si="190"/>
        <v>0</v>
      </c>
      <c r="M1124">
        <f t="shared" si="191"/>
        <v>0</v>
      </c>
      <c r="N1124">
        <f t="shared" si="192"/>
        <v>0</v>
      </c>
      <c r="O1124">
        <f t="shared" si="193"/>
        <v>0</v>
      </c>
      <c r="P1124" t="str">
        <f t="shared" si="194"/>
        <v/>
      </c>
      <c r="Q1124" t="str">
        <f>IF(B1124="","", IFERROR(VLOOKUP(B1124, '基準資産配分（設定）'!$A$2:$C$2001, 3, FALSE), ""))</f>
        <v/>
      </c>
      <c r="R1124" t="str">
        <f>IF(B1124="","", IFERROR(VLOOKUP(B1124, '基準資産配分（設定）'!$A$2:$C$2001, 2, FALSE)/100, 0))</f>
        <v/>
      </c>
      <c r="S1124" t="str">
        <f>IF(B1124="","", IFERROR(SUMIFS(ベンチマークリターン!$C$2:$C$2001, ベンチマークリターン!$A$2:$A$2001, A1124, ベンチマークリターン!$B$2:$B$2001, Q1124) / 100, 0))</f>
        <v/>
      </c>
      <c r="T1124" t="str">
        <f>IF(A1124="","", SUMIFS($H$2:$H$2000, $A$2:$A$2000, A1124))</f>
        <v/>
      </c>
      <c r="U1124" t="str">
        <f t="shared" si="195"/>
        <v/>
      </c>
      <c r="V1124" t="str">
        <f t="shared" si="196"/>
        <v/>
      </c>
      <c r="W1124" t="str">
        <f t="shared" si="197"/>
        <v/>
      </c>
    </row>
    <row r="1125" spans="1:23" x14ac:dyDescent="0.2">
      <c r="A1125" s="4" t="str">
        <f>IF(ポートフォリオ実績!A1126="","", ポートフォリオ実績!A1126)</f>
        <v/>
      </c>
      <c r="B1125" t="str">
        <f>IF(ポートフォリオ実績!B1126="","", ポートフォリオ実績!B1126)</f>
        <v/>
      </c>
      <c r="C1125" s="10" t="str">
        <f>IF(ポートフォリオ実績!C1126="","", ポートフォリオ実績!C1126)</f>
        <v/>
      </c>
      <c r="D1125" s="10" t="str">
        <f>IF(ポートフォリオ実績!D1126="","", ポートフォリオ実績!D1126)</f>
        <v/>
      </c>
      <c r="E1125" s="10" t="str">
        <f>IF(ポートフォリオ実績!E1126="","", ポートフォリオ実績!E1126)</f>
        <v/>
      </c>
      <c r="F1125" s="10" t="str">
        <f>IF(ポートフォリオ実績!F1126="","", ポートフォリオ実績!F1126)</f>
        <v/>
      </c>
      <c r="G1125" t="str">
        <f t="shared" si="187"/>
        <v/>
      </c>
      <c r="H1125">
        <f>IF(B1125&lt;&gt;"", SUMIFS(ポートフォリオ実績!$D$2:$D$2001, ポートフォリオ実績!$B$2:$B$2001, B1125, ポートフォリオ実績!$A$2:$A$2001, G1125), 0)</f>
        <v>0</v>
      </c>
      <c r="I1125">
        <f>IF(B1125&lt;&gt;"", SUMIFS(ポートフォリオ実績!$C$2:$C$2001, ポートフォリオ実績!$B$2:$B$2001, B1125, ポートフォリオ実績!$A$2:$A$2001, G1125), 0)</f>
        <v>0</v>
      </c>
      <c r="J1125">
        <f t="shared" si="188"/>
        <v>0</v>
      </c>
      <c r="K1125">
        <f t="shared" si="189"/>
        <v>0</v>
      </c>
      <c r="L1125">
        <f t="shared" si="190"/>
        <v>0</v>
      </c>
      <c r="M1125">
        <f t="shared" si="191"/>
        <v>0</v>
      </c>
      <c r="N1125">
        <f t="shared" si="192"/>
        <v>0</v>
      </c>
      <c r="O1125">
        <f t="shared" si="193"/>
        <v>0</v>
      </c>
      <c r="P1125" t="str">
        <f t="shared" si="194"/>
        <v/>
      </c>
      <c r="Q1125" t="str">
        <f>IF(B1125="","", IFERROR(VLOOKUP(B1125, '基準資産配分（設定）'!$A$2:$C$2001, 3, FALSE), ""))</f>
        <v/>
      </c>
      <c r="R1125" t="str">
        <f>IF(B1125="","", IFERROR(VLOOKUP(B1125, '基準資産配分（設定）'!$A$2:$C$2001, 2, FALSE)/100, 0))</f>
        <v/>
      </c>
      <c r="S1125" t="str">
        <f>IF(B1125="","", IFERROR(SUMIFS(ベンチマークリターン!$C$2:$C$2001, ベンチマークリターン!$A$2:$A$2001, A1125, ベンチマークリターン!$B$2:$B$2001, Q1125) / 100, 0))</f>
        <v/>
      </c>
      <c r="T1125" t="str">
        <f>IF(A1125="","", SUMIFS($H$2:$H$2000, $A$2:$A$2000, A1125))</f>
        <v/>
      </c>
      <c r="U1125" t="str">
        <f t="shared" si="195"/>
        <v/>
      </c>
      <c r="V1125" t="str">
        <f t="shared" si="196"/>
        <v/>
      </c>
      <c r="W1125" t="str">
        <f t="shared" si="197"/>
        <v/>
      </c>
    </row>
    <row r="1126" spans="1:23" x14ac:dyDescent="0.2">
      <c r="A1126" s="4" t="str">
        <f>IF(ポートフォリオ実績!A1127="","", ポートフォリオ実績!A1127)</f>
        <v/>
      </c>
      <c r="B1126" t="str">
        <f>IF(ポートフォリオ実績!B1127="","", ポートフォリオ実績!B1127)</f>
        <v/>
      </c>
      <c r="C1126" s="10" t="str">
        <f>IF(ポートフォリオ実績!C1127="","", ポートフォリオ実績!C1127)</f>
        <v/>
      </c>
      <c r="D1126" s="10" t="str">
        <f>IF(ポートフォリオ実績!D1127="","", ポートフォリオ実績!D1127)</f>
        <v/>
      </c>
      <c r="E1126" s="10" t="str">
        <f>IF(ポートフォリオ実績!E1127="","", ポートフォリオ実績!E1127)</f>
        <v/>
      </c>
      <c r="F1126" s="10" t="str">
        <f>IF(ポートフォリオ実績!F1127="","", ポートフォリオ実績!F1127)</f>
        <v/>
      </c>
      <c r="G1126" t="str">
        <f t="shared" si="187"/>
        <v/>
      </c>
      <c r="H1126">
        <f>IF(B1126&lt;&gt;"", SUMIFS(ポートフォリオ実績!$D$2:$D$2001, ポートフォリオ実績!$B$2:$B$2001, B1126, ポートフォリオ実績!$A$2:$A$2001, G1126), 0)</f>
        <v>0</v>
      </c>
      <c r="I1126">
        <f>IF(B1126&lt;&gt;"", SUMIFS(ポートフォリオ実績!$C$2:$C$2001, ポートフォリオ実績!$B$2:$B$2001, B1126, ポートフォリオ実績!$A$2:$A$2001, G1126), 0)</f>
        <v>0</v>
      </c>
      <c r="J1126">
        <f t="shared" si="188"/>
        <v>0</v>
      </c>
      <c r="K1126">
        <f t="shared" si="189"/>
        <v>0</v>
      </c>
      <c r="L1126">
        <f t="shared" si="190"/>
        <v>0</v>
      </c>
      <c r="M1126">
        <f t="shared" si="191"/>
        <v>0</v>
      </c>
      <c r="N1126">
        <f t="shared" si="192"/>
        <v>0</v>
      </c>
      <c r="O1126">
        <f t="shared" si="193"/>
        <v>0</v>
      </c>
      <c r="P1126" t="str">
        <f t="shared" si="194"/>
        <v/>
      </c>
      <c r="Q1126" t="str">
        <f>IF(B1126="","", IFERROR(VLOOKUP(B1126, '基準資産配分（設定）'!$A$2:$C$2001, 3, FALSE), ""))</f>
        <v/>
      </c>
      <c r="R1126" t="str">
        <f>IF(B1126="","", IFERROR(VLOOKUP(B1126, '基準資産配分（設定）'!$A$2:$C$2001, 2, FALSE)/100, 0))</f>
        <v/>
      </c>
      <c r="S1126" t="str">
        <f>IF(B1126="","", IFERROR(SUMIFS(ベンチマークリターン!$C$2:$C$2001, ベンチマークリターン!$A$2:$A$2001, A1126, ベンチマークリターン!$B$2:$B$2001, Q1126) / 100, 0))</f>
        <v/>
      </c>
      <c r="T1126" t="str">
        <f>IF(A1126="","", SUMIFS($H$2:$H$2000, $A$2:$A$2000, A1126))</f>
        <v/>
      </c>
      <c r="U1126" t="str">
        <f t="shared" si="195"/>
        <v/>
      </c>
      <c r="V1126" t="str">
        <f t="shared" si="196"/>
        <v/>
      </c>
      <c r="W1126" t="str">
        <f t="shared" si="197"/>
        <v/>
      </c>
    </row>
    <row r="1127" spans="1:23" x14ac:dyDescent="0.2">
      <c r="A1127" s="4" t="str">
        <f>IF(ポートフォリオ実績!A1128="","", ポートフォリオ実績!A1128)</f>
        <v/>
      </c>
      <c r="B1127" t="str">
        <f>IF(ポートフォリオ実績!B1128="","", ポートフォリオ実績!B1128)</f>
        <v/>
      </c>
      <c r="C1127" s="10" t="str">
        <f>IF(ポートフォリオ実績!C1128="","", ポートフォリオ実績!C1128)</f>
        <v/>
      </c>
      <c r="D1127" s="10" t="str">
        <f>IF(ポートフォリオ実績!D1128="","", ポートフォリオ実績!D1128)</f>
        <v/>
      </c>
      <c r="E1127" s="10" t="str">
        <f>IF(ポートフォリオ実績!E1128="","", ポートフォリオ実績!E1128)</f>
        <v/>
      </c>
      <c r="F1127" s="10" t="str">
        <f>IF(ポートフォリオ実績!F1128="","", ポートフォリオ実績!F1128)</f>
        <v/>
      </c>
      <c r="G1127" t="str">
        <f t="shared" si="187"/>
        <v/>
      </c>
      <c r="H1127">
        <f>IF(B1127&lt;&gt;"", SUMIFS(ポートフォリオ実績!$D$2:$D$2001, ポートフォリオ実績!$B$2:$B$2001, B1127, ポートフォリオ実績!$A$2:$A$2001, G1127), 0)</f>
        <v>0</v>
      </c>
      <c r="I1127">
        <f>IF(B1127&lt;&gt;"", SUMIFS(ポートフォリオ実績!$C$2:$C$2001, ポートフォリオ実績!$B$2:$B$2001, B1127, ポートフォリオ実績!$A$2:$A$2001, G1127), 0)</f>
        <v>0</v>
      </c>
      <c r="J1127">
        <f t="shared" si="188"/>
        <v>0</v>
      </c>
      <c r="K1127">
        <f t="shared" si="189"/>
        <v>0</v>
      </c>
      <c r="L1127">
        <f t="shared" si="190"/>
        <v>0</v>
      </c>
      <c r="M1127">
        <f t="shared" si="191"/>
        <v>0</v>
      </c>
      <c r="N1127">
        <f t="shared" si="192"/>
        <v>0</v>
      </c>
      <c r="O1127">
        <f t="shared" si="193"/>
        <v>0</v>
      </c>
      <c r="P1127" t="str">
        <f t="shared" si="194"/>
        <v/>
      </c>
      <c r="Q1127" t="str">
        <f>IF(B1127="","", IFERROR(VLOOKUP(B1127, '基準資産配分（設定）'!$A$2:$C$2001, 3, FALSE), ""))</f>
        <v/>
      </c>
      <c r="R1127" t="str">
        <f>IF(B1127="","", IFERROR(VLOOKUP(B1127, '基準資産配分（設定）'!$A$2:$C$2001, 2, FALSE)/100, 0))</f>
        <v/>
      </c>
      <c r="S1127" t="str">
        <f>IF(B1127="","", IFERROR(SUMIFS(ベンチマークリターン!$C$2:$C$2001, ベンチマークリターン!$A$2:$A$2001, A1127, ベンチマークリターン!$B$2:$B$2001, Q1127) / 100, 0))</f>
        <v/>
      </c>
      <c r="T1127" t="str">
        <f>IF(A1127="","", SUMIFS($H$2:$H$2000, $A$2:$A$2000, A1127))</f>
        <v/>
      </c>
      <c r="U1127" t="str">
        <f t="shared" si="195"/>
        <v/>
      </c>
      <c r="V1127" t="str">
        <f t="shared" si="196"/>
        <v/>
      </c>
      <c r="W1127" t="str">
        <f t="shared" si="197"/>
        <v/>
      </c>
    </row>
    <row r="1128" spans="1:23" x14ac:dyDescent="0.2">
      <c r="A1128" s="4" t="str">
        <f>IF(ポートフォリオ実績!A1129="","", ポートフォリオ実績!A1129)</f>
        <v/>
      </c>
      <c r="B1128" t="str">
        <f>IF(ポートフォリオ実績!B1129="","", ポートフォリオ実績!B1129)</f>
        <v/>
      </c>
      <c r="C1128" s="10" t="str">
        <f>IF(ポートフォリオ実績!C1129="","", ポートフォリオ実績!C1129)</f>
        <v/>
      </c>
      <c r="D1128" s="10" t="str">
        <f>IF(ポートフォリオ実績!D1129="","", ポートフォリオ実績!D1129)</f>
        <v/>
      </c>
      <c r="E1128" s="10" t="str">
        <f>IF(ポートフォリオ実績!E1129="","", ポートフォリオ実績!E1129)</f>
        <v/>
      </c>
      <c r="F1128" s="10" t="str">
        <f>IF(ポートフォリオ実績!F1129="","", ポートフォリオ実績!F1129)</f>
        <v/>
      </c>
      <c r="G1128" t="str">
        <f t="shared" si="187"/>
        <v/>
      </c>
      <c r="H1128">
        <f>IF(B1128&lt;&gt;"", SUMIFS(ポートフォリオ実績!$D$2:$D$2001, ポートフォリオ実績!$B$2:$B$2001, B1128, ポートフォリオ実績!$A$2:$A$2001, G1128), 0)</f>
        <v>0</v>
      </c>
      <c r="I1128">
        <f>IF(B1128&lt;&gt;"", SUMIFS(ポートフォリオ実績!$C$2:$C$2001, ポートフォリオ実績!$B$2:$B$2001, B1128, ポートフォリオ実績!$A$2:$A$2001, G1128), 0)</f>
        <v>0</v>
      </c>
      <c r="J1128">
        <f t="shared" si="188"/>
        <v>0</v>
      </c>
      <c r="K1128">
        <f t="shared" si="189"/>
        <v>0</v>
      </c>
      <c r="L1128">
        <f t="shared" si="190"/>
        <v>0</v>
      </c>
      <c r="M1128">
        <f t="shared" si="191"/>
        <v>0</v>
      </c>
      <c r="N1128">
        <f t="shared" si="192"/>
        <v>0</v>
      </c>
      <c r="O1128">
        <f t="shared" si="193"/>
        <v>0</v>
      </c>
      <c r="P1128" t="str">
        <f t="shared" si="194"/>
        <v/>
      </c>
      <c r="Q1128" t="str">
        <f>IF(B1128="","", IFERROR(VLOOKUP(B1128, '基準資産配分（設定）'!$A$2:$C$2001, 3, FALSE), ""))</f>
        <v/>
      </c>
      <c r="R1128" t="str">
        <f>IF(B1128="","", IFERROR(VLOOKUP(B1128, '基準資産配分（設定）'!$A$2:$C$2001, 2, FALSE)/100, 0))</f>
        <v/>
      </c>
      <c r="S1128" t="str">
        <f>IF(B1128="","", IFERROR(SUMIFS(ベンチマークリターン!$C$2:$C$2001, ベンチマークリターン!$A$2:$A$2001, A1128, ベンチマークリターン!$B$2:$B$2001, Q1128) / 100, 0))</f>
        <v/>
      </c>
      <c r="T1128" t="str">
        <f>IF(A1128="","", SUMIFS($H$2:$H$2000, $A$2:$A$2000, A1128))</f>
        <v/>
      </c>
      <c r="U1128" t="str">
        <f t="shared" si="195"/>
        <v/>
      </c>
      <c r="V1128" t="str">
        <f t="shared" si="196"/>
        <v/>
      </c>
      <c r="W1128" t="str">
        <f t="shared" si="197"/>
        <v/>
      </c>
    </row>
    <row r="1129" spans="1:23" x14ac:dyDescent="0.2">
      <c r="A1129" s="4" t="str">
        <f>IF(ポートフォリオ実績!A1130="","", ポートフォリオ実績!A1130)</f>
        <v/>
      </c>
      <c r="B1129" t="str">
        <f>IF(ポートフォリオ実績!B1130="","", ポートフォリオ実績!B1130)</f>
        <v/>
      </c>
      <c r="C1129" s="10" t="str">
        <f>IF(ポートフォリオ実績!C1130="","", ポートフォリオ実績!C1130)</f>
        <v/>
      </c>
      <c r="D1129" s="10" t="str">
        <f>IF(ポートフォリオ実績!D1130="","", ポートフォリオ実績!D1130)</f>
        <v/>
      </c>
      <c r="E1129" s="10" t="str">
        <f>IF(ポートフォリオ実績!E1130="","", ポートフォリオ実績!E1130)</f>
        <v/>
      </c>
      <c r="F1129" s="10" t="str">
        <f>IF(ポートフォリオ実績!F1130="","", ポートフォリオ実績!F1130)</f>
        <v/>
      </c>
      <c r="G1129" t="str">
        <f t="shared" si="187"/>
        <v/>
      </c>
      <c r="H1129">
        <f>IF(B1129&lt;&gt;"", SUMIFS(ポートフォリオ実績!$D$2:$D$2001, ポートフォリオ実績!$B$2:$B$2001, B1129, ポートフォリオ実績!$A$2:$A$2001, G1129), 0)</f>
        <v>0</v>
      </c>
      <c r="I1129">
        <f>IF(B1129&lt;&gt;"", SUMIFS(ポートフォリオ実績!$C$2:$C$2001, ポートフォリオ実績!$B$2:$B$2001, B1129, ポートフォリオ実績!$A$2:$A$2001, G1129), 0)</f>
        <v>0</v>
      </c>
      <c r="J1129">
        <f t="shared" si="188"/>
        <v>0</v>
      </c>
      <c r="K1129">
        <f t="shared" si="189"/>
        <v>0</v>
      </c>
      <c r="L1129">
        <f t="shared" si="190"/>
        <v>0</v>
      </c>
      <c r="M1129">
        <f t="shared" si="191"/>
        <v>0</v>
      </c>
      <c r="N1129">
        <f t="shared" si="192"/>
        <v>0</v>
      </c>
      <c r="O1129">
        <f t="shared" si="193"/>
        <v>0</v>
      </c>
      <c r="P1129" t="str">
        <f t="shared" si="194"/>
        <v/>
      </c>
      <c r="Q1129" t="str">
        <f>IF(B1129="","", IFERROR(VLOOKUP(B1129, '基準資産配分（設定）'!$A$2:$C$2001, 3, FALSE), ""))</f>
        <v/>
      </c>
      <c r="R1129" t="str">
        <f>IF(B1129="","", IFERROR(VLOOKUP(B1129, '基準資産配分（設定）'!$A$2:$C$2001, 2, FALSE)/100, 0))</f>
        <v/>
      </c>
      <c r="S1129" t="str">
        <f>IF(B1129="","", IFERROR(SUMIFS(ベンチマークリターン!$C$2:$C$2001, ベンチマークリターン!$A$2:$A$2001, A1129, ベンチマークリターン!$B$2:$B$2001, Q1129) / 100, 0))</f>
        <v/>
      </c>
      <c r="T1129" t="str">
        <f>IF(A1129="","", SUMIFS($H$2:$H$2000, $A$2:$A$2000, A1129))</f>
        <v/>
      </c>
      <c r="U1129" t="str">
        <f t="shared" si="195"/>
        <v/>
      </c>
      <c r="V1129" t="str">
        <f t="shared" si="196"/>
        <v/>
      </c>
      <c r="W1129" t="str">
        <f t="shared" si="197"/>
        <v/>
      </c>
    </row>
    <row r="1130" spans="1:23" x14ac:dyDescent="0.2">
      <c r="A1130" s="4" t="str">
        <f>IF(ポートフォリオ実績!A1131="","", ポートフォリオ実績!A1131)</f>
        <v/>
      </c>
      <c r="B1130" t="str">
        <f>IF(ポートフォリオ実績!B1131="","", ポートフォリオ実績!B1131)</f>
        <v/>
      </c>
      <c r="C1130" s="10" t="str">
        <f>IF(ポートフォリオ実績!C1131="","", ポートフォリオ実績!C1131)</f>
        <v/>
      </c>
      <c r="D1130" s="10" t="str">
        <f>IF(ポートフォリオ実績!D1131="","", ポートフォリオ実績!D1131)</f>
        <v/>
      </c>
      <c r="E1130" s="10" t="str">
        <f>IF(ポートフォリオ実績!E1131="","", ポートフォリオ実績!E1131)</f>
        <v/>
      </c>
      <c r="F1130" s="10" t="str">
        <f>IF(ポートフォリオ実績!F1131="","", ポートフォリオ実績!F1131)</f>
        <v/>
      </c>
      <c r="G1130" t="str">
        <f t="shared" si="187"/>
        <v/>
      </c>
      <c r="H1130">
        <f>IF(B1130&lt;&gt;"", SUMIFS(ポートフォリオ実績!$D$2:$D$2001, ポートフォリオ実績!$B$2:$B$2001, B1130, ポートフォリオ実績!$A$2:$A$2001, G1130), 0)</f>
        <v>0</v>
      </c>
      <c r="I1130">
        <f>IF(B1130&lt;&gt;"", SUMIFS(ポートフォリオ実績!$C$2:$C$2001, ポートフォリオ実績!$B$2:$B$2001, B1130, ポートフォリオ実績!$A$2:$A$2001, G1130), 0)</f>
        <v>0</v>
      </c>
      <c r="J1130">
        <f t="shared" si="188"/>
        <v>0</v>
      </c>
      <c r="K1130">
        <f t="shared" si="189"/>
        <v>0</v>
      </c>
      <c r="L1130">
        <f t="shared" si="190"/>
        <v>0</v>
      </c>
      <c r="M1130">
        <f t="shared" si="191"/>
        <v>0</v>
      </c>
      <c r="N1130">
        <f t="shared" si="192"/>
        <v>0</v>
      </c>
      <c r="O1130">
        <f t="shared" si="193"/>
        <v>0</v>
      </c>
      <c r="P1130" t="str">
        <f t="shared" si="194"/>
        <v/>
      </c>
      <c r="Q1130" t="str">
        <f>IF(B1130="","", IFERROR(VLOOKUP(B1130, '基準資産配分（設定）'!$A$2:$C$2001, 3, FALSE), ""))</f>
        <v/>
      </c>
      <c r="R1130" t="str">
        <f>IF(B1130="","", IFERROR(VLOOKUP(B1130, '基準資産配分（設定）'!$A$2:$C$2001, 2, FALSE)/100, 0))</f>
        <v/>
      </c>
      <c r="S1130" t="str">
        <f>IF(B1130="","", IFERROR(SUMIFS(ベンチマークリターン!$C$2:$C$2001, ベンチマークリターン!$A$2:$A$2001, A1130, ベンチマークリターン!$B$2:$B$2001, Q1130) / 100, 0))</f>
        <v/>
      </c>
      <c r="T1130" t="str">
        <f>IF(A1130="","", SUMIFS($H$2:$H$2000, $A$2:$A$2000, A1130))</f>
        <v/>
      </c>
      <c r="U1130" t="str">
        <f t="shared" si="195"/>
        <v/>
      </c>
      <c r="V1130" t="str">
        <f t="shared" si="196"/>
        <v/>
      </c>
      <c r="W1130" t="str">
        <f t="shared" si="197"/>
        <v/>
      </c>
    </row>
    <row r="1131" spans="1:23" x14ac:dyDescent="0.2">
      <c r="A1131" s="4" t="str">
        <f>IF(ポートフォリオ実績!A1132="","", ポートフォリオ実績!A1132)</f>
        <v/>
      </c>
      <c r="B1131" t="str">
        <f>IF(ポートフォリオ実績!B1132="","", ポートフォリオ実績!B1132)</f>
        <v/>
      </c>
      <c r="C1131" s="10" t="str">
        <f>IF(ポートフォリオ実績!C1132="","", ポートフォリオ実績!C1132)</f>
        <v/>
      </c>
      <c r="D1131" s="10" t="str">
        <f>IF(ポートフォリオ実績!D1132="","", ポートフォリオ実績!D1132)</f>
        <v/>
      </c>
      <c r="E1131" s="10" t="str">
        <f>IF(ポートフォリオ実績!E1132="","", ポートフォリオ実績!E1132)</f>
        <v/>
      </c>
      <c r="F1131" s="10" t="str">
        <f>IF(ポートフォリオ実績!F1132="","", ポートフォリオ実績!F1132)</f>
        <v/>
      </c>
      <c r="G1131" t="str">
        <f t="shared" si="187"/>
        <v/>
      </c>
      <c r="H1131">
        <f>IF(B1131&lt;&gt;"", SUMIFS(ポートフォリオ実績!$D$2:$D$2001, ポートフォリオ実績!$B$2:$B$2001, B1131, ポートフォリオ実績!$A$2:$A$2001, G1131), 0)</f>
        <v>0</v>
      </c>
      <c r="I1131">
        <f>IF(B1131&lt;&gt;"", SUMIFS(ポートフォリオ実績!$C$2:$C$2001, ポートフォリオ実績!$B$2:$B$2001, B1131, ポートフォリオ実績!$A$2:$A$2001, G1131), 0)</f>
        <v>0</v>
      </c>
      <c r="J1131">
        <f t="shared" si="188"/>
        <v>0</v>
      </c>
      <c r="K1131">
        <f t="shared" si="189"/>
        <v>0</v>
      </c>
      <c r="L1131">
        <f t="shared" si="190"/>
        <v>0</v>
      </c>
      <c r="M1131">
        <f t="shared" si="191"/>
        <v>0</v>
      </c>
      <c r="N1131">
        <f t="shared" si="192"/>
        <v>0</v>
      </c>
      <c r="O1131">
        <f t="shared" si="193"/>
        <v>0</v>
      </c>
      <c r="P1131" t="str">
        <f t="shared" si="194"/>
        <v/>
      </c>
      <c r="Q1131" t="str">
        <f>IF(B1131="","", IFERROR(VLOOKUP(B1131, '基準資産配分（設定）'!$A$2:$C$2001, 3, FALSE), ""))</f>
        <v/>
      </c>
      <c r="R1131" t="str">
        <f>IF(B1131="","", IFERROR(VLOOKUP(B1131, '基準資産配分（設定）'!$A$2:$C$2001, 2, FALSE)/100, 0))</f>
        <v/>
      </c>
      <c r="S1131" t="str">
        <f>IF(B1131="","", IFERROR(SUMIFS(ベンチマークリターン!$C$2:$C$2001, ベンチマークリターン!$A$2:$A$2001, A1131, ベンチマークリターン!$B$2:$B$2001, Q1131) / 100, 0))</f>
        <v/>
      </c>
      <c r="T1131" t="str">
        <f>IF(A1131="","", SUMIFS($H$2:$H$2000, $A$2:$A$2000, A1131))</f>
        <v/>
      </c>
      <c r="U1131" t="str">
        <f t="shared" si="195"/>
        <v/>
      </c>
      <c r="V1131" t="str">
        <f t="shared" si="196"/>
        <v/>
      </c>
      <c r="W1131" t="str">
        <f t="shared" si="197"/>
        <v/>
      </c>
    </row>
    <row r="1132" spans="1:23" x14ac:dyDescent="0.2">
      <c r="A1132" s="4" t="str">
        <f>IF(ポートフォリオ実績!A1133="","", ポートフォリオ実績!A1133)</f>
        <v/>
      </c>
      <c r="B1132" t="str">
        <f>IF(ポートフォリオ実績!B1133="","", ポートフォリオ実績!B1133)</f>
        <v/>
      </c>
      <c r="C1132" s="10" t="str">
        <f>IF(ポートフォリオ実績!C1133="","", ポートフォリオ実績!C1133)</f>
        <v/>
      </c>
      <c r="D1132" s="10" t="str">
        <f>IF(ポートフォリオ実績!D1133="","", ポートフォリオ実績!D1133)</f>
        <v/>
      </c>
      <c r="E1132" s="10" t="str">
        <f>IF(ポートフォリオ実績!E1133="","", ポートフォリオ実績!E1133)</f>
        <v/>
      </c>
      <c r="F1132" s="10" t="str">
        <f>IF(ポートフォリオ実績!F1133="","", ポートフォリオ実績!F1133)</f>
        <v/>
      </c>
      <c r="G1132" t="str">
        <f t="shared" si="187"/>
        <v/>
      </c>
      <c r="H1132">
        <f>IF(B1132&lt;&gt;"", SUMIFS(ポートフォリオ実績!$D$2:$D$2001, ポートフォリオ実績!$B$2:$B$2001, B1132, ポートフォリオ実績!$A$2:$A$2001, G1132), 0)</f>
        <v>0</v>
      </c>
      <c r="I1132">
        <f>IF(B1132&lt;&gt;"", SUMIFS(ポートフォリオ実績!$C$2:$C$2001, ポートフォリオ実績!$B$2:$B$2001, B1132, ポートフォリオ実績!$A$2:$A$2001, G1132), 0)</f>
        <v>0</v>
      </c>
      <c r="J1132">
        <f t="shared" si="188"/>
        <v>0</v>
      </c>
      <c r="K1132">
        <f t="shared" si="189"/>
        <v>0</v>
      </c>
      <c r="L1132">
        <f t="shared" si="190"/>
        <v>0</v>
      </c>
      <c r="M1132">
        <f t="shared" si="191"/>
        <v>0</v>
      </c>
      <c r="N1132">
        <f t="shared" si="192"/>
        <v>0</v>
      </c>
      <c r="O1132">
        <f t="shared" si="193"/>
        <v>0</v>
      </c>
      <c r="P1132" t="str">
        <f t="shared" si="194"/>
        <v/>
      </c>
      <c r="Q1132" t="str">
        <f>IF(B1132="","", IFERROR(VLOOKUP(B1132, '基準資産配分（設定）'!$A$2:$C$2001, 3, FALSE), ""))</f>
        <v/>
      </c>
      <c r="R1132" t="str">
        <f>IF(B1132="","", IFERROR(VLOOKUP(B1132, '基準資産配分（設定）'!$A$2:$C$2001, 2, FALSE)/100, 0))</f>
        <v/>
      </c>
      <c r="S1132" t="str">
        <f>IF(B1132="","", IFERROR(SUMIFS(ベンチマークリターン!$C$2:$C$2001, ベンチマークリターン!$A$2:$A$2001, A1132, ベンチマークリターン!$B$2:$B$2001, Q1132) / 100, 0))</f>
        <v/>
      </c>
      <c r="T1132" t="str">
        <f>IF(A1132="","", SUMIFS($H$2:$H$2000, $A$2:$A$2000, A1132))</f>
        <v/>
      </c>
      <c r="U1132" t="str">
        <f t="shared" si="195"/>
        <v/>
      </c>
      <c r="V1132" t="str">
        <f t="shared" si="196"/>
        <v/>
      </c>
      <c r="W1132" t="str">
        <f t="shared" si="197"/>
        <v/>
      </c>
    </row>
    <row r="1133" spans="1:23" x14ac:dyDescent="0.2">
      <c r="A1133" s="4" t="str">
        <f>IF(ポートフォリオ実績!A1134="","", ポートフォリオ実績!A1134)</f>
        <v/>
      </c>
      <c r="B1133" t="str">
        <f>IF(ポートフォリオ実績!B1134="","", ポートフォリオ実績!B1134)</f>
        <v/>
      </c>
      <c r="C1133" s="10" t="str">
        <f>IF(ポートフォリオ実績!C1134="","", ポートフォリオ実績!C1134)</f>
        <v/>
      </c>
      <c r="D1133" s="10" t="str">
        <f>IF(ポートフォリオ実績!D1134="","", ポートフォリオ実績!D1134)</f>
        <v/>
      </c>
      <c r="E1133" s="10" t="str">
        <f>IF(ポートフォリオ実績!E1134="","", ポートフォリオ実績!E1134)</f>
        <v/>
      </c>
      <c r="F1133" s="10" t="str">
        <f>IF(ポートフォリオ実績!F1134="","", ポートフォリオ実績!F1134)</f>
        <v/>
      </c>
      <c r="G1133" t="str">
        <f t="shared" si="187"/>
        <v/>
      </c>
      <c r="H1133">
        <f>IF(B1133&lt;&gt;"", SUMIFS(ポートフォリオ実績!$D$2:$D$2001, ポートフォリオ実績!$B$2:$B$2001, B1133, ポートフォリオ実績!$A$2:$A$2001, G1133), 0)</f>
        <v>0</v>
      </c>
      <c r="I1133">
        <f>IF(B1133&lt;&gt;"", SUMIFS(ポートフォリオ実績!$C$2:$C$2001, ポートフォリオ実績!$B$2:$B$2001, B1133, ポートフォリオ実績!$A$2:$A$2001, G1133), 0)</f>
        <v>0</v>
      </c>
      <c r="J1133">
        <f t="shared" si="188"/>
        <v>0</v>
      </c>
      <c r="K1133">
        <f t="shared" si="189"/>
        <v>0</v>
      </c>
      <c r="L1133">
        <f t="shared" si="190"/>
        <v>0</v>
      </c>
      <c r="M1133">
        <f t="shared" si="191"/>
        <v>0</v>
      </c>
      <c r="N1133">
        <f t="shared" si="192"/>
        <v>0</v>
      </c>
      <c r="O1133">
        <f t="shared" si="193"/>
        <v>0</v>
      </c>
      <c r="P1133" t="str">
        <f t="shared" si="194"/>
        <v/>
      </c>
      <c r="Q1133" t="str">
        <f>IF(B1133="","", IFERROR(VLOOKUP(B1133, '基準資産配分（設定）'!$A$2:$C$2001, 3, FALSE), ""))</f>
        <v/>
      </c>
      <c r="R1133" t="str">
        <f>IF(B1133="","", IFERROR(VLOOKUP(B1133, '基準資産配分（設定）'!$A$2:$C$2001, 2, FALSE)/100, 0))</f>
        <v/>
      </c>
      <c r="S1133" t="str">
        <f>IF(B1133="","", IFERROR(SUMIFS(ベンチマークリターン!$C$2:$C$2001, ベンチマークリターン!$A$2:$A$2001, A1133, ベンチマークリターン!$B$2:$B$2001, Q1133) / 100, 0))</f>
        <v/>
      </c>
      <c r="T1133" t="str">
        <f>IF(A1133="","", SUMIFS($H$2:$H$2000, $A$2:$A$2000, A1133))</f>
        <v/>
      </c>
      <c r="U1133" t="str">
        <f t="shared" si="195"/>
        <v/>
      </c>
      <c r="V1133" t="str">
        <f t="shared" si="196"/>
        <v/>
      </c>
      <c r="W1133" t="str">
        <f t="shared" si="197"/>
        <v/>
      </c>
    </row>
    <row r="1134" spans="1:23" x14ac:dyDescent="0.2">
      <c r="A1134" s="4" t="str">
        <f>IF(ポートフォリオ実績!A1135="","", ポートフォリオ実績!A1135)</f>
        <v/>
      </c>
      <c r="B1134" t="str">
        <f>IF(ポートフォリオ実績!B1135="","", ポートフォリオ実績!B1135)</f>
        <v/>
      </c>
      <c r="C1134" s="10" t="str">
        <f>IF(ポートフォリオ実績!C1135="","", ポートフォリオ実績!C1135)</f>
        <v/>
      </c>
      <c r="D1134" s="10" t="str">
        <f>IF(ポートフォリオ実績!D1135="","", ポートフォリオ実績!D1135)</f>
        <v/>
      </c>
      <c r="E1134" s="10" t="str">
        <f>IF(ポートフォリオ実績!E1135="","", ポートフォリオ実績!E1135)</f>
        <v/>
      </c>
      <c r="F1134" s="10" t="str">
        <f>IF(ポートフォリオ実績!F1135="","", ポートフォリオ実績!F1135)</f>
        <v/>
      </c>
      <c r="G1134" t="str">
        <f t="shared" si="187"/>
        <v/>
      </c>
      <c r="H1134">
        <f>IF(B1134&lt;&gt;"", SUMIFS(ポートフォリオ実績!$D$2:$D$2001, ポートフォリオ実績!$B$2:$B$2001, B1134, ポートフォリオ実績!$A$2:$A$2001, G1134), 0)</f>
        <v>0</v>
      </c>
      <c r="I1134">
        <f>IF(B1134&lt;&gt;"", SUMIFS(ポートフォリオ実績!$C$2:$C$2001, ポートフォリオ実績!$B$2:$B$2001, B1134, ポートフォリオ実績!$A$2:$A$2001, G1134), 0)</f>
        <v>0</v>
      </c>
      <c r="J1134">
        <f t="shared" si="188"/>
        <v>0</v>
      </c>
      <c r="K1134">
        <f t="shared" si="189"/>
        <v>0</v>
      </c>
      <c r="L1134">
        <f t="shared" si="190"/>
        <v>0</v>
      </c>
      <c r="M1134">
        <f t="shared" si="191"/>
        <v>0</v>
      </c>
      <c r="N1134">
        <f t="shared" si="192"/>
        <v>0</v>
      </c>
      <c r="O1134">
        <f t="shared" si="193"/>
        <v>0</v>
      </c>
      <c r="P1134" t="str">
        <f t="shared" si="194"/>
        <v/>
      </c>
      <c r="Q1134" t="str">
        <f>IF(B1134="","", IFERROR(VLOOKUP(B1134, '基準資産配分（設定）'!$A$2:$C$2001, 3, FALSE), ""))</f>
        <v/>
      </c>
      <c r="R1134" t="str">
        <f>IF(B1134="","", IFERROR(VLOOKUP(B1134, '基準資産配分（設定）'!$A$2:$C$2001, 2, FALSE)/100, 0))</f>
        <v/>
      </c>
      <c r="S1134" t="str">
        <f>IF(B1134="","", IFERROR(SUMIFS(ベンチマークリターン!$C$2:$C$2001, ベンチマークリターン!$A$2:$A$2001, A1134, ベンチマークリターン!$B$2:$B$2001, Q1134) / 100, 0))</f>
        <v/>
      </c>
      <c r="T1134" t="str">
        <f>IF(A1134="","", SUMIFS($H$2:$H$2000, $A$2:$A$2000, A1134))</f>
        <v/>
      </c>
      <c r="U1134" t="str">
        <f t="shared" si="195"/>
        <v/>
      </c>
      <c r="V1134" t="str">
        <f t="shared" si="196"/>
        <v/>
      </c>
      <c r="W1134" t="str">
        <f t="shared" si="197"/>
        <v/>
      </c>
    </row>
    <row r="1135" spans="1:23" x14ac:dyDescent="0.2">
      <c r="A1135" s="4" t="str">
        <f>IF(ポートフォリオ実績!A1136="","", ポートフォリオ実績!A1136)</f>
        <v/>
      </c>
      <c r="B1135" t="str">
        <f>IF(ポートフォリオ実績!B1136="","", ポートフォリオ実績!B1136)</f>
        <v/>
      </c>
      <c r="C1135" s="10" t="str">
        <f>IF(ポートフォリオ実績!C1136="","", ポートフォリオ実績!C1136)</f>
        <v/>
      </c>
      <c r="D1135" s="10" t="str">
        <f>IF(ポートフォリオ実績!D1136="","", ポートフォリオ実績!D1136)</f>
        <v/>
      </c>
      <c r="E1135" s="10" t="str">
        <f>IF(ポートフォリオ実績!E1136="","", ポートフォリオ実績!E1136)</f>
        <v/>
      </c>
      <c r="F1135" s="10" t="str">
        <f>IF(ポートフォリオ実績!F1136="","", ポートフォリオ実績!F1136)</f>
        <v/>
      </c>
      <c r="G1135" t="str">
        <f t="shared" si="187"/>
        <v/>
      </c>
      <c r="H1135">
        <f>IF(B1135&lt;&gt;"", SUMIFS(ポートフォリオ実績!$D$2:$D$2001, ポートフォリオ実績!$B$2:$B$2001, B1135, ポートフォリオ実績!$A$2:$A$2001, G1135), 0)</f>
        <v>0</v>
      </c>
      <c r="I1135">
        <f>IF(B1135&lt;&gt;"", SUMIFS(ポートフォリオ実績!$C$2:$C$2001, ポートフォリオ実績!$B$2:$B$2001, B1135, ポートフォリオ実績!$A$2:$A$2001, G1135), 0)</f>
        <v>0</v>
      </c>
      <c r="J1135">
        <f t="shared" si="188"/>
        <v>0</v>
      </c>
      <c r="K1135">
        <f t="shared" si="189"/>
        <v>0</v>
      </c>
      <c r="L1135">
        <f t="shared" si="190"/>
        <v>0</v>
      </c>
      <c r="M1135">
        <f t="shared" si="191"/>
        <v>0</v>
      </c>
      <c r="N1135">
        <f t="shared" si="192"/>
        <v>0</v>
      </c>
      <c r="O1135">
        <f t="shared" si="193"/>
        <v>0</v>
      </c>
      <c r="P1135" t="str">
        <f t="shared" si="194"/>
        <v/>
      </c>
      <c r="Q1135" t="str">
        <f>IF(B1135="","", IFERROR(VLOOKUP(B1135, '基準資産配分（設定）'!$A$2:$C$2001, 3, FALSE), ""))</f>
        <v/>
      </c>
      <c r="R1135" t="str">
        <f>IF(B1135="","", IFERROR(VLOOKUP(B1135, '基準資産配分（設定）'!$A$2:$C$2001, 2, FALSE)/100, 0))</f>
        <v/>
      </c>
      <c r="S1135" t="str">
        <f>IF(B1135="","", IFERROR(SUMIFS(ベンチマークリターン!$C$2:$C$2001, ベンチマークリターン!$A$2:$A$2001, A1135, ベンチマークリターン!$B$2:$B$2001, Q1135) / 100, 0))</f>
        <v/>
      </c>
      <c r="T1135" t="str">
        <f>IF(A1135="","", SUMIFS($H$2:$H$2000, $A$2:$A$2000, A1135))</f>
        <v/>
      </c>
      <c r="U1135" t="str">
        <f t="shared" si="195"/>
        <v/>
      </c>
      <c r="V1135" t="str">
        <f t="shared" si="196"/>
        <v/>
      </c>
      <c r="W1135" t="str">
        <f t="shared" si="197"/>
        <v/>
      </c>
    </row>
    <row r="1136" spans="1:23" x14ac:dyDescent="0.2">
      <c r="A1136" s="4" t="str">
        <f>IF(ポートフォリオ実績!A1137="","", ポートフォリオ実績!A1137)</f>
        <v/>
      </c>
      <c r="B1136" t="str">
        <f>IF(ポートフォリオ実績!B1137="","", ポートフォリオ実績!B1137)</f>
        <v/>
      </c>
      <c r="C1136" s="10" t="str">
        <f>IF(ポートフォリオ実績!C1137="","", ポートフォリオ実績!C1137)</f>
        <v/>
      </c>
      <c r="D1136" s="10" t="str">
        <f>IF(ポートフォリオ実績!D1137="","", ポートフォリオ実績!D1137)</f>
        <v/>
      </c>
      <c r="E1136" s="10" t="str">
        <f>IF(ポートフォリオ実績!E1137="","", ポートフォリオ実績!E1137)</f>
        <v/>
      </c>
      <c r="F1136" s="10" t="str">
        <f>IF(ポートフォリオ実績!F1137="","", ポートフォリオ実績!F1137)</f>
        <v/>
      </c>
      <c r="G1136" t="str">
        <f t="shared" si="187"/>
        <v/>
      </c>
      <c r="H1136">
        <f>IF(B1136&lt;&gt;"", SUMIFS(ポートフォリオ実績!$D$2:$D$2001, ポートフォリオ実績!$B$2:$B$2001, B1136, ポートフォリオ実績!$A$2:$A$2001, G1136), 0)</f>
        <v>0</v>
      </c>
      <c r="I1136">
        <f>IF(B1136&lt;&gt;"", SUMIFS(ポートフォリオ実績!$C$2:$C$2001, ポートフォリオ実績!$B$2:$B$2001, B1136, ポートフォリオ実績!$A$2:$A$2001, G1136), 0)</f>
        <v>0</v>
      </c>
      <c r="J1136">
        <f t="shared" si="188"/>
        <v>0</v>
      </c>
      <c r="K1136">
        <f t="shared" si="189"/>
        <v>0</v>
      </c>
      <c r="L1136">
        <f t="shared" si="190"/>
        <v>0</v>
      </c>
      <c r="M1136">
        <f t="shared" si="191"/>
        <v>0</v>
      </c>
      <c r="N1136">
        <f t="shared" si="192"/>
        <v>0</v>
      </c>
      <c r="O1136">
        <f t="shared" si="193"/>
        <v>0</v>
      </c>
      <c r="P1136" t="str">
        <f t="shared" si="194"/>
        <v/>
      </c>
      <c r="Q1136" t="str">
        <f>IF(B1136="","", IFERROR(VLOOKUP(B1136, '基準資産配分（設定）'!$A$2:$C$2001, 3, FALSE), ""))</f>
        <v/>
      </c>
      <c r="R1136" t="str">
        <f>IF(B1136="","", IFERROR(VLOOKUP(B1136, '基準資産配分（設定）'!$A$2:$C$2001, 2, FALSE)/100, 0))</f>
        <v/>
      </c>
      <c r="S1136" t="str">
        <f>IF(B1136="","", IFERROR(SUMIFS(ベンチマークリターン!$C$2:$C$2001, ベンチマークリターン!$A$2:$A$2001, A1136, ベンチマークリターン!$B$2:$B$2001, Q1136) / 100, 0))</f>
        <v/>
      </c>
      <c r="T1136" t="str">
        <f>IF(A1136="","", SUMIFS($H$2:$H$2000, $A$2:$A$2000, A1136))</f>
        <v/>
      </c>
      <c r="U1136" t="str">
        <f t="shared" si="195"/>
        <v/>
      </c>
      <c r="V1136" t="str">
        <f t="shared" si="196"/>
        <v/>
      </c>
      <c r="W1136" t="str">
        <f t="shared" si="197"/>
        <v/>
      </c>
    </row>
    <row r="1137" spans="1:23" x14ac:dyDescent="0.2">
      <c r="A1137" s="4" t="str">
        <f>IF(ポートフォリオ実績!A1138="","", ポートフォリオ実績!A1138)</f>
        <v/>
      </c>
      <c r="B1137" t="str">
        <f>IF(ポートフォリオ実績!B1138="","", ポートフォリオ実績!B1138)</f>
        <v/>
      </c>
      <c r="C1137" s="10" t="str">
        <f>IF(ポートフォリオ実績!C1138="","", ポートフォリオ実績!C1138)</f>
        <v/>
      </c>
      <c r="D1137" s="10" t="str">
        <f>IF(ポートフォリオ実績!D1138="","", ポートフォリオ実績!D1138)</f>
        <v/>
      </c>
      <c r="E1137" s="10" t="str">
        <f>IF(ポートフォリオ実績!E1138="","", ポートフォリオ実績!E1138)</f>
        <v/>
      </c>
      <c r="F1137" s="10" t="str">
        <f>IF(ポートフォリオ実績!F1138="","", ポートフォリオ実績!F1138)</f>
        <v/>
      </c>
      <c r="G1137" t="str">
        <f t="shared" si="187"/>
        <v/>
      </c>
      <c r="H1137">
        <f>IF(B1137&lt;&gt;"", SUMIFS(ポートフォリオ実績!$D$2:$D$2001, ポートフォリオ実績!$B$2:$B$2001, B1137, ポートフォリオ実績!$A$2:$A$2001, G1137), 0)</f>
        <v>0</v>
      </c>
      <c r="I1137">
        <f>IF(B1137&lt;&gt;"", SUMIFS(ポートフォリオ実績!$C$2:$C$2001, ポートフォリオ実績!$B$2:$B$2001, B1137, ポートフォリオ実績!$A$2:$A$2001, G1137), 0)</f>
        <v>0</v>
      </c>
      <c r="J1137">
        <f t="shared" si="188"/>
        <v>0</v>
      </c>
      <c r="K1137">
        <f t="shared" si="189"/>
        <v>0</v>
      </c>
      <c r="L1137">
        <f t="shared" si="190"/>
        <v>0</v>
      </c>
      <c r="M1137">
        <f t="shared" si="191"/>
        <v>0</v>
      </c>
      <c r="N1137">
        <f t="shared" si="192"/>
        <v>0</v>
      </c>
      <c r="O1137">
        <f t="shared" si="193"/>
        <v>0</v>
      </c>
      <c r="P1137" t="str">
        <f t="shared" si="194"/>
        <v/>
      </c>
      <c r="Q1137" t="str">
        <f>IF(B1137="","", IFERROR(VLOOKUP(B1137, '基準資産配分（設定）'!$A$2:$C$2001, 3, FALSE), ""))</f>
        <v/>
      </c>
      <c r="R1137" t="str">
        <f>IF(B1137="","", IFERROR(VLOOKUP(B1137, '基準資産配分（設定）'!$A$2:$C$2001, 2, FALSE)/100, 0))</f>
        <v/>
      </c>
      <c r="S1137" t="str">
        <f>IF(B1137="","", IFERROR(SUMIFS(ベンチマークリターン!$C$2:$C$2001, ベンチマークリターン!$A$2:$A$2001, A1137, ベンチマークリターン!$B$2:$B$2001, Q1137) / 100, 0))</f>
        <v/>
      </c>
      <c r="T1137" t="str">
        <f>IF(A1137="","", SUMIFS($H$2:$H$2000, $A$2:$A$2000, A1137))</f>
        <v/>
      </c>
      <c r="U1137" t="str">
        <f t="shared" si="195"/>
        <v/>
      </c>
      <c r="V1137" t="str">
        <f t="shared" si="196"/>
        <v/>
      </c>
      <c r="W1137" t="str">
        <f t="shared" si="197"/>
        <v/>
      </c>
    </row>
    <row r="1138" spans="1:23" x14ac:dyDescent="0.2">
      <c r="A1138" s="4" t="str">
        <f>IF(ポートフォリオ実績!A1139="","", ポートフォリオ実績!A1139)</f>
        <v/>
      </c>
      <c r="B1138" t="str">
        <f>IF(ポートフォリオ実績!B1139="","", ポートフォリオ実績!B1139)</f>
        <v/>
      </c>
      <c r="C1138" s="10" t="str">
        <f>IF(ポートフォリオ実績!C1139="","", ポートフォリオ実績!C1139)</f>
        <v/>
      </c>
      <c r="D1138" s="10" t="str">
        <f>IF(ポートフォリオ実績!D1139="","", ポートフォリオ実績!D1139)</f>
        <v/>
      </c>
      <c r="E1138" s="10" t="str">
        <f>IF(ポートフォリオ実績!E1139="","", ポートフォリオ実績!E1139)</f>
        <v/>
      </c>
      <c r="F1138" s="10" t="str">
        <f>IF(ポートフォリオ実績!F1139="","", ポートフォリオ実績!F1139)</f>
        <v/>
      </c>
      <c r="G1138" t="str">
        <f t="shared" si="187"/>
        <v/>
      </c>
      <c r="H1138">
        <f>IF(B1138&lt;&gt;"", SUMIFS(ポートフォリオ実績!$D$2:$D$2001, ポートフォリオ実績!$B$2:$B$2001, B1138, ポートフォリオ実績!$A$2:$A$2001, G1138), 0)</f>
        <v>0</v>
      </c>
      <c r="I1138">
        <f>IF(B1138&lt;&gt;"", SUMIFS(ポートフォリオ実績!$C$2:$C$2001, ポートフォリオ実績!$B$2:$B$2001, B1138, ポートフォリオ実績!$A$2:$A$2001, G1138), 0)</f>
        <v>0</v>
      </c>
      <c r="J1138">
        <f t="shared" si="188"/>
        <v>0</v>
      </c>
      <c r="K1138">
        <f t="shared" si="189"/>
        <v>0</v>
      </c>
      <c r="L1138">
        <f t="shared" si="190"/>
        <v>0</v>
      </c>
      <c r="M1138">
        <f t="shared" si="191"/>
        <v>0</v>
      </c>
      <c r="N1138">
        <f t="shared" si="192"/>
        <v>0</v>
      </c>
      <c r="O1138">
        <f t="shared" si="193"/>
        <v>0</v>
      </c>
      <c r="P1138" t="str">
        <f t="shared" si="194"/>
        <v/>
      </c>
      <c r="Q1138" t="str">
        <f>IF(B1138="","", IFERROR(VLOOKUP(B1138, '基準資産配分（設定）'!$A$2:$C$2001, 3, FALSE), ""))</f>
        <v/>
      </c>
      <c r="R1138" t="str">
        <f>IF(B1138="","", IFERROR(VLOOKUP(B1138, '基準資産配分（設定）'!$A$2:$C$2001, 2, FALSE)/100, 0))</f>
        <v/>
      </c>
      <c r="S1138" t="str">
        <f>IF(B1138="","", IFERROR(SUMIFS(ベンチマークリターン!$C$2:$C$2001, ベンチマークリターン!$A$2:$A$2001, A1138, ベンチマークリターン!$B$2:$B$2001, Q1138) / 100, 0))</f>
        <v/>
      </c>
      <c r="T1138" t="str">
        <f>IF(A1138="","", SUMIFS($H$2:$H$2000, $A$2:$A$2000, A1138))</f>
        <v/>
      </c>
      <c r="U1138" t="str">
        <f t="shared" si="195"/>
        <v/>
      </c>
      <c r="V1138" t="str">
        <f t="shared" si="196"/>
        <v/>
      </c>
      <c r="W1138" t="str">
        <f t="shared" si="197"/>
        <v/>
      </c>
    </row>
    <row r="1139" spans="1:23" x14ac:dyDescent="0.2">
      <c r="A1139" s="4" t="str">
        <f>IF(ポートフォリオ実績!A1140="","", ポートフォリオ実績!A1140)</f>
        <v/>
      </c>
      <c r="B1139" t="str">
        <f>IF(ポートフォリオ実績!B1140="","", ポートフォリオ実績!B1140)</f>
        <v/>
      </c>
      <c r="C1139" s="10" t="str">
        <f>IF(ポートフォリオ実績!C1140="","", ポートフォリオ実績!C1140)</f>
        <v/>
      </c>
      <c r="D1139" s="10" t="str">
        <f>IF(ポートフォリオ実績!D1140="","", ポートフォリオ実績!D1140)</f>
        <v/>
      </c>
      <c r="E1139" s="10" t="str">
        <f>IF(ポートフォリオ実績!E1140="","", ポートフォリオ実績!E1140)</f>
        <v/>
      </c>
      <c r="F1139" s="10" t="str">
        <f>IF(ポートフォリオ実績!F1140="","", ポートフォリオ実績!F1140)</f>
        <v/>
      </c>
      <c r="G1139" t="str">
        <f t="shared" si="187"/>
        <v/>
      </c>
      <c r="H1139">
        <f>IF(B1139&lt;&gt;"", SUMIFS(ポートフォリオ実績!$D$2:$D$2001, ポートフォリオ実績!$B$2:$B$2001, B1139, ポートフォリオ実績!$A$2:$A$2001, G1139), 0)</f>
        <v>0</v>
      </c>
      <c r="I1139">
        <f>IF(B1139&lt;&gt;"", SUMIFS(ポートフォリオ実績!$C$2:$C$2001, ポートフォリオ実績!$B$2:$B$2001, B1139, ポートフォリオ実績!$A$2:$A$2001, G1139), 0)</f>
        <v>0</v>
      </c>
      <c r="J1139">
        <f t="shared" si="188"/>
        <v>0</v>
      </c>
      <c r="K1139">
        <f t="shared" si="189"/>
        <v>0</v>
      </c>
      <c r="L1139">
        <f t="shared" si="190"/>
        <v>0</v>
      </c>
      <c r="M1139">
        <f t="shared" si="191"/>
        <v>0</v>
      </c>
      <c r="N1139">
        <f t="shared" si="192"/>
        <v>0</v>
      </c>
      <c r="O1139">
        <f t="shared" si="193"/>
        <v>0</v>
      </c>
      <c r="P1139" t="str">
        <f t="shared" si="194"/>
        <v/>
      </c>
      <c r="Q1139" t="str">
        <f>IF(B1139="","", IFERROR(VLOOKUP(B1139, '基準資産配分（設定）'!$A$2:$C$2001, 3, FALSE), ""))</f>
        <v/>
      </c>
      <c r="R1139" t="str">
        <f>IF(B1139="","", IFERROR(VLOOKUP(B1139, '基準資産配分（設定）'!$A$2:$C$2001, 2, FALSE)/100, 0))</f>
        <v/>
      </c>
      <c r="S1139" t="str">
        <f>IF(B1139="","", IFERROR(SUMIFS(ベンチマークリターン!$C$2:$C$2001, ベンチマークリターン!$A$2:$A$2001, A1139, ベンチマークリターン!$B$2:$B$2001, Q1139) / 100, 0))</f>
        <v/>
      </c>
      <c r="T1139" t="str">
        <f>IF(A1139="","", SUMIFS($H$2:$H$2000, $A$2:$A$2000, A1139))</f>
        <v/>
      </c>
      <c r="U1139" t="str">
        <f t="shared" si="195"/>
        <v/>
      </c>
      <c r="V1139" t="str">
        <f t="shared" si="196"/>
        <v/>
      </c>
      <c r="W1139" t="str">
        <f t="shared" si="197"/>
        <v/>
      </c>
    </row>
    <row r="1140" spans="1:23" x14ac:dyDescent="0.2">
      <c r="A1140" s="4" t="str">
        <f>IF(ポートフォリオ実績!A1141="","", ポートフォリオ実績!A1141)</f>
        <v/>
      </c>
      <c r="B1140" t="str">
        <f>IF(ポートフォリオ実績!B1141="","", ポートフォリオ実績!B1141)</f>
        <v/>
      </c>
      <c r="C1140" s="10" t="str">
        <f>IF(ポートフォリオ実績!C1141="","", ポートフォリオ実績!C1141)</f>
        <v/>
      </c>
      <c r="D1140" s="10" t="str">
        <f>IF(ポートフォリオ実績!D1141="","", ポートフォリオ実績!D1141)</f>
        <v/>
      </c>
      <c r="E1140" s="10" t="str">
        <f>IF(ポートフォリオ実績!E1141="","", ポートフォリオ実績!E1141)</f>
        <v/>
      </c>
      <c r="F1140" s="10" t="str">
        <f>IF(ポートフォリオ実績!F1141="","", ポートフォリオ実績!F1141)</f>
        <v/>
      </c>
      <c r="G1140" t="str">
        <f t="shared" si="187"/>
        <v/>
      </c>
      <c r="H1140">
        <f>IF(B1140&lt;&gt;"", SUMIFS(ポートフォリオ実績!$D$2:$D$2001, ポートフォリオ実績!$B$2:$B$2001, B1140, ポートフォリオ実績!$A$2:$A$2001, G1140), 0)</f>
        <v>0</v>
      </c>
      <c r="I1140">
        <f>IF(B1140&lt;&gt;"", SUMIFS(ポートフォリオ実績!$C$2:$C$2001, ポートフォリオ実績!$B$2:$B$2001, B1140, ポートフォリオ実績!$A$2:$A$2001, G1140), 0)</f>
        <v>0</v>
      </c>
      <c r="J1140">
        <f t="shared" si="188"/>
        <v>0</v>
      </c>
      <c r="K1140">
        <f t="shared" si="189"/>
        <v>0</v>
      </c>
      <c r="L1140">
        <f t="shared" si="190"/>
        <v>0</v>
      </c>
      <c r="M1140">
        <f t="shared" si="191"/>
        <v>0</v>
      </c>
      <c r="N1140">
        <f t="shared" si="192"/>
        <v>0</v>
      </c>
      <c r="O1140">
        <f t="shared" si="193"/>
        <v>0</v>
      </c>
      <c r="P1140" t="str">
        <f t="shared" si="194"/>
        <v/>
      </c>
      <c r="Q1140" t="str">
        <f>IF(B1140="","", IFERROR(VLOOKUP(B1140, '基準資産配分（設定）'!$A$2:$C$2001, 3, FALSE), ""))</f>
        <v/>
      </c>
      <c r="R1140" t="str">
        <f>IF(B1140="","", IFERROR(VLOOKUP(B1140, '基準資産配分（設定）'!$A$2:$C$2001, 2, FALSE)/100, 0))</f>
        <v/>
      </c>
      <c r="S1140" t="str">
        <f>IF(B1140="","", IFERROR(SUMIFS(ベンチマークリターン!$C$2:$C$2001, ベンチマークリターン!$A$2:$A$2001, A1140, ベンチマークリターン!$B$2:$B$2001, Q1140) / 100, 0))</f>
        <v/>
      </c>
      <c r="T1140" t="str">
        <f>IF(A1140="","", SUMIFS($H$2:$H$2000, $A$2:$A$2000, A1140))</f>
        <v/>
      </c>
      <c r="U1140" t="str">
        <f t="shared" si="195"/>
        <v/>
      </c>
      <c r="V1140" t="str">
        <f t="shared" si="196"/>
        <v/>
      </c>
      <c r="W1140" t="str">
        <f t="shared" si="197"/>
        <v/>
      </c>
    </row>
    <row r="1141" spans="1:23" x14ac:dyDescent="0.2">
      <c r="A1141" s="4" t="str">
        <f>IF(ポートフォリオ実績!A1142="","", ポートフォリオ実績!A1142)</f>
        <v/>
      </c>
      <c r="B1141" t="str">
        <f>IF(ポートフォリオ実績!B1142="","", ポートフォリオ実績!B1142)</f>
        <v/>
      </c>
      <c r="C1141" s="10" t="str">
        <f>IF(ポートフォリオ実績!C1142="","", ポートフォリオ実績!C1142)</f>
        <v/>
      </c>
      <c r="D1141" s="10" t="str">
        <f>IF(ポートフォリオ実績!D1142="","", ポートフォリオ実績!D1142)</f>
        <v/>
      </c>
      <c r="E1141" s="10" t="str">
        <f>IF(ポートフォリオ実績!E1142="","", ポートフォリオ実績!E1142)</f>
        <v/>
      </c>
      <c r="F1141" s="10" t="str">
        <f>IF(ポートフォリオ実績!F1142="","", ポートフォリオ実績!F1142)</f>
        <v/>
      </c>
      <c r="G1141" t="str">
        <f t="shared" si="187"/>
        <v/>
      </c>
      <c r="H1141">
        <f>IF(B1141&lt;&gt;"", SUMIFS(ポートフォリオ実績!$D$2:$D$2001, ポートフォリオ実績!$B$2:$B$2001, B1141, ポートフォリオ実績!$A$2:$A$2001, G1141), 0)</f>
        <v>0</v>
      </c>
      <c r="I1141">
        <f>IF(B1141&lt;&gt;"", SUMIFS(ポートフォリオ実績!$C$2:$C$2001, ポートフォリオ実績!$B$2:$B$2001, B1141, ポートフォリオ実績!$A$2:$A$2001, G1141), 0)</f>
        <v>0</v>
      </c>
      <c r="J1141">
        <f t="shared" si="188"/>
        <v>0</v>
      </c>
      <c r="K1141">
        <f t="shared" si="189"/>
        <v>0</v>
      </c>
      <c r="L1141">
        <f t="shared" si="190"/>
        <v>0</v>
      </c>
      <c r="M1141">
        <f t="shared" si="191"/>
        <v>0</v>
      </c>
      <c r="N1141">
        <f t="shared" si="192"/>
        <v>0</v>
      </c>
      <c r="O1141">
        <f t="shared" si="193"/>
        <v>0</v>
      </c>
      <c r="P1141" t="str">
        <f t="shared" si="194"/>
        <v/>
      </c>
      <c r="Q1141" t="str">
        <f>IF(B1141="","", IFERROR(VLOOKUP(B1141, '基準資産配分（設定）'!$A$2:$C$2001, 3, FALSE), ""))</f>
        <v/>
      </c>
      <c r="R1141" t="str">
        <f>IF(B1141="","", IFERROR(VLOOKUP(B1141, '基準資産配分（設定）'!$A$2:$C$2001, 2, FALSE)/100, 0))</f>
        <v/>
      </c>
      <c r="S1141" t="str">
        <f>IF(B1141="","", IFERROR(SUMIFS(ベンチマークリターン!$C$2:$C$2001, ベンチマークリターン!$A$2:$A$2001, A1141, ベンチマークリターン!$B$2:$B$2001, Q1141) / 100, 0))</f>
        <v/>
      </c>
      <c r="T1141" t="str">
        <f>IF(A1141="","", SUMIFS($H$2:$H$2000, $A$2:$A$2000, A1141))</f>
        <v/>
      </c>
      <c r="U1141" t="str">
        <f t="shared" si="195"/>
        <v/>
      </c>
      <c r="V1141" t="str">
        <f t="shared" si="196"/>
        <v/>
      </c>
      <c r="W1141" t="str">
        <f t="shared" si="197"/>
        <v/>
      </c>
    </row>
    <row r="1142" spans="1:23" x14ac:dyDescent="0.2">
      <c r="A1142" s="4" t="str">
        <f>IF(ポートフォリオ実績!A1143="","", ポートフォリオ実績!A1143)</f>
        <v/>
      </c>
      <c r="B1142" t="str">
        <f>IF(ポートフォリオ実績!B1143="","", ポートフォリオ実績!B1143)</f>
        <v/>
      </c>
      <c r="C1142" s="10" t="str">
        <f>IF(ポートフォリオ実績!C1143="","", ポートフォリオ実績!C1143)</f>
        <v/>
      </c>
      <c r="D1142" s="10" t="str">
        <f>IF(ポートフォリオ実績!D1143="","", ポートフォリオ実績!D1143)</f>
        <v/>
      </c>
      <c r="E1142" s="10" t="str">
        <f>IF(ポートフォリオ実績!E1143="","", ポートフォリオ実績!E1143)</f>
        <v/>
      </c>
      <c r="F1142" s="10" t="str">
        <f>IF(ポートフォリオ実績!F1143="","", ポートフォリオ実績!F1143)</f>
        <v/>
      </c>
      <c r="G1142" t="str">
        <f t="shared" si="187"/>
        <v/>
      </c>
      <c r="H1142">
        <f>IF(B1142&lt;&gt;"", SUMIFS(ポートフォリオ実績!$D$2:$D$2001, ポートフォリオ実績!$B$2:$B$2001, B1142, ポートフォリオ実績!$A$2:$A$2001, G1142), 0)</f>
        <v>0</v>
      </c>
      <c r="I1142">
        <f>IF(B1142&lt;&gt;"", SUMIFS(ポートフォリオ実績!$C$2:$C$2001, ポートフォリオ実績!$B$2:$B$2001, B1142, ポートフォリオ実績!$A$2:$A$2001, G1142), 0)</f>
        <v>0</v>
      </c>
      <c r="J1142">
        <f t="shared" si="188"/>
        <v>0</v>
      </c>
      <c r="K1142">
        <f t="shared" si="189"/>
        <v>0</v>
      </c>
      <c r="L1142">
        <f t="shared" si="190"/>
        <v>0</v>
      </c>
      <c r="M1142">
        <f t="shared" si="191"/>
        <v>0</v>
      </c>
      <c r="N1142">
        <f t="shared" si="192"/>
        <v>0</v>
      </c>
      <c r="O1142">
        <f t="shared" si="193"/>
        <v>0</v>
      </c>
      <c r="P1142" t="str">
        <f t="shared" si="194"/>
        <v/>
      </c>
      <c r="Q1142" t="str">
        <f>IF(B1142="","", IFERROR(VLOOKUP(B1142, '基準資産配分（設定）'!$A$2:$C$2001, 3, FALSE), ""))</f>
        <v/>
      </c>
      <c r="R1142" t="str">
        <f>IF(B1142="","", IFERROR(VLOOKUP(B1142, '基準資産配分（設定）'!$A$2:$C$2001, 2, FALSE)/100, 0))</f>
        <v/>
      </c>
      <c r="S1142" t="str">
        <f>IF(B1142="","", IFERROR(SUMIFS(ベンチマークリターン!$C$2:$C$2001, ベンチマークリターン!$A$2:$A$2001, A1142, ベンチマークリターン!$B$2:$B$2001, Q1142) / 100, 0))</f>
        <v/>
      </c>
      <c r="T1142" t="str">
        <f>IF(A1142="","", SUMIFS($H$2:$H$2000, $A$2:$A$2000, A1142))</f>
        <v/>
      </c>
      <c r="U1142" t="str">
        <f t="shared" si="195"/>
        <v/>
      </c>
      <c r="V1142" t="str">
        <f t="shared" si="196"/>
        <v/>
      </c>
      <c r="W1142" t="str">
        <f t="shared" si="197"/>
        <v/>
      </c>
    </row>
    <row r="1143" spans="1:23" x14ac:dyDescent="0.2">
      <c r="A1143" s="4" t="str">
        <f>IF(ポートフォリオ実績!A1144="","", ポートフォリオ実績!A1144)</f>
        <v/>
      </c>
      <c r="B1143" t="str">
        <f>IF(ポートフォリオ実績!B1144="","", ポートフォリオ実績!B1144)</f>
        <v/>
      </c>
      <c r="C1143" s="10" t="str">
        <f>IF(ポートフォリオ実績!C1144="","", ポートフォリオ実績!C1144)</f>
        <v/>
      </c>
      <c r="D1143" s="10" t="str">
        <f>IF(ポートフォリオ実績!D1144="","", ポートフォリオ実績!D1144)</f>
        <v/>
      </c>
      <c r="E1143" s="10" t="str">
        <f>IF(ポートフォリオ実績!E1144="","", ポートフォリオ実績!E1144)</f>
        <v/>
      </c>
      <c r="F1143" s="10" t="str">
        <f>IF(ポートフォリオ実績!F1144="","", ポートフォリオ実績!F1144)</f>
        <v/>
      </c>
      <c r="G1143" t="str">
        <f t="shared" si="187"/>
        <v/>
      </c>
      <c r="H1143">
        <f>IF(B1143&lt;&gt;"", SUMIFS(ポートフォリオ実績!$D$2:$D$2001, ポートフォリオ実績!$B$2:$B$2001, B1143, ポートフォリオ実績!$A$2:$A$2001, G1143), 0)</f>
        <v>0</v>
      </c>
      <c r="I1143">
        <f>IF(B1143&lt;&gt;"", SUMIFS(ポートフォリオ実績!$C$2:$C$2001, ポートフォリオ実績!$B$2:$B$2001, B1143, ポートフォリオ実績!$A$2:$A$2001, G1143), 0)</f>
        <v>0</v>
      </c>
      <c r="J1143">
        <f t="shared" si="188"/>
        <v>0</v>
      </c>
      <c r="K1143">
        <f t="shared" si="189"/>
        <v>0</v>
      </c>
      <c r="L1143">
        <f t="shared" si="190"/>
        <v>0</v>
      </c>
      <c r="M1143">
        <f t="shared" si="191"/>
        <v>0</v>
      </c>
      <c r="N1143">
        <f t="shared" si="192"/>
        <v>0</v>
      </c>
      <c r="O1143">
        <f t="shared" si="193"/>
        <v>0</v>
      </c>
      <c r="P1143" t="str">
        <f t="shared" si="194"/>
        <v/>
      </c>
      <c r="Q1143" t="str">
        <f>IF(B1143="","", IFERROR(VLOOKUP(B1143, '基準資産配分（設定）'!$A$2:$C$2001, 3, FALSE), ""))</f>
        <v/>
      </c>
      <c r="R1143" t="str">
        <f>IF(B1143="","", IFERROR(VLOOKUP(B1143, '基準資産配分（設定）'!$A$2:$C$2001, 2, FALSE)/100, 0))</f>
        <v/>
      </c>
      <c r="S1143" t="str">
        <f>IF(B1143="","", IFERROR(SUMIFS(ベンチマークリターン!$C$2:$C$2001, ベンチマークリターン!$A$2:$A$2001, A1143, ベンチマークリターン!$B$2:$B$2001, Q1143) / 100, 0))</f>
        <v/>
      </c>
      <c r="T1143" t="str">
        <f>IF(A1143="","", SUMIFS($H$2:$H$2000, $A$2:$A$2000, A1143))</f>
        <v/>
      </c>
      <c r="U1143" t="str">
        <f t="shared" si="195"/>
        <v/>
      </c>
      <c r="V1143" t="str">
        <f t="shared" si="196"/>
        <v/>
      </c>
      <c r="W1143" t="str">
        <f t="shared" si="197"/>
        <v/>
      </c>
    </row>
    <row r="1144" spans="1:23" x14ac:dyDescent="0.2">
      <c r="A1144" s="4" t="str">
        <f>IF(ポートフォリオ実績!A1145="","", ポートフォリオ実績!A1145)</f>
        <v/>
      </c>
      <c r="B1144" t="str">
        <f>IF(ポートフォリオ実績!B1145="","", ポートフォリオ実績!B1145)</f>
        <v/>
      </c>
      <c r="C1144" s="10" t="str">
        <f>IF(ポートフォリオ実績!C1145="","", ポートフォリオ実績!C1145)</f>
        <v/>
      </c>
      <c r="D1144" s="10" t="str">
        <f>IF(ポートフォリオ実績!D1145="","", ポートフォリオ実績!D1145)</f>
        <v/>
      </c>
      <c r="E1144" s="10" t="str">
        <f>IF(ポートフォリオ実績!E1145="","", ポートフォリオ実績!E1145)</f>
        <v/>
      </c>
      <c r="F1144" s="10" t="str">
        <f>IF(ポートフォリオ実績!F1145="","", ポートフォリオ実績!F1145)</f>
        <v/>
      </c>
      <c r="G1144" t="str">
        <f t="shared" si="187"/>
        <v/>
      </c>
      <c r="H1144">
        <f>IF(B1144&lt;&gt;"", SUMIFS(ポートフォリオ実績!$D$2:$D$2001, ポートフォリオ実績!$B$2:$B$2001, B1144, ポートフォリオ実績!$A$2:$A$2001, G1144), 0)</f>
        <v>0</v>
      </c>
      <c r="I1144">
        <f>IF(B1144&lt;&gt;"", SUMIFS(ポートフォリオ実績!$C$2:$C$2001, ポートフォリオ実績!$B$2:$B$2001, B1144, ポートフォリオ実績!$A$2:$A$2001, G1144), 0)</f>
        <v>0</v>
      </c>
      <c r="J1144">
        <f t="shared" si="188"/>
        <v>0</v>
      </c>
      <c r="K1144">
        <f t="shared" si="189"/>
        <v>0</v>
      </c>
      <c r="L1144">
        <f t="shared" si="190"/>
        <v>0</v>
      </c>
      <c r="M1144">
        <f t="shared" si="191"/>
        <v>0</v>
      </c>
      <c r="N1144">
        <f t="shared" si="192"/>
        <v>0</v>
      </c>
      <c r="O1144">
        <f t="shared" si="193"/>
        <v>0</v>
      </c>
      <c r="P1144" t="str">
        <f t="shared" si="194"/>
        <v/>
      </c>
      <c r="Q1144" t="str">
        <f>IF(B1144="","", IFERROR(VLOOKUP(B1144, '基準資産配分（設定）'!$A$2:$C$2001, 3, FALSE), ""))</f>
        <v/>
      </c>
      <c r="R1144" t="str">
        <f>IF(B1144="","", IFERROR(VLOOKUP(B1144, '基準資産配分（設定）'!$A$2:$C$2001, 2, FALSE)/100, 0))</f>
        <v/>
      </c>
      <c r="S1144" t="str">
        <f>IF(B1144="","", IFERROR(SUMIFS(ベンチマークリターン!$C$2:$C$2001, ベンチマークリターン!$A$2:$A$2001, A1144, ベンチマークリターン!$B$2:$B$2001, Q1144) / 100, 0))</f>
        <v/>
      </c>
      <c r="T1144" t="str">
        <f>IF(A1144="","", SUMIFS($H$2:$H$2000, $A$2:$A$2000, A1144))</f>
        <v/>
      </c>
      <c r="U1144" t="str">
        <f t="shared" si="195"/>
        <v/>
      </c>
      <c r="V1144" t="str">
        <f t="shared" si="196"/>
        <v/>
      </c>
      <c r="W1144" t="str">
        <f t="shared" si="197"/>
        <v/>
      </c>
    </row>
    <row r="1145" spans="1:23" x14ac:dyDescent="0.2">
      <c r="A1145" s="4" t="str">
        <f>IF(ポートフォリオ実績!A1146="","", ポートフォリオ実績!A1146)</f>
        <v/>
      </c>
      <c r="B1145" t="str">
        <f>IF(ポートフォリオ実績!B1146="","", ポートフォリオ実績!B1146)</f>
        <v/>
      </c>
      <c r="C1145" s="10" t="str">
        <f>IF(ポートフォリオ実績!C1146="","", ポートフォリオ実績!C1146)</f>
        <v/>
      </c>
      <c r="D1145" s="10" t="str">
        <f>IF(ポートフォリオ実績!D1146="","", ポートフォリオ実績!D1146)</f>
        <v/>
      </c>
      <c r="E1145" s="10" t="str">
        <f>IF(ポートフォリオ実績!E1146="","", ポートフォリオ実績!E1146)</f>
        <v/>
      </c>
      <c r="F1145" s="10" t="str">
        <f>IF(ポートフォリオ実績!F1146="","", ポートフォリオ実績!F1146)</f>
        <v/>
      </c>
      <c r="G1145" t="str">
        <f t="shared" si="187"/>
        <v/>
      </c>
      <c r="H1145">
        <f>IF(B1145&lt;&gt;"", SUMIFS(ポートフォリオ実績!$D$2:$D$2001, ポートフォリオ実績!$B$2:$B$2001, B1145, ポートフォリオ実績!$A$2:$A$2001, G1145), 0)</f>
        <v>0</v>
      </c>
      <c r="I1145">
        <f>IF(B1145&lt;&gt;"", SUMIFS(ポートフォリオ実績!$C$2:$C$2001, ポートフォリオ実績!$B$2:$B$2001, B1145, ポートフォリオ実績!$A$2:$A$2001, G1145), 0)</f>
        <v>0</v>
      </c>
      <c r="J1145">
        <f t="shared" si="188"/>
        <v>0</v>
      </c>
      <c r="K1145">
        <f t="shared" si="189"/>
        <v>0</v>
      </c>
      <c r="L1145">
        <f t="shared" si="190"/>
        <v>0</v>
      </c>
      <c r="M1145">
        <f t="shared" si="191"/>
        <v>0</v>
      </c>
      <c r="N1145">
        <f t="shared" si="192"/>
        <v>0</v>
      </c>
      <c r="O1145">
        <f t="shared" si="193"/>
        <v>0</v>
      </c>
      <c r="P1145" t="str">
        <f t="shared" si="194"/>
        <v/>
      </c>
      <c r="Q1145" t="str">
        <f>IF(B1145="","", IFERROR(VLOOKUP(B1145, '基準資産配分（設定）'!$A$2:$C$2001, 3, FALSE), ""))</f>
        <v/>
      </c>
      <c r="R1145" t="str">
        <f>IF(B1145="","", IFERROR(VLOOKUP(B1145, '基準資産配分（設定）'!$A$2:$C$2001, 2, FALSE)/100, 0))</f>
        <v/>
      </c>
      <c r="S1145" t="str">
        <f>IF(B1145="","", IFERROR(SUMIFS(ベンチマークリターン!$C$2:$C$2001, ベンチマークリターン!$A$2:$A$2001, A1145, ベンチマークリターン!$B$2:$B$2001, Q1145) / 100, 0))</f>
        <v/>
      </c>
      <c r="T1145" t="str">
        <f>IF(A1145="","", SUMIFS($H$2:$H$2000, $A$2:$A$2000, A1145))</f>
        <v/>
      </c>
      <c r="U1145" t="str">
        <f t="shared" si="195"/>
        <v/>
      </c>
      <c r="V1145" t="str">
        <f t="shared" si="196"/>
        <v/>
      </c>
      <c r="W1145" t="str">
        <f t="shared" si="197"/>
        <v/>
      </c>
    </row>
    <row r="1146" spans="1:23" x14ac:dyDescent="0.2">
      <c r="A1146" s="4" t="str">
        <f>IF(ポートフォリオ実績!A1147="","", ポートフォリオ実績!A1147)</f>
        <v/>
      </c>
      <c r="B1146" t="str">
        <f>IF(ポートフォリオ実績!B1147="","", ポートフォリオ実績!B1147)</f>
        <v/>
      </c>
      <c r="C1146" s="10" t="str">
        <f>IF(ポートフォリオ実績!C1147="","", ポートフォリオ実績!C1147)</f>
        <v/>
      </c>
      <c r="D1146" s="10" t="str">
        <f>IF(ポートフォリオ実績!D1147="","", ポートフォリオ実績!D1147)</f>
        <v/>
      </c>
      <c r="E1146" s="10" t="str">
        <f>IF(ポートフォリオ実績!E1147="","", ポートフォリオ実績!E1147)</f>
        <v/>
      </c>
      <c r="F1146" s="10" t="str">
        <f>IF(ポートフォリオ実績!F1147="","", ポートフォリオ実績!F1147)</f>
        <v/>
      </c>
      <c r="G1146" t="str">
        <f t="shared" si="187"/>
        <v/>
      </c>
      <c r="H1146">
        <f>IF(B1146&lt;&gt;"", SUMIFS(ポートフォリオ実績!$D$2:$D$2001, ポートフォリオ実績!$B$2:$B$2001, B1146, ポートフォリオ実績!$A$2:$A$2001, G1146), 0)</f>
        <v>0</v>
      </c>
      <c r="I1146">
        <f>IF(B1146&lt;&gt;"", SUMIFS(ポートフォリオ実績!$C$2:$C$2001, ポートフォリオ実績!$B$2:$B$2001, B1146, ポートフォリオ実績!$A$2:$A$2001, G1146), 0)</f>
        <v>0</v>
      </c>
      <c r="J1146">
        <f t="shared" si="188"/>
        <v>0</v>
      </c>
      <c r="K1146">
        <f t="shared" si="189"/>
        <v>0</v>
      </c>
      <c r="L1146">
        <f t="shared" si="190"/>
        <v>0</v>
      </c>
      <c r="M1146">
        <f t="shared" si="191"/>
        <v>0</v>
      </c>
      <c r="N1146">
        <f t="shared" si="192"/>
        <v>0</v>
      </c>
      <c r="O1146">
        <f t="shared" si="193"/>
        <v>0</v>
      </c>
      <c r="P1146" t="str">
        <f t="shared" si="194"/>
        <v/>
      </c>
      <c r="Q1146" t="str">
        <f>IF(B1146="","", IFERROR(VLOOKUP(B1146, '基準資産配分（設定）'!$A$2:$C$2001, 3, FALSE), ""))</f>
        <v/>
      </c>
      <c r="R1146" t="str">
        <f>IF(B1146="","", IFERROR(VLOOKUP(B1146, '基準資産配分（設定）'!$A$2:$C$2001, 2, FALSE)/100, 0))</f>
        <v/>
      </c>
      <c r="S1146" t="str">
        <f>IF(B1146="","", IFERROR(SUMIFS(ベンチマークリターン!$C$2:$C$2001, ベンチマークリターン!$A$2:$A$2001, A1146, ベンチマークリターン!$B$2:$B$2001, Q1146) / 100, 0))</f>
        <v/>
      </c>
      <c r="T1146" t="str">
        <f>IF(A1146="","", SUMIFS($H$2:$H$2000, $A$2:$A$2000, A1146))</f>
        <v/>
      </c>
      <c r="U1146" t="str">
        <f t="shared" si="195"/>
        <v/>
      </c>
      <c r="V1146" t="str">
        <f t="shared" si="196"/>
        <v/>
      </c>
      <c r="W1146" t="str">
        <f t="shared" si="197"/>
        <v/>
      </c>
    </row>
    <row r="1147" spans="1:23" x14ac:dyDescent="0.2">
      <c r="A1147" s="4" t="str">
        <f>IF(ポートフォリオ実績!A1148="","", ポートフォリオ実績!A1148)</f>
        <v/>
      </c>
      <c r="B1147" t="str">
        <f>IF(ポートフォリオ実績!B1148="","", ポートフォリオ実績!B1148)</f>
        <v/>
      </c>
      <c r="C1147" s="10" t="str">
        <f>IF(ポートフォリオ実績!C1148="","", ポートフォリオ実績!C1148)</f>
        <v/>
      </c>
      <c r="D1147" s="10" t="str">
        <f>IF(ポートフォリオ実績!D1148="","", ポートフォリオ実績!D1148)</f>
        <v/>
      </c>
      <c r="E1147" s="10" t="str">
        <f>IF(ポートフォリオ実績!E1148="","", ポートフォリオ実績!E1148)</f>
        <v/>
      </c>
      <c r="F1147" s="10" t="str">
        <f>IF(ポートフォリオ実績!F1148="","", ポートフォリオ実績!F1148)</f>
        <v/>
      </c>
      <c r="G1147" t="str">
        <f t="shared" si="187"/>
        <v/>
      </c>
      <c r="H1147">
        <f>IF(B1147&lt;&gt;"", SUMIFS(ポートフォリオ実績!$D$2:$D$2001, ポートフォリオ実績!$B$2:$B$2001, B1147, ポートフォリオ実績!$A$2:$A$2001, G1147), 0)</f>
        <v>0</v>
      </c>
      <c r="I1147">
        <f>IF(B1147&lt;&gt;"", SUMIFS(ポートフォリオ実績!$C$2:$C$2001, ポートフォリオ実績!$B$2:$B$2001, B1147, ポートフォリオ実績!$A$2:$A$2001, G1147), 0)</f>
        <v>0</v>
      </c>
      <c r="J1147">
        <f t="shared" si="188"/>
        <v>0</v>
      </c>
      <c r="K1147">
        <f t="shared" si="189"/>
        <v>0</v>
      </c>
      <c r="L1147">
        <f t="shared" si="190"/>
        <v>0</v>
      </c>
      <c r="M1147">
        <f t="shared" si="191"/>
        <v>0</v>
      </c>
      <c r="N1147">
        <f t="shared" si="192"/>
        <v>0</v>
      </c>
      <c r="O1147">
        <f t="shared" si="193"/>
        <v>0</v>
      </c>
      <c r="P1147" t="str">
        <f t="shared" si="194"/>
        <v/>
      </c>
      <c r="Q1147" t="str">
        <f>IF(B1147="","", IFERROR(VLOOKUP(B1147, '基準資産配分（設定）'!$A$2:$C$2001, 3, FALSE), ""))</f>
        <v/>
      </c>
      <c r="R1147" t="str">
        <f>IF(B1147="","", IFERROR(VLOOKUP(B1147, '基準資産配分（設定）'!$A$2:$C$2001, 2, FALSE)/100, 0))</f>
        <v/>
      </c>
      <c r="S1147" t="str">
        <f>IF(B1147="","", IFERROR(SUMIFS(ベンチマークリターン!$C$2:$C$2001, ベンチマークリターン!$A$2:$A$2001, A1147, ベンチマークリターン!$B$2:$B$2001, Q1147) / 100, 0))</f>
        <v/>
      </c>
      <c r="T1147" t="str">
        <f>IF(A1147="","", SUMIFS($H$2:$H$2000, $A$2:$A$2000, A1147))</f>
        <v/>
      </c>
      <c r="U1147" t="str">
        <f t="shared" si="195"/>
        <v/>
      </c>
      <c r="V1147" t="str">
        <f t="shared" si="196"/>
        <v/>
      </c>
      <c r="W1147" t="str">
        <f t="shared" si="197"/>
        <v/>
      </c>
    </row>
    <row r="1148" spans="1:23" x14ac:dyDescent="0.2">
      <c r="A1148" s="4" t="str">
        <f>IF(ポートフォリオ実績!A1149="","", ポートフォリオ実績!A1149)</f>
        <v/>
      </c>
      <c r="B1148" t="str">
        <f>IF(ポートフォリオ実績!B1149="","", ポートフォリオ実績!B1149)</f>
        <v/>
      </c>
      <c r="C1148" s="10" t="str">
        <f>IF(ポートフォリオ実績!C1149="","", ポートフォリオ実績!C1149)</f>
        <v/>
      </c>
      <c r="D1148" s="10" t="str">
        <f>IF(ポートフォリオ実績!D1149="","", ポートフォリオ実績!D1149)</f>
        <v/>
      </c>
      <c r="E1148" s="10" t="str">
        <f>IF(ポートフォリオ実績!E1149="","", ポートフォリオ実績!E1149)</f>
        <v/>
      </c>
      <c r="F1148" s="10" t="str">
        <f>IF(ポートフォリオ実績!F1149="","", ポートフォリオ実績!F1149)</f>
        <v/>
      </c>
      <c r="G1148" t="str">
        <f t="shared" si="187"/>
        <v/>
      </c>
      <c r="H1148">
        <f>IF(B1148&lt;&gt;"", SUMIFS(ポートフォリオ実績!$D$2:$D$2001, ポートフォリオ実績!$B$2:$B$2001, B1148, ポートフォリオ実績!$A$2:$A$2001, G1148), 0)</f>
        <v>0</v>
      </c>
      <c r="I1148">
        <f>IF(B1148&lt;&gt;"", SUMIFS(ポートフォリオ実績!$C$2:$C$2001, ポートフォリオ実績!$B$2:$B$2001, B1148, ポートフォリオ実績!$A$2:$A$2001, G1148), 0)</f>
        <v>0</v>
      </c>
      <c r="J1148">
        <f t="shared" si="188"/>
        <v>0</v>
      </c>
      <c r="K1148">
        <f t="shared" si="189"/>
        <v>0</v>
      </c>
      <c r="L1148">
        <f t="shared" si="190"/>
        <v>0</v>
      </c>
      <c r="M1148">
        <f t="shared" si="191"/>
        <v>0</v>
      </c>
      <c r="N1148">
        <f t="shared" si="192"/>
        <v>0</v>
      </c>
      <c r="O1148">
        <f t="shared" si="193"/>
        <v>0</v>
      </c>
      <c r="P1148" t="str">
        <f t="shared" si="194"/>
        <v/>
      </c>
      <c r="Q1148" t="str">
        <f>IF(B1148="","", IFERROR(VLOOKUP(B1148, '基準資産配分（設定）'!$A$2:$C$2001, 3, FALSE), ""))</f>
        <v/>
      </c>
      <c r="R1148" t="str">
        <f>IF(B1148="","", IFERROR(VLOOKUP(B1148, '基準資産配分（設定）'!$A$2:$C$2001, 2, FALSE)/100, 0))</f>
        <v/>
      </c>
      <c r="S1148" t="str">
        <f>IF(B1148="","", IFERROR(SUMIFS(ベンチマークリターン!$C$2:$C$2001, ベンチマークリターン!$A$2:$A$2001, A1148, ベンチマークリターン!$B$2:$B$2001, Q1148) / 100, 0))</f>
        <v/>
      </c>
      <c r="T1148" t="str">
        <f>IF(A1148="","", SUMIFS($H$2:$H$2000, $A$2:$A$2000, A1148))</f>
        <v/>
      </c>
      <c r="U1148" t="str">
        <f t="shared" si="195"/>
        <v/>
      </c>
      <c r="V1148" t="str">
        <f t="shared" si="196"/>
        <v/>
      </c>
      <c r="W1148" t="str">
        <f t="shared" si="197"/>
        <v/>
      </c>
    </row>
    <row r="1149" spans="1:23" x14ac:dyDescent="0.2">
      <c r="A1149" s="4" t="str">
        <f>IF(ポートフォリオ実績!A1150="","", ポートフォリオ実績!A1150)</f>
        <v/>
      </c>
      <c r="B1149" t="str">
        <f>IF(ポートフォリオ実績!B1150="","", ポートフォリオ実績!B1150)</f>
        <v/>
      </c>
      <c r="C1149" s="10" t="str">
        <f>IF(ポートフォリオ実績!C1150="","", ポートフォリオ実績!C1150)</f>
        <v/>
      </c>
      <c r="D1149" s="10" t="str">
        <f>IF(ポートフォリオ実績!D1150="","", ポートフォリオ実績!D1150)</f>
        <v/>
      </c>
      <c r="E1149" s="10" t="str">
        <f>IF(ポートフォリオ実績!E1150="","", ポートフォリオ実績!E1150)</f>
        <v/>
      </c>
      <c r="F1149" s="10" t="str">
        <f>IF(ポートフォリオ実績!F1150="","", ポートフォリオ実績!F1150)</f>
        <v/>
      </c>
      <c r="G1149" t="str">
        <f t="shared" si="187"/>
        <v/>
      </c>
      <c r="H1149">
        <f>IF(B1149&lt;&gt;"", SUMIFS(ポートフォリオ実績!$D$2:$D$2001, ポートフォリオ実績!$B$2:$B$2001, B1149, ポートフォリオ実績!$A$2:$A$2001, G1149), 0)</f>
        <v>0</v>
      </c>
      <c r="I1149">
        <f>IF(B1149&lt;&gt;"", SUMIFS(ポートフォリオ実績!$C$2:$C$2001, ポートフォリオ実績!$B$2:$B$2001, B1149, ポートフォリオ実績!$A$2:$A$2001, G1149), 0)</f>
        <v>0</v>
      </c>
      <c r="J1149">
        <f t="shared" si="188"/>
        <v>0</v>
      </c>
      <c r="K1149">
        <f t="shared" si="189"/>
        <v>0</v>
      </c>
      <c r="L1149">
        <f t="shared" si="190"/>
        <v>0</v>
      </c>
      <c r="M1149">
        <f t="shared" si="191"/>
        <v>0</v>
      </c>
      <c r="N1149">
        <f t="shared" si="192"/>
        <v>0</v>
      </c>
      <c r="O1149">
        <f t="shared" si="193"/>
        <v>0</v>
      </c>
      <c r="P1149" t="str">
        <f t="shared" si="194"/>
        <v/>
      </c>
      <c r="Q1149" t="str">
        <f>IF(B1149="","", IFERROR(VLOOKUP(B1149, '基準資産配分（設定）'!$A$2:$C$2001, 3, FALSE), ""))</f>
        <v/>
      </c>
      <c r="R1149" t="str">
        <f>IF(B1149="","", IFERROR(VLOOKUP(B1149, '基準資産配分（設定）'!$A$2:$C$2001, 2, FALSE)/100, 0))</f>
        <v/>
      </c>
      <c r="S1149" t="str">
        <f>IF(B1149="","", IFERROR(SUMIFS(ベンチマークリターン!$C$2:$C$2001, ベンチマークリターン!$A$2:$A$2001, A1149, ベンチマークリターン!$B$2:$B$2001, Q1149) / 100, 0))</f>
        <v/>
      </c>
      <c r="T1149" t="str">
        <f>IF(A1149="","", SUMIFS($H$2:$H$2000, $A$2:$A$2000, A1149))</f>
        <v/>
      </c>
      <c r="U1149" t="str">
        <f t="shared" si="195"/>
        <v/>
      </c>
      <c r="V1149" t="str">
        <f t="shared" si="196"/>
        <v/>
      </c>
      <c r="W1149" t="str">
        <f t="shared" si="197"/>
        <v/>
      </c>
    </row>
    <row r="1150" spans="1:23" x14ac:dyDescent="0.2">
      <c r="A1150" s="4" t="str">
        <f>IF(ポートフォリオ実績!A1151="","", ポートフォリオ実績!A1151)</f>
        <v/>
      </c>
      <c r="B1150" t="str">
        <f>IF(ポートフォリオ実績!B1151="","", ポートフォリオ実績!B1151)</f>
        <v/>
      </c>
      <c r="C1150" s="10" t="str">
        <f>IF(ポートフォリオ実績!C1151="","", ポートフォリオ実績!C1151)</f>
        <v/>
      </c>
      <c r="D1150" s="10" t="str">
        <f>IF(ポートフォリオ実績!D1151="","", ポートフォリオ実績!D1151)</f>
        <v/>
      </c>
      <c r="E1150" s="10" t="str">
        <f>IF(ポートフォリオ実績!E1151="","", ポートフォリオ実績!E1151)</f>
        <v/>
      </c>
      <c r="F1150" s="10" t="str">
        <f>IF(ポートフォリオ実績!F1151="","", ポートフォリオ実績!F1151)</f>
        <v/>
      </c>
      <c r="G1150" t="str">
        <f t="shared" si="187"/>
        <v/>
      </c>
      <c r="H1150">
        <f>IF(B1150&lt;&gt;"", SUMIFS(ポートフォリオ実績!$D$2:$D$2001, ポートフォリオ実績!$B$2:$B$2001, B1150, ポートフォリオ実績!$A$2:$A$2001, G1150), 0)</f>
        <v>0</v>
      </c>
      <c r="I1150">
        <f>IF(B1150&lt;&gt;"", SUMIFS(ポートフォリオ実績!$C$2:$C$2001, ポートフォリオ実績!$B$2:$B$2001, B1150, ポートフォリオ実績!$A$2:$A$2001, G1150), 0)</f>
        <v>0</v>
      </c>
      <c r="J1150">
        <f t="shared" si="188"/>
        <v>0</v>
      </c>
      <c r="K1150">
        <f t="shared" si="189"/>
        <v>0</v>
      </c>
      <c r="L1150">
        <f t="shared" si="190"/>
        <v>0</v>
      </c>
      <c r="M1150">
        <f t="shared" si="191"/>
        <v>0</v>
      </c>
      <c r="N1150">
        <f t="shared" si="192"/>
        <v>0</v>
      </c>
      <c r="O1150">
        <f t="shared" si="193"/>
        <v>0</v>
      </c>
      <c r="P1150" t="str">
        <f t="shared" si="194"/>
        <v/>
      </c>
      <c r="Q1150" t="str">
        <f>IF(B1150="","", IFERROR(VLOOKUP(B1150, '基準資産配分（設定）'!$A$2:$C$2001, 3, FALSE), ""))</f>
        <v/>
      </c>
      <c r="R1150" t="str">
        <f>IF(B1150="","", IFERROR(VLOOKUP(B1150, '基準資産配分（設定）'!$A$2:$C$2001, 2, FALSE)/100, 0))</f>
        <v/>
      </c>
      <c r="S1150" t="str">
        <f>IF(B1150="","", IFERROR(SUMIFS(ベンチマークリターン!$C$2:$C$2001, ベンチマークリターン!$A$2:$A$2001, A1150, ベンチマークリターン!$B$2:$B$2001, Q1150) / 100, 0))</f>
        <v/>
      </c>
      <c r="T1150" t="str">
        <f>IF(A1150="","", SUMIFS($H$2:$H$2000, $A$2:$A$2000, A1150))</f>
        <v/>
      </c>
      <c r="U1150" t="str">
        <f t="shared" si="195"/>
        <v/>
      </c>
      <c r="V1150" t="str">
        <f t="shared" si="196"/>
        <v/>
      </c>
      <c r="W1150" t="str">
        <f t="shared" si="197"/>
        <v/>
      </c>
    </row>
    <row r="1151" spans="1:23" x14ac:dyDescent="0.2">
      <c r="A1151" s="4" t="str">
        <f>IF(ポートフォリオ実績!A1152="","", ポートフォリオ実績!A1152)</f>
        <v/>
      </c>
      <c r="B1151" t="str">
        <f>IF(ポートフォリオ実績!B1152="","", ポートフォリオ実績!B1152)</f>
        <v/>
      </c>
      <c r="C1151" s="10" t="str">
        <f>IF(ポートフォリオ実績!C1152="","", ポートフォリオ実績!C1152)</f>
        <v/>
      </c>
      <c r="D1151" s="10" t="str">
        <f>IF(ポートフォリオ実績!D1152="","", ポートフォリオ実績!D1152)</f>
        <v/>
      </c>
      <c r="E1151" s="10" t="str">
        <f>IF(ポートフォリオ実績!E1152="","", ポートフォリオ実績!E1152)</f>
        <v/>
      </c>
      <c r="F1151" s="10" t="str">
        <f>IF(ポートフォリオ実績!F1152="","", ポートフォリオ実績!F1152)</f>
        <v/>
      </c>
      <c r="G1151" t="str">
        <f t="shared" si="187"/>
        <v/>
      </c>
      <c r="H1151">
        <f>IF(B1151&lt;&gt;"", SUMIFS(ポートフォリオ実績!$D$2:$D$2001, ポートフォリオ実績!$B$2:$B$2001, B1151, ポートフォリオ実績!$A$2:$A$2001, G1151), 0)</f>
        <v>0</v>
      </c>
      <c r="I1151">
        <f>IF(B1151&lt;&gt;"", SUMIFS(ポートフォリオ実績!$C$2:$C$2001, ポートフォリオ実績!$B$2:$B$2001, B1151, ポートフォリオ実績!$A$2:$A$2001, G1151), 0)</f>
        <v>0</v>
      </c>
      <c r="J1151">
        <f t="shared" si="188"/>
        <v>0</v>
      </c>
      <c r="K1151">
        <f t="shared" si="189"/>
        <v>0</v>
      </c>
      <c r="L1151">
        <f t="shared" si="190"/>
        <v>0</v>
      </c>
      <c r="M1151">
        <f t="shared" si="191"/>
        <v>0</v>
      </c>
      <c r="N1151">
        <f t="shared" si="192"/>
        <v>0</v>
      </c>
      <c r="O1151">
        <f t="shared" si="193"/>
        <v>0</v>
      </c>
      <c r="P1151" t="str">
        <f t="shared" si="194"/>
        <v/>
      </c>
      <c r="Q1151" t="str">
        <f>IF(B1151="","", IFERROR(VLOOKUP(B1151, '基準資産配分（設定）'!$A$2:$C$2001, 3, FALSE), ""))</f>
        <v/>
      </c>
      <c r="R1151" t="str">
        <f>IF(B1151="","", IFERROR(VLOOKUP(B1151, '基準資産配分（設定）'!$A$2:$C$2001, 2, FALSE)/100, 0))</f>
        <v/>
      </c>
      <c r="S1151" t="str">
        <f>IF(B1151="","", IFERROR(SUMIFS(ベンチマークリターン!$C$2:$C$2001, ベンチマークリターン!$A$2:$A$2001, A1151, ベンチマークリターン!$B$2:$B$2001, Q1151) / 100, 0))</f>
        <v/>
      </c>
      <c r="T1151" t="str">
        <f>IF(A1151="","", SUMIFS($H$2:$H$2000, $A$2:$A$2000, A1151))</f>
        <v/>
      </c>
      <c r="U1151" t="str">
        <f t="shared" si="195"/>
        <v/>
      </c>
      <c r="V1151" t="str">
        <f t="shared" si="196"/>
        <v/>
      </c>
      <c r="W1151" t="str">
        <f t="shared" si="197"/>
        <v/>
      </c>
    </row>
    <row r="1152" spans="1:23" x14ac:dyDescent="0.2">
      <c r="A1152" s="4" t="str">
        <f>IF(ポートフォリオ実績!A1153="","", ポートフォリオ実績!A1153)</f>
        <v/>
      </c>
      <c r="B1152" t="str">
        <f>IF(ポートフォリオ実績!B1153="","", ポートフォリオ実績!B1153)</f>
        <v/>
      </c>
      <c r="C1152" s="10" t="str">
        <f>IF(ポートフォリオ実績!C1153="","", ポートフォリオ実績!C1153)</f>
        <v/>
      </c>
      <c r="D1152" s="10" t="str">
        <f>IF(ポートフォリオ実績!D1153="","", ポートフォリオ実績!D1153)</f>
        <v/>
      </c>
      <c r="E1152" s="10" t="str">
        <f>IF(ポートフォリオ実績!E1153="","", ポートフォリオ実績!E1153)</f>
        <v/>
      </c>
      <c r="F1152" s="10" t="str">
        <f>IF(ポートフォリオ実績!F1153="","", ポートフォリオ実績!F1153)</f>
        <v/>
      </c>
      <c r="G1152" t="str">
        <f t="shared" si="187"/>
        <v/>
      </c>
      <c r="H1152">
        <f>IF(B1152&lt;&gt;"", SUMIFS(ポートフォリオ実績!$D$2:$D$2001, ポートフォリオ実績!$B$2:$B$2001, B1152, ポートフォリオ実績!$A$2:$A$2001, G1152), 0)</f>
        <v>0</v>
      </c>
      <c r="I1152">
        <f>IF(B1152&lt;&gt;"", SUMIFS(ポートフォリオ実績!$C$2:$C$2001, ポートフォリオ実績!$B$2:$B$2001, B1152, ポートフォリオ実績!$A$2:$A$2001, G1152), 0)</f>
        <v>0</v>
      </c>
      <c r="J1152">
        <f t="shared" si="188"/>
        <v>0</v>
      </c>
      <c r="K1152">
        <f t="shared" si="189"/>
        <v>0</v>
      </c>
      <c r="L1152">
        <f t="shared" si="190"/>
        <v>0</v>
      </c>
      <c r="M1152">
        <f t="shared" si="191"/>
        <v>0</v>
      </c>
      <c r="N1152">
        <f t="shared" si="192"/>
        <v>0</v>
      </c>
      <c r="O1152">
        <f t="shared" si="193"/>
        <v>0</v>
      </c>
      <c r="P1152" t="str">
        <f t="shared" si="194"/>
        <v/>
      </c>
      <c r="Q1152" t="str">
        <f>IF(B1152="","", IFERROR(VLOOKUP(B1152, '基準資産配分（設定）'!$A$2:$C$2001, 3, FALSE), ""))</f>
        <v/>
      </c>
      <c r="R1152" t="str">
        <f>IF(B1152="","", IFERROR(VLOOKUP(B1152, '基準資産配分（設定）'!$A$2:$C$2001, 2, FALSE)/100, 0))</f>
        <v/>
      </c>
      <c r="S1152" t="str">
        <f>IF(B1152="","", IFERROR(SUMIFS(ベンチマークリターン!$C$2:$C$2001, ベンチマークリターン!$A$2:$A$2001, A1152, ベンチマークリターン!$B$2:$B$2001, Q1152) / 100, 0))</f>
        <v/>
      </c>
      <c r="T1152" t="str">
        <f>IF(A1152="","", SUMIFS($H$2:$H$2000, $A$2:$A$2000, A1152))</f>
        <v/>
      </c>
      <c r="U1152" t="str">
        <f t="shared" si="195"/>
        <v/>
      </c>
      <c r="V1152" t="str">
        <f t="shared" si="196"/>
        <v/>
      </c>
      <c r="W1152" t="str">
        <f t="shared" si="197"/>
        <v/>
      </c>
    </row>
    <row r="1153" spans="1:23" x14ac:dyDescent="0.2">
      <c r="A1153" s="4" t="str">
        <f>IF(ポートフォリオ実績!A1154="","", ポートフォリオ実績!A1154)</f>
        <v/>
      </c>
      <c r="B1153" t="str">
        <f>IF(ポートフォリオ実績!B1154="","", ポートフォリオ実績!B1154)</f>
        <v/>
      </c>
      <c r="C1153" s="10" t="str">
        <f>IF(ポートフォリオ実績!C1154="","", ポートフォリオ実績!C1154)</f>
        <v/>
      </c>
      <c r="D1153" s="10" t="str">
        <f>IF(ポートフォリオ実績!D1154="","", ポートフォリオ実績!D1154)</f>
        <v/>
      </c>
      <c r="E1153" s="10" t="str">
        <f>IF(ポートフォリオ実績!E1154="","", ポートフォリオ実績!E1154)</f>
        <v/>
      </c>
      <c r="F1153" s="10" t="str">
        <f>IF(ポートフォリオ実績!F1154="","", ポートフォリオ実績!F1154)</f>
        <v/>
      </c>
      <c r="G1153" t="str">
        <f t="shared" ref="G1153:G1216" si="198">IF(A1153&lt;&gt;"", EOMONTH(A1153, -1), "")</f>
        <v/>
      </c>
      <c r="H1153">
        <f>IF(B1153&lt;&gt;"", SUMIFS(ポートフォリオ実績!$D$2:$D$2001, ポートフォリオ実績!$B$2:$B$2001, B1153, ポートフォリオ実績!$A$2:$A$2001, G1153), 0)</f>
        <v>0</v>
      </c>
      <c r="I1153">
        <f>IF(B1153&lt;&gt;"", SUMIFS(ポートフォリオ実績!$C$2:$C$2001, ポートフォリオ実績!$B$2:$B$2001, B1153, ポートフォリオ実績!$A$2:$A$2001, G1153), 0)</f>
        <v>0</v>
      </c>
      <c r="J1153">
        <f t="shared" ref="J1153:J1216" si="199">IF(A1153&lt;&gt;"", D1153-C1153, 0)</f>
        <v>0</v>
      </c>
      <c r="K1153">
        <f t="shared" ref="K1153:K1216" si="200">IF(A1153&lt;&gt;"", H1153-I1153, 0)</f>
        <v>0</v>
      </c>
      <c r="L1153">
        <f t="shared" ref="L1153:L1216" si="201">IF(H1153=0, 0, J1153-K1153)</f>
        <v>0</v>
      </c>
      <c r="M1153">
        <f t="shared" ref="M1153:M1216" si="202">IF(A1153&lt;&gt;"", E1153+F1153+L1153, 0)</f>
        <v>0</v>
      </c>
      <c r="N1153">
        <f t="shared" ref="N1153:N1216" si="203">IF(H1153=0, 0, (D1153-H1153)-M1153)</f>
        <v>0</v>
      </c>
      <c r="O1153">
        <f t="shared" ref="O1153:O1216" si="204">IF(A1153&lt;&gt;"", H1153+N1153*0.5, 0)</f>
        <v>0</v>
      </c>
      <c r="P1153" t="str">
        <f t="shared" ref="P1153:P1216" si="205">IF(A1153="","", IF(O1153&gt;0.000001, M1153/O1153, IF(ABS(M1153)&lt;0.000001, 0, 0)))</f>
        <v/>
      </c>
      <c r="Q1153" t="str">
        <f>IF(B1153="","", IFERROR(VLOOKUP(B1153, '基準資産配分（設定）'!$A$2:$C$2001, 3, FALSE), ""))</f>
        <v/>
      </c>
      <c r="R1153" t="str">
        <f>IF(B1153="","", IFERROR(VLOOKUP(B1153, '基準資産配分（設定）'!$A$2:$C$2001, 2, FALSE)/100, 0))</f>
        <v/>
      </c>
      <c r="S1153" t="str">
        <f>IF(B1153="","", IFERROR(SUMIFS(ベンチマークリターン!$C$2:$C$2001, ベンチマークリターン!$A$2:$A$2001, A1153, ベンチマークリターン!$B$2:$B$2001, Q1153) / 100, 0))</f>
        <v/>
      </c>
      <c r="T1153" t="str">
        <f>IF(A1153="","", SUMIFS($H$2:$H$2000, $A$2:$A$2000, A1153))</f>
        <v/>
      </c>
      <c r="U1153" t="str">
        <f t="shared" ref="U1153:U1216" si="206">IF(A1153="","", IFERROR(H1153/T1153, 0))</f>
        <v/>
      </c>
      <c r="V1153" t="str">
        <f t="shared" ref="V1153:V1216" si="207">IF(A1153="","", U1153*P1153)</f>
        <v/>
      </c>
      <c r="W1153" t="str">
        <f t="shared" ref="W1153:W1216" si="208">IF(A1153="","", R1153*S1153)</f>
        <v/>
      </c>
    </row>
    <row r="1154" spans="1:23" x14ac:dyDescent="0.2">
      <c r="A1154" s="4" t="str">
        <f>IF(ポートフォリオ実績!A1155="","", ポートフォリオ実績!A1155)</f>
        <v/>
      </c>
      <c r="B1154" t="str">
        <f>IF(ポートフォリオ実績!B1155="","", ポートフォリオ実績!B1155)</f>
        <v/>
      </c>
      <c r="C1154" s="10" t="str">
        <f>IF(ポートフォリオ実績!C1155="","", ポートフォリオ実績!C1155)</f>
        <v/>
      </c>
      <c r="D1154" s="10" t="str">
        <f>IF(ポートフォリオ実績!D1155="","", ポートフォリオ実績!D1155)</f>
        <v/>
      </c>
      <c r="E1154" s="10" t="str">
        <f>IF(ポートフォリオ実績!E1155="","", ポートフォリオ実績!E1155)</f>
        <v/>
      </c>
      <c r="F1154" s="10" t="str">
        <f>IF(ポートフォリオ実績!F1155="","", ポートフォリオ実績!F1155)</f>
        <v/>
      </c>
      <c r="G1154" t="str">
        <f t="shared" si="198"/>
        <v/>
      </c>
      <c r="H1154">
        <f>IF(B1154&lt;&gt;"", SUMIFS(ポートフォリオ実績!$D$2:$D$2001, ポートフォリオ実績!$B$2:$B$2001, B1154, ポートフォリオ実績!$A$2:$A$2001, G1154), 0)</f>
        <v>0</v>
      </c>
      <c r="I1154">
        <f>IF(B1154&lt;&gt;"", SUMIFS(ポートフォリオ実績!$C$2:$C$2001, ポートフォリオ実績!$B$2:$B$2001, B1154, ポートフォリオ実績!$A$2:$A$2001, G1154), 0)</f>
        <v>0</v>
      </c>
      <c r="J1154">
        <f t="shared" si="199"/>
        <v>0</v>
      </c>
      <c r="K1154">
        <f t="shared" si="200"/>
        <v>0</v>
      </c>
      <c r="L1154">
        <f t="shared" si="201"/>
        <v>0</v>
      </c>
      <c r="M1154">
        <f t="shared" si="202"/>
        <v>0</v>
      </c>
      <c r="N1154">
        <f t="shared" si="203"/>
        <v>0</v>
      </c>
      <c r="O1154">
        <f t="shared" si="204"/>
        <v>0</v>
      </c>
      <c r="P1154" t="str">
        <f t="shared" si="205"/>
        <v/>
      </c>
      <c r="Q1154" t="str">
        <f>IF(B1154="","", IFERROR(VLOOKUP(B1154, '基準資産配分（設定）'!$A$2:$C$2001, 3, FALSE), ""))</f>
        <v/>
      </c>
      <c r="R1154" t="str">
        <f>IF(B1154="","", IFERROR(VLOOKUP(B1154, '基準資産配分（設定）'!$A$2:$C$2001, 2, FALSE)/100, 0))</f>
        <v/>
      </c>
      <c r="S1154" t="str">
        <f>IF(B1154="","", IFERROR(SUMIFS(ベンチマークリターン!$C$2:$C$2001, ベンチマークリターン!$A$2:$A$2001, A1154, ベンチマークリターン!$B$2:$B$2001, Q1154) / 100, 0))</f>
        <v/>
      </c>
      <c r="T1154" t="str">
        <f>IF(A1154="","", SUMIFS($H$2:$H$2000, $A$2:$A$2000, A1154))</f>
        <v/>
      </c>
      <c r="U1154" t="str">
        <f t="shared" si="206"/>
        <v/>
      </c>
      <c r="V1154" t="str">
        <f t="shared" si="207"/>
        <v/>
      </c>
      <c r="W1154" t="str">
        <f t="shared" si="208"/>
        <v/>
      </c>
    </row>
    <row r="1155" spans="1:23" x14ac:dyDescent="0.2">
      <c r="A1155" s="4" t="str">
        <f>IF(ポートフォリオ実績!A1156="","", ポートフォリオ実績!A1156)</f>
        <v/>
      </c>
      <c r="B1155" t="str">
        <f>IF(ポートフォリオ実績!B1156="","", ポートフォリオ実績!B1156)</f>
        <v/>
      </c>
      <c r="C1155" s="10" t="str">
        <f>IF(ポートフォリオ実績!C1156="","", ポートフォリオ実績!C1156)</f>
        <v/>
      </c>
      <c r="D1155" s="10" t="str">
        <f>IF(ポートフォリオ実績!D1156="","", ポートフォリオ実績!D1156)</f>
        <v/>
      </c>
      <c r="E1155" s="10" t="str">
        <f>IF(ポートフォリオ実績!E1156="","", ポートフォリオ実績!E1156)</f>
        <v/>
      </c>
      <c r="F1155" s="10" t="str">
        <f>IF(ポートフォリオ実績!F1156="","", ポートフォリオ実績!F1156)</f>
        <v/>
      </c>
      <c r="G1155" t="str">
        <f t="shared" si="198"/>
        <v/>
      </c>
      <c r="H1155">
        <f>IF(B1155&lt;&gt;"", SUMIFS(ポートフォリオ実績!$D$2:$D$2001, ポートフォリオ実績!$B$2:$B$2001, B1155, ポートフォリオ実績!$A$2:$A$2001, G1155), 0)</f>
        <v>0</v>
      </c>
      <c r="I1155">
        <f>IF(B1155&lt;&gt;"", SUMIFS(ポートフォリオ実績!$C$2:$C$2001, ポートフォリオ実績!$B$2:$B$2001, B1155, ポートフォリオ実績!$A$2:$A$2001, G1155), 0)</f>
        <v>0</v>
      </c>
      <c r="J1155">
        <f t="shared" si="199"/>
        <v>0</v>
      </c>
      <c r="K1155">
        <f t="shared" si="200"/>
        <v>0</v>
      </c>
      <c r="L1155">
        <f t="shared" si="201"/>
        <v>0</v>
      </c>
      <c r="M1155">
        <f t="shared" si="202"/>
        <v>0</v>
      </c>
      <c r="N1155">
        <f t="shared" si="203"/>
        <v>0</v>
      </c>
      <c r="O1155">
        <f t="shared" si="204"/>
        <v>0</v>
      </c>
      <c r="P1155" t="str">
        <f t="shared" si="205"/>
        <v/>
      </c>
      <c r="Q1155" t="str">
        <f>IF(B1155="","", IFERROR(VLOOKUP(B1155, '基準資産配分（設定）'!$A$2:$C$2001, 3, FALSE), ""))</f>
        <v/>
      </c>
      <c r="R1155" t="str">
        <f>IF(B1155="","", IFERROR(VLOOKUP(B1155, '基準資産配分（設定）'!$A$2:$C$2001, 2, FALSE)/100, 0))</f>
        <v/>
      </c>
      <c r="S1155" t="str">
        <f>IF(B1155="","", IFERROR(SUMIFS(ベンチマークリターン!$C$2:$C$2001, ベンチマークリターン!$A$2:$A$2001, A1155, ベンチマークリターン!$B$2:$B$2001, Q1155) / 100, 0))</f>
        <v/>
      </c>
      <c r="T1155" t="str">
        <f>IF(A1155="","", SUMIFS($H$2:$H$2000, $A$2:$A$2000, A1155))</f>
        <v/>
      </c>
      <c r="U1155" t="str">
        <f t="shared" si="206"/>
        <v/>
      </c>
      <c r="V1155" t="str">
        <f t="shared" si="207"/>
        <v/>
      </c>
      <c r="W1155" t="str">
        <f t="shared" si="208"/>
        <v/>
      </c>
    </row>
    <row r="1156" spans="1:23" x14ac:dyDescent="0.2">
      <c r="A1156" s="4" t="str">
        <f>IF(ポートフォリオ実績!A1157="","", ポートフォリオ実績!A1157)</f>
        <v/>
      </c>
      <c r="B1156" t="str">
        <f>IF(ポートフォリオ実績!B1157="","", ポートフォリオ実績!B1157)</f>
        <v/>
      </c>
      <c r="C1156" s="10" t="str">
        <f>IF(ポートフォリオ実績!C1157="","", ポートフォリオ実績!C1157)</f>
        <v/>
      </c>
      <c r="D1156" s="10" t="str">
        <f>IF(ポートフォリオ実績!D1157="","", ポートフォリオ実績!D1157)</f>
        <v/>
      </c>
      <c r="E1156" s="10" t="str">
        <f>IF(ポートフォリオ実績!E1157="","", ポートフォリオ実績!E1157)</f>
        <v/>
      </c>
      <c r="F1156" s="10" t="str">
        <f>IF(ポートフォリオ実績!F1157="","", ポートフォリオ実績!F1157)</f>
        <v/>
      </c>
      <c r="G1156" t="str">
        <f t="shared" si="198"/>
        <v/>
      </c>
      <c r="H1156">
        <f>IF(B1156&lt;&gt;"", SUMIFS(ポートフォリオ実績!$D$2:$D$2001, ポートフォリオ実績!$B$2:$B$2001, B1156, ポートフォリオ実績!$A$2:$A$2001, G1156), 0)</f>
        <v>0</v>
      </c>
      <c r="I1156">
        <f>IF(B1156&lt;&gt;"", SUMIFS(ポートフォリオ実績!$C$2:$C$2001, ポートフォリオ実績!$B$2:$B$2001, B1156, ポートフォリオ実績!$A$2:$A$2001, G1156), 0)</f>
        <v>0</v>
      </c>
      <c r="J1156">
        <f t="shared" si="199"/>
        <v>0</v>
      </c>
      <c r="K1156">
        <f t="shared" si="200"/>
        <v>0</v>
      </c>
      <c r="L1156">
        <f t="shared" si="201"/>
        <v>0</v>
      </c>
      <c r="M1156">
        <f t="shared" si="202"/>
        <v>0</v>
      </c>
      <c r="N1156">
        <f t="shared" si="203"/>
        <v>0</v>
      </c>
      <c r="O1156">
        <f t="shared" si="204"/>
        <v>0</v>
      </c>
      <c r="P1156" t="str">
        <f t="shared" si="205"/>
        <v/>
      </c>
      <c r="Q1156" t="str">
        <f>IF(B1156="","", IFERROR(VLOOKUP(B1156, '基準資産配分（設定）'!$A$2:$C$2001, 3, FALSE), ""))</f>
        <v/>
      </c>
      <c r="R1156" t="str">
        <f>IF(B1156="","", IFERROR(VLOOKUP(B1156, '基準資産配分（設定）'!$A$2:$C$2001, 2, FALSE)/100, 0))</f>
        <v/>
      </c>
      <c r="S1156" t="str">
        <f>IF(B1156="","", IFERROR(SUMIFS(ベンチマークリターン!$C$2:$C$2001, ベンチマークリターン!$A$2:$A$2001, A1156, ベンチマークリターン!$B$2:$B$2001, Q1156) / 100, 0))</f>
        <v/>
      </c>
      <c r="T1156" t="str">
        <f>IF(A1156="","", SUMIFS($H$2:$H$2000, $A$2:$A$2000, A1156))</f>
        <v/>
      </c>
      <c r="U1156" t="str">
        <f t="shared" si="206"/>
        <v/>
      </c>
      <c r="V1156" t="str">
        <f t="shared" si="207"/>
        <v/>
      </c>
      <c r="W1156" t="str">
        <f t="shared" si="208"/>
        <v/>
      </c>
    </row>
    <row r="1157" spans="1:23" x14ac:dyDescent="0.2">
      <c r="A1157" s="4" t="str">
        <f>IF(ポートフォリオ実績!A1158="","", ポートフォリオ実績!A1158)</f>
        <v/>
      </c>
      <c r="B1157" t="str">
        <f>IF(ポートフォリオ実績!B1158="","", ポートフォリオ実績!B1158)</f>
        <v/>
      </c>
      <c r="C1157" s="10" t="str">
        <f>IF(ポートフォリオ実績!C1158="","", ポートフォリオ実績!C1158)</f>
        <v/>
      </c>
      <c r="D1157" s="10" t="str">
        <f>IF(ポートフォリオ実績!D1158="","", ポートフォリオ実績!D1158)</f>
        <v/>
      </c>
      <c r="E1157" s="10" t="str">
        <f>IF(ポートフォリオ実績!E1158="","", ポートフォリオ実績!E1158)</f>
        <v/>
      </c>
      <c r="F1157" s="10" t="str">
        <f>IF(ポートフォリオ実績!F1158="","", ポートフォリオ実績!F1158)</f>
        <v/>
      </c>
      <c r="G1157" t="str">
        <f t="shared" si="198"/>
        <v/>
      </c>
      <c r="H1157">
        <f>IF(B1157&lt;&gt;"", SUMIFS(ポートフォリオ実績!$D$2:$D$2001, ポートフォリオ実績!$B$2:$B$2001, B1157, ポートフォリオ実績!$A$2:$A$2001, G1157), 0)</f>
        <v>0</v>
      </c>
      <c r="I1157">
        <f>IF(B1157&lt;&gt;"", SUMIFS(ポートフォリオ実績!$C$2:$C$2001, ポートフォリオ実績!$B$2:$B$2001, B1157, ポートフォリオ実績!$A$2:$A$2001, G1157), 0)</f>
        <v>0</v>
      </c>
      <c r="J1157">
        <f t="shared" si="199"/>
        <v>0</v>
      </c>
      <c r="K1157">
        <f t="shared" si="200"/>
        <v>0</v>
      </c>
      <c r="L1157">
        <f t="shared" si="201"/>
        <v>0</v>
      </c>
      <c r="M1157">
        <f t="shared" si="202"/>
        <v>0</v>
      </c>
      <c r="N1157">
        <f t="shared" si="203"/>
        <v>0</v>
      </c>
      <c r="O1157">
        <f t="shared" si="204"/>
        <v>0</v>
      </c>
      <c r="P1157" t="str">
        <f t="shared" si="205"/>
        <v/>
      </c>
      <c r="Q1157" t="str">
        <f>IF(B1157="","", IFERROR(VLOOKUP(B1157, '基準資産配分（設定）'!$A$2:$C$2001, 3, FALSE), ""))</f>
        <v/>
      </c>
      <c r="R1157" t="str">
        <f>IF(B1157="","", IFERROR(VLOOKUP(B1157, '基準資産配分（設定）'!$A$2:$C$2001, 2, FALSE)/100, 0))</f>
        <v/>
      </c>
      <c r="S1157" t="str">
        <f>IF(B1157="","", IFERROR(SUMIFS(ベンチマークリターン!$C$2:$C$2001, ベンチマークリターン!$A$2:$A$2001, A1157, ベンチマークリターン!$B$2:$B$2001, Q1157) / 100, 0))</f>
        <v/>
      </c>
      <c r="T1157" t="str">
        <f>IF(A1157="","", SUMIFS($H$2:$H$2000, $A$2:$A$2000, A1157))</f>
        <v/>
      </c>
      <c r="U1157" t="str">
        <f t="shared" si="206"/>
        <v/>
      </c>
      <c r="V1157" t="str">
        <f t="shared" si="207"/>
        <v/>
      </c>
      <c r="W1157" t="str">
        <f t="shared" si="208"/>
        <v/>
      </c>
    </row>
    <row r="1158" spans="1:23" x14ac:dyDescent="0.2">
      <c r="A1158" s="4" t="str">
        <f>IF(ポートフォリオ実績!A1159="","", ポートフォリオ実績!A1159)</f>
        <v/>
      </c>
      <c r="B1158" t="str">
        <f>IF(ポートフォリオ実績!B1159="","", ポートフォリオ実績!B1159)</f>
        <v/>
      </c>
      <c r="C1158" s="10" t="str">
        <f>IF(ポートフォリオ実績!C1159="","", ポートフォリオ実績!C1159)</f>
        <v/>
      </c>
      <c r="D1158" s="10" t="str">
        <f>IF(ポートフォリオ実績!D1159="","", ポートフォリオ実績!D1159)</f>
        <v/>
      </c>
      <c r="E1158" s="10" t="str">
        <f>IF(ポートフォリオ実績!E1159="","", ポートフォリオ実績!E1159)</f>
        <v/>
      </c>
      <c r="F1158" s="10" t="str">
        <f>IF(ポートフォリオ実績!F1159="","", ポートフォリオ実績!F1159)</f>
        <v/>
      </c>
      <c r="G1158" t="str">
        <f t="shared" si="198"/>
        <v/>
      </c>
      <c r="H1158">
        <f>IF(B1158&lt;&gt;"", SUMIFS(ポートフォリオ実績!$D$2:$D$2001, ポートフォリオ実績!$B$2:$B$2001, B1158, ポートフォリオ実績!$A$2:$A$2001, G1158), 0)</f>
        <v>0</v>
      </c>
      <c r="I1158">
        <f>IF(B1158&lt;&gt;"", SUMIFS(ポートフォリオ実績!$C$2:$C$2001, ポートフォリオ実績!$B$2:$B$2001, B1158, ポートフォリオ実績!$A$2:$A$2001, G1158), 0)</f>
        <v>0</v>
      </c>
      <c r="J1158">
        <f t="shared" si="199"/>
        <v>0</v>
      </c>
      <c r="K1158">
        <f t="shared" si="200"/>
        <v>0</v>
      </c>
      <c r="L1158">
        <f t="shared" si="201"/>
        <v>0</v>
      </c>
      <c r="M1158">
        <f t="shared" si="202"/>
        <v>0</v>
      </c>
      <c r="N1158">
        <f t="shared" si="203"/>
        <v>0</v>
      </c>
      <c r="O1158">
        <f t="shared" si="204"/>
        <v>0</v>
      </c>
      <c r="P1158" t="str">
        <f t="shared" si="205"/>
        <v/>
      </c>
      <c r="Q1158" t="str">
        <f>IF(B1158="","", IFERROR(VLOOKUP(B1158, '基準資産配分（設定）'!$A$2:$C$2001, 3, FALSE), ""))</f>
        <v/>
      </c>
      <c r="R1158" t="str">
        <f>IF(B1158="","", IFERROR(VLOOKUP(B1158, '基準資産配分（設定）'!$A$2:$C$2001, 2, FALSE)/100, 0))</f>
        <v/>
      </c>
      <c r="S1158" t="str">
        <f>IF(B1158="","", IFERROR(SUMIFS(ベンチマークリターン!$C$2:$C$2001, ベンチマークリターン!$A$2:$A$2001, A1158, ベンチマークリターン!$B$2:$B$2001, Q1158) / 100, 0))</f>
        <v/>
      </c>
      <c r="T1158" t="str">
        <f>IF(A1158="","", SUMIFS($H$2:$H$2000, $A$2:$A$2000, A1158))</f>
        <v/>
      </c>
      <c r="U1158" t="str">
        <f t="shared" si="206"/>
        <v/>
      </c>
      <c r="V1158" t="str">
        <f t="shared" si="207"/>
        <v/>
      </c>
      <c r="W1158" t="str">
        <f t="shared" si="208"/>
        <v/>
      </c>
    </row>
    <row r="1159" spans="1:23" x14ac:dyDescent="0.2">
      <c r="A1159" s="4" t="str">
        <f>IF(ポートフォリオ実績!A1160="","", ポートフォリオ実績!A1160)</f>
        <v/>
      </c>
      <c r="B1159" t="str">
        <f>IF(ポートフォリオ実績!B1160="","", ポートフォリオ実績!B1160)</f>
        <v/>
      </c>
      <c r="C1159" s="10" t="str">
        <f>IF(ポートフォリオ実績!C1160="","", ポートフォリオ実績!C1160)</f>
        <v/>
      </c>
      <c r="D1159" s="10" t="str">
        <f>IF(ポートフォリオ実績!D1160="","", ポートフォリオ実績!D1160)</f>
        <v/>
      </c>
      <c r="E1159" s="10" t="str">
        <f>IF(ポートフォリオ実績!E1160="","", ポートフォリオ実績!E1160)</f>
        <v/>
      </c>
      <c r="F1159" s="10" t="str">
        <f>IF(ポートフォリオ実績!F1160="","", ポートフォリオ実績!F1160)</f>
        <v/>
      </c>
      <c r="G1159" t="str">
        <f t="shared" si="198"/>
        <v/>
      </c>
      <c r="H1159">
        <f>IF(B1159&lt;&gt;"", SUMIFS(ポートフォリオ実績!$D$2:$D$2001, ポートフォリオ実績!$B$2:$B$2001, B1159, ポートフォリオ実績!$A$2:$A$2001, G1159), 0)</f>
        <v>0</v>
      </c>
      <c r="I1159">
        <f>IF(B1159&lt;&gt;"", SUMIFS(ポートフォリオ実績!$C$2:$C$2001, ポートフォリオ実績!$B$2:$B$2001, B1159, ポートフォリオ実績!$A$2:$A$2001, G1159), 0)</f>
        <v>0</v>
      </c>
      <c r="J1159">
        <f t="shared" si="199"/>
        <v>0</v>
      </c>
      <c r="K1159">
        <f t="shared" si="200"/>
        <v>0</v>
      </c>
      <c r="L1159">
        <f t="shared" si="201"/>
        <v>0</v>
      </c>
      <c r="M1159">
        <f t="shared" si="202"/>
        <v>0</v>
      </c>
      <c r="N1159">
        <f t="shared" si="203"/>
        <v>0</v>
      </c>
      <c r="O1159">
        <f t="shared" si="204"/>
        <v>0</v>
      </c>
      <c r="P1159" t="str">
        <f t="shared" si="205"/>
        <v/>
      </c>
      <c r="Q1159" t="str">
        <f>IF(B1159="","", IFERROR(VLOOKUP(B1159, '基準資産配分（設定）'!$A$2:$C$2001, 3, FALSE), ""))</f>
        <v/>
      </c>
      <c r="R1159" t="str">
        <f>IF(B1159="","", IFERROR(VLOOKUP(B1159, '基準資産配分（設定）'!$A$2:$C$2001, 2, FALSE)/100, 0))</f>
        <v/>
      </c>
      <c r="S1159" t="str">
        <f>IF(B1159="","", IFERROR(SUMIFS(ベンチマークリターン!$C$2:$C$2001, ベンチマークリターン!$A$2:$A$2001, A1159, ベンチマークリターン!$B$2:$B$2001, Q1159) / 100, 0))</f>
        <v/>
      </c>
      <c r="T1159" t="str">
        <f>IF(A1159="","", SUMIFS($H$2:$H$2000, $A$2:$A$2000, A1159))</f>
        <v/>
      </c>
      <c r="U1159" t="str">
        <f t="shared" si="206"/>
        <v/>
      </c>
      <c r="V1159" t="str">
        <f t="shared" si="207"/>
        <v/>
      </c>
      <c r="W1159" t="str">
        <f t="shared" si="208"/>
        <v/>
      </c>
    </row>
    <row r="1160" spans="1:23" x14ac:dyDescent="0.2">
      <c r="A1160" s="4" t="str">
        <f>IF(ポートフォリオ実績!A1161="","", ポートフォリオ実績!A1161)</f>
        <v/>
      </c>
      <c r="B1160" t="str">
        <f>IF(ポートフォリオ実績!B1161="","", ポートフォリオ実績!B1161)</f>
        <v/>
      </c>
      <c r="C1160" s="10" t="str">
        <f>IF(ポートフォリオ実績!C1161="","", ポートフォリオ実績!C1161)</f>
        <v/>
      </c>
      <c r="D1160" s="10" t="str">
        <f>IF(ポートフォリオ実績!D1161="","", ポートフォリオ実績!D1161)</f>
        <v/>
      </c>
      <c r="E1160" s="10" t="str">
        <f>IF(ポートフォリオ実績!E1161="","", ポートフォリオ実績!E1161)</f>
        <v/>
      </c>
      <c r="F1160" s="10" t="str">
        <f>IF(ポートフォリオ実績!F1161="","", ポートフォリオ実績!F1161)</f>
        <v/>
      </c>
      <c r="G1160" t="str">
        <f t="shared" si="198"/>
        <v/>
      </c>
      <c r="H1160">
        <f>IF(B1160&lt;&gt;"", SUMIFS(ポートフォリオ実績!$D$2:$D$2001, ポートフォリオ実績!$B$2:$B$2001, B1160, ポートフォリオ実績!$A$2:$A$2001, G1160), 0)</f>
        <v>0</v>
      </c>
      <c r="I1160">
        <f>IF(B1160&lt;&gt;"", SUMIFS(ポートフォリオ実績!$C$2:$C$2001, ポートフォリオ実績!$B$2:$B$2001, B1160, ポートフォリオ実績!$A$2:$A$2001, G1160), 0)</f>
        <v>0</v>
      </c>
      <c r="J1160">
        <f t="shared" si="199"/>
        <v>0</v>
      </c>
      <c r="K1160">
        <f t="shared" si="200"/>
        <v>0</v>
      </c>
      <c r="L1160">
        <f t="shared" si="201"/>
        <v>0</v>
      </c>
      <c r="M1160">
        <f t="shared" si="202"/>
        <v>0</v>
      </c>
      <c r="N1160">
        <f t="shared" si="203"/>
        <v>0</v>
      </c>
      <c r="O1160">
        <f t="shared" si="204"/>
        <v>0</v>
      </c>
      <c r="P1160" t="str">
        <f t="shared" si="205"/>
        <v/>
      </c>
      <c r="Q1160" t="str">
        <f>IF(B1160="","", IFERROR(VLOOKUP(B1160, '基準資産配分（設定）'!$A$2:$C$2001, 3, FALSE), ""))</f>
        <v/>
      </c>
      <c r="R1160" t="str">
        <f>IF(B1160="","", IFERROR(VLOOKUP(B1160, '基準資産配分（設定）'!$A$2:$C$2001, 2, FALSE)/100, 0))</f>
        <v/>
      </c>
      <c r="S1160" t="str">
        <f>IF(B1160="","", IFERROR(SUMIFS(ベンチマークリターン!$C$2:$C$2001, ベンチマークリターン!$A$2:$A$2001, A1160, ベンチマークリターン!$B$2:$B$2001, Q1160) / 100, 0))</f>
        <v/>
      </c>
      <c r="T1160" t="str">
        <f>IF(A1160="","", SUMIFS($H$2:$H$2000, $A$2:$A$2000, A1160))</f>
        <v/>
      </c>
      <c r="U1160" t="str">
        <f t="shared" si="206"/>
        <v/>
      </c>
      <c r="V1160" t="str">
        <f t="shared" si="207"/>
        <v/>
      </c>
      <c r="W1160" t="str">
        <f t="shared" si="208"/>
        <v/>
      </c>
    </row>
    <row r="1161" spans="1:23" x14ac:dyDescent="0.2">
      <c r="A1161" s="4" t="str">
        <f>IF(ポートフォリオ実績!A1162="","", ポートフォリオ実績!A1162)</f>
        <v/>
      </c>
      <c r="B1161" t="str">
        <f>IF(ポートフォリオ実績!B1162="","", ポートフォリオ実績!B1162)</f>
        <v/>
      </c>
      <c r="C1161" s="10" t="str">
        <f>IF(ポートフォリオ実績!C1162="","", ポートフォリオ実績!C1162)</f>
        <v/>
      </c>
      <c r="D1161" s="10" t="str">
        <f>IF(ポートフォリオ実績!D1162="","", ポートフォリオ実績!D1162)</f>
        <v/>
      </c>
      <c r="E1161" s="10" t="str">
        <f>IF(ポートフォリオ実績!E1162="","", ポートフォリオ実績!E1162)</f>
        <v/>
      </c>
      <c r="F1161" s="10" t="str">
        <f>IF(ポートフォリオ実績!F1162="","", ポートフォリオ実績!F1162)</f>
        <v/>
      </c>
      <c r="G1161" t="str">
        <f t="shared" si="198"/>
        <v/>
      </c>
      <c r="H1161">
        <f>IF(B1161&lt;&gt;"", SUMIFS(ポートフォリオ実績!$D$2:$D$2001, ポートフォリオ実績!$B$2:$B$2001, B1161, ポートフォリオ実績!$A$2:$A$2001, G1161), 0)</f>
        <v>0</v>
      </c>
      <c r="I1161">
        <f>IF(B1161&lt;&gt;"", SUMIFS(ポートフォリオ実績!$C$2:$C$2001, ポートフォリオ実績!$B$2:$B$2001, B1161, ポートフォリオ実績!$A$2:$A$2001, G1161), 0)</f>
        <v>0</v>
      </c>
      <c r="J1161">
        <f t="shared" si="199"/>
        <v>0</v>
      </c>
      <c r="K1161">
        <f t="shared" si="200"/>
        <v>0</v>
      </c>
      <c r="L1161">
        <f t="shared" si="201"/>
        <v>0</v>
      </c>
      <c r="M1161">
        <f t="shared" si="202"/>
        <v>0</v>
      </c>
      <c r="N1161">
        <f t="shared" si="203"/>
        <v>0</v>
      </c>
      <c r="O1161">
        <f t="shared" si="204"/>
        <v>0</v>
      </c>
      <c r="P1161" t="str">
        <f t="shared" si="205"/>
        <v/>
      </c>
      <c r="Q1161" t="str">
        <f>IF(B1161="","", IFERROR(VLOOKUP(B1161, '基準資産配分（設定）'!$A$2:$C$2001, 3, FALSE), ""))</f>
        <v/>
      </c>
      <c r="R1161" t="str">
        <f>IF(B1161="","", IFERROR(VLOOKUP(B1161, '基準資産配分（設定）'!$A$2:$C$2001, 2, FALSE)/100, 0))</f>
        <v/>
      </c>
      <c r="S1161" t="str">
        <f>IF(B1161="","", IFERROR(SUMIFS(ベンチマークリターン!$C$2:$C$2001, ベンチマークリターン!$A$2:$A$2001, A1161, ベンチマークリターン!$B$2:$B$2001, Q1161) / 100, 0))</f>
        <v/>
      </c>
      <c r="T1161" t="str">
        <f>IF(A1161="","", SUMIFS($H$2:$H$2000, $A$2:$A$2000, A1161))</f>
        <v/>
      </c>
      <c r="U1161" t="str">
        <f t="shared" si="206"/>
        <v/>
      </c>
      <c r="V1161" t="str">
        <f t="shared" si="207"/>
        <v/>
      </c>
      <c r="W1161" t="str">
        <f t="shared" si="208"/>
        <v/>
      </c>
    </row>
    <row r="1162" spans="1:23" x14ac:dyDescent="0.2">
      <c r="A1162" s="4" t="str">
        <f>IF(ポートフォリオ実績!A1163="","", ポートフォリオ実績!A1163)</f>
        <v/>
      </c>
      <c r="B1162" t="str">
        <f>IF(ポートフォリオ実績!B1163="","", ポートフォリオ実績!B1163)</f>
        <v/>
      </c>
      <c r="C1162" s="10" t="str">
        <f>IF(ポートフォリオ実績!C1163="","", ポートフォリオ実績!C1163)</f>
        <v/>
      </c>
      <c r="D1162" s="10" t="str">
        <f>IF(ポートフォリオ実績!D1163="","", ポートフォリオ実績!D1163)</f>
        <v/>
      </c>
      <c r="E1162" s="10" t="str">
        <f>IF(ポートフォリオ実績!E1163="","", ポートフォリオ実績!E1163)</f>
        <v/>
      </c>
      <c r="F1162" s="10" t="str">
        <f>IF(ポートフォリオ実績!F1163="","", ポートフォリオ実績!F1163)</f>
        <v/>
      </c>
      <c r="G1162" t="str">
        <f t="shared" si="198"/>
        <v/>
      </c>
      <c r="H1162">
        <f>IF(B1162&lt;&gt;"", SUMIFS(ポートフォリオ実績!$D$2:$D$2001, ポートフォリオ実績!$B$2:$B$2001, B1162, ポートフォリオ実績!$A$2:$A$2001, G1162), 0)</f>
        <v>0</v>
      </c>
      <c r="I1162">
        <f>IF(B1162&lt;&gt;"", SUMIFS(ポートフォリオ実績!$C$2:$C$2001, ポートフォリオ実績!$B$2:$B$2001, B1162, ポートフォリオ実績!$A$2:$A$2001, G1162), 0)</f>
        <v>0</v>
      </c>
      <c r="J1162">
        <f t="shared" si="199"/>
        <v>0</v>
      </c>
      <c r="K1162">
        <f t="shared" si="200"/>
        <v>0</v>
      </c>
      <c r="L1162">
        <f t="shared" si="201"/>
        <v>0</v>
      </c>
      <c r="M1162">
        <f t="shared" si="202"/>
        <v>0</v>
      </c>
      <c r="N1162">
        <f t="shared" si="203"/>
        <v>0</v>
      </c>
      <c r="O1162">
        <f t="shared" si="204"/>
        <v>0</v>
      </c>
      <c r="P1162" t="str">
        <f t="shared" si="205"/>
        <v/>
      </c>
      <c r="Q1162" t="str">
        <f>IF(B1162="","", IFERROR(VLOOKUP(B1162, '基準資産配分（設定）'!$A$2:$C$2001, 3, FALSE), ""))</f>
        <v/>
      </c>
      <c r="R1162" t="str">
        <f>IF(B1162="","", IFERROR(VLOOKUP(B1162, '基準資産配分（設定）'!$A$2:$C$2001, 2, FALSE)/100, 0))</f>
        <v/>
      </c>
      <c r="S1162" t="str">
        <f>IF(B1162="","", IFERROR(SUMIFS(ベンチマークリターン!$C$2:$C$2001, ベンチマークリターン!$A$2:$A$2001, A1162, ベンチマークリターン!$B$2:$B$2001, Q1162) / 100, 0))</f>
        <v/>
      </c>
      <c r="T1162" t="str">
        <f>IF(A1162="","", SUMIFS($H$2:$H$2000, $A$2:$A$2000, A1162))</f>
        <v/>
      </c>
      <c r="U1162" t="str">
        <f t="shared" si="206"/>
        <v/>
      </c>
      <c r="V1162" t="str">
        <f t="shared" si="207"/>
        <v/>
      </c>
      <c r="W1162" t="str">
        <f t="shared" si="208"/>
        <v/>
      </c>
    </row>
    <row r="1163" spans="1:23" x14ac:dyDescent="0.2">
      <c r="A1163" s="4" t="str">
        <f>IF(ポートフォリオ実績!A1164="","", ポートフォリオ実績!A1164)</f>
        <v/>
      </c>
      <c r="B1163" t="str">
        <f>IF(ポートフォリオ実績!B1164="","", ポートフォリオ実績!B1164)</f>
        <v/>
      </c>
      <c r="C1163" s="10" t="str">
        <f>IF(ポートフォリオ実績!C1164="","", ポートフォリオ実績!C1164)</f>
        <v/>
      </c>
      <c r="D1163" s="10" t="str">
        <f>IF(ポートフォリオ実績!D1164="","", ポートフォリオ実績!D1164)</f>
        <v/>
      </c>
      <c r="E1163" s="10" t="str">
        <f>IF(ポートフォリオ実績!E1164="","", ポートフォリオ実績!E1164)</f>
        <v/>
      </c>
      <c r="F1163" s="10" t="str">
        <f>IF(ポートフォリオ実績!F1164="","", ポートフォリオ実績!F1164)</f>
        <v/>
      </c>
      <c r="G1163" t="str">
        <f t="shared" si="198"/>
        <v/>
      </c>
      <c r="H1163">
        <f>IF(B1163&lt;&gt;"", SUMIFS(ポートフォリオ実績!$D$2:$D$2001, ポートフォリオ実績!$B$2:$B$2001, B1163, ポートフォリオ実績!$A$2:$A$2001, G1163), 0)</f>
        <v>0</v>
      </c>
      <c r="I1163">
        <f>IF(B1163&lt;&gt;"", SUMIFS(ポートフォリオ実績!$C$2:$C$2001, ポートフォリオ実績!$B$2:$B$2001, B1163, ポートフォリオ実績!$A$2:$A$2001, G1163), 0)</f>
        <v>0</v>
      </c>
      <c r="J1163">
        <f t="shared" si="199"/>
        <v>0</v>
      </c>
      <c r="K1163">
        <f t="shared" si="200"/>
        <v>0</v>
      </c>
      <c r="L1163">
        <f t="shared" si="201"/>
        <v>0</v>
      </c>
      <c r="M1163">
        <f t="shared" si="202"/>
        <v>0</v>
      </c>
      <c r="N1163">
        <f t="shared" si="203"/>
        <v>0</v>
      </c>
      <c r="O1163">
        <f t="shared" si="204"/>
        <v>0</v>
      </c>
      <c r="P1163" t="str">
        <f t="shared" si="205"/>
        <v/>
      </c>
      <c r="Q1163" t="str">
        <f>IF(B1163="","", IFERROR(VLOOKUP(B1163, '基準資産配分（設定）'!$A$2:$C$2001, 3, FALSE), ""))</f>
        <v/>
      </c>
      <c r="R1163" t="str">
        <f>IF(B1163="","", IFERROR(VLOOKUP(B1163, '基準資産配分（設定）'!$A$2:$C$2001, 2, FALSE)/100, 0))</f>
        <v/>
      </c>
      <c r="S1163" t="str">
        <f>IF(B1163="","", IFERROR(SUMIFS(ベンチマークリターン!$C$2:$C$2001, ベンチマークリターン!$A$2:$A$2001, A1163, ベンチマークリターン!$B$2:$B$2001, Q1163) / 100, 0))</f>
        <v/>
      </c>
      <c r="T1163" t="str">
        <f>IF(A1163="","", SUMIFS($H$2:$H$2000, $A$2:$A$2000, A1163))</f>
        <v/>
      </c>
      <c r="U1163" t="str">
        <f t="shared" si="206"/>
        <v/>
      </c>
      <c r="V1163" t="str">
        <f t="shared" si="207"/>
        <v/>
      </c>
      <c r="W1163" t="str">
        <f t="shared" si="208"/>
        <v/>
      </c>
    </row>
    <row r="1164" spans="1:23" x14ac:dyDescent="0.2">
      <c r="A1164" s="4" t="str">
        <f>IF(ポートフォリオ実績!A1165="","", ポートフォリオ実績!A1165)</f>
        <v/>
      </c>
      <c r="B1164" t="str">
        <f>IF(ポートフォリオ実績!B1165="","", ポートフォリオ実績!B1165)</f>
        <v/>
      </c>
      <c r="C1164" s="10" t="str">
        <f>IF(ポートフォリオ実績!C1165="","", ポートフォリオ実績!C1165)</f>
        <v/>
      </c>
      <c r="D1164" s="10" t="str">
        <f>IF(ポートフォリオ実績!D1165="","", ポートフォリオ実績!D1165)</f>
        <v/>
      </c>
      <c r="E1164" s="10" t="str">
        <f>IF(ポートフォリオ実績!E1165="","", ポートフォリオ実績!E1165)</f>
        <v/>
      </c>
      <c r="F1164" s="10" t="str">
        <f>IF(ポートフォリオ実績!F1165="","", ポートフォリオ実績!F1165)</f>
        <v/>
      </c>
      <c r="G1164" t="str">
        <f t="shared" si="198"/>
        <v/>
      </c>
      <c r="H1164">
        <f>IF(B1164&lt;&gt;"", SUMIFS(ポートフォリオ実績!$D$2:$D$2001, ポートフォリオ実績!$B$2:$B$2001, B1164, ポートフォリオ実績!$A$2:$A$2001, G1164), 0)</f>
        <v>0</v>
      </c>
      <c r="I1164">
        <f>IF(B1164&lt;&gt;"", SUMIFS(ポートフォリオ実績!$C$2:$C$2001, ポートフォリオ実績!$B$2:$B$2001, B1164, ポートフォリオ実績!$A$2:$A$2001, G1164), 0)</f>
        <v>0</v>
      </c>
      <c r="J1164">
        <f t="shared" si="199"/>
        <v>0</v>
      </c>
      <c r="K1164">
        <f t="shared" si="200"/>
        <v>0</v>
      </c>
      <c r="L1164">
        <f t="shared" si="201"/>
        <v>0</v>
      </c>
      <c r="M1164">
        <f t="shared" si="202"/>
        <v>0</v>
      </c>
      <c r="N1164">
        <f t="shared" si="203"/>
        <v>0</v>
      </c>
      <c r="O1164">
        <f t="shared" si="204"/>
        <v>0</v>
      </c>
      <c r="P1164" t="str">
        <f t="shared" si="205"/>
        <v/>
      </c>
      <c r="Q1164" t="str">
        <f>IF(B1164="","", IFERROR(VLOOKUP(B1164, '基準資産配分（設定）'!$A$2:$C$2001, 3, FALSE), ""))</f>
        <v/>
      </c>
      <c r="R1164" t="str">
        <f>IF(B1164="","", IFERROR(VLOOKUP(B1164, '基準資産配分（設定）'!$A$2:$C$2001, 2, FALSE)/100, 0))</f>
        <v/>
      </c>
      <c r="S1164" t="str">
        <f>IF(B1164="","", IFERROR(SUMIFS(ベンチマークリターン!$C$2:$C$2001, ベンチマークリターン!$A$2:$A$2001, A1164, ベンチマークリターン!$B$2:$B$2001, Q1164) / 100, 0))</f>
        <v/>
      </c>
      <c r="T1164" t="str">
        <f>IF(A1164="","", SUMIFS($H$2:$H$2000, $A$2:$A$2000, A1164))</f>
        <v/>
      </c>
      <c r="U1164" t="str">
        <f t="shared" si="206"/>
        <v/>
      </c>
      <c r="V1164" t="str">
        <f t="shared" si="207"/>
        <v/>
      </c>
      <c r="W1164" t="str">
        <f t="shared" si="208"/>
        <v/>
      </c>
    </row>
    <row r="1165" spans="1:23" x14ac:dyDescent="0.2">
      <c r="A1165" s="4" t="str">
        <f>IF(ポートフォリオ実績!A1166="","", ポートフォリオ実績!A1166)</f>
        <v/>
      </c>
      <c r="B1165" t="str">
        <f>IF(ポートフォリオ実績!B1166="","", ポートフォリオ実績!B1166)</f>
        <v/>
      </c>
      <c r="C1165" s="10" t="str">
        <f>IF(ポートフォリオ実績!C1166="","", ポートフォリオ実績!C1166)</f>
        <v/>
      </c>
      <c r="D1165" s="10" t="str">
        <f>IF(ポートフォリオ実績!D1166="","", ポートフォリオ実績!D1166)</f>
        <v/>
      </c>
      <c r="E1165" s="10" t="str">
        <f>IF(ポートフォリオ実績!E1166="","", ポートフォリオ実績!E1166)</f>
        <v/>
      </c>
      <c r="F1165" s="10" t="str">
        <f>IF(ポートフォリオ実績!F1166="","", ポートフォリオ実績!F1166)</f>
        <v/>
      </c>
      <c r="G1165" t="str">
        <f t="shared" si="198"/>
        <v/>
      </c>
      <c r="H1165">
        <f>IF(B1165&lt;&gt;"", SUMIFS(ポートフォリオ実績!$D$2:$D$2001, ポートフォリオ実績!$B$2:$B$2001, B1165, ポートフォリオ実績!$A$2:$A$2001, G1165), 0)</f>
        <v>0</v>
      </c>
      <c r="I1165">
        <f>IF(B1165&lt;&gt;"", SUMIFS(ポートフォリオ実績!$C$2:$C$2001, ポートフォリオ実績!$B$2:$B$2001, B1165, ポートフォリオ実績!$A$2:$A$2001, G1165), 0)</f>
        <v>0</v>
      </c>
      <c r="J1165">
        <f t="shared" si="199"/>
        <v>0</v>
      </c>
      <c r="K1165">
        <f t="shared" si="200"/>
        <v>0</v>
      </c>
      <c r="L1165">
        <f t="shared" si="201"/>
        <v>0</v>
      </c>
      <c r="M1165">
        <f t="shared" si="202"/>
        <v>0</v>
      </c>
      <c r="N1165">
        <f t="shared" si="203"/>
        <v>0</v>
      </c>
      <c r="O1165">
        <f t="shared" si="204"/>
        <v>0</v>
      </c>
      <c r="P1165" t="str">
        <f t="shared" si="205"/>
        <v/>
      </c>
      <c r="Q1165" t="str">
        <f>IF(B1165="","", IFERROR(VLOOKUP(B1165, '基準資産配分（設定）'!$A$2:$C$2001, 3, FALSE), ""))</f>
        <v/>
      </c>
      <c r="R1165" t="str">
        <f>IF(B1165="","", IFERROR(VLOOKUP(B1165, '基準資産配分（設定）'!$A$2:$C$2001, 2, FALSE)/100, 0))</f>
        <v/>
      </c>
      <c r="S1165" t="str">
        <f>IF(B1165="","", IFERROR(SUMIFS(ベンチマークリターン!$C$2:$C$2001, ベンチマークリターン!$A$2:$A$2001, A1165, ベンチマークリターン!$B$2:$B$2001, Q1165) / 100, 0))</f>
        <v/>
      </c>
      <c r="T1165" t="str">
        <f>IF(A1165="","", SUMIFS($H$2:$H$2000, $A$2:$A$2000, A1165))</f>
        <v/>
      </c>
      <c r="U1165" t="str">
        <f t="shared" si="206"/>
        <v/>
      </c>
      <c r="V1165" t="str">
        <f t="shared" si="207"/>
        <v/>
      </c>
      <c r="W1165" t="str">
        <f t="shared" si="208"/>
        <v/>
      </c>
    </row>
    <row r="1166" spans="1:23" x14ac:dyDescent="0.2">
      <c r="A1166" s="4" t="str">
        <f>IF(ポートフォリオ実績!A1167="","", ポートフォリオ実績!A1167)</f>
        <v/>
      </c>
      <c r="B1166" t="str">
        <f>IF(ポートフォリオ実績!B1167="","", ポートフォリオ実績!B1167)</f>
        <v/>
      </c>
      <c r="C1166" s="10" t="str">
        <f>IF(ポートフォリオ実績!C1167="","", ポートフォリオ実績!C1167)</f>
        <v/>
      </c>
      <c r="D1166" s="10" t="str">
        <f>IF(ポートフォリオ実績!D1167="","", ポートフォリオ実績!D1167)</f>
        <v/>
      </c>
      <c r="E1166" s="10" t="str">
        <f>IF(ポートフォリオ実績!E1167="","", ポートフォリオ実績!E1167)</f>
        <v/>
      </c>
      <c r="F1166" s="10" t="str">
        <f>IF(ポートフォリオ実績!F1167="","", ポートフォリオ実績!F1167)</f>
        <v/>
      </c>
      <c r="G1166" t="str">
        <f t="shared" si="198"/>
        <v/>
      </c>
      <c r="H1166">
        <f>IF(B1166&lt;&gt;"", SUMIFS(ポートフォリオ実績!$D$2:$D$2001, ポートフォリオ実績!$B$2:$B$2001, B1166, ポートフォリオ実績!$A$2:$A$2001, G1166), 0)</f>
        <v>0</v>
      </c>
      <c r="I1166">
        <f>IF(B1166&lt;&gt;"", SUMIFS(ポートフォリオ実績!$C$2:$C$2001, ポートフォリオ実績!$B$2:$B$2001, B1166, ポートフォリオ実績!$A$2:$A$2001, G1166), 0)</f>
        <v>0</v>
      </c>
      <c r="J1166">
        <f t="shared" si="199"/>
        <v>0</v>
      </c>
      <c r="K1166">
        <f t="shared" si="200"/>
        <v>0</v>
      </c>
      <c r="L1166">
        <f t="shared" si="201"/>
        <v>0</v>
      </c>
      <c r="M1166">
        <f t="shared" si="202"/>
        <v>0</v>
      </c>
      <c r="N1166">
        <f t="shared" si="203"/>
        <v>0</v>
      </c>
      <c r="O1166">
        <f t="shared" si="204"/>
        <v>0</v>
      </c>
      <c r="P1166" t="str">
        <f t="shared" si="205"/>
        <v/>
      </c>
      <c r="Q1166" t="str">
        <f>IF(B1166="","", IFERROR(VLOOKUP(B1166, '基準資産配分（設定）'!$A$2:$C$2001, 3, FALSE), ""))</f>
        <v/>
      </c>
      <c r="R1166" t="str">
        <f>IF(B1166="","", IFERROR(VLOOKUP(B1166, '基準資産配分（設定）'!$A$2:$C$2001, 2, FALSE)/100, 0))</f>
        <v/>
      </c>
      <c r="S1166" t="str">
        <f>IF(B1166="","", IFERROR(SUMIFS(ベンチマークリターン!$C$2:$C$2001, ベンチマークリターン!$A$2:$A$2001, A1166, ベンチマークリターン!$B$2:$B$2001, Q1166) / 100, 0))</f>
        <v/>
      </c>
      <c r="T1166" t="str">
        <f>IF(A1166="","", SUMIFS($H$2:$H$2000, $A$2:$A$2000, A1166))</f>
        <v/>
      </c>
      <c r="U1166" t="str">
        <f t="shared" si="206"/>
        <v/>
      </c>
      <c r="V1166" t="str">
        <f t="shared" si="207"/>
        <v/>
      </c>
      <c r="W1166" t="str">
        <f t="shared" si="208"/>
        <v/>
      </c>
    </row>
    <row r="1167" spans="1:23" x14ac:dyDescent="0.2">
      <c r="A1167" s="4" t="str">
        <f>IF(ポートフォリオ実績!A1168="","", ポートフォリオ実績!A1168)</f>
        <v/>
      </c>
      <c r="B1167" t="str">
        <f>IF(ポートフォリオ実績!B1168="","", ポートフォリオ実績!B1168)</f>
        <v/>
      </c>
      <c r="C1167" s="10" t="str">
        <f>IF(ポートフォリオ実績!C1168="","", ポートフォリオ実績!C1168)</f>
        <v/>
      </c>
      <c r="D1167" s="10" t="str">
        <f>IF(ポートフォリオ実績!D1168="","", ポートフォリオ実績!D1168)</f>
        <v/>
      </c>
      <c r="E1167" s="10" t="str">
        <f>IF(ポートフォリオ実績!E1168="","", ポートフォリオ実績!E1168)</f>
        <v/>
      </c>
      <c r="F1167" s="10" t="str">
        <f>IF(ポートフォリオ実績!F1168="","", ポートフォリオ実績!F1168)</f>
        <v/>
      </c>
      <c r="G1167" t="str">
        <f t="shared" si="198"/>
        <v/>
      </c>
      <c r="H1167">
        <f>IF(B1167&lt;&gt;"", SUMIFS(ポートフォリオ実績!$D$2:$D$2001, ポートフォリオ実績!$B$2:$B$2001, B1167, ポートフォリオ実績!$A$2:$A$2001, G1167), 0)</f>
        <v>0</v>
      </c>
      <c r="I1167">
        <f>IF(B1167&lt;&gt;"", SUMIFS(ポートフォリオ実績!$C$2:$C$2001, ポートフォリオ実績!$B$2:$B$2001, B1167, ポートフォリオ実績!$A$2:$A$2001, G1167), 0)</f>
        <v>0</v>
      </c>
      <c r="J1167">
        <f t="shared" si="199"/>
        <v>0</v>
      </c>
      <c r="K1167">
        <f t="shared" si="200"/>
        <v>0</v>
      </c>
      <c r="L1167">
        <f t="shared" si="201"/>
        <v>0</v>
      </c>
      <c r="M1167">
        <f t="shared" si="202"/>
        <v>0</v>
      </c>
      <c r="N1167">
        <f t="shared" si="203"/>
        <v>0</v>
      </c>
      <c r="O1167">
        <f t="shared" si="204"/>
        <v>0</v>
      </c>
      <c r="P1167" t="str">
        <f t="shared" si="205"/>
        <v/>
      </c>
      <c r="Q1167" t="str">
        <f>IF(B1167="","", IFERROR(VLOOKUP(B1167, '基準資産配分（設定）'!$A$2:$C$2001, 3, FALSE), ""))</f>
        <v/>
      </c>
      <c r="R1167" t="str">
        <f>IF(B1167="","", IFERROR(VLOOKUP(B1167, '基準資産配分（設定）'!$A$2:$C$2001, 2, FALSE)/100, 0))</f>
        <v/>
      </c>
      <c r="S1167" t="str">
        <f>IF(B1167="","", IFERROR(SUMIFS(ベンチマークリターン!$C$2:$C$2001, ベンチマークリターン!$A$2:$A$2001, A1167, ベンチマークリターン!$B$2:$B$2001, Q1167) / 100, 0))</f>
        <v/>
      </c>
      <c r="T1167" t="str">
        <f>IF(A1167="","", SUMIFS($H$2:$H$2000, $A$2:$A$2000, A1167))</f>
        <v/>
      </c>
      <c r="U1167" t="str">
        <f t="shared" si="206"/>
        <v/>
      </c>
      <c r="V1167" t="str">
        <f t="shared" si="207"/>
        <v/>
      </c>
      <c r="W1167" t="str">
        <f t="shared" si="208"/>
        <v/>
      </c>
    </row>
    <row r="1168" spans="1:23" x14ac:dyDescent="0.2">
      <c r="A1168" s="4" t="str">
        <f>IF(ポートフォリオ実績!A1169="","", ポートフォリオ実績!A1169)</f>
        <v/>
      </c>
      <c r="B1168" t="str">
        <f>IF(ポートフォリオ実績!B1169="","", ポートフォリオ実績!B1169)</f>
        <v/>
      </c>
      <c r="C1168" s="10" t="str">
        <f>IF(ポートフォリオ実績!C1169="","", ポートフォリオ実績!C1169)</f>
        <v/>
      </c>
      <c r="D1168" s="10" t="str">
        <f>IF(ポートフォリオ実績!D1169="","", ポートフォリオ実績!D1169)</f>
        <v/>
      </c>
      <c r="E1168" s="10" t="str">
        <f>IF(ポートフォリオ実績!E1169="","", ポートフォリオ実績!E1169)</f>
        <v/>
      </c>
      <c r="F1168" s="10" t="str">
        <f>IF(ポートフォリオ実績!F1169="","", ポートフォリオ実績!F1169)</f>
        <v/>
      </c>
      <c r="G1168" t="str">
        <f t="shared" si="198"/>
        <v/>
      </c>
      <c r="H1168">
        <f>IF(B1168&lt;&gt;"", SUMIFS(ポートフォリオ実績!$D$2:$D$2001, ポートフォリオ実績!$B$2:$B$2001, B1168, ポートフォリオ実績!$A$2:$A$2001, G1168), 0)</f>
        <v>0</v>
      </c>
      <c r="I1168">
        <f>IF(B1168&lt;&gt;"", SUMIFS(ポートフォリオ実績!$C$2:$C$2001, ポートフォリオ実績!$B$2:$B$2001, B1168, ポートフォリオ実績!$A$2:$A$2001, G1168), 0)</f>
        <v>0</v>
      </c>
      <c r="J1168">
        <f t="shared" si="199"/>
        <v>0</v>
      </c>
      <c r="K1168">
        <f t="shared" si="200"/>
        <v>0</v>
      </c>
      <c r="L1168">
        <f t="shared" si="201"/>
        <v>0</v>
      </c>
      <c r="M1168">
        <f t="shared" si="202"/>
        <v>0</v>
      </c>
      <c r="N1168">
        <f t="shared" si="203"/>
        <v>0</v>
      </c>
      <c r="O1168">
        <f t="shared" si="204"/>
        <v>0</v>
      </c>
      <c r="P1168" t="str">
        <f t="shared" si="205"/>
        <v/>
      </c>
      <c r="Q1168" t="str">
        <f>IF(B1168="","", IFERROR(VLOOKUP(B1168, '基準資産配分（設定）'!$A$2:$C$2001, 3, FALSE), ""))</f>
        <v/>
      </c>
      <c r="R1168" t="str">
        <f>IF(B1168="","", IFERROR(VLOOKUP(B1168, '基準資産配分（設定）'!$A$2:$C$2001, 2, FALSE)/100, 0))</f>
        <v/>
      </c>
      <c r="S1168" t="str">
        <f>IF(B1168="","", IFERROR(SUMIFS(ベンチマークリターン!$C$2:$C$2001, ベンチマークリターン!$A$2:$A$2001, A1168, ベンチマークリターン!$B$2:$B$2001, Q1168) / 100, 0))</f>
        <v/>
      </c>
      <c r="T1168" t="str">
        <f>IF(A1168="","", SUMIFS($H$2:$H$2000, $A$2:$A$2000, A1168))</f>
        <v/>
      </c>
      <c r="U1168" t="str">
        <f t="shared" si="206"/>
        <v/>
      </c>
      <c r="V1168" t="str">
        <f t="shared" si="207"/>
        <v/>
      </c>
      <c r="W1168" t="str">
        <f t="shared" si="208"/>
        <v/>
      </c>
    </row>
    <row r="1169" spans="1:23" x14ac:dyDescent="0.2">
      <c r="A1169" s="4" t="str">
        <f>IF(ポートフォリオ実績!A1170="","", ポートフォリオ実績!A1170)</f>
        <v/>
      </c>
      <c r="B1169" t="str">
        <f>IF(ポートフォリオ実績!B1170="","", ポートフォリオ実績!B1170)</f>
        <v/>
      </c>
      <c r="C1169" s="10" t="str">
        <f>IF(ポートフォリオ実績!C1170="","", ポートフォリオ実績!C1170)</f>
        <v/>
      </c>
      <c r="D1169" s="10" t="str">
        <f>IF(ポートフォリオ実績!D1170="","", ポートフォリオ実績!D1170)</f>
        <v/>
      </c>
      <c r="E1169" s="10" t="str">
        <f>IF(ポートフォリオ実績!E1170="","", ポートフォリオ実績!E1170)</f>
        <v/>
      </c>
      <c r="F1169" s="10" t="str">
        <f>IF(ポートフォリオ実績!F1170="","", ポートフォリオ実績!F1170)</f>
        <v/>
      </c>
      <c r="G1169" t="str">
        <f t="shared" si="198"/>
        <v/>
      </c>
      <c r="H1169">
        <f>IF(B1169&lt;&gt;"", SUMIFS(ポートフォリオ実績!$D$2:$D$2001, ポートフォリオ実績!$B$2:$B$2001, B1169, ポートフォリオ実績!$A$2:$A$2001, G1169), 0)</f>
        <v>0</v>
      </c>
      <c r="I1169">
        <f>IF(B1169&lt;&gt;"", SUMIFS(ポートフォリオ実績!$C$2:$C$2001, ポートフォリオ実績!$B$2:$B$2001, B1169, ポートフォリオ実績!$A$2:$A$2001, G1169), 0)</f>
        <v>0</v>
      </c>
      <c r="J1169">
        <f t="shared" si="199"/>
        <v>0</v>
      </c>
      <c r="K1169">
        <f t="shared" si="200"/>
        <v>0</v>
      </c>
      <c r="L1169">
        <f t="shared" si="201"/>
        <v>0</v>
      </c>
      <c r="M1169">
        <f t="shared" si="202"/>
        <v>0</v>
      </c>
      <c r="N1169">
        <f t="shared" si="203"/>
        <v>0</v>
      </c>
      <c r="O1169">
        <f t="shared" si="204"/>
        <v>0</v>
      </c>
      <c r="P1169" t="str">
        <f t="shared" si="205"/>
        <v/>
      </c>
      <c r="Q1169" t="str">
        <f>IF(B1169="","", IFERROR(VLOOKUP(B1169, '基準資産配分（設定）'!$A$2:$C$2001, 3, FALSE), ""))</f>
        <v/>
      </c>
      <c r="R1169" t="str">
        <f>IF(B1169="","", IFERROR(VLOOKUP(B1169, '基準資産配分（設定）'!$A$2:$C$2001, 2, FALSE)/100, 0))</f>
        <v/>
      </c>
      <c r="S1169" t="str">
        <f>IF(B1169="","", IFERROR(SUMIFS(ベンチマークリターン!$C$2:$C$2001, ベンチマークリターン!$A$2:$A$2001, A1169, ベンチマークリターン!$B$2:$B$2001, Q1169) / 100, 0))</f>
        <v/>
      </c>
      <c r="T1169" t="str">
        <f>IF(A1169="","", SUMIFS($H$2:$H$2000, $A$2:$A$2000, A1169))</f>
        <v/>
      </c>
      <c r="U1169" t="str">
        <f t="shared" si="206"/>
        <v/>
      </c>
      <c r="V1169" t="str">
        <f t="shared" si="207"/>
        <v/>
      </c>
      <c r="W1169" t="str">
        <f t="shared" si="208"/>
        <v/>
      </c>
    </row>
    <row r="1170" spans="1:23" x14ac:dyDescent="0.2">
      <c r="A1170" s="4" t="str">
        <f>IF(ポートフォリオ実績!A1171="","", ポートフォリオ実績!A1171)</f>
        <v/>
      </c>
      <c r="B1170" t="str">
        <f>IF(ポートフォリオ実績!B1171="","", ポートフォリオ実績!B1171)</f>
        <v/>
      </c>
      <c r="C1170" s="10" t="str">
        <f>IF(ポートフォリオ実績!C1171="","", ポートフォリオ実績!C1171)</f>
        <v/>
      </c>
      <c r="D1170" s="10" t="str">
        <f>IF(ポートフォリオ実績!D1171="","", ポートフォリオ実績!D1171)</f>
        <v/>
      </c>
      <c r="E1170" s="10" t="str">
        <f>IF(ポートフォリオ実績!E1171="","", ポートフォリオ実績!E1171)</f>
        <v/>
      </c>
      <c r="F1170" s="10" t="str">
        <f>IF(ポートフォリオ実績!F1171="","", ポートフォリオ実績!F1171)</f>
        <v/>
      </c>
      <c r="G1170" t="str">
        <f t="shared" si="198"/>
        <v/>
      </c>
      <c r="H1170">
        <f>IF(B1170&lt;&gt;"", SUMIFS(ポートフォリオ実績!$D$2:$D$2001, ポートフォリオ実績!$B$2:$B$2001, B1170, ポートフォリオ実績!$A$2:$A$2001, G1170), 0)</f>
        <v>0</v>
      </c>
      <c r="I1170">
        <f>IF(B1170&lt;&gt;"", SUMIFS(ポートフォリオ実績!$C$2:$C$2001, ポートフォリオ実績!$B$2:$B$2001, B1170, ポートフォリオ実績!$A$2:$A$2001, G1170), 0)</f>
        <v>0</v>
      </c>
      <c r="J1170">
        <f t="shared" si="199"/>
        <v>0</v>
      </c>
      <c r="K1170">
        <f t="shared" si="200"/>
        <v>0</v>
      </c>
      <c r="L1170">
        <f t="shared" si="201"/>
        <v>0</v>
      </c>
      <c r="M1170">
        <f t="shared" si="202"/>
        <v>0</v>
      </c>
      <c r="N1170">
        <f t="shared" si="203"/>
        <v>0</v>
      </c>
      <c r="O1170">
        <f t="shared" si="204"/>
        <v>0</v>
      </c>
      <c r="P1170" t="str">
        <f t="shared" si="205"/>
        <v/>
      </c>
      <c r="Q1170" t="str">
        <f>IF(B1170="","", IFERROR(VLOOKUP(B1170, '基準資産配分（設定）'!$A$2:$C$2001, 3, FALSE), ""))</f>
        <v/>
      </c>
      <c r="R1170" t="str">
        <f>IF(B1170="","", IFERROR(VLOOKUP(B1170, '基準資産配分（設定）'!$A$2:$C$2001, 2, FALSE)/100, 0))</f>
        <v/>
      </c>
      <c r="S1170" t="str">
        <f>IF(B1170="","", IFERROR(SUMIFS(ベンチマークリターン!$C$2:$C$2001, ベンチマークリターン!$A$2:$A$2001, A1170, ベンチマークリターン!$B$2:$B$2001, Q1170) / 100, 0))</f>
        <v/>
      </c>
      <c r="T1170" t="str">
        <f>IF(A1170="","", SUMIFS($H$2:$H$2000, $A$2:$A$2000, A1170))</f>
        <v/>
      </c>
      <c r="U1170" t="str">
        <f t="shared" si="206"/>
        <v/>
      </c>
      <c r="V1170" t="str">
        <f t="shared" si="207"/>
        <v/>
      </c>
      <c r="W1170" t="str">
        <f t="shared" si="208"/>
        <v/>
      </c>
    </row>
    <row r="1171" spans="1:23" x14ac:dyDescent="0.2">
      <c r="A1171" s="4" t="str">
        <f>IF(ポートフォリオ実績!A1172="","", ポートフォリオ実績!A1172)</f>
        <v/>
      </c>
      <c r="B1171" t="str">
        <f>IF(ポートフォリオ実績!B1172="","", ポートフォリオ実績!B1172)</f>
        <v/>
      </c>
      <c r="C1171" s="10" t="str">
        <f>IF(ポートフォリオ実績!C1172="","", ポートフォリオ実績!C1172)</f>
        <v/>
      </c>
      <c r="D1171" s="10" t="str">
        <f>IF(ポートフォリオ実績!D1172="","", ポートフォリオ実績!D1172)</f>
        <v/>
      </c>
      <c r="E1171" s="10" t="str">
        <f>IF(ポートフォリオ実績!E1172="","", ポートフォリオ実績!E1172)</f>
        <v/>
      </c>
      <c r="F1171" s="10" t="str">
        <f>IF(ポートフォリオ実績!F1172="","", ポートフォリオ実績!F1172)</f>
        <v/>
      </c>
      <c r="G1171" t="str">
        <f t="shared" si="198"/>
        <v/>
      </c>
      <c r="H1171">
        <f>IF(B1171&lt;&gt;"", SUMIFS(ポートフォリオ実績!$D$2:$D$2001, ポートフォリオ実績!$B$2:$B$2001, B1171, ポートフォリオ実績!$A$2:$A$2001, G1171), 0)</f>
        <v>0</v>
      </c>
      <c r="I1171">
        <f>IF(B1171&lt;&gt;"", SUMIFS(ポートフォリオ実績!$C$2:$C$2001, ポートフォリオ実績!$B$2:$B$2001, B1171, ポートフォリオ実績!$A$2:$A$2001, G1171), 0)</f>
        <v>0</v>
      </c>
      <c r="J1171">
        <f t="shared" si="199"/>
        <v>0</v>
      </c>
      <c r="K1171">
        <f t="shared" si="200"/>
        <v>0</v>
      </c>
      <c r="L1171">
        <f t="shared" si="201"/>
        <v>0</v>
      </c>
      <c r="M1171">
        <f t="shared" si="202"/>
        <v>0</v>
      </c>
      <c r="N1171">
        <f t="shared" si="203"/>
        <v>0</v>
      </c>
      <c r="O1171">
        <f t="shared" si="204"/>
        <v>0</v>
      </c>
      <c r="P1171" t="str">
        <f t="shared" si="205"/>
        <v/>
      </c>
      <c r="Q1171" t="str">
        <f>IF(B1171="","", IFERROR(VLOOKUP(B1171, '基準資産配分（設定）'!$A$2:$C$2001, 3, FALSE), ""))</f>
        <v/>
      </c>
      <c r="R1171" t="str">
        <f>IF(B1171="","", IFERROR(VLOOKUP(B1171, '基準資産配分（設定）'!$A$2:$C$2001, 2, FALSE)/100, 0))</f>
        <v/>
      </c>
      <c r="S1171" t="str">
        <f>IF(B1171="","", IFERROR(SUMIFS(ベンチマークリターン!$C$2:$C$2001, ベンチマークリターン!$A$2:$A$2001, A1171, ベンチマークリターン!$B$2:$B$2001, Q1171) / 100, 0))</f>
        <v/>
      </c>
      <c r="T1171" t="str">
        <f>IF(A1171="","", SUMIFS($H$2:$H$2000, $A$2:$A$2000, A1171))</f>
        <v/>
      </c>
      <c r="U1171" t="str">
        <f t="shared" si="206"/>
        <v/>
      </c>
      <c r="V1171" t="str">
        <f t="shared" si="207"/>
        <v/>
      </c>
      <c r="W1171" t="str">
        <f t="shared" si="208"/>
        <v/>
      </c>
    </row>
    <row r="1172" spans="1:23" x14ac:dyDescent="0.2">
      <c r="A1172" s="4" t="str">
        <f>IF(ポートフォリオ実績!A1173="","", ポートフォリオ実績!A1173)</f>
        <v/>
      </c>
      <c r="B1172" t="str">
        <f>IF(ポートフォリオ実績!B1173="","", ポートフォリオ実績!B1173)</f>
        <v/>
      </c>
      <c r="C1172" s="10" t="str">
        <f>IF(ポートフォリオ実績!C1173="","", ポートフォリオ実績!C1173)</f>
        <v/>
      </c>
      <c r="D1172" s="10" t="str">
        <f>IF(ポートフォリオ実績!D1173="","", ポートフォリオ実績!D1173)</f>
        <v/>
      </c>
      <c r="E1172" s="10" t="str">
        <f>IF(ポートフォリオ実績!E1173="","", ポートフォリオ実績!E1173)</f>
        <v/>
      </c>
      <c r="F1172" s="10" t="str">
        <f>IF(ポートフォリオ実績!F1173="","", ポートフォリオ実績!F1173)</f>
        <v/>
      </c>
      <c r="G1172" t="str">
        <f t="shared" si="198"/>
        <v/>
      </c>
      <c r="H1172">
        <f>IF(B1172&lt;&gt;"", SUMIFS(ポートフォリオ実績!$D$2:$D$2001, ポートフォリオ実績!$B$2:$B$2001, B1172, ポートフォリオ実績!$A$2:$A$2001, G1172), 0)</f>
        <v>0</v>
      </c>
      <c r="I1172">
        <f>IF(B1172&lt;&gt;"", SUMIFS(ポートフォリオ実績!$C$2:$C$2001, ポートフォリオ実績!$B$2:$B$2001, B1172, ポートフォリオ実績!$A$2:$A$2001, G1172), 0)</f>
        <v>0</v>
      </c>
      <c r="J1172">
        <f t="shared" si="199"/>
        <v>0</v>
      </c>
      <c r="K1172">
        <f t="shared" si="200"/>
        <v>0</v>
      </c>
      <c r="L1172">
        <f t="shared" si="201"/>
        <v>0</v>
      </c>
      <c r="M1172">
        <f t="shared" si="202"/>
        <v>0</v>
      </c>
      <c r="N1172">
        <f t="shared" si="203"/>
        <v>0</v>
      </c>
      <c r="O1172">
        <f t="shared" si="204"/>
        <v>0</v>
      </c>
      <c r="P1172" t="str">
        <f t="shared" si="205"/>
        <v/>
      </c>
      <c r="Q1172" t="str">
        <f>IF(B1172="","", IFERROR(VLOOKUP(B1172, '基準資産配分（設定）'!$A$2:$C$2001, 3, FALSE), ""))</f>
        <v/>
      </c>
      <c r="R1172" t="str">
        <f>IF(B1172="","", IFERROR(VLOOKUP(B1172, '基準資産配分（設定）'!$A$2:$C$2001, 2, FALSE)/100, 0))</f>
        <v/>
      </c>
      <c r="S1172" t="str">
        <f>IF(B1172="","", IFERROR(SUMIFS(ベンチマークリターン!$C$2:$C$2001, ベンチマークリターン!$A$2:$A$2001, A1172, ベンチマークリターン!$B$2:$B$2001, Q1172) / 100, 0))</f>
        <v/>
      </c>
      <c r="T1172" t="str">
        <f>IF(A1172="","", SUMIFS($H$2:$H$2000, $A$2:$A$2000, A1172))</f>
        <v/>
      </c>
      <c r="U1172" t="str">
        <f t="shared" si="206"/>
        <v/>
      </c>
      <c r="V1172" t="str">
        <f t="shared" si="207"/>
        <v/>
      </c>
      <c r="W1172" t="str">
        <f t="shared" si="208"/>
        <v/>
      </c>
    </row>
    <row r="1173" spans="1:23" x14ac:dyDescent="0.2">
      <c r="A1173" s="4" t="str">
        <f>IF(ポートフォリオ実績!A1174="","", ポートフォリオ実績!A1174)</f>
        <v/>
      </c>
      <c r="B1173" t="str">
        <f>IF(ポートフォリオ実績!B1174="","", ポートフォリオ実績!B1174)</f>
        <v/>
      </c>
      <c r="C1173" s="10" t="str">
        <f>IF(ポートフォリオ実績!C1174="","", ポートフォリオ実績!C1174)</f>
        <v/>
      </c>
      <c r="D1173" s="10" t="str">
        <f>IF(ポートフォリオ実績!D1174="","", ポートフォリオ実績!D1174)</f>
        <v/>
      </c>
      <c r="E1173" s="10" t="str">
        <f>IF(ポートフォリオ実績!E1174="","", ポートフォリオ実績!E1174)</f>
        <v/>
      </c>
      <c r="F1173" s="10" t="str">
        <f>IF(ポートフォリオ実績!F1174="","", ポートフォリオ実績!F1174)</f>
        <v/>
      </c>
      <c r="G1173" t="str">
        <f t="shared" si="198"/>
        <v/>
      </c>
      <c r="H1173">
        <f>IF(B1173&lt;&gt;"", SUMIFS(ポートフォリオ実績!$D$2:$D$2001, ポートフォリオ実績!$B$2:$B$2001, B1173, ポートフォリオ実績!$A$2:$A$2001, G1173), 0)</f>
        <v>0</v>
      </c>
      <c r="I1173">
        <f>IF(B1173&lt;&gt;"", SUMIFS(ポートフォリオ実績!$C$2:$C$2001, ポートフォリオ実績!$B$2:$B$2001, B1173, ポートフォリオ実績!$A$2:$A$2001, G1173), 0)</f>
        <v>0</v>
      </c>
      <c r="J1173">
        <f t="shared" si="199"/>
        <v>0</v>
      </c>
      <c r="K1173">
        <f t="shared" si="200"/>
        <v>0</v>
      </c>
      <c r="L1173">
        <f t="shared" si="201"/>
        <v>0</v>
      </c>
      <c r="M1173">
        <f t="shared" si="202"/>
        <v>0</v>
      </c>
      <c r="N1173">
        <f t="shared" si="203"/>
        <v>0</v>
      </c>
      <c r="O1173">
        <f t="shared" si="204"/>
        <v>0</v>
      </c>
      <c r="P1173" t="str">
        <f t="shared" si="205"/>
        <v/>
      </c>
      <c r="Q1173" t="str">
        <f>IF(B1173="","", IFERROR(VLOOKUP(B1173, '基準資産配分（設定）'!$A$2:$C$2001, 3, FALSE), ""))</f>
        <v/>
      </c>
      <c r="R1173" t="str">
        <f>IF(B1173="","", IFERROR(VLOOKUP(B1173, '基準資産配分（設定）'!$A$2:$C$2001, 2, FALSE)/100, 0))</f>
        <v/>
      </c>
      <c r="S1173" t="str">
        <f>IF(B1173="","", IFERROR(SUMIFS(ベンチマークリターン!$C$2:$C$2001, ベンチマークリターン!$A$2:$A$2001, A1173, ベンチマークリターン!$B$2:$B$2001, Q1173) / 100, 0))</f>
        <v/>
      </c>
      <c r="T1173" t="str">
        <f>IF(A1173="","", SUMIFS($H$2:$H$2000, $A$2:$A$2000, A1173))</f>
        <v/>
      </c>
      <c r="U1173" t="str">
        <f t="shared" si="206"/>
        <v/>
      </c>
      <c r="V1173" t="str">
        <f t="shared" si="207"/>
        <v/>
      </c>
      <c r="W1173" t="str">
        <f t="shared" si="208"/>
        <v/>
      </c>
    </row>
    <row r="1174" spans="1:23" x14ac:dyDescent="0.2">
      <c r="A1174" s="4" t="str">
        <f>IF(ポートフォリオ実績!A1175="","", ポートフォリオ実績!A1175)</f>
        <v/>
      </c>
      <c r="B1174" t="str">
        <f>IF(ポートフォリオ実績!B1175="","", ポートフォリオ実績!B1175)</f>
        <v/>
      </c>
      <c r="C1174" s="10" t="str">
        <f>IF(ポートフォリオ実績!C1175="","", ポートフォリオ実績!C1175)</f>
        <v/>
      </c>
      <c r="D1174" s="10" t="str">
        <f>IF(ポートフォリオ実績!D1175="","", ポートフォリオ実績!D1175)</f>
        <v/>
      </c>
      <c r="E1174" s="10" t="str">
        <f>IF(ポートフォリオ実績!E1175="","", ポートフォリオ実績!E1175)</f>
        <v/>
      </c>
      <c r="F1174" s="10" t="str">
        <f>IF(ポートフォリオ実績!F1175="","", ポートフォリオ実績!F1175)</f>
        <v/>
      </c>
      <c r="G1174" t="str">
        <f t="shared" si="198"/>
        <v/>
      </c>
      <c r="H1174">
        <f>IF(B1174&lt;&gt;"", SUMIFS(ポートフォリオ実績!$D$2:$D$2001, ポートフォリオ実績!$B$2:$B$2001, B1174, ポートフォリオ実績!$A$2:$A$2001, G1174), 0)</f>
        <v>0</v>
      </c>
      <c r="I1174">
        <f>IF(B1174&lt;&gt;"", SUMIFS(ポートフォリオ実績!$C$2:$C$2001, ポートフォリオ実績!$B$2:$B$2001, B1174, ポートフォリオ実績!$A$2:$A$2001, G1174), 0)</f>
        <v>0</v>
      </c>
      <c r="J1174">
        <f t="shared" si="199"/>
        <v>0</v>
      </c>
      <c r="K1174">
        <f t="shared" si="200"/>
        <v>0</v>
      </c>
      <c r="L1174">
        <f t="shared" si="201"/>
        <v>0</v>
      </c>
      <c r="M1174">
        <f t="shared" si="202"/>
        <v>0</v>
      </c>
      <c r="N1174">
        <f t="shared" si="203"/>
        <v>0</v>
      </c>
      <c r="O1174">
        <f t="shared" si="204"/>
        <v>0</v>
      </c>
      <c r="P1174" t="str">
        <f t="shared" si="205"/>
        <v/>
      </c>
      <c r="Q1174" t="str">
        <f>IF(B1174="","", IFERROR(VLOOKUP(B1174, '基準資産配分（設定）'!$A$2:$C$2001, 3, FALSE), ""))</f>
        <v/>
      </c>
      <c r="R1174" t="str">
        <f>IF(B1174="","", IFERROR(VLOOKUP(B1174, '基準資産配分（設定）'!$A$2:$C$2001, 2, FALSE)/100, 0))</f>
        <v/>
      </c>
      <c r="S1174" t="str">
        <f>IF(B1174="","", IFERROR(SUMIFS(ベンチマークリターン!$C$2:$C$2001, ベンチマークリターン!$A$2:$A$2001, A1174, ベンチマークリターン!$B$2:$B$2001, Q1174) / 100, 0))</f>
        <v/>
      </c>
      <c r="T1174" t="str">
        <f>IF(A1174="","", SUMIFS($H$2:$H$2000, $A$2:$A$2000, A1174))</f>
        <v/>
      </c>
      <c r="U1174" t="str">
        <f t="shared" si="206"/>
        <v/>
      </c>
      <c r="V1174" t="str">
        <f t="shared" si="207"/>
        <v/>
      </c>
      <c r="W1174" t="str">
        <f t="shared" si="208"/>
        <v/>
      </c>
    </row>
    <row r="1175" spans="1:23" x14ac:dyDescent="0.2">
      <c r="A1175" s="4" t="str">
        <f>IF(ポートフォリオ実績!A1176="","", ポートフォリオ実績!A1176)</f>
        <v/>
      </c>
      <c r="B1175" t="str">
        <f>IF(ポートフォリオ実績!B1176="","", ポートフォリオ実績!B1176)</f>
        <v/>
      </c>
      <c r="C1175" s="10" t="str">
        <f>IF(ポートフォリオ実績!C1176="","", ポートフォリオ実績!C1176)</f>
        <v/>
      </c>
      <c r="D1175" s="10" t="str">
        <f>IF(ポートフォリオ実績!D1176="","", ポートフォリオ実績!D1176)</f>
        <v/>
      </c>
      <c r="E1175" s="10" t="str">
        <f>IF(ポートフォリオ実績!E1176="","", ポートフォリオ実績!E1176)</f>
        <v/>
      </c>
      <c r="F1175" s="10" t="str">
        <f>IF(ポートフォリオ実績!F1176="","", ポートフォリオ実績!F1176)</f>
        <v/>
      </c>
      <c r="G1175" t="str">
        <f t="shared" si="198"/>
        <v/>
      </c>
      <c r="H1175">
        <f>IF(B1175&lt;&gt;"", SUMIFS(ポートフォリオ実績!$D$2:$D$2001, ポートフォリオ実績!$B$2:$B$2001, B1175, ポートフォリオ実績!$A$2:$A$2001, G1175), 0)</f>
        <v>0</v>
      </c>
      <c r="I1175">
        <f>IF(B1175&lt;&gt;"", SUMIFS(ポートフォリオ実績!$C$2:$C$2001, ポートフォリオ実績!$B$2:$B$2001, B1175, ポートフォリオ実績!$A$2:$A$2001, G1175), 0)</f>
        <v>0</v>
      </c>
      <c r="J1175">
        <f t="shared" si="199"/>
        <v>0</v>
      </c>
      <c r="K1175">
        <f t="shared" si="200"/>
        <v>0</v>
      </c>
      <c r="L1175">
        <f t="shared" si="201"/>
        <v>0</v>
      </c>
      <c r="M1175">
        <f t="shared" si="202"/>
        <v>0</v>
      </c>
      <c r="N1175">
        <f t="shared" si="203"/>
        <v>0</v>
      </c>
      <c r="O1175">
        <f t="shared" si="204"/>
        <v>0</v>
      </c>
      <c r="P1175" t="str">
        <f t="shared" si="205"/>
        <v/>
      </c>
      <c r="Q1175" t="str">
        <f>IF(B1175="","", IFERROR(VLOOKUP(B1175, '基準資産配分（設定）'!$A$2:$C$2001, 3, FALSE), ""))</f>
        <v/>
      </c>
      <c r="R1175" t="str">
        <f>IF(B1175="","", IFERROR(VLOOKUP(B1175, '基準資産配分（設定）'!$A$2:$C$2001, 2, FALSE)/100, 0))</f>
        <v/>
      </c>
      <c r="S1175" t="str">
        <f>IF(B1175="","", IFERROR(SUMIFS(ベンチマークリターン!$C$2:$C$2001, ベンチマークリターン!$A$2:$A$2001, A1175, ベンチマークリターン!$B$2:$B$2001, Q1175) / 100, 0))</f>
        <v/>
      </c>
      <c r="T1175" t="str">
        <f>IF(A1175="","", SUMIFS($H$2:$H$2000, $A$2:$A$2000, A1175))</f>
        <v/>
      </c>
      <c r="U1175" t="str">
        <f t="shared" si="206"/>
        <v/>
      </c>
      <c r="V1175" t="str">
        <f t="shared" si="207"/>
        <v/>
      </c>
      <c r="W1175" t="str">
        <f t="shared" si="208"/>
        <v/>
      </c>
    </row>
    <row r="1176" spans="1:23" x14ac:dyDescent="0.2">
      <c r="A1176" s="4" t="str">
        <f>IF(ポートフォリオ実績!A1177="","", ポートフォリオ実績!A1177)</f>
        <v/>
      </c>
      <c r="B1176" t="str">
        <f>IF(ポートフォリオ実績!B1177="","", ポートフォリオ実績!B1177)</f>
        <v/>
      </c>
      <c r="C1176" s="10" t="str">
        <f>IF(ポートフォリオ実績!C1177="","", ポートフォリオ実績!C1177)</f>
        <v/>
      </c>
      <c r="D1176" s="10" t="str">
        <f>IF(ポートフォリオ実績!D1177="","", ポートフォリオ実績!D1177)</f>
        <v/>
      </c>
      <c r="E1176" s="10" t="str">
        <f>IF(ポートフォリオ実績!E1177="","", ポートフォリオ実績!E1177)</f>
        <v/>
      </c>
      <c r="F1176" s="10" t="str">
        <f>IF(ポートフォリオ実績!F1177="","", ポートフォリオ実績!F1177)</f>
        <v/>
      </c>
      <c r="G1176" t="str">
        <f t="shared" si="198"/>
        <v/>
      </c>
      <c r="H1176">
        <f>IF(B1176&lt;&gt;"", SUMIFS(ポートフォリオ実績!$D$2:$D$2001, ポートフォリオ実績!$B$2:$B$2001, B1176, ポートフォリオ実績!$A$2:$A$2001, G1176), 0)</f>
        <v>0</v>
      </c>
      <c r="I1176">
        <f>IF(B1176&lt;&gt;"", SUMIFS(ポートフォリオ実績!$C$2:$C$2001, ポートフォリオ実績!$B$2:$B$2001, B1176, ポートフォリオ実績!$A$2:$A$2001, G1176), 0)</f>
        <v>0</v>
      </c>
      <c r="J1176">
        <f t="shared" si="199"/>
        <v>0</v>
      </c>
      <c r="K1176">
        <f t="shared" si="200"/>
        <v>0</v>
      </c>
      <c r="L1176">
        <f t="shared" si="201"/>
        <v>0</v>
      </c>
      <c r="M1176">
        <f t="shared" si="202"/>
        <v>0</v>
      </c>
      <c r="N1176">
        <f t="shared" si="203"/>
        <v>0</v>
      </c>
      <c r="O1176">
        <f t="shared" si="204"/>
        <v>0</v>
      </c>
      <c r="P1176" t="str">
        <f t="shared" si="205"/>
        <v/>
      </c>
      <c r="Q1176" t="str">
        <f>IF(B1176="","", IFERROR(VLOOKUP(B1176, '基準資産配分（設定）'!$A$2:$C$2001, 3, FALSE), ""))</f>
        <v/>
      </c>
      <c r="R1176" t="str">
        <f>IF(B1176="","", IFERROR(VLOOKUP(B1176, '基準資産配分（設定）'!$A$2:$C$2001, 2, FALSE)/100, 0))</f>
        <v/>
      </c>
      <c r="S1176" t="str">
        <f>IF(B1176="","", IFERROR(SUMIFS(ベンチマークリターン!$C$2:$C$2001, ベンチマークリターン!$A$2:$A$2001, A1176, ベンチマークリターン!$B$2:$B$2001, Q1176) / 100, 0))</f>
        <v/>
      </c>
      <c r="T1176" t="str">
        <f>IF(A1176="","", SUMIFS($H$2:$H$2000, $A$2:$A$2000, A1176))</f>
        <v/>
      </c>
      <c r="U1176" t="str">
        <f t="shared" si="206"/>
        <v/>
      </c>
      <c r="V1176" t="str">
        <f t="shared" si="207"/>
        <v/>
      </c>
      <c r="W1176" t="str">
        <f t="shared" si="208"/>
        <v/>
      </c>
    </row>
    <row r="1177" spans="1:23" x14ac:dyDescent="0.2">
      <c r="A1177" s="4" t="str">
        <f>IF(ポートフォリオ実績!A1178="","", ポートフォリオ実績!A1178)</f>
        <v/>
      </c>
      <c r="B1177" t="str">
        <f>IF(ポートフォリオ実績!B1178="","", ポートフォリオ実績!B1178)</f>
        <v/>
      </c>
      <c r="C1177" s="10" t="str">
        <f>IF(ポートフォリオ実績!C1178="","", ポートフォリオ実績!C1178)</f>
        <v/>
      </c>
      <c r="D1177" s="10" t="str">
        <f>IF(ポートフォリオ実績!D1178="","", ポートフォリオ実績!D1178)</f>
        <v/>
      </c>
      <c r="E1177" s="10" t="str">
        <f>IF(ポートフォリオ実績!E1178="","", ポートフォリオ実績!E1178)</f>
        <v/>
      </c>
      <c r="F1177" s="10" t="str">
        <f>IF(ポートフォリオ実績!F1178="","", ポートフォリオ実績!F1178)</f>
        <v/>
      </c>
      <c r="G1177" t="str">
        <f t="shared" si="198"/>
        <v/>
      </c>
      <c r="H1177">
        <f>IF(B1177&lt;&gt;"", SUMIFS(ポートフォリオ実績!$D$2:$D$2001, ポートフォリオ実績!$B$2:$B$2001, B1177, ポートフォリオ実績!$A$2:$A$2001, G1177), 0)</f>
        <v>0</v>
      </c>
      <c r="I1177">
        <f>IF(B1177&lt;&gt;"", SUMIFS(ポートフォリオ実績!$C$2:$C$2001, ポートフォリオ実績!$B$2:$B$2001, B1177, ポートフォリオ実績!$A$2:$A$2001, G1177), 0)</f>
        <v>0</v>
      </c>
      <c r="J1177">
        <f t="shared" si="199"/>
        <v>0</v>
      </c>
      <c r="K1177">
        <f t="shared" si="200"/>
        <v>0</v>
      </c>
      <c r="L1177">
        <f t="shared" si="201"/>
        <v>0</v>
      </c>
      <c r="M1177">
        <f t="shared" si="202"/>
        <v>0</v>
      </c>
      <c r="N1177">
        <f t="shared" si="203"/>
        <v>0</v>
      </c>
      <c r="O1177">
        <f t="shared" si="204"/>
        <v>0</v>
      </c>
      <c r="P1177" t="str">
        <f t="shared" si="205"/>
        <v/>
      </c>
      <c r="Q1177" t="str">
        <f>IF(B1177="","", IFERROR(VLOOKUP(B1177, '基準資産配分（設定）'!$A$2:$C$2001, 3, FALSE), ""))</f>
        <v/>
      </c>
      <c r="R1177" t="str">
        <f>IF(B1177="","", IFERROR(VLOOKUP(B1177, '基準資産配分（設定）'!$A$2:$C$2001, 2, FALSE)/100, 0))</f>
        <v/>
      </c>
      <c r="S1177" t="str">
        <f>IF(B1177="","", IFERROR(SUMIFS(ベンチマークリターン!$C$2:$C$2001, ベンチマークリターン!$A$2:$A$2001, A1177, ベンチマークリターン!$B$2:$B$2001, Q1177) / 100, 0))</f>
        <v/>
      </c>
      <c r="T1177" t="str">
        <f>IF(A1177="","", SUMIFS($H$2:$H$2000, $A$2:$A$2000, A1177))</f>
        <v/>
      </c>
      <c r="U1177" t="str">
        <f t="shared" si="206"/>
        <v/>
      </c>
      <c r="V1177" t="str">
        <f t="shared" si="207"/>
        <v/>
      </c>
      <c r="W1177" t="str">
        <f t="shared" si="208"/>
        <v/>
      </c>
    </row>
    <row r="1178" spans="1:23" x14ac:dyDescent="0.2">
      <c r="A1178" s="4" t="str">
        <f>IF(ポートフォリオ実績!A1179="","", ポートフォリオ実績!A1179)</f>
        <v/>
      </c>
      <c r="B1178" t="str">
        <f>IF(ポートフォリオ実績!B1179="","", ポートフォリオ実績!B1179)</f>
        <v/>
      </c>
      <c r="C1178" s="10" t="str">
        <f>IF(ポートフォリオ実績!C1179="","", ポートフォリオ実績!C1179)</f>
        <v/>
      </c>
      <c r="D1178" s="10" t="str">
        <f>IF(ポートフォリオ実績!D1179="","", ポートフォリオ実績!D1179)</f>
        <v/>
      </c>
      <c r="E1178" s="10" t="str">
        <f>IF(ポートフォリオ実績!E1179="","", ポートフォリオ実績!E1179)</f>
        <v/>
      </c>
      <c r="F1178" s="10" t="str">
        <f>IF(ポートフォリオ実績!F1179="","", ポートフォリオ実績!F1179)</f>
        <v/>
      </c>
      <c r="G1178" t="str">
        <f t="shared" si="198"/>
        <v/>
      </c>
      <c r="H1178">
        <f>IF(B1178&lt;&gt;"", SUMIFS(ポートフォリオ実績!$D$2:$D$2001, ポートフォリオ実績!$B$2:$B$2001, B1178, ポートフォリオ実績!$A$2:$A$2001, G1178), 0)</f>
        <v>0</v>
      </c>
      <c r="I1178">
        <f>IF(B1178&lt;&gt;"", SUMIFS(ポートフォリオ実績!$C$2:$C$2001, ポートフォリオ実績!$B$2:$B$2001, B1178, ポートフォリオ実績!$A$2:$A$2001, G1178), 0)</f>
        <v>0</v>
      </c>
      <c r="J1178">
        <f t="shared" si="199"/>
        <v>0</v>
      </c>
      <c r="K1178">
        <f t="shared" si="200"/>
        <v>0</v>
      </c>
      <c r="L1178">
        <f t="shared" si="201"/>
        <v>0</v>
      </c>
      <c r="M1178">
        <f t="shared" si="202"/>
        <v>0</v>
      </c>
      <c r="N1178">
        <f t="shared" si="203"/>
        <v>0</v>
      </c>
      <c r="O1178">
        <f t="shared" si="204"/>
        <v>0</v>
      </c>
      <c r="P1178" t="str">
        <f t="shared" si="205"/>
        <v/>
      </c>
      <c r="Q1178" t="str">
        <f>IF(B1178="","", IFERROR(VLOOKUP(B1178, '基準資産配分（設定）'!$A$2:$C$2001, 3, FALSE), ""))</f>
        <v/>
      </c>
      <c r="R1178" t="str">
        <f>IF(B1178="","", IFERROR(VLOOKUP(B1178, '基準資産配分（設定）'!$A$2:$C$2001, 2, FALSE)/100, 0))</f>
        <v/>
      </c>
      <c r="S1178" t="str">
        <f>IF(B1178="","", IFERROR(SUMIFS(ベンチマークリターン!$C$2:$C$2001, ベンチマークリターン!$A$2:$A$2001, A1178, ベンチマークリターン!$B$2:$B$2001, Q1178) / 100, 0))</f>
        <v/>
      </c>
      <c r="T1178" t="str">
        <f>IF(A1178="","", SUMIFS($H$2:$H$2000, $A$2:$A$2000, A1178))</f>
        <v/>
      </c>
      <c r="U1178" t="str">
        <f t="shared" si="206"/>
        <v/>
      </c>
      <c r="V1178" t="str">
        <f t="shared" si="207"/>
        <v/>
      </c>
      <c r="W1178" t="str">
        <f t="shared" si="208"/>
        <v/>
      </c>
    </row>
    <row r="1179" spans="1:23" x14ac:dyDescent="0.2">
      <c r="A1179" s="4" t="str">
        <f>IF(ポートフォリオ実績!A1180="","", ポートフォリオ実績!A1180)</f>
        <v/>
      </c>
      <c r="B1179" t="str">
        <f>IF(ポートフォリオ実績!B1180="","", ポートフォリオ実績!B1180)</f>
        <v/>
      </c>
      <c r="C1179" s="10" t="str">
        <f>IF(ポートフォリオ実績!C1180="","", ポートフォリオ実績!C1180)</f>
        <v/>
      </c>
      <c r="D1179" s="10" t="str">
        <f>IF(ポートフォリオ実績!D1180="","", ポートフォリオ実績!D1180)</f>
        <v/>
      </c>
      <c r="E1179" s="10" t="str">
        <f>IF(ポートフォリオ実績!E1180="","", ポートフォリオ実績!E1180)</f>
        <v/>
      </c>
      <c r="F1179" s="10" t="str">
        <f>IF(ポートフォリオ実績!F1180="","", ポートフォリオ実績!F1180)</f>
        <v/>
      </c>
      <c r="G1179" t="str">
        <f t="shared" si="198"/>
        <v/>
      </c>
      <c r="H1179">
        <f>IF(B1179&lt;&gt;"", SUMIFS(ポートフォリオ実績!$D$2:$D$2001, ポートフォリオ実績!$B$2:$B$2001, B1179, ポートフォリオ実績!$A$2:$A$2001, G1179), 0)</f>
        <v>0</v>
      </c>
      <c r="I1179">
        <f>IF(B1179&lt;&gt;"", SUMIFS(ポートフォリオ実績!$C$2:$C$2001, ポートフォリオ実績!$B$2:$B$2001, B1179, ポートフォリオ実績!$A$2:$A$2001, G1179), 0)</f>
        <v>0</v>
      </c>
      <c r="J1179">
        <f t="shared" si="199"/>
        <v>0</v>
      </c>
      <c r="K1179">
        <f t="shared" si="200"/>
        <v>0</v>
      </c>
      <c r="L1179">
        <f t="shared" si="201"/>
        <v>0</v>
      </c>
      <c r="M1179">
        <f t="shared" si="202"/>
        <v>0</v>
      </c>
      <c r="N1179">
        <f t="shared" si="203"/>
        <v>0</v>
      </c>
      <c r="O1179">
        <f t="shared" si="204"/>
        <v>0</v>
      </c>
      <c r="P1179" t="str">
        <f t="shared" si="205"/>
        <v/>
      </c>
      <c r="Q1179" t="str">
        <f>IF(B1179="","", IFERROR(VLOOKUP(B1179, '基準資産配分（設定）'!$A$2:$C$2001, 3, FALSE), ""))</f>
        <v/>
      </c>
      <c r="R1179" t="str">
        <f>IF(B1179="","", IFERROR(VLOOKUP(B1179, '基準資産配分（設定）'!$A$2:$C$2001, 2, FALSE)/100, 0))</f>
        <v/>
      </c>
      <c r="S1179" t="str">
        <f>IF(B1179="","", IFERROR(SUMIFS(ベンチマークリターン!$C$2:$C$2001, ベンチマークリターン!$A$2:$A$2001, A1179, ベンチマークリターン!$B$2:$B$2001, Q1179) / 100, 0))</f>
        <v/>
      </c>
      <c r="T1179" t="str">
        <f>IF(A1179="","", SUMIFS($H$2:$H$2000, $A$2:$A$2000, A1179))</f>
        <v/>
      </c>
      <c r="U1179" t="str">
        <f t="shared" si="206"/>
        <v/>
      </c>
      <c r="V1179" t="str">
        <f t="shared" si="207"/>
        <v/>
      </c>
      <c r="W1179" t="str">
        <f t="shared" si="208"/>
        <v/>
      </c>
    </row>
    <row r="1180" spans="1:23" x14ac:dyDescent="0.2">
      <c r="A1180" s="4" t="str">
        <f>IF(ポートフォリオ実績!A1181="","", ポートフォリオ実績!A1181)</f>
        <v/>
      </c>
      <c r="B1180" t="str">
        <f>IF(ポートフォリオ実績!B1181="","", ポートフォリオ実績!B1181)</f>
        <v/>
      </c>
      <c r="C1180" s="10" t="str">
        <f>IF(ポートフォリオ実績!C1181="","", ポートフォリオ実績!C1181)</f>
        <v/>
      </c>
      <c r="D1180" s="10" t="str">
        <f>IF(ポートフォリオ実績!D1181="","", ポートフォリオ実績!D1181)</f>
        <v/>
      </c>
      <c r="E1180" s="10" t="str">
        <f>IF(ポートフォリオ実績!E1181="","", ポートフォリオ実績!E1181)</f>
        <v/>
      </c>
      <c r="F1180" s="10" t="str">
        <f>IF(ポートフォリオ実績!F1181="","", ポートフォリオ実績!F1181)</f>
        <v/>
      </c>
      <c r="G1180" t="str">
        <f t="shared" si="198"/>
        <v/>
      </c>
      <c r="H1180">
        <f>IF(B1180&lt;&gt;"", SUMIFS(ポートフォリオ実績!$D$2:$D$2001, ポートフォリオ実績!$B$2:$B$2001, B1180, ポートフォリオ実績!$A$2:$A$2001, G1180), 0)</f>
        <v>0</v>
      </c>
      <c r="I1180">
        <f>IF(B1180&lt;&gt;"", SUMIFS(ポートフォリオ実績!$C$2:$C$2001, ポートフォリオ実績!$B$2:$B$2001, B1180, ポートフォリオ実績!$A$2:$A$2001, G1180), 0)</f>
        <v>0</v>
      </c>
      <c r="J1180">
        <f t="shared" si="199"/>
        <v>0</v>
      </c>
      <c r="K1180">
        <f t="shared" si="200"/>
        <v>0</v>
      </c>
      <c r="L1180">
        <f t="shared" si="201"/>
        <v>0</v>
      </c>
      <c r="M1180">
        <f t="shared" si="202"/>
        <v>0</v>
      </c>
      <c r="N1180">
        <f t="shared" si="203"/>
        <v>0</v>
      </c>
      <c r="O1180">
        <f t="shared" si="204"/>
        <v>0</v>
      </c>
      <c r="P1180" t="str">
        <f t="shared" si="205"/>
        <v/>
      </c>
      <c r="Q1180" t="str">
        <f>IF(B1180="","", IFERROR(VLOOKUP(B1180, '基準資産配分（設定）'!$A$2:$C$2001, 3, FALSE), ""))</f>
        <v/>
      </c>
      <c r="R1180" t="str">
        <f>IF(B1180="","", IFERROR(VLOOKUP(B1180, '基準資産配分（設定）'!$A$2:$C$2001, 2, FALSE)/100, 0))</f>
        <v/>
      </c>
      <c r="S1180" t="str">
        <f>IF(B1180="","", IFERROR(SUMIFS(ベンチマークリターン!$C$2:$C$2001, ベンチマークリターン!$A$2:$A$2001, A1180, ベンチマークリターン!$B$2:$B$2001, Q1180) / 100, 0))</f>
        <v/>
      </c>
      <c r="T1180" t="str">
        <f>IF(A1180="","", SUMIFS($H$2:$H$2000, $A$2:$A$2000, A1180))</f>
        <v/>
      </c>
      <c r="U1180" t="str">
        <f t="shared" si="206"/>
        <v/>
      </c>
      <c r="V1180" t="str">
        <f t="shared" si="207"/>
        <v/>
      </c>
      <c r="W1180" t="str">
        <f t="shared" si="208"/>
        <v/>
      </c>
    </row>
    <row r="1181" spans="1:23" x14ac:dyDescent="0.2">
      <c r="A1181" s="4" t="str">
        <f>IF(ポートフォリオ実績!A1182="","", ポートフォリオ実績!A1182)</f>
        <v/>
      </c>
      <c r="B1181" t="str">
        <f>IF(ポートフォリオ実績!B1182="","", ポートフォリオ実績!B1182)</f>
        <v/>
      </c>
      <c r="C1181" s="10" t="str">
        <f>IF(ポートフォリオ実績!C1182="","", ポートフォリオ実績!C1182)</f>
        <v/>
      </c>
      <c r="D1181" s="10" t="str">
        <f>IF(ポートフォリオ実績!D1182="","", ポートフォリオ実績!D1182)</f>
        <v/>
      </c>
      <c r="E1181" s="10" t="str">
        <f>IF(ポートフォリオ実績!E1182="","", ポートフォリオ実績!E1182)</f>
        <v/>
      </c>
      <c r="F1181" s="10" t="str">
        <f>IF(ポートフォリオ実績!F1182="","", ポートフォリオ実績!F1182)</f>
        <v/>
      </c>
      <c r="G1181" t="str">
        <f t="shared" si="198"/>
        <v/>
      </c>
      <c r="H1181">
        <f>IF(B1181&lt;&gt;"", SUMIFS(ポートフォリオ実績!$D$2:$D$2001, ポートフォリオ実績!$B$2:$B$2001, B1181, ポートフォリオ実績!$A$2:$A$2001, G1181), 0)</f>
        <v>0</v>
      </c>
      <c r="I1181">
        <f>IF(B1181&lt;&gt;"", SUMIFS(ポートフォリオ実績!$C$2:$C$2001, ポートフォリオ実績!$B$2:$B$2001, B1181, ポートフォリオ実績!$A$2:$A$2001, G1181), 0)</f>
        <v>0</v>
      </c>
      <c r="J1181">
        <f t="shared" si="199"/>
        <v>0</v>
      </c>
      <c r="K1181">
        <f t="shared" si="200"/>
        <v>0</v>
      </c>
      <c r="L1181">
        <f t="shared" si="201"/>
        <v>0</v>
      </c>
      <c r="M1181">
        <f t="shared" si="202"/>
        <v>0</v>
      </c>
      <c r="N1181">
        <f t="shared" si="203"/>
        <v>0</v>
      </c>
      <c r="O1181">
        <f t="shared" si="204"/>
        <v>0</v>
      </c>
      <c r="P1181" t="str">
        <f t="shared" si="205"/>
        <v/>
      </c>
      <c r="Q1181" t="str">
        <f>IF(B1181="","", IFERROR(VLOOKUP(B1181, '基準資産配分（設定）'!$A$2:$C$2001, 3, FALSE), ""))</f>
        <v/>
      </c>
      <c r="R1181" t="str">
        <f>IF(B1181="","", IFERROR(VLOOKUP(B1181, '基準資産配分（設定）'!$A$2:$C$2001, 2, FALSE)/100, 0))</f>
        <v/>
      </c>
      <c r="S1181" t="str">
        <f>IF(B1181="","", IFERROR(SUMIFS(ベンチマークリターン!$C$2:$C$2001, ベンチマークリターン!$A$2:$A$2001, A1181, ベンチマークリターン!$B$2:$B$2001, Q1181) / 100, 0))</f>
        <v/>
      </c>
      <c r="T1181" t="str">
        <f>IF(A1181="","", SUMIFS($H$2:$H$2000, $A$2:$A$2000, A1181))</f>
        <v/>
      </c>
      <c r="U1181" t="str">
        <f t="shared" si="206"/>
        <v/>
      </c>
      <c r="V1181" t="str">
        <f t="shared" si="207"/>
        <v/>
      </c>
      <c r="W1181" t="str">
        <f t="shared" si="208"/>
        <v/>
      </c>
    </row>
    <row r="1182" spans="1:23" x14ac:dyDescent="0.2">
      <c r="A1182" s="4" t="str">
        <f>IF(ポートフォリオ実績!A1183="","", ポートフォリオ実績!A1183)</f>
        <v/>
      </c>
      <c r="B1182" t="str">
        <f>IF(ポートフォリオ実績!B1183="","", ポートフォリオ実績!B1183)</f>
        <v/>
      </c>
      <c r="C1182" s="10" t="str">
        <f>IF(ポートフォリオ実績!C1183="","", ポートフォリオ実績!C1183)</f>
        <v/>
      </c>
      <c r="D1182" s="10" t="str">
        <f>IF(ポートフォリオ実績!D1183="","", ポートフォリオ実績!D1183)</f>
        <v/>
      </c>
      <c r="E1182" s="10" t="str">
        <f>IF(ポートフォリオ実績!E1183="","", ポートフォリオ実績!E1183)</f>
        <v/>
      </c>
      <c r="F1182" s="10" t="str">
        <f>IF(ポートフォリオ実績!F1183="","", ポートフォリオ実績!F1183)</f>
        <v/>
      </c>
      <c r="G1182" t="str">
        <f t="shared" si="198"/>
        <v/>
      </c>
      <c r="H1182">
        <f>IF(B1182&lt;&gt;"", SUMIFS(ポートフォリオ実績!$D$2:$D$2001, ポートフォリオ実績!$B$2:$B$2001, B1182, ポートフォリオ実績!$A$2:$A$2001, G1182), 0)</f>
        <v>0</v>
      </c>
      <c r="I1182">
        <f>IF(B1182&lt;&gt;"", SUMIFS(ポートフォリオ実績!$C$2:$C$2001, ポートフォリオ実績!$B$2:$B$2001, B1182, ポートフォリオ実績!$A$2:$A$2001, G1182), 0)</f>
        <v>0</v>
      </c>
      <c r="J1182">
        <f t="shared" si="199"/>
        <v>0</v>
      </c>
      <c r="K1182">
        <f t="shared" si="200"/>
        <v>0</v>
      </c>
      <c r="L1182">
        <f t="shared" si="201"/>
        <v>0</v>
      </c>
      <c r="M1182">
        <f t="shared" si="202"/>
        <v>0</v>
      </c>
      <c r="N1182">
        <f t="shared" si="203"/>
        <v>0</v>
      </c>
      <c r="O1182">
        <f t="shared" si="204"/>
        <v>0</v>
      </c>
      <c r="P1182" t="str">
        <f t="shared" si="205"/>
        <v/>
      </c>
      <c r="Q1182" t="str">
        <f>IF(B1182="","", IFERROR(VLOOKUP(B1182, '基準資産配分（設定）'!$A$2:$C$2001, 3, FALSE), ""))</f>
        <v/>
      </c>
      <c r="R1182" t="str">
        <f>IF(B1182="","", IFERROR(VLOOKUP(B1182, '基準資産配分（設定）'!$A$2:$C$2001, 2, FALSE)/100, 0))</f>
        <v/>
      </c>
      <c r="S1182" t="str">
        <f>IF(B1182="","", IFERROR(SUMIFS(ベンチマークリターン!$C$2:$C$2001, ベンチマークリターン!$A$2:$A$2001, A1182, ベンチマークリターン!$B$2:$B$2001, Q1182) / 100, 0))</f>
        <v/>
      </c>
      <c r="T1182" t="str">
        <f>IF(A1182="","", SUMIFS($H$2:$H$2000, $A$2:$A$2000, A1182))</f>
        <v/>
      </c>
      <c r="U1182" t="str">
        <f t="shared" si="206"/>
        <v/>
      </c>
      <c r="V1182" t="str">
        <f t="shared" si="207"/>
        <v/>
      </c>
      <c r="W1182" t="str">
        <f t="shared" si="208"/>
        <v/>
      </c>
    </row>
    <row r="1183" spans="1:23" x14ac:dyDescent="0.2">
      <c r="A1183" s="4" t="str">
        <f>IF(ポートフォリオ実績!A1184="","", ポートフォリオ実績!A1184)</f>
        <v/>
      </c>
      <c r="B1183" t="str">
        <f>IF(ポートフォリオ実績!B1184="","", ポートフォリオ実績!B1184)</f>
        <v/>
      </c>
      <c r="C1183" s="10" t="str">
        <f>IF(ポートフォリオ実績!C1184="","", ポートフォリオ実績!C1184)</f>
        <v/>
      </c>
      <c r="D1183" s="10" t="str">
        <f>IF(ポートフォリオ実績!D1184="","", ポートフォリオ実績!D1184)</f>
        <v/>
      </c>
      <c r="E1183" s="10" t="str">
        <f>IF(ポートフォリオ実績!E1184="","", ポートフォリオ実績!E1184)</f>
        <v/>
      </c>
      <c r="F1183" s="10" t="str">
        <f>IF(ポートフォリオ実績!F1184="","", ポートフォリオ実績!F1184)</f>
        <v/>
      </c>
      <c r="G1183" t="str">
        <f t="shared" si="198"/>
        <v/>
      </c>
      <c r="H1183">
        <f>IF(B1183&lt;&gt;"", SUMIFS(ポートフォリオ実績!$D$2:$D$2001, ポートフォリオ実績!$B$2:$B$2001, B1183, ポートフォリオ実績!$A$2:$A$2001, G1183), 0)</f>
        <v>0</v>
      </c>
      <c r="I1183">
        <f>IF(B1183&lt;&gt;"", SUMIFS(ポートフォリオ実績!$C$2:$C$2001, ポートフォリオ実績!$B$2:$B$2001, B1183, ポートフォリオ実績!$A$2:$A$2001, G1183), 0)</f>
        <v>0</v>
      </c>
      <c r="J1183">
        <f t="shared" si="199"/>
        <v>0</v>
      </c>
      <c r="K1183">
        <f t="shared" si="200"/>
        <v>0</v>
      </c>
      <c r="L1183">
        <f t="shared" si="201"/>
        <v>0</v>
      </c>
      <c r="M1183">
        <f t="shared" si="202"/>
        <v>0</v>
      </c>
      <c r="N1183">
        <f t="shared" si="203"/>
        <v>0</v>
      </c>
      <c r="O1183">
        <f t="shared" si="204"/>
        <v>0</v>
      </c>
      <c r="P1183" t="str">
        <f t="shared" si="205"/>
        <v/>
      </c>
      <c r="Q1183" t="str">
        <f>IF(B1183="","", IFERROR(VLOOKUP(B1183, '基準資産配分（設定）'!$A$2:$C$2001, 3, FALSE), ""))</f>
        <v/>
      </c>
      <c r="R1183" t="str">
        <f>IF(B1183="","", IFERROR(VLOOKUP(B1183, '基準資産配分（設定）'!$A$2:$C$2001, 2, FALSE)/100, 0))</f>
        <v/>
      </c>
      <c r="S1183" t="str">
        <f>IF(B1183="","", IFERROR(SUMIFS(ベンチマークリターン!$C$2:$C$2001, ベンチマークリターン!$A$2:$A$2001, A1183, ベンチマークリターン!$B$2:$B$2001, Q1183) / 100, 0))</f>
        <v/>
      </c>
      <c r="T1183" t="str">
        <f>IF(A1183="","", SUMIFS($H$2:$H$2000, $A$2:$A$2000, A1183))</f>
        <v/>
      </c>
      <c r="U1183" t="str">
        <f t="shared" si="206"/>
        <v/>
      </c>
      <c r="V1183" t="str">
        <f t="shared" si="207"/>
        <v/>
      </c>
      <c r="W1183" t="str">
        <f t="shared" si="208"/>
        <v/>
      </c>
    </row>
    <row r="1184" spans="1:23" x14ac:dyDescent="0.2">
      <c r="A1184" s="4" t="str">
        <f>IF(ポートフォリオ実績!A1185="","", ポートフォリオ実績!A1185)</f>
        <v/>
      </c>
      <c r="B1184" t="str">
        <f>IF(ポートフォリオ実績!B1185="","", ポートフォリオ実績!B1185)</f>
        <v/>
      </c>
      <c r="C1184" s="10" t="str">
        <f>IF(ポートフォリオ実績!C1185="","", ポートフォリオ実績!C1185)</f>
        <v/>
      </c>
      <c r="D1184" s="10" t="str">
        <f>IF(ポートフォリオ実績!D1185="","", ポートフォリオ実績!D1185)</f>
        <v/>
      </c>
      <c r="E1184" s="10" t="str">
        <f>IF(ポートフォリオ実績!E1185="","", ポートフォリオ実績!E1185)</f>
        <v/>
      </c>
      <c r="F1184" s="10" t="str">
        <f>IF(ポートフォリオ実績!F1185="","", ポートフォリオ実績!F1185)</f>
        <v/>
      </c>
      <c r="G1184" t="str">
        <f t="shared" si="198"/>
        <v/>
      </c>
      <c r="H1184">
        <f>IF(B1184&lt;&gt;"", SUMIFS(ポートフォリオ実績!$D$2:$D$2001, ポートフォリオ実績!$B$2:$B$2001, B1184, ポートフォリオ実績!$A$2:$A$2001, G1184), 0)</f>
        <v>0</v>
      </c>
      <c r="I1184">
        <f>IF(B1184&lt;&gt;"", SUMIFS(ポートフォリオ実績!$C$2:$C$2001, ポートフォリオ実績!$B$2:$B$2001, B1184, ポートフォリオ実績!$A$2:$A$2001, G1184), 0)</f>
        <v>0</v>
      </c>
      <c r="J1184">
        <f t="shared" si="199"/>
        <v>0</v>
      </c>
      <c r="K1184">
        <f t="shared" si="200"/>
        <v>0</v>
      </c>
      <c r="L1184">
        <f t="shared" si="201"/>
        <v>0</v>
      </c>
      <c r="M1184">
        <f t="shared" si="202"/>
        <v>0</v>
      </c>
      <c r="N1184">
        <f t="shared" si="203"/>
        <v>0</v>
      </c>
      <c r="O1184">
        <f t="shared" si="204"/>
        <v>0</v>
      </c>
      <c r="P1184" t="str">
        <f t="shared" si="205"/>
        <v/>
      </c>
      <c r="Q1184" t="str">
        <f>IF(B1184="","", IFERROR(VLOOKUP(B1184, '基準資産配分（設定）'!$A$2:$C$2001, 3, FALSE), ""))</f>
        <v/>
      </c>
      <c r="R1184" t="str">
        <f>IF(B1184="","", IFERROR(VLOOKUP(B1184, '基準資産配分（設定）'!$A$2:$C$2001, 2, FALSE)/100, 0))</f>
        <v/>
      </c>
      <c r="S1184" t="str">
        <f>IF(B1184="","", IFERROR(SUMIFS(ベンチマークリターン!$C$2:$C$2001, ベンチマークリターン!$A$2:$A$2001, A1184, ベンチマークリターン!$B$2:$B$2001, Q1184) / 100, 0))</f>
        <v/>
      </c>
      <c r="T1184" t="str">
        <f>IF(A1184="","", SUMIFS($H$2:$H$2000, $A$2:$A$2000, A1184))</f>
        <v/>
      </c>
      <c r="U1184" t="str">
        <f t="shared" si="206"/>
        <v/>
      </c>
      <c r="V1184" t="str">
        <f t="shared" si="207"/>
        <v/>
      </c>
      <c r="W1184" t="str">
        <f t="shared" si="208"/>
        <v/>
      </c>
    </row>
    <row r="1185" spans="1:23" x14ac:dyDescent="0.2">
      <c r="A1185" s="4" t="str">
        <f>IF(ポートフォリオ実績!A1186="","", ポートフォリオ実績!A1186)</f>
        <v/>
      </c>
      <c r="B1185" t="str">
        <f>IF(ポートフォリオ実績!B1186="","", ポートフォリオ実績!B1186)</f>
        <v/>
      </c>
      <c r="C1185" s="10" t="str">
        <f>IF(ポートフォリオ実績!C1186="","", ポートフォリオ実績!C1186)</f>
        <v/>
      </c>
      <c r="D1185" s="10" t="str">
        <f>IF(ポートフォリオ実績!D1186="","", ポートフォリオ実績!D1186)</f>
        <v/>
      </c>
      <c r="E1185" s="10" t="str">
        <f>IF(ポートフォリオ実績!E1186="","", ポートフォリオ実績!E1186)</f>
        <v/>
      </c>
      <c r="F1185" s="10" t="str">
        <f>IF(ポートフォリオ実績!F1186="","", ポートフォリオ実績!F1186)</f>
        <v/>
      </c>
      <c r="G1185" t="str">
        <f t="shared" si="198"/>
        <v/>
      </c>
      <c r="H1185">
        <f>IF(B1185&lt;&gt;"", SUMIFS(ポートフォリオ実績!$D$2:$D$2001, ポートフォリオ実績!$B$2:$B$2001, B1185, ポートフォリオ実績!$A$2:$A$2001, G1185), 0)</f>
        <v>0</v>
      </c>
      <c r="I1185">
        <f>IF(B1185&lt;&gt;"", SUMIFS(ポートフォリオ実績!$C$2:$C$2001, ポートフォリオ実績!$B$2:$B$2001, B1185, ポートフォリオ実績!$A$2:$A$2001, G1185), 0)</f>
        <v>0</v>
      </c>
      <c r="J1185">
        <f t="shared" si="199"/>
        <v>0</v>
      </c>
      <c r="K1185">
        <f t="shared" si="200"/>
        <v>0</v>
      </c>
      <c r="L1185">
        <f t="shared" si="201"/>
        <v>0</v>
      </c>
      <c r="M1185">
        <f t="shared" si="202"/>
        <v>0</v>
      </c>
      <c r="N1185">
        <f t="shared" si="203"/>
        <v>0</v>
      </c>
      <c r="O1185">
        <f t="shared" si="204"/>
        <v>0</v>
      </c>
      <c r="P1185" t="str">
        <f t="shared" si="205"/>
        <v/>
      </c>
      <c r="Q1185" t="str">
        <f>IF(B1185="","", IFERROR(VLOOKUP(B1185, '基準資産配分（設定）'!$A$2:$C$2001, 3, FALSE), ""))</f>
        <v/>
      </c>
      <c r="R1185" t="str">
        <f>IF(B1185="","", IFERROR(VLOOKUP(B1185, '基準資産配分（設定）'!$A$2:$C$2001, 2, FALSE)/100, 0))</f>
        <v/>
      </c>
      <c r="S1185" t="str">
        <f>IF(B1185="","", IFERROR(SUMIFS(ベンチマークリターン!$C$2:$C$2001, ベンチマークリターン!$A$2:$A$2001, A1185, ベンチマークリターン!$B$2:$B$2001, Q1185) / 100, 0))</f>
        <v/>
      </c>
      <c r="T1185" t="str">
        <f>IF(A1185="","", SUMIFS($H$2:$H$2000, $A$2:$A$2000, A1185))</f>
        <v/>
      </c>
      <c r="U1185" t="str">
        <f t="shared" si="206"/>
        <v/>
      </c>
      <c r="V1185" t="str">
        <f t="shared" si="207"/>
        <v/>
      </c>
      <c r="W1185" t="str">
        <f t="shared" si="208"/>
        <v/>
      </c>
    </row>
    <row r="1186" spans="1:23" x14ac:dyDescent="0.2">
      <c r="A1186" s="4" t="str">
        <f>IF(ポートフォリオ実績!A1187="","", ポートフォリオ実績!A1187)</f>
        <v/>
      </c>
      <c r="B1186" t="str">
        <f>IF(ポートフォリオ実績!B1187="","", ポートフォリオ実績!B1187)</f>
        <v/>
      </c>
      <c r="C1186" s="10" t="str">
        <f>IF(ポートフォリオ実績!C1187="","", ポートフォリオ実績!C1187)</f>
        <v/>
      </c>
      <c r="D1186" s="10" t="str">
        <f>IF(ポートフォリオ実績!D1187="","", ポートフォリオ実績!D1187)</f>
        <v/>
      </c>
      <c r="E1186" s="10" t="str">
        <f>IF(ポートフォリオ実績!E1187="","", ポートフォリオ実績!E1187)</f>
        <v/>
      </c>
      <c r="F1186" s="10" t="str">
        <f>IF(ポートフォリオ実績!F1187="","", ポートフォリオ実績!F1187)</f>
        <v/>
      </c>
      <c r="G1186" t="str">
        <f t="shared" si="198"/>
        <v/>
      </c>
      <c r="H1186">
        <f>IF(B1186&lt;&gt;"", SUMIFS(ポートフォリオ実績!$D$2:$D$2001, ポートフォリオ実績!$B$2:$B$2001, B1186, ポートフォリオ実績!$A$2:$A$2001, G1186), 0)</f>
        <v>0</v>
      </c>
      <c r="I1186">
        <f>IF(B1186&lt;&gt;"", SUMIFS(ポートフォリオ実績!$C$2:$C$2001, ポートフォリオ実績!$B$2:$B$2001, B1186, ポートフォリオ実績!$A$2:$A$2001, G1186), 0)</f>
        <v>0</v>
      </c>
      <c r="J1186">
        <f t="shared" si="199"/>
        <v>0</v>
      </c>
      <c r="K1186">
        <f t="shared" si="200"/>
        <v>0</v>
      </c>
      <c r="L1186">
        <f t="shared" si="201"/>
        <v>0</v>
      </c>
      <c r="M1186">
        <f t="shared" si="202"/>
        <v>0</v>
      </c>
      <c r="N1186">
        <f t="shared" si="203"/>
        <v>0</v>
      </c>
      <c r="O1186">
        <f t="shared" si="204"/>
        <v>0</v>
      </c>
      <c r="P1186" t="str">
        <f t="shared" si="205"/>
        <v/>
      </c>
      <c r="Q1186" t="str">
        <f>IF(B1186="","", IFERROR(VLOOKUP(B1186, '基準資産配分（設定）'!$A$2:$C$2001, 3, FALSE), ""))</f>
        <v/>
      </c>
      <c r="R1186" t="str">
        <f>IF(B1186="","", IFERROR(VLOOKUP(B1186, '基準資産配分（設定）'!$A$2:$C$2001, 2, FALSE)/100, 0))</f>
        <v/>
      </c>
      <c r="S1186" t="str">
        <f>IF(B1186="","", IFERROR(SUMIFS(ベンチマークリターン!$C$2:$C$2001, ベンチマークリターン!$A$2:$A$2001, A1186, ベンチマークリターン!$B$2:$B$2001, Q1186) / 100, 0))</f>
        <v/>
      </c>
      <c r="T1186" t="str">
        <f>IF(A1186="","", SUMIFS($H$2:$H$2000, $A$2:$A$2000, A1186))</f>
        <v/>
      </c>
      <c r="U1186" t="str">
        <f t="shared" si="206"/>
        <v/>
      </c>
      <c r="V1186" t="str">
        <f t="shared" si="207"/>
        <v/>
      </c>
      <c r="W1186" t="str">
        <f t="shared" si="208"/>
        <v/>
      </c>
    </row>
    <row r="1187" spans="1:23" x14ac:dyDescent="0.2">
      <c r="A1187" s="4" t="str">
        <f>IF(ポートフォリオ実績!A1188="","", ポートフォリオ実績!A1188)</f>
        <v/>
      </c>
      <c r="B1187" t="str">
        <f>IF(ポートフォリオ実績!B1188="","", ポートフォリオ実績!B1188)</f>
        <v/>
      </c>
      <c r="C1187" s="10" t="str">
        <f>IF(ポートフォリオ実績!C1188="","", ポートフォリオ実績!C1188)</f>
        <v/>
      </c>
      <c r="D1187" s="10" t="str">
        <f>IF(ポートフォリオ実績!D1188="","", ポートフォリオ実績!D1188)</f>
        <v/>
      </c>
      <c r="E1187" s="10" t="str">
        <f>IF(ポートフォリオ実績!E1188="","", ポートフォリオ実績!E1188)</f>
        <v/>
      </c>
      <c r="F1187" s="10" t="str">
        <f>IF(ポートフォリオ実績!F1188="","", ポートフォリオ実績!F1188)</f>
        <v/>
      </c>
      <c r="G1187" t="str">
        <f t="shared" si="198"/>
        <v/>
      </c>
      <c r="H1187">
        <f>IF(B1187&lt;&gt;"", SUMIFS(ポートフォリオ実績!$D$2:$D$2001, ポートフォリオ実績!$B$2:$B$2001, B1187, ポートフォリオ実績!$A$2:$A$2001, G1187), 0)</f>
        <v>0</v>
      </c>
      <c r="I1187">
        <f>IF(B1187&lt;&gt;"", SUMIFS(ポートフォリオ実績!$C$2:$C$2001, ポートフォリオ実績!$B$2:$B$2001, B1187, ポートフォリオ実績!$A$2:$A$2001, G1187), 0)</f>
        <v>0</v>
      </c>
      <c r="J1187">
        <f t="shared" si="199"/>
        <v>0</v>
      </c>
      <c r="K1187">
        <f t="shared" si="200"/>
        <v>0</v>
      </c>
      <c r="L1187">
        <f t="shared" si="201"/>
        <v>0</v>
      </c>
      <c r="M1187">
        <f t="shared" si="202"/>
        <v>0</v>
      </c>
      <c r="N1187">
        <f t="shared" si="203"/>
        <v>0</v>
      </c>
      <c r="O1187">
        <f t="shared" si="204"/>
        <v>0</v>
      </c>
      <c r="P1187" t="str">
        <f t="shared" si="205"/>
        <v/>
      </c>
      <c r="Q1187" t="str">
        <f>IF(B1187="","", IFERROR(VLOOKUP(B1187, '基準資産配分（設定）'!$A$2:$C$2001, 3, FALSE), ""))</f>
        <v/>
      </c>
      <c r="R1187" t="str">
        <f>IF(B1187="","", IFERROR(VLOOKUP(B1187, '基準資産配分（設定）'!$A$2:$C$2001, 2, FALSE)/100, 0))</f>
        <v/>
      </c>
      <c r="S1187" t="str">
        <f>IF(B1187="","", IFERROR(SUMIFS(ベンチマークリターン!$C$2:$C$2001, ベンチマークリターン!$A$2:$A$2001, A1187, ベンチマークリターン!$B$2:$B$2001, Q1187) / 100, 0))</f>
        <v/>
      </c>
      <c r="T1187" t="str">
        <f>IF(A1187="","", SUMIFS($H$2:$H$2000, $A$2:$A$2000, A1187))</f>
        <v/>
      </c>
      <c r="U1187" t="str">
        <f t="shared" si="206"/>
        <v/>
      </c>
      <c r="V1187" t="str">
        <f t="shared" si="207"/>
        <v/>
      </c>
      <c r="W1187" t="str">
        <f t="shared" si="208"/>
        <v/>
      </c>
    </row>
    <row r="1188" spans="1:23" x14ac:dyDescent="0.2">
      <c r="A1188" s="4" t="str">
        <f>IF(ポートフォリオ実績!A1189="","", ポートフォリオ実績!A1189)</f>
        <v/>
      </c>
      <c r="B1188" t="str">
        <f>IF(ポートフォリオ実績!B1189="","", ポートフォリオ実績!B1189)</f>
        <v/>
      </c>
      <c r="C1188" s="10" t="str">
        <f>IF(ポートフォリオ実績!C1189="","", ポートフォリオ実績!C1189)</f>
        <v/>
      </c>
      <c r="D1188" s="10" t="str">
        <f>IF(ポートフォリオ実績!D1189="","", ポートフォリオ実績!D1189)</f>
        <v/>
      </c>
      <c r="E1188" s="10" t="str">
        <f>IF(ポートフォリオ実績!E1189="","", ポートフォリオ実績!E1189)</f>
        <v/>
      </c>
      <c r="F1188" s="10" t="str">
        <f>IF(ポートフォリオ実績!F1189="","", ポートフォリオ実績!F1189)</f>
        <v/>
      </c>
      <c r="G1188" t="str">
        <f t="shared" si="198"/>
        <v/>
      </c>
      <c r="H1188">
        <f>IF(B1188&lt;&gt;"", SUMIFS(ポートフォリオ実績!$D$2:$D$2001, ポートフォリオ実績!$B$2:$B$2001, B1188, ポートフォリオ実績!$A$2:$A$2001, G1188), 0)</f>
        <v>0</v>
      </c>
      <c r="I1188">
        <f>IF(B1188&lt;&gt;"", SUMIFS(ポートフォリオ実績!$C$2:$C$2001, ポートフォリオ実績!$B$2:$B$2001, B1188, ポートフォリオ実績!$A$2:$A$2001, G1188), 0)</f>
        <v>0</v>
      </c>
      <c r="J1188">
        <f t="shared" si="199"/>
        <v>0</v>
      </c>
      <c r="K1188">
        <f t="shared" si="200"/>
        <v>0</v>
      </c>
      <c r="L1188">
        <f t="shared" si="201"/>
        <v>0</v>
      </c>
      <c r="M1188">
        <f t="shared" si="202"/>
        <v>0</v>
      </c>
      <c r="N1188">
        <f t="shared" si="203"/>
        <v>0</v>
      </c>
      <c r="O1188">
        <f t="shared" si="204"/>
        <v>0</v>
      </c>
      <c r="P1188" t="str">
        <f t="shared" si="205"/>
        <v/>
      </c>
      <c r="Q1188" t="str">
        <f>IF(B1188="","", IFERROR(VLOOKUP(B1188, '基準資産配分（設定）'!$A$2:$C$2001, 3, FALSE), ""))</f>
        <v/>
      </c>
      <c r="R1188" t="str">
        <f>IF(B1188="","", IFERROR(VLOOKUP(B1188, '基準資産配分（設定）'!$A$2:$C$2001, 2, FALSE)/100, 0))</f>
        <v/>
      </c>
      <c r="S1188" t="str">
        <f>IF(B1188="","", IFERROR(SUMIFS(ベンチマークリターン!$C$2:$C$2001, ベンチマークリターン!$A$2:$A$2001, A1188, ベンチマークリターン!$B$2:$B$2001, Q1188) / 100, 0))</f>
        <v/>
      </c>
      <c r="T1188" t="str">
        <f>IF(A1188="","", SUMIFS($H$2:$H$2000, $A$2:$A$2000, A1188))</f>
        <v/>
      </c>
      <c r="U1188" t="str">
        <f t="shared" si="206"/>
        <v/>
      </c>
      <c r="V1188" t="str">
        <f t="shared" si="207"/>
        <v/>
      </c>
      <c r="W1188" t="str">
        <f t="shared" si="208"/>
        <v/>
      </c>
    </row>
    <row r="1189" spans="1:23" x14ac:dyDescent="0.2">
      <c r="A1189" s="4" t="str">
        <f>IF(ポートフォリオ実績!A1190="","", ポートフォリオ実績!A1190)</f>
        <v/>
      </c>
      <c r="B1189" t="str">
        <f>IF(ポートフォリオ実績!B1190="","", ポートフォリオ実績!B1190)</f>
        <v/>
      </c>
      <c r="C1189" s="10" t="str">
        <f>IF(ポートフォリオ実績!C1190="","", ポートフォリオ実績!C1190)</f>
        <v/>
      </c>
      <c r="D1189" s="10" t="str">
        <f>IF(ポートフォリオ実績!D1190="","", ポートフォリオ実績!D1190)</f>
        <v/>
      </c>
      <c r="E1189" s="10" t="str">
        <f>IF(ポートフォリオ実績!E1190="","", ポートフォリオ実績!E1190)</f>
        <v/>
      </c>
      <c r="F1189" s="10" t="str">
        <f>IF(ポートフォリオ実績!F1190="","", ポートフォリオ実績!F1190)</f>
        <v/>
      </c>
      <c r="G1189" t="str">
        <f t="shared" si="198"/>
        <v/>
      </c>
      <c r="H1189">
        <f>IF(B1189&lt;&gt;"", SUMIFS(ポートフォリオ実績!$D$2:$D$2001, ポートフォリオ実績!$B$2:$B$2001, B1189, ポートフォリオ実績!$A$2:$A$2001, G1189), 0)</f>
        <v>0</v>
      </c>
      <c r="I1189">
        <f>IF(B1189&lt;&gt;"", SUMIFS(ポートフォリオ実績!$C$2:$C$2001, ポートフォリオ実績!$B$2:$B$2001, B1189, ポートフォリオ実績!$A$2:$A$2001, G1189), 0)</f>
        <v>0</v>
      </c>
      <c r="J1189">
        <f t="shared" si="199"/>
        <v>0</v>
      </c>
      <c r="K1189">
        <f t="shared" si="200"/>
        <v>0</v>
      </c>
      <c r="L1189">
        <f t="shared" si="201"/>
        <v>0</v>
      </c>
      <c r="M1189">
        <f t="shared" si="202"/>
        <v>0</v>
      </c>
      <c r="N1189">
        <f t="shared" si="203"/>
        <v>0</v>
      </c>
      <c r="O1189">
        <f t="shared" si="204"/>
        <v>0</v>
      </c>
      <c r="P1189" t="str">
        <f t="shared" si="205"/>
        <v/>
      </c>
      <c r="Q1189" t="str">
        <f>IF(B1189="","", IFERROR(VLOOKUP(B1189, '基準資産配分（設定）'!$A$2:$C$2001, 3, FALSE), ""))</f>
        <v/>
      </c>
      <c r="R1189" t="str">
        <f>IF(B1189="","", IFERROR(VLOOKUP(B1189, '基準資産配分（設定）'!$A$2:$C$2001, 2, FALSE)/100, 0))</f>
        <v/>
      </c>
      <c r="S1189" t="str">
        <f>IF(B1189="","", IFERROR(SUMIFS(ベンチマークリターン!$C$2:$C$2001, ベンチマークリターン!$A$2:$A$2001, A1189, ベンチマークリターン!$B$2:$B$2001, Q1189) / 100, 0))</f>
        <v/>
      </c>
      <c r="T1189" t="str">
        <f>IF(A1189="","", SUMIFS($H$2:$H$2000, $A$2:$A$2000, A1189))</f>
        <v/>
      </c>
      <c r="U1189" t="str">
        <f t="shared" si="206"/>
        <v/>
      </c>
      <c r="V1189" t="str">
        <f t="shared" si="207"/>
        <v/>
      </c>
      <c r="W1189" t="str">
        <f t="shared" si="208"/>
        <v/>
      </c>
    </row>
    <row r="1190" spans="1:23" x14ac:dyDescent="0.2">
      <c r="A1190" s="4" t="str">
        <f>IF(ポートフォリオ実績!A1191="","", ポートフォリオ実績!A1191)</f>
        <v/>
      </c>
      <c r="B1190" t="str">
        <f>IF(ポートフォリオ実績!B1191="","", ポートフォリオ実績!B1191)</f>
        <v/>
      </c>
      <c r="C1190" s="10" t="str">
        <f>IF(ポートフォリオ実績!C1191="","", ポートフォリオ実績!C1191)</f>
        <v/>
      </c>
      <c r="D1190" s="10" t="str">
        <f>IF(ポートフォリオ実績!D1191="","", ポートフォリオ実績!D1191)</f>
        <v/>
      </c>
      <c r="E1190" s="10" t="str">
        <f>IF(ポートフォリオ実績!E1191="","", ポートフォリオ実績!E1191)</f>
        <v/>
      </c>
      <c r="F1190" s="10" t="str">
        <f>IF(ポートフォリオ実績!F1191="","", ポートフォリオ実績!F1191)</f>
        <v/>
      </c>
      <c r="G1190" t="str">
        <f t="shared" si="198"/>
        <v/>
      </c>
      <c r="H1190">
        <f>IF(B1190&lt;&gt;"", SUMIFS(ポートフォリオ実績!$D$2:$D$2001, ポートフォリオ実績!$B$2:$B$2001, B1190, ポートフォリオ実績!$A$2:$A$2001, G1190), 0)</f>
        <v>0</v>
      </c>
      <c r="I1190">
        <f>IF(B1190&lt;&gt;"", SUMIFS(ポートフォリオ実績!$C$2:$C$2001, ポートフォリオ実績!$B$2:$B$2001, B1190, ポートフォリオ実績!$A$2:$A$2001, G1190), 0)</f>
        <v>0</v>
      </c>
      <c r="J1190">
        <f t="shared" si="199"/>
        <v>0</v>
      </c>
      <c r="K1190">
        <f t="shared" si="200"/>
        <v>0</v>
      </c>
      <c r="L1190">
        <f t="shared" si="201"/>
        <v>0</v>
      </c>
      <c r="M1190">
        <f t="shared" si="202"/>
        <v>0</v>
      </c>
      <c r="N1190">
        <f t="shared" si="203"/>
        <v>0</v>
      </c>
      <c r="O1190">
        <f t="shared" si="204"/>
        <v>0</v>
      </c>
      <c r="P1190" t="str">
        <f t="shared" si="205"/>
        <v/>
      </c>
      <c r="Q1190" t="str">
        <f>IF(B1190="","", IFERROR(VLOOKUP(B1190, '基準資産配分（設定）'!$A$2:$C$2001, 3, FALSE), ""))</f>
        <v/>
      </c>
      <c r="R1190" t="str">
        <f>IF(B1190="","", IFERROR(VLOOKUP(B1190, '基準資産配分（設定）'!$A$2:$C$2001, 2, FALSE)/100, 0))</f>
        <v/>
      </c>
      <c r="S1190" t="str">
        <f>IF(B1190="","", IFERROR(SUMIFS(ベンチマークリターン!$C$2:$C$2001, ベンチマークリターン!$A$2:$A$2001, A1190, ベンチマークリターン!$B$2:$B$2001, Q1190) / 100, 0))</f>
        <v/>
      </c>
      <c r="T1190" t="str">
        <f>IF(A1190="","", SUMIFS($H$2:$H$2000, $A$2:$A$2000, A1190))</f>
        <v/>
      </c>
      <c r="U1190" t="str">
        <f t="shared" si="206"/>
        <v/>
      </c>
      <c r="V1190" t="str">
        <f t="shared" si="207"/>
        <v/>
      </c>
      <c r="W1190" t="str">
        <f t="shared" si="208"/>
        <v/>
      </c>
    </row>
    <row r="1191" spans="1:23" x14ac:dyDescent="0.2">
      <c r="A1191" s="4" t="str">
        <f>IF(ポートフォリオ実績!A1192="","", ポートフォリオ実績!A1192)</f>
        <v/>
      </c>
      <c r="B1191" t="str">
        <f>IF(ポートフォリオ実績!B1192="","", ポートフォリオ実績!B1192)</f>
        <v/>
      </c>
      <c r="C1191" s="10" t="str">
        <f>IF(ポートフォリオ実績!C1192="","", ポートフォリオ実績!C1192)</f>
        <v/>
      </c>
      <c r="D1191" s="10" t="str">
        <f>IF(ポートフォリオ実績!D1192="","", ポートフォリオ実績!D1192)</f>
        <v/>
      </c>
      <c r="E1191" s="10" t="str">
        <f>IF(ポートフォリオ実績!E1192="","", ポートフォリオ実績!E1192)</f>
        <v/>
      </c>
      <c r="F1191" s="10" t="str">
        <f>IF(ポートフォリオ実績!F1192="","", ポートフォリオ実績!F1192)</f>
        <v/>
      </c>
      <c r="G1191" t="str">
        <f t="shared" si="198"/>
        <v/>
      </c>
      <c r="H1191">
        <f>IF(B1191&lt;&gt;"", SUMIFS(ポートフォリオ実績!$D$2:$D$2001, ポートフォリオ実績!$B$2:$B$2001, B1191, ポートフォリオ実績!$A$2:$A$2001, G1191), 0)</f>
        <v>0</v>
      </c>
      <c r="I1191">
        <f>IF(B1191&lt;&gt;"", SUMIFS(ポートフォリオ実績!$C$2:$C$2001, ポートフォリオ実績!$B$2:$B$2001, B1191, ポートフォリオ実績!$A$2:$A$2001, G1191), 0)</f>
        <v>0</v>
      </c>
      <c r="J1191">
        <f t="shared" si="199"/>
        <v>0</v>
      </c>
      <c r="K1191">
        <f t="shared" si="200"/>
        <v>0</v>
      </c>
      <c r="L1191">
        <f t="shared" si="201"/>
        <v>0</v>
      </c>
      <c r="M1191">
        <f t="shared" si="202"/>
        <v>0</v>
      </c>
      <c r="N1191">
        <f t="shared" si="203"/>
        <v>0</v>
      </c>
      <c r="O1191">
        <f t="shared" si="204"/>
        <v>0</v>
      </c>
      <c r="P1191" t="str">
        <f t="shared" si="205"/>
        <v/>
      </c>
      <c r="Q1191" t="str">
        <f>IF(B1191="","", IFERROR(VLOOKUP(B1191, '基準資産配分（設定）'!$A$2:$C$2001, 3, FALSE), ""))</f>
        <v/>
      </c>
      <c r="R1191" t="str">
        <f>IF(B1191="","", IFERROR(VLOOKUP(B1191, '基準資産配分（設定）'!$A$2:$C$2001, 2, FALSE)/100, 0))</f>
        <v/>
      </c>
      <c r="S1191" t="str">
        <f>IF(B1191="","", IFERROR(SUMIFS(ベンチマークリターン!$C$2:$C$2001, ベンチマークリターン!$A$2:$A$2001, A1191, ベンチマークリターン!$B$2:$B$2001, Q1191) / 100, 0))</f>
        <v/>
      </c>
      <c r="T1191" t="str">
        <f>IF(A1191="","", SUMIFS($H$2:$H$2000, $A$2:$A$2000, A1191))</f>
        <v/>
      </c>
      <c r="U1191" t="str">
        <f t="shared" si="206"/>
        <v/>
      </c>
      <c r="V1191" t="str">
        <f t="shared" si="207"/>
        <v/>
      </c>
      <c r="W1191" t="str">
        <f t="shared" si="208"/>
        <v/>
      </c>
    </row>
    <row r="1192" spans="1:23" x14ac:dyDescent="0.2">
      <c r="A1192" s="4" t="str">
        <f>IF(ポートフォリオ実績!A1193="","", ポートフォリオ実績!A1193)</f>
        <v/>
      </c>
      <c r="B1192" t="str">
        <f>IF(ポートフォリオ実績!B1193="","", ポートフォリオ実績!B1193)</f>
        <v/>
      </c>
      <c r="C1192" s="10" t="str">
        <f>IF(ポートフォリオ実績!C1193="","", ポートフォリオ実績!C1193)</f>
        <v/>
      </c>
      <c r="D1192" s="10" t="str">
        <f>IF(ポートフォリオ実績!D1193="","", ポートフォリオ実績!D1193)</f>
        <v/>
      </c>
      <c r="E1192" s="10" t="str">
        <f>IF(ポートフォリオ実績!E1193="","", ポートフォリオ実績!E1193)</f>
        <v/>
      </c>
      <c r="F1192" s="10" t="str">
        <f>IF(ポートフォリオ実績!F1193="","", ポートフォリオ実績!F1193)</f>
        <v/>
      </c>
      <c r="G1192" t="str">
        <f t="shared" si="198"/>
        <v/>
      </c>
      <c r="H1192">
        <f>IF(B1192&lt;&gt;"", SUMIFS(ポートフォリオ実績!$D$2:$D$2001, ポートフォリオ実績!$B$2:$B$2001, B1192, ポートフォリオ実績!$A$2:$A$2001, G1192), 0)</f>
        <v>0</v>
      </c>
      <c r="I1192">
        <f>IF(B1192&lt;&gt;"", SUMIFS(ポートフォリオ実績!$C$2:$C$2001, ポートフォリオ実績!$B$2:$B$2001, B1192, ポートフォリオ実績!$A$2:$A$2001, G1192), 0)</f>
        <v>0</v>
      </c>
      <c r="J1192">
        <f t="shared" si="199"/>
        <v>0</v>
      </c>
      <c r="K1192">
        <f t="shared" si="200"/>
        <v>0</v>
      </c>
      <c r="L1192">
        <f t="shared" si="201"/>
        <v>0</v>
      </c>
      <c r="M1192">
        <f t="shared" si="202"/>
        <v>0</v>
      </c>
      <c r="N1192">
        <f t="shared" si="203"/>
        <v>0</v>
      </c>
      <c r="O1192">
        <f t="shared" si="204"/>
        <v>0</v>
      </c>
      <c r="P1192" t="str">
        <f t="shared" si="205"/>
        <v/>
      </c>
      <c r="Q1192" t="str">
        <f>IF(B1192="","", IFERROR(VLOOKUP(B1192, '基準資産配分（設定）'!$A$2:$C$2001, 3, FALSE), ""))</f>
        <v/>
      </c>
      <c r="R1192" t="str">
        <f>IF(B1192="","", IFERROR(VLOOKUP(B1192, '基準資産配分（設定）'!$A$2:$C$2001, 2, FALSE)/100, 0))</f>
        <v/>
      </c>
      <c r="S1192" t="str">
        <f>IF(B1192="","", IFERROR(SUMIFS(ベンチマークリターン!$C$2:$C$2001, ベンチマークリターン!$A$2:$A$2001, A1192, ベンチマークリターン!$B$2:$B$2001, Q1192) / 100, 0))</f>
        <v/>
      </c>
      <c r="T1192" t="str">
        <f>IF(A1192="","", SUMIFS($H$2:$H$2000, $A$2:$A$2000, A1192))</f>
        <v/>
      </c>
      <c r="U1192" t="str">
        <f t="shared" si="206"/>
        <v/>
      </c>
      <c r="V1192" t="str">
        <f t="shared" si="207"/>
        <v/>
      </c>
      <c r="W1192" t="str">
        <f t="shared" si="208"/>
        <v/>
      </c>
    </row>
    <row r="1193" spans="1:23" x14ac:dyDescent="0.2">
      <c r="A1193" s="4" t="str">
        <f>IF(ポートフォリオ実績!A1194="","", ポートフォリオ実績!A1194)</f>
        <v/>
      </c>
      <c r="B1193" t="str">
        <f>IF(ポートフォリオ実績!B1194="","", ポートフォリオ実績!B1194)</f>
        <v/>
      </c>
      <c r="C1193" s="10" t="str">
        <f>IF(ポートフォリオ実績!C1194="","", ポートフォリオ実績!C1194)</f>
        <v/>
      </c>
      <c r="D1193" s="10" t="str">
        <f>IF(ポートフォリオ実績!D1194="","", ポートフォリオ実績!D1194)</f>
        <v/>
      </c>
      <c r="E1193" s="10" t="str">
        <f>IF(ポートフォリオ実績!E1194="","", ポートフォリオ実績!E1194)</f>
        <v/>
      </c>
      <c r="F1193" s="10" t="str">
        <f>IF(ポートフォリオ実績!F1194="","", ポートフォリオ実績!F1194)</f>
        <v/>
      </c>
      <c r="G1193" t="str">
        <f t="shared" si="198"/>
        <v/>
      </c>
      <c r="H1193">
        <f>IF(B1193&lt;&gt;"", SUMIFS(ポートフォリオ実績!$D$2:$D$2001, ポートフォリオ実績!$B$2:$B$2001, B1193, ポートフォリオ実績!$A$2:$A$2001, G1193), 0)</f>
        <v>0</v>
      </c>
      <c r="I1193">
        <f>IF(B1193&lt;&gt;"", SUMIFS(ポートフォリオ実績!$C$2:$C$2001, ポートフォリオ実績!$B$2:$B$2001, B1193, ポートフォリオ実績!$A$2:$A$2001, G1193), 0)</f>
        <v>0</v>
      </c>
      <c r="J1193">
        <f t="shared" si="199"/>
        <v>0</v>
      </c>
      <c r="K1193">
        <f t="shared" si="200"/>
        <v>0</v>
      </c>
      <c r="L1193">
        <f t="shared" si="201"/>
        <v>0</v>
      </c>
      <c r="M1193">
        <f t="shared" si="202"/>
        <v>0</v>
      </c>
      <c r="N1193">
        <f t="shared" si="203"/>
        <v>0</v>
      </c>
      <c r="O1193">
        <f t="shared" si="204"/>
        <v>0</v>
      </c>
      <c r="P1193" t="str">
        <f t="shared" si="205"/>
        <v/>
      </c>
      <c r="Q1193" t="str">
        <f>IF(B1193="","", IFERROR(VLOOKUP(B1193, '基準資産配分（設定）'!$A$2:$C$2001, 3, FALSE), ""))</f>
        <v/>
      </c>
      <c r="R1193" t="str">
        <f>IF(B1193="","", IFERROR(VLOOKUP(B1193, '基準資産配分（設定）'!$A$2:$C$2001, 2, FALSE)/100, 0))</f>
        <v/>
      </c>
      <c r="S1193" t="str">
        <f>IF(B1193="","", IFERROR(SUMIFS(ベンチマークリターン!$C$2:$C$2001, ベンチマークリターン!$A$2:$A$2001, A1193, ベンチマークリターン!$B$2:$B$2001, Q1193) / 100, 0))</f>
        <v/>
      </c>
      <c r="T1193" t="str">
        <f>IF(A1193="","", SUMIFS($H$2:$H$2000, $A$2:$A$2000, A1193))</f>
        <v/>
      </c>
      <c r="U1193" t="str">
        <f t="shared" si="206"/>
        <v/>
      </c>
      <c r="V1193" t="str">
        <f t="shared" si="207"/>
        <v/>
      </c>
      <c r="W1193" t="str">
        <f t="shared" si="208"/>
        <v/>
      </c>
    </row>
    <row r="1194" spans="1:23" x14ac:dyDescent="0.2">
      <c r="A1194" s="4" t="str">
        <f>IF(ポートフォリオ実績!A1195="","", ポートフォリオ実績!A1195)</f>
        <v/>
      </c>
      <c r="B1194" t="str">
        <f>IF(ポートフォリオ実績!B1195="","", ポートフォリオ実績!B1195)</f>
        <v/>
      </c>
      <c r="C1194" s="10" t="str">
        <f>IF(ポートフォリオ実績!C1195="","", ポートフォリオ実績!C1195)</f>
        <v/>
      </c>
      <c r="D1194" s="10" t="str">
        <f>IF(ポートフォリオ実績!D1195="","", ポートフォリオ実績!D1195)</f>
        <v/>
      </c>
      <c r="E1194" s="10" t="str">
        <f>IF(ポートフォリオ実績!E1195="","", ポートフォリオ実績!E1195)</f>
        <v/>
      </c>
      <c r="F1194" s="10" t="str">
        <f>IF(ポートフォリオ実績!F1195="","", ポートフォリオ実績!F1195)</f>
        <v/>
      </c>
      <c r="G1194" t="str">
        <f t="shared" si="198"/>
        <v/>
      </c>
      <c r="H1194">
        <f>IF(B1194&lt;&gt;"", SUMIFS(ポートフォリオ実績!$D$2:$D$2001, ポートフォリオ実績!$B$2:$B$2001, B1194, ポートフォリオ実績!$A$2:$A$2001, G1194), 0)</f>
        <v>0</v>
      </c>
      <c r="I1194">
        <f>IF(B1194&lt;&gt;"", SUMIFS(ポートフォリオ実績!$C$2:$C$2001, ポートフォリオ実績!$B$2:$B$2001, B1194, ポートフォリオ実績!$A$2:$A$2001, G1194), 0)</f>
        <v>0</v>
      </c>
      <c r="J1194">
        <f t="shared" si="199"/>
        <v>0</v>
      </c>
      <c r="K1194">
        <f t="shared" si="200"/>
        <v>0</v>
      </c>
      <c r="L1194">
        <f t="shared" si="201"/>
        <v>0</v>
      </c>
      <c r="M1194">
        <f t="shared" si="202"/>
        <v>0</v>
      </c>
      <c r="N1194">
        <f t="shared" si="203"/>
        <v>0</v>
      </c>
      <c r="O1194">
        <f t="shared" si="204"/>
        <v>0</v>
      </c>
      <c r="P1194" t="str">
        <f t="shared" si="205"/>
        <v/>
      </c>
      <c r="Q1194" t="str">
        <f>IF(B1194="","", IFERROR(VLOOKUP(B1194, '基準資産配分（設定）'!$A$2:$C$2001, 3, FALSE), ""))</f>
        <v/>
      </c>
      <c r="R1194" t="str">
        <f>IF(B1194="","", IFERROR(VLOOKUP(B1194, '基準資産配分（設定）'!$A$2:$C$2001, 2, FALSE)/100, 0))</f>
        <v/>
      </c>
      <c r="S1194" t="str">
        <f>IF(B1194="","", IFERROR(SUMIFS(ベンチマークリターン!$C$2:$C$2001, ベンチマークリターン!$A$2:$A$2001, A1194, ベンチマークリターン!$B$2:$B$2001, Q1194) / 100, 0))</f>
        <v/>
      </c>
      <c r="T1194" t="str">
        <f>IF(A1194="","", SUMIFS($H$2:$H$2000, $A$2:$A$2000, A1194))</f>
        <v/>
      </c>
      <c r="U1194" t="str">
        <f t="shared" si="206"/>
        <v/>
      </c>
      <c r="V1194" t="str">
        <f t="shared" si="207"/>
        <v/>
      </c>
      <c r="W1194" t="str">
        <f t="shared" si="208"/>
        <v/>
      </c>
    </row>
    <row r="1195" spans="1:23" x14ac:dyDescent="0.2">
      <c r="A1195" s="4" t="str">
        <f>IF(ポートフォリオ実績!A1196="","", ポートフォリオ実績!A1196)</f>
        <v/>
      </c>
      <c r="B1195" t="str">
        <f>IF(ポートフォリオ実績!B1196="","", ポートフォリオ実績!B1196)</f>
        <v/>
      </c>
      <c r="C1195" s="10" t="str">
        <f>IF(ポートフォリオ実績!C1196="","", ポートフォリオ実績!C1196)</f>
        <v/>
      </c>
      <c r="D1195" s="10" t="str">
        <f>IF(ポートフォリオ実績!D1196="","", ポートフォリオ実績!D1196)</f>
        <v/>
      </c>
      <c r="E1195" s="10" t="str">
        <f>IF(ポートフォリオ実績!E1196="","", ポートフォリオ実績!E1196)</f>
        <v/>
      </c>
      <c r="F1195" s="10" t="str">
        <f>IF(ポートフォリオ実績!F1196="","", ポートフォリオ実績!F1196)</f>
        <v/>
      </c>
      <c r="G1195" t="str">
        <f t="shared" si="198"/>
        <v/>
      </c>
      <c r="H1195">
        <f>IF(B1195&lt;&gt;"", SUMIFS(ポートフォリオ実績!$D$2:$D$2001, ポートフォリオ実績!$B$2:$B$2001, B1195, ポートフォリオ実績!$A$2:$A$2001, G1195), 0)</f>
        <v>0</v>
      </c>
      <c r="I1195">
        <f>IF(B1195&lt;&gt;"", SUMIFS(ポートフォリオ実績!$C$2:$C$2001, ポートフォリオ実績!$B$2:$B$2001, B1195, ポートフォリオ実績!$A$2:$A$2001, G1195), 0)</f>
        <v>0</v>
      </c>
      <c r="J1195">
        <f t="shared" si="199"/>
        <v>0</v>
      </c>
      <c r="K1195">
        <f t="shared" si="200"/>
        <v>0</v>
      </c>
      <c r="L1195">
        <f t="shared" si="201"/>
        <v>0</v>
      </c>
      <c r="M1195">
        <f t="shared" si="202"/>
        <v>0</v>
      </c>
      <c r="N1195">
        <f t="shared" si="203"/>
        <v>0</v>
      </c>
      <c r="O1195">
        <f t="shared" si="204"/>
        <v>0</v>
      </c>
      <c r="P1195" t="str">
        <f t="shared" si="205"/>
        <v/>
      </c>
      <c r="Q1195" t="str">
        <f>IF(B1195="","", IFERROR(VLOOKUP(B1195, '基準資産配分（設定）'!$A$2:$C$2001, 3, FALSE), ""))</f>
        <v/>
      </c>
      <c r="R1195" t="str">
        <f>IF(B1195="","", IFERROR(VLOOKUP(B1195, '基準資産配分（設定）'!$A$2:$C$2001, 2, FALSE)/100, 0))</f>
        <v/>
      </c>
      <c r="S1195" t="str">
        <f>IF(B1195="","", IFERROR(SUMIFS(ベンチマークリターン!$C$2:$C$2001, ベンチマークリターン!$A$2:$A$2001, A1195, ベンチマークリターン!$B$2:$B$2001, Q1195) / 100, 0))</f>
        <v/>
      </c>
      <c r="T1195" t="str">
        <f>IF(A1195="","", SUMIFS($H$2:$H$2000, $A$2:$A$2000, A1195))</f>
        <v/>
      </c>
      <c r="U1195" t="str">
        <f t="shared" si="206"/>
        <v/>
      </c>
      <c r="V1195" t="str">
        <f t="shared" si="207"/>
        <v/>
      </c>
      <c r="W1195" t="str">
        <f t="shared" si="208"/>
        <v/>
      </c>
    </row>
    <row r="1196" spans="1:23" x14ac:dyDescent="0.2">
      <c r="A1196" s="4" t="str">
        <f>IF(ポートフォリオ実績!A1197="","", ポートフォリオ実績!A1197)</f>
        <v/>
      </c>
      <c r="B1196" t="str">
        <f>IF(ポートフォリオ実績!B1197="","", ポートフォリオ実績!B1197)</f>
        <v/>
      </c>
      <c r="C1196" s="10" t="str">
        <f>IF(ポートフォリオ実績!C1197="","", ポートフォリオ実績!C1197)</f>
        <v/>
      </c>
      <c r="D1196" s="10" t="str">
        <f>IF(ポートフォリオ実績!D1197="","", ポートフォリオ実績!D1197)</f>
        <v/>
      </c>
      <c r="E1196" s="10" t="str">
        <f>IF(ポートフォリオ実績!E1197="","", ポートフォリオ実績!E1197)</f>
        <v/>
      </c>
      <c r="F1196" s="10" t="str">
        <f>IF(ポートフォリオ実績!F1197="","", ポートフォリオ実績!F1197)</f>
        <v/>
      </c>
      <c r="G1196" t="str">
        <f t="shared" si="198"/>
        <v/>
      </c>
      <c r="H1196">
        <f>IF(B1196&lt;&gt;"", SUMIFS(ポートフォリオ実績!$D$2:$D$2001, ポートフォリオ実績!$B$2:$B$2001, B1196, ポートフォリオ実績!$A$2:$A$2001, G1196), 0)</f>
        <v>0</v>
      </c>
      <c r="I1196">
        <f>IF(B1196&lt;&gt;"", SUMIFS(ポートフォリオ実績!$C$2:$C$2001, ポートフォリオ実績!$B$2:$B$2001, B1196, ポートフォリオ実績!$A$2:$A$2001, G1196), 0)</f>
        <v>0</v>
      </c>
      <c r="J1196">
        <f t="shared" si="199"/>
        <v>0</v>
      </c>
      <c r="K1196">
        <f t="shared" si="200"/>
        <v>0</v>
      </c>
      <c r="L1196">
        <f t="shared" si="201"/>
        <v>0</v>
      </c>
      <c r="M1196">
        <f t="shared" si="202"/>
        <v>0</v>
      </c>
      <c r="N1196">
        <f t="shared" si="203"/>
        <v>0</v>
      </c>
      <c r="O1196">
        <f t="shared" si="204"/>
        <v>0</v>
      </c>
      <c r="P1196" t="str">
        <f t="shared" si="205"/>
        <v/>
      </c>
      <c r="Q1196" t="str">
        <f>IF(B1196="","", IFERROR(VLOOKUP(B1196, '基準資産配分（設定）'!$A$2:$C$2001, 3, FALSE), ""))</f>
        <v/>
      </c>
      <c r="R1196" t="str">
        <f>IF(B1196="","", IFERROR(VLOOKUP(B1196, '基準資産配分（設定）'!$A$2:$C$2001, 2, FALSE)/100, 0))</f>
        <v/>
      </c>
      <c r="S1196" t="str">
        <f>IF(B1196="","", IFERROR(SUMIFS(ベンチマークリターン!$C$2:$C$2001, ベンチマークリターン!$A$2:$A$2001, A1196, ベンチマークリターン!$B$2:$B$2001, Q1196) / 100, 0))</f>
        <v/>
      </c>
      <c r="T1196" t="str">
        <f>IF(A1196="","", SUMIFS($H$2:$H$2000, $A$2:$A$2000, A1196))</f>
        <v/>
      </c>
      <c r="U1196" t="str">
        <f t="shared" si="206"/>
        <v/>
      </c>
      <c r="V1196" t="str">
        <f t="shared" si="207"/>
        <v/>
      </c>
      <c r="W1196" t="str">
        <f t="shared" si="208"/>
        <v/>
      </c>
    </row>
    <row r="1197" spans="1:23" x14ac:dyDescent="0.2">
      <c r="A1197" s="4" t="str">
        <f>IF(ポートフォリオ実績!A1198="","", ポートフォリオ実績!A1198)</f>
        <v/>
      </c>
      <c r="B1197" t="str">
        <f>IF(ポートフォリオ実績!B1198="","", ポートフォリオ実績!B1198)</f>
        <v/>
      </c>
      <c r="C1197" s="10" t="str">
        <f>IF(ポートフォリオ実績!C1198="","", ポートフォリオ実績!C1198)</f>
        <v/>
      </c>
      <c r="D1197" s="10" t="str">
        <f>IF(ポートフォリオ実績!D1198="","", ポートフォリオ実績!D1198)</f>
        <v/>
      </c>
      <c r="E1197" s="10" t="str">
        <f>IF(ポートフォリオ実績!E1198="","", ポートフォリオ実績!E1198)</f>
        <v/>
      </c>
      <c r="F1197" s="10" t="str">
        <f>IF(ポートフォリオ実績!F1198="","", ポートフォリオ実績!F1198)</f>
        <v/>
      </c>
      <c r="G1197" t="str">
        <f t="shared" si="198"/>
        <v/>
      </c>
      <c r="H1197">
        <f>IF(B1197&lt;&gt;"", SUMIFS(ポートフォリオ実績!$D$2:$D$2001, ポートフォリオ実績!$B$2:$B$2001, B1197, ポートフォリオ実績!$A$2:$A$2001, G1197), 0)</f>
        <v>0</v>
      </c>
      <c r="I1197">
        <f>IF(B1197&lt;&gt;"", SUMIFS(ポートフォリオ実績!$C$2:$C$2001, ポートフォリオ実績!$B$2:$B$2001, B1197, ポートフォリオ実績!$A$2:$A$2001, G1197), 0)</f>
        <v>0</v>
      </c>
      <c r="J1197">
        <f t="shared" si="199"/>
        <v>0</v>
      </c>
      <c r="K1197">
        <f t="shared" si="200"/>
        <v>0</v>
      </c>
      <c r="L1197">
        <f t="shared" si="201"/>
        <v>0</v>
      </c>
      <c r="M1197">
        <f t="shared" si="202"/>
        <v>0</v>
      </c>
      <c r="N1197">
        <f t="shared" si="203"/>
        <v>0</v>
      </c>
      <c r="O1197">
        <f t="shared" si="204"/>
        <v>0</v>
      </c>
      <c r="P1197" t="str">
        <f t="shared" si="205"/>
        <v/>
      </c>
      <c r="Q1197" t="str">
        <f>IF(B1197="","", IFERROR(VLOOKUP(B1197, '基準資産配分（設定）'!$A$2:$C$2001, 3, FALSE), ""))</f>
        <v/>
      </c>
      <c r="R1197" t="str">
        <f>IF(B1197="","", IFERROR(VLOOKUP(B1197, '基準資産配分（設定）'!$A$2:$C$2001, 2, FALSE)/100, 0))</f>
        <v/>
      </c>
      <c r="S1197" t="str">
        <f>IF(B1197="","", IFERROR(SUMIFS(ベンチマークリターン!$C$2:$C$2001, ベンチマークリターン!$A$2:$A$2001, A1197, ベンチマークリターン!$B$2:$B$2001, Q1197) / 100, 0))</f>
        <v/>
      </c>
      <c r="T1197" t="str">
        <f>IF(A1197="","", SUMIFS($H$2:$H$2000, $A$2:$A$2000, A1197))</f>
        <v/>
      </c>
      <c r="U1197" t="str">
        <f t="shared" si="206"/>
        <v/>
      </c>
      <c r="V1197" t="str">
        <f t="shared" si="207"/>
        <v/>
      </c>
      <c r="W1197" t="str">
        <f t="shared" si="208"/>
        <v/>
      </c>
    </row>
    <row r="1198" spans="1:23" x14ac:dyDescent="0.2">
      <c r="A1198" s="4" t="str">
        <f>IF(ポートフォリオ実績!A1199="","", ポートフォリオ実績!A1199)</f>
        <v/>
      </c>
      <c r="B1198" t="str">
        <f>IF(ポートフォリオ実績!B1199="","", ポートフォリオ実績!B1199)</f>
        <v/>
      </c>
      <c r="C1198" s="10" t="str">
        <f>IF(ポートフォリオ実績!C1199="","", ポートフォリオ実績!C1199)</f>
        <v/>
      </c>
      <c r="D1198" s="10" t="str">
        <f>IF(ポートフォリオ実績!D1199="","", ポートフォリオ実績!D1199)</f>
        <v/>
      </c>
      <c r="E1198" s="10" t="str">
        <f>IF(ポートフォリオ実績!E1199="","", ポートフォリオ実績!E1199)</f>
        <v/>
      </c>
      <c r="F1198" s="10" t="str">
        <f>IF(ポートフォリオ実績!F1199="","", ポートフォリオ実績!F1199)</f>
        <v/>
      </c>
      <c r="G1198" t="str">
        <f t="shared" si="198"/>
        <v/>
      </c>
      <c r="H1198">
        <f>IF(B1198&lt;&gt;"", SUMIFS(ポートフォリオ実績!$D$2:$D$2001, ポートフォリオ実績!$B$2:$B$2001, B1198, ポートフォリオ実績!$A$2:$A$2001, G1198), 0)</f>
        <v>0</v>
      </c>
      <c r="I1198">
        <f>IF(B1198&lt;&gt;"", SUMIFS(ポートフォリオ実績!$C$2:$C$2001, ポートフォリオ実績!$B$2:$B$2001, B1198, ポートフォリオ実績!$A$2:$A$2001, G1198), 0)</f>
        <v>0</v>
      </c>
      <c r="J1198">
        <f t="shared" si="199"/>
        <v>0</v>
      </c>
      <c r="K1198">
        <f t="shared" si="200"/>
        <v>0</v>
      </c>
      <c r="L1198">
        <f t="shared" si="201"/>
        <v>0</v>
      </c>
      <c r="M1198">
        <f t="shared" si="202"/>
        <v>0</v>
      </c>
      <c r="N1198">
        <f t="shared" si="203"/>
        <v>0</v>
      </c>
      <c r="O1198">
        <f t="shared" si="204"/>
        <v>0</v>
      </c>
      <c r="P1198" t="str">
        <f t="shared" si="205"/>
        <v/>
      </c>
      <c r="Q1198" t="str">
        <f>IF(B1198="","", IFERROR(VLOOKUP(B1198, '基準資産配分（設定）'!$A$2:$C$2001, 3, FALSE), ""))</f>
        <v/>
      </c>
      <c r="R1198" t="str">
        <f>IF(B1198="","", IFERROR(VLOOKUP(B1198, '基準資産配分（設定）'!$A$2:$C$2001, 2, FALSE)/100, 0))</f>
        <v/>
      </c>
      <c r="S1198" t="str">
        <f>IF(B1198="","", IFERROR(SUMIFS(ベンチマークリターン!$C$2:$C$2001, ベンチマークリターン!$A$2:$A$2001, A1198, ベンチマークリターン!$B$2:$B$2001, Q1198) / 100, 0))</f>
        <v/>
      </c>
      <c r="T1198" t="str">
        <f>IF(A1198="","", SUMIFS($H$2:$H$2000, $A$2:$A$2000, A1198))</f>
        <v/>
      </c>
      <c r="U1198" t="str">
        <f t="shared" si="206"/>
        <v/>
      </c>
      <c r="V1198" t="str">
        <f t="shared" si="207"/>
        <v/>
      </c>
      <c r="W1198" t="str">
        <f t="shared" si="208"/>
        <v/>
      </c>
    </row>
    <row r="1199" spans="1:23" x14ac:dyDescent="0.2">
      <c r="A1199" s="4" t="str">
        <f>IF(ポートフォリオ実績!A1200="","", ポートフォリオ実績!A1200)</f>
        <v/>
      </c>
      <c r="B1199" t="str">
        <f>IF(ポートフォリオ実績!B1200="","", ポートフォリオ実績!B1200)</f>
        <v/>
      </c>
      <c r="C1199" s="10" t="str">
        <f>IF(ポートフォリオ実績!C1200="","", ポートフォリオ実績!C1200)</f>
        <v/>
      </c>
      <c r="D1199" s="10" t="str">
        <f>IF(ポートフォリオ実績!D1200="","", ポートフォリオ実績!D1200)</f>
        <v/>
      </c>
      <c r="E1199" s="10" t="str">
        <f>IF(ポートフォリオ実績!E1200="","", ポートフォリオ実績!E1200)</f>
        <v/>
      </c>
      <c r="F1199" s="10" t="str">
        <f>IF(ポートフォリオ実績!F1200="","", ポートフォリオ実績!F1200)</f>
        <v/>
      </c>
      <c r="G1199" t="str">
        <f t="shared" si="198"/>
        <v/>
      </c>
      <c r="H1199">
        <f>IF(B1199&lt;&gt;"", SUMIFS(ポートフォリオ実績!$D$2:$D$2001, ポートフォリオ実績!$B$2:$B$2001, B1199, ポートフォリオ実績!$A$2:$A$2001, G1199), 0)</f>
        <v>0</v>
      </c>
      <c r="I1199">
        <f>IF(B1199&lt;&gt;"", SUMIFS(ポートフォリオ実績!$C$2:$C$2001, ポートフォリオ実績!$B$2:$B$2001, B1199, ポートフォリオ実績!$A$2:$A$2001, G1199), 0)</f>
        <v>0</v>
      </c>
      <c r="J1199">
        <f t="shared" si="199"/>
        <v>0</v>
      </c>
      <c r="K1199">
        <f t="shared" si="200"/>
        <v>0</v>
      </c>
      <c r="L1199">
        <f t="shared" si="201"/>
        <v>0</v>
      </c>
      <c r="M1199">
        <f t="shared" si="202"/>
        <v>0</v>
      </c>
      <c r="N1199">
        <f t="shared" si="203"/>
        <v>0</v>
      </c>
      <c r="O1199">
        <f t="shared" si="204"/>
        <v>0</v>
      </c>
      <c r="P1199" t="str">
        <f t="shared" si="205"/>
        <v/>
      </c>
      <c r="Q1199" t="str">
        <f>IF(B1199="","", IFERROR(VLOOKUP(B1199, '基準資産配分（設定）'!$A$2:$C$2001, 3, FALSE), ""))</f>
        <v/>
      </c>
      <c r="R1199" t="str">
        <f>IF(B1199="","", IFERROR(VLOOKUP(B1199, '基準資産配分（設定）'!$A$2:$C$2001, 2, FALSE)/100, 0))</f>
        <v/>
      </c>
      <c r="S1199" t="str">
        <f>IF(B1199="","", IFERROR(SUMIFS(ベンチマークリターン!$C$2:$C$2001, ベンチマークリターン!$A$2:$A$2001, A1199, ベンチマークリターン!$B$2:$B$2001, Q1199) / 100, 0))</f>
        <v/>
      </c>
      <c r="T1199" t="str">
        <f>IF(A1199="","", SUMIFS($H$2:$H$2000, $A$2:$A$2000, A1199))</f>
        <v/>
      </c>
      <c r="U1199" t="str">
        <f t="shared" si="206"/>
        <v/>
      </c>
      <c r="V1199" t="str">
        <f t="shared" si="207"/>
        <v/>
      </c>
      <c r="W1199" t="str">
        <f t="shared" si="208"/>
        <v/>
      </c>
    </row>
    <row r="1200" spans="1:23" x14ac:dyDescent="0.2">
      <c r="A1200" s="4" t="str">
        <f>IF(ポートフォリオ実績!A1201="","", ポートフォリオ実績!A1201)</f>
        <v/>
      </c>
      <c r="B1200" t="str">
        <f>IF(ポートフォリオ実績!B1201="","", ポートフォリオ実績!B1201)</f>
        <v/>
      </c>
      <c r="C1200" s="10" t="str">
        <f>IF(ポートフォリオ実績!C1201="","", ポートフォリオ実績!C1201)</f>
        <v/>
      </c>
      <c r="D1200" s="10" t="str">
        <f>IF(ポートフォリオ実績!D1201="","", ポートフォリオ実績!D1201)</f>
        <v/>
      </c>
      <c r="E1200" s="10" t="str">
        <f>IF(ポートフォリオ実績!E1201="","", ポートフォリオ実績!E1201)</f>
        <v/>
      </c>
      <c r="F1200" s="10" t="str">
        <f>IF(ポートフォリオ実績!F1201="","", ポートフォリオ実績!F1201)</f>
        <v/>
      </c>
      <c r="G1200" t="str">
        <f t="shared" si="198"/>
        <v/>
      </c>
      <c r="H1200">
        <f>IF(B1200&lt;&gt;"", SUMIFS(ポートフォリオ実績!$D$2:$D$2001, ポートフォリオ実績!$B$2:$B$2001, B1200, ポートフォリオ実績!$A$2:$A$2001, G1200), 0)</f>
        <v>0</v>
      </c>
      <c r="I1200">
        <f>IF(B1200&lt;&gt;"", SUMIFS(ポートフォリオ実績!$C$2:$C$2001, ポートフォリオ実績!$B$2:$B$2001, B1200, ポートフォリオ実績!$A$2:$A$2001, G1200), 0)</f>
        <v>0</v>
      </c>
      <c r="J1200">
        <f t="shared" si="199"/>
        <v>0</v>
      </c>
      <c r="K1200">
        <f t="shared" si="200"/>
        <v>0</v>
      </c>
      <c r="L1200">
        <f t="shared" si="201"/>
        <v>0</v>
      </c>
      <c r="M1200">
        <f t="shared" si="202"/>
        <v>0</v>
      </c>
      <c r="N1200">
        <f t="shared" si="203"/>
        <v>0</v>
      </c>
      <c r="O1200">
        <f t="shared" si="204"/>
        <v>0</v>
      </c>
      <c r="P1200" t="str">
        <f t="shared" si="205"/>
        <v/>
      </c>
      <c r="Q1200" t="str">
        <f>IF(B1200="","", IFERROR(VLOOKUP(B1200, '基準資産配分（設定）'!$A$2:$C$2001, 3, FALSE), ""))</f>
        <v/>
      </c>
      <c r="R1200" t="str">
        <f>IF(B1200="","", IFERROR(VLOOKUP(B1200, '基準資産配分（設定）'!$A$2:$C$2001, 2, FALSE)/100, 0))</f>
        <v/>
      </c>
      <c r="S1200" t="str">
        <f>IF(B1200="","", IFERROR(SUMIFS(ベンチマークリターン!$C$2:$C$2001, ベンチマークリターン!$A$2:$A$2001, A1200, ベンチマークリターン!$B$2:$B$2001, Q1200) / 100, 0))</f>
        <v/>
      </c>
      <c r="T1200" t="str">
        <f>IF(A1200="","", SUMIFS($H$2:$H$2000, $A$2:$A$2000, A1200))</f>
        <v/>
      </c>
      <c r="U1200" t="str">
        <f t="shared" si="206"/>
        <v/>
      </c>
      <c r="V1200" t="str">
        <f t="shared" si="207"/>
        <v/>
      </c>
      <c r="W1200" t="str">
        <f t="shared" si="208"/>
        <v/>
      </c>
    </row>
    <row r="1201" spans="1:23" x14ac:dyDescent="0.2">
      <c r="A1201" s="4" t="str">
        <f>IF(ポートフォリオ実績!A1202="","", ポートフォリオ実績!A1202)</f>
        <v/>
      </c>
      <c r="B1201" t="str">
        <f>IF(ポートフォリオ実績!B1202="","", ポートフォリオ実績!B1202)</f>
        <v/>
      </c>
      <c r="C1201" s="10" t="str">
        <f>IF(ポートフォリオ実績!C1202="","", ポートフォリオ実績!C1202)</f>
        <v/>
      </c>
      <c r="D1201" s="10" t="str">
        <f>IF(ポートフォリオ実績!D1202="","", ポートフォリオ実績!D1202)</f>
        <v/>
      </c>
      <c r="E1201" s="10" t="str">
        <f>IF(ポートフォリオ実績!E1202="","", ポートフォリオ実績!E1202)</f>
        <v/>
      </c>
      <c r="F1201" s="10" t="str">
        <f>IF(ポートフォリオ実績!F1202="","", ポートフォリオ実績!F1202)</f>
        <v/>
      </c>
      <c r="G1201" t="str">
        <f t="shared" si="198"/>
        <v/>
      </c>
      <c r="H1201">
        <f>IF(B1201&lt;&gt;"", SUMIFS(ポートフォリオ実績!$D$2:$D$2001, ポートフォリオ実績!$B$2:$B$2001, B1201, ポートフォリオ実績!$A$2:$A$2001, G1201), 0)</f>
        <v>0</v>
      </c>
      <c r="I1201">
        <f>IF(B1201&lt;&gt;"", SUMIFS(ポートフォリオ実績!$C$2:$C$2001, ポートフォリオ実績!$B$2:$B$2001, B1201, ポートフォリオ実績!$A$2:$A$2001, G1201), 0)</f>
        <v>0</v>
      </c>
      <c r="J1201">
        <f t="shared" si="199"/>
        <v>0</v>
      </c>
      <c r="K1201">
        <f t="shared" si="200"/>
        <v>0</v>
      </c>
      <c r="L1201">
        <f t="shared" si="201"/>
        <v>0</v>
      </c>
      <c r="M1201">
        <f t="shared" si="202"/>
        <v>0</v>
      </c>
      <c r="N1201">
        <f t="shared" si="203"/>
        <v>0</v>
      </c>
      <c r="O1201">
        <f t="shared" si="204"/>
        <v>0</v>
      </c>
      <c r="P1201" t="str">
        <f t="shared" si="205"/>
        <v/>
      </c>
      <c r="Q1201" t="str">
        <f>IF(B1201="","", IFERROR(VLOOKUP(B1201, '基準資産配分（設定）'!$A$2:$C$2001, 3, FALSE), ""))</f>
        <v/>
      </c>
      <c r="R1201" t="str">
        <f>IF(B1201="","", IFERROR(VLOOKUP(B1201, '基準資産配分（設定）'!$A$2:$C$2001, 2, FALSE)/100, 0))</f>
        <v/>
      </c>
      <c r="S1201" t="str">
        <f>IF(B1201="","", IFERROR(SUMIFS(ベンチマークリターン!$C$2:$C$2001, ベンチマークリターン!$A$2:$A$2001, A1201, ベンチマークリターン!$B$2:$B$2001, Q1201) / 100, 0))</f>
        <v/>
      </c>
      <c r="T1201" t="str">
        <f>IF(A1201="","", SUMIFS($H$2:$H$2000, $A$2:$A$2000, A1201))</f>
        <v/>
      </c>
      <c r="U1201" t="str">
        <f t="shared" si="206"/>
        <v/>
      </c>
      <c r="V1201" t="str">
        <f t="shared" si="207"/>
        <v/>
      </c>
      <c r="W1201" t="str">
        <f t="shared" si="208"/>
        <v/>
      </c>
    </row>
    <row r="1202" spans="1:23" x14ac:dyDescent="0.2">
      <c r="A1202" s="4" t="str">
        <f>IF(ポートフォリオ実績!A1203="","", ポートフォリオ実績!A1203)</f>
        <v/>
      </c>
      <c r="B1202" t="str">
        <f>IF(ポートフォリオ実績!B1203="","", ポートフォリオ実績!B1203)</f>
        <v/>
      </c>
      <c r="C1202" s="10" t="str">
        <f>IF(ポートフォリオ実績!C1203="","", ポートフォリオ実績!C1203)</f>
        <v/>
      </c>
      <c r="D1202" s="10" t="str">
        <f>IF(ポートフォリオ実績!D1203="","", ポートフォリオ実績!D1203)</f>
        <v/>
      </c>
      <c r="E1202" s="10" t="str">
        <f>IF(ポートフォリオ実績!E1203="","", ポートフォリオ実績!E1203)</f>
        <v/>
      </c>
      <c r="F1202" s="10" t="str">
        <f>IF(ポートフォリオ実績!F1203="","", ポートフォリオ実績!F1203)</f>
        <v/>
      </c>
      <c r="G1202" t="str">
        <f t="shared" si="198"/>
        <v/>
      </c>
      <c r="H1202">
        <f>IF(B1202&lt;&gt;"", SUMIFS(ポートフォリオ実績!$D$2:$D$2001, ポートフォリオ実績!$B$2:$B$2001, B1202, ポートフォリオ実績!$A$2:$A$2001, G1202), 0)</f>
        <v>0</v>
      </c>
      <c r="I1202">
        <f>IF(B1202&lt;&gt;"", SUMIFS(ポートフォリオ実績!$C$2:$C$2001, ポートフォリオ実績!$B$2:$B$2001, B1202, ポートフォリオ実績!$A$2:$A$2001, G1202), 0)</f>
        <v>0</v>
      </c>
      <c r="J1202">
        <f t="shared" si="199"/>
        <v>0</v>
      </c>
      <c r="K1202">
        <f t="shared" si="200"/>
        <v>0</v>
      </c>
      <c r="L1202">
        <f t="shared" si="201"/>
        <v>0</v>
      </c>
      <c r="M1202">
        <f t="shared" si="202"/>
        <v>0</v>
      </c>
      <c r="N1202">
        <f t="shared" si="203"/>
        <v>0</v>
      </c>
      <c r="O1202">
        <f t="shared" si="204"/>
        <v>0</v>
      </c>
      <c r="P1202" t="str">
        <f t="shared" si="205"/>
        <v/>
      </c>
      <c r="Q1202" t="str">
        <f>IF(B1202="","", IFERROR(VLOOKUP(B1202, '基準資産配分（設定）'!$A$2:$C$2001, 3, FALSE), ""))</f>
        <v/>
      </c>
      <c r="R1202" t="str">
        <f>IF(B1202="","", IFERROR(VLOOKUP(B1202, '基準資産配分（設定）'!$A$2:$C$2001, 2, FALSE)/100, 0))</f>
        <v/>
      </c>
      <c r="S1202" t="str">
        <f>IF(B1202="","", IFERROR(SUMIFS(ベンチマークリターン!$C$2:$C$2001, ベンチマークリターン!$A$2:$A$2001, A1202, ベンチマークリターン!$B$2:$B$2001, Q1202) / 100, 0))</f>
        <v/>
      </c>
      <c r="T1202" t="str">
        <f>IF(A1202="","", SUMIFS($H$2:$H$2000, $A$2:$A$2000, A1202))</f>
        <v/>
      </c>
      <c r="U1202" t="str">
        <f t="shared" si="206"/>
        <v/>
      </c>
      <c r="V1202" t="str">
        <f t="shared" si="207"/>
        <v/>
      </c>
      <c r="W1202" t="str">
        <f t="shared" si="208"/>
        <v/>
      </c>
    </row>
    <row r="1203" spans="1:23" x14ac:dyDescent="0.2">
      <c r="A1203" s="4" t="str">
        <f>IF(ポートフォリオ実績!A1204="","", ポートフォリオ実績!A1204)</f>
        <v/>
      </c>
      <c r="B1203" t="str">
        <f>IF(ポートフォリオ実績!B1204="","", ポートフォリオ実績!B1204)</f>
        <v/>
      </c>
      <c r="C1203" s="10" t="str">
        <f>IF(ポートフォリオ実績!C1204="","", ポートフォリオ実績!C1204)</f>
        <v/>
      </c>
      <c r="D1203" s="10" t="str">
        <f>IF(ポートフォリオ実績!D1204="","", ポートフォリオ実績!D1204)</f>
        <v/>
      </c>
      <c r="E1203" s="10" t="str">
        <f>IF(ポートフォリオ実績!E1204="","", ポートフォリオ実績!E1204)</f>
        <v/>
      </c>
      <c r="F1203" s="10" t="str">
        <f>IF(ポートフォリオ実績!F1204="","", ポートフォリオ実績!F1204)</f>
        <v/>
      </c>
      <c r="G1203" t="str">
        <f t="shared" si="198"/>
        <v/>
      </c>
      <c r="H1203">
        <f>IF(B1203&lt;&gt;"", SUMIFS(ポートフォリオ実績!$D$2:$D$2001, ポートフォリオ実績!$B$2:$B$2001, B1203, ポートフォリオ実績!$A$2:$A$2001, G1203), 0)</f>
        <v>0</v>
      </c>
      <c r="I1203">
        <f>IF(B1203&lt;&gt;"", SUMIFS(ポートフォリオ実績!$C$2:$C$2001, ポートフォリオ実績!$B$2:$B$2001, B1203, ポートフォリオ実績!$A$2:$A$2001, G1203), 0)</f>
        <v>0</v>
      </c>
      <c r="J1203">
        <f t="shared" si="199"/>
        <v>0</v>
      </c>
      <c r="K1203">
        <f t="shared" si="200"/>
        <v>0</v>
      </c>
      <c r="L1203">
        <f t="shared" si="201"/>
        <v>0</v>
      </c>
      <c r="M1203">
        <f t="shared" si="202"/>
        <v>0</v>
      </c>
      <c r="N1203">
        <f t="shared" si="203"/>
        <v>0</v>
      </c>
      <c r="O1203">
        <f t="shared" si="204"/>
        <v>0</v>
      </c>
      <c r="P1203" t="str">
        <f t="shared" si="205"/>
        <v/>
      </c>
      <c r="Q1203" t="str">
        <f>IF(B1203="","", IFERROR(VLOOKUP(B1203, '基準資産配分（設定）'!$A$2:$C$2001, 3, FALSE), ""))</f>
        <v/>
      </c>
      <c r="R1203" t="str">
        <f>IF(B1203="","", IFERROR(VLOOKUP(B1203, '基準資産配分（設定）'!$A$2:$C$2001, 2, FALSE)/100, 0))</f>
        <v/>
      </c>
      <c r="S1203" t="str">
        <f>IF(B1203="","", IFERROR(SUMIFS(ベンチマークリターン!$C$2:$C$2001, ベンチマークリターン!$A$2:$A$2001, A1203, ベンチマークリターン!$B$2:$B$2001, Q1203) / 100, 0))</f>
        <v/>
      </c>
      <c r="T1203" t="str">
        <f>IF(A1203="","", SUMIFS($H$2:$H$2000, $A$2:$A$2000, A1203))</f>
        <v/>
      </c>
      <c r="U1203" t="str">
        <f t="shared" si="206"/>
        <v/>
      </c>
      <c r="V1203" t="str">
        <f t="shared" si="207"/>
        <v/>
      </c>
      <c r="W1203" t="str">
        <f t="shared" si="208"/>
        <v/>
      </c>
    </row>
    <row r="1204" spans="1:23" x14ac:dyDescent="0.2">
      <c r="A1204" s="4" t="str">
        <f>IF(ポートフォリオ実績!A1205="","", ポートフォリオ実績!A1205)</f>
        <v/>
      </c>
      <c r="B1204" t="str">
        <f>IF(ポートフォリオ実績!B1205="","", ポートフォリオ実績!B1205)</f>
        <v/>
      </c>
      <c r="C1204" s="10" t="str">
        <f>IF(ポートフォリオ実績!C1205="","", ポートフォリオ実績!C1205)</f>
        <v/>
      </c>
      <c r="D1204" s="10" t="str">
        <f>IF(ポートフォリオ実績!D1205="","", ポートフォリオ実績!D1205)</f>
        <v/>
      </c>
      <c r="E1204" s="10" t="str">
        <f>IF(ポートフォリオ実績!E1205="","", ポートフォリオ実績!E1205)</f>
        <v/>
      </c>
      <c r="F1204" s="10" t="str">
        <f>IF(ポートフォリオ実績!F1205="","", ポートフォリオ実績!F1205)</f>
        <v/>
      </c>
      <c r="G1204" t="str">
        <f t="shared" si="198"/>
        <v/>
      </c>
      <c r="H1204">
        <f>IF(B1204&lt;&gt;"", SUMIFS(ポートフォリオ実績!$D$2:$D$2001, ポートフォリオ実績!$B$2:$B$2001, B1204, ポートフォリオ実績!$A$2:$A$2001, G1204), 0)</f>
        <v>0</v>
      </c>
      <c r="I1204">
        <f>IF(B1204&lt;&gt;"", SUMIFS(ポートフォリオ実績!$C$2:$C$2001, ポートフォリオ実績!$B$2:$B$2001, B1204, ポートフォリオ実績!$A$2:$A$2001, G1204), 0)</f>
        <v>0</v>
      </c>
      <c r="J1204">
        <f t="shared" si="199"/>
        <v>0</v>
      </c>
      <c r="K1204">
        <f t="shared" si="200"/>
        <v>0</v>
      </c>
      <c r="L1204">
        <f t="shared" si="201"/>
        <v>0</v>
      </c>
      <c r="M1204">
        <f t="shared" si="202"/>
        <v>0</v>
      </c>
      <c r="N1204">
        <f t="shared" si="203"/>
        <v>0</v>
      </c>
      <c r="O1204">
        <f t="shared" si="204"/>
        <v>0</v>
      </c>
      <c r="P1204" t="str">
        <f t="shared" si="205"/>
        <v/>
      </c>
      <c r="Q1204" t="str">
        <f>IF(B1204="","", IFERROR(VLOOKUP(B1204, '基準資産配分（設定）'!$A$2:$C$2001, 3, FALSE), ""))</f>
        <v/>
      </c>
      <c r="R1204" t="str">
        <f>IF(B1204="","", IFERROR(VLOOKUP(B1204, '基準資産配分（設定）'!$A$2:$C$2001, 2, FALSE)/100, 0))</f>
        <v/>
      </c>
      <c r="S1204" t="str">
        <f>IF(B1204="","", IFERROR(SUMIFS(ベンチマークリターン!$C$2:$C$2001, ベンチマークリターン!$A$2:$A$2001, A1204, ベンチマークリターン!$B$2:$B$2001, Q1204) / 100, 0))</f>
        <v/>
      </c>
      <c r="T1204" t="str">
        <f>IF(A1204="","", SUMIFS($H$2:$H$2000, $A$2:$A$2000, A1204))</f>
        <v/>
      </c>
      <c r="U1204" t="str">
        <f t="shared" si="206"/>
        <v/>
      </c>
      <c r="V1204" t="str">
        <f t="shared" si="207"/>
        <v/>
      </c>
      <c r="W1204" t="str">
        <f t="shared" si="208"/>
        <v/>
      </c>
    </row>
    <row r="1205" spans="1:23" x14ac:dyDescent="0.2">
      <c r="A1205" s="4" t="str">
        <f>IF(ポートフォリオ実績!A1206="","", ポートフォリオ実績!A1206)</f>
        <v/>
      </c>
      <c r="B1205" t="str">
        <f>IF(ポートフォリオ実績!B1206="","", ポートフォリオ実績!B1206)</f>
        <v/>
      </c>
      <c r="C1205" s="10" t="str">
        <f>IF(ポートフォリオ実績!C1206="","", ポートフォリオ実績!C1206)</f>
        <v/>
      </c>
      <c r="D1205" s="10" t="str">
        <f>IF(ポートフォリオ実績!D1206="","", ポートフォリオ実績!D1206)</f>
        <v/>
      </c>
      <c r="E1205" s="10" t="str">
        <f>IF(ポートフォリオ実績!E1206="","", ポートフォリオ実績!E1206)</f>
        <v/>
      </c>
      <c r="F1205" s="10" t="str">
        <f>IF(ポートフォリオ実績!F1206="","", ポートフォリオ実績!F1206)</f>
        <v/>
      </c>
      <c r="G1205" t="str">
        <f t="shared" si="198"/>
        <v/>
      </c>
      <c r="H1205">
        <f>IF(B1205&lt;&gt;"", SUMIFS(ポートフォリオ実績!$D$2:$D$2001, ポートフォリオ実績!$B$2:$B$2001, B1205, ポートフォリオ実績!$A$2:$A$2001, G1205), 0)</f>
        <v>0</v>
      </c>
      <c r="I1205">
        <f>IF(B1205&lt;&gt;"", SUMIFS(ポートフォリオ実績!$C$2:$C$2001, ポートフォリオ実績!$B$2:$B$2001, B1205, ポートフォリオ実績!$A$2:$A$2001, G1205), 0)</f>
        <v>0</v>
      </c>
      <c r="J1205">
        <f t="shared" si="199"/>
        <v>0</v>
      </c>
      <c r="K1205">
        <f t="shared" si="200"/>
        <v>0</v>
      </c>
      <c r="L1205">
        <f t="shared" si="201"/>
        <v>0</v>
      </c>
      <c r="M1205">
        <f t="shared" si="202"/>
        <v>0</v>
      </c>
      <c r="N1205">
        <f t="shared" si="203"/>
        <v>0</v>
      </c>
      <c r="O1205">
        <f t="shared" si="204"/>
        <v>0</v>
      </c>
      <c r="P1205" t="str">
        <f t="shared" si="205"/>
        <v/>
      </c>
      <c r="Q1205" t="str">
        <f>IF(B1205="","", IFERROR(VLOOKUP(B1205, '基準資産配分（設定）'!$A$2:$C$2001, 3, FALSE), ""))</f>
        <v/>
      </c>
      <c r="R1205" t="str">
        <f>IF(B1205="","", IFERROR(VLOOKUP(B1205, '基準資産配分（設定）'!$A$2:$C$2001, 2, FALSE)/100, 0))</f>
        <v/>
      </c>
      <c r="S1205" t="str">
        <f>IF(B1205="","", IFERROR(SUMIFS(ベンチマークリターン!$C$2:$C$2001, ベンチマークリターン!$A$2:$A$2001, A1205, ベンチマークリターン!$B$2:$B$2001, Q1205) / 100, 0))</f>
        <v/>
      </c>
      <c r="T1205" t="str">
        <f>IF(A1205="","", SUMIFS($H$2:$H$2000, $A$2:$A$2000, A1205))</f>
        <v/>
      </c>
      <c r="U1205" t="str">
        <f t="shared" si="206"/>
        <v/>
      </c>
      <c r="V1205" t="str">
        <f t="shared" si="207"/>
        <v/>
      </c>
      <c r="W1205" t="str">
        <f t="shared" si="208"/>
        <v/>
      </c>
    </row>
    <row r="1206" spans="1:23" x14ac:dyDescent="0.2">
      <c r="A1206" s="4" t="str">
        <f>IF(ポートフォリオ実績!A1207="","", ポートフォリオ実績!A1207)</f>
        <v/>
      </c>
      <c r="B1206" t="str">
        <f>IF(ポートフォリオ実績!B1207="","", ポートフォリオ実績!B1207)</f>
        <v/>
      </c>
      <c r="C1206" s="10" t="str">
        <f>IF(ポートフォリオ実績!C1207="","", ポートフォリオ実績!C1207)</f>
        <v/>
      </c>
      <c r="D1206" s="10" t="str">
        <f>IF(ポートフォリオ実績!D1207="","", ポートフォリオ実績!D1207)</f>
        <v/>
      </c>
      <c r="E1206" s="10" t="str">
        <f>IF(ポートフォリオ実績!E1207="","", ポートフォリオ実績!E1207)</f>
        <v/>
      </c>
      <c r="F1206" s="10" t="str">
        <f>IF(ポートフォリオ実績!F1207="","", ポートフォリオ実績!F1207)</f>
        <v/>
      </c>
      <c r="G1206" t="str">
        <f t="shared" si="198"/>
        <v/>
      </c>
      <c r="H1206">
        <f>IF(B1206&lt;&gt;"", SUMIFS(ポートフォリオ実績!$D$2:$D$2001, ポートフォリオ実績!$B$2:$B$2001, B1206, ポートフォリオ実績!$A$2:$A$2001, G1206), 0)</f>
        <v>0</v>
      </c>
      <c r="I1206">
        <f>IF(B1206&lt;&gt;"", SUMIFS(ポートフォリオ実績!$C$2:$C$2001, ポートフォリオ実績!$B$2:$B$2001, B1206, ポートフォリオ実績!$A$2:$A$2001, G1206), 0)</f>
        <v>0</v>
      </c>
      <c r="J1206">
        <f t="shared" si="199"/>
        <v>0</v>
      </c>
      <c r="K1206">
        <f t="shared" si="200"/>
        <v>0</v>
      </c>
      <c r="L1206">
        <f t="shared" si="201"/>
        <v>0</v>
      </c>
      <c r="M1206">
        <f t="shared" si="202"/>
        <v>0</v>
      </c>
      <c r="N1206">
        <f t="shared" si="203"/>
        <v>0</v>
      </c>
      <c r="O1206">
        <f t="shared" si="204"/>
        <v>0</v>
      </c>
      <c r="P1206" t="str">
        <f t="shared" si="205"/>
        <v/>
      </c>
      <c r="Q1206" t="str">
        <f>IF(B1206="","", IFERROR(VLOOKUP(B1206, '基準資産配分（設定）'!$A$2:$C$2001, 3, FALSE), ""))</f>
        <v/>
      </c>
      <c r="R1206" t="str">
        <f>IF(B1206="","", IFERROR(VLOOKUP(B1206, '基準資産配分（設定）'!$A$2:$C$2001, 2, FALSE)/100, 0))</f>
        <v/>
      </c>
      <c r="S1206" t="str">
        <f>IF(B1206="","", IFERROR(SUMIFS(ベンチマークリターン!$C$2:$C$2001, ベンチマークリターン!$A$2:$A$2001, A1206, ベンチマークリターン!$B$2:$B$2001, Q1206) / 100, 0))</f>
        <v/>
      </c>
      <c r="T1206" t="str">
        <f>IF(A1206="","", SUMIFS($H$2:$H$2000, $A$2:$A$2000, A1206))</f>
        <v/>
      </c>
      <c r="U1206" t="str">
        <f t="shared" si="206"/>
        <v/>
      </c>
      <c r="V1206" t="str">
        <f t="shared" si="207"/>
        <v/>
      </c>
      <c r="W1206" t="str">
        <f t="shared" si="208"/>
        <v/>
      </c>
    </row>
    <row r="1207" spans="1:23" x14ac:dyDescent="0.2">
      <c r="A1207" s="4" t="str">
        <f>IF(ポートフォリオ実績!A1208="","", ポートフォリオ実績!A1208)</f>
        <v/>
      </c>
      <c r="B1207" t="str">
        <f>IF(ポートフォリオ実績!B1208="","", ポートフォリオ実績!B1208)</f>
        <v/>
      </c>
      <c r="C1207" s="10" t="str">
        <f>IF(ポートフォリオ実績!C1208="","", ポートフォリオ実績!C1208)</f>
        <v/>
      </c>
      <c r="D1207" s="10" t="str">
        <f>IF(ポートフォリオ実績!D1208="","", ポートフォリオ実績!D1208)</f>
        <v/>
      </c>
      <c r="E1207" s="10" t="str">
        <f>IF(ポートフォリオ実績!E1208="","", ポートフォリオ実績!E1208)</f>
        <v/>
      </c>
      <c r="F1207" s="10" t="str">
        <f>IF(ポートフォリオ実績!F1208="","", ポートフォリオ実績!F1208)</f>
        <v/>
      </c>
      <c r="G1207" t="str">
        <f t="shared" si="198"/>
        <v/>
      </c>
      <c r="H1207">
        <f>IF(B1207&lt;&gt;"", SUMIFS(ポートフォリオ実績!$D$2:$D$2001, ポートフォリオ実績!$B$2:$B$2001, B1207, ポートフォリオ実績!$A$2:$A$2001, G1207), 0)</f>
        <v>0</v>
      </c>
      <c r="I1207">
        <f>IF(B1207&lt;&gt;"", SUMIFS(ポートフォリオ実績!$C$2:$C$2001, ポートフォリオ実績!$B$2:$B$2001, B1207, ポートフォリオ実績!$A$2:$A$2001, G1207), 0)</f>
        <v>0</v>
      </c>
      <c r="J1207">
        <f t="shared" si="199"/>
        <v>0</v>
      </c>
      <c r="K1207">
        <f t="shared" si="200"/>
        <v>0</v>
      </c>
      <c r="L1207">
        <f t="shared" si="201"/>
        <v>0</v>
      </c>
      <c r="M1207">
        <f t="shared" si="202"/>
        <v>0</v>
      </c>
      <c r="N1207">
        <f t="shared" si="203"/>
        <v>0</v>
      </c>
      <c r="O1207">
        <f t="shared" si="204"/>
        <v>0</v>
      </c>
      <c r="P1207" t="str">
        <f t="shared" si="205"/>
        <v/>
      </c>
      <c r="Q1207" t="str">
        <f>IF(B1207="","", IFERROR(VLOOKUP(B1207, '基準資産配分（設定）'!$A$2:$C$2001, 3, FALSE), ""))</f>
        <v/>
      </c>
      <c r="R1207" t="str">
        <f>IF(B1207="","", IFERROR(VLOOKUP(B1207, '基準資産配分（設定）'!$A$2:$C$2001, 2, FALSE)/100, 0))</f>
        <v/>
      </c>
      <c r="S1207" t="str">
        <f>IF(B1207="","", IFERROR(SUMIFS(ベンチマークリターン!$C$2:$C$2001, ベンチマークリターン!$A$2:$A$2001, A1207, ベンチマークリターン!$B$2:$B$2001, Q1207) / 100, 0))</f>
        <v/>
      </c>
      <c r="T1207" t="str">
        <f>IF(A1207="","", SUMIFS($H$2:$H$2000, $A$2:$A$2000, A1207))</f>
        <v/>
      </c>
      <c r="U1207" t="str">
        <f t="shared" si="206"/>
        <v/>
      </c>
      <c r="V1207" t="str">
        <f t="shared" si="207"/>
        <v/>
      </c>
      <c r="W1207" t="str">
        <f t="shared" si="208"/>
        <v/>
      </c>
    </row>
    <row r="1208" spans="1:23" x14ac:dyDescent="0.2">
      <c r="A1208" s="4" t="str">
        <f>IF(ポートフォリオ実績!A1209="","", ポートフォリオ実績!A1209)</f>
        <v/>
      </c>
      <c r="B1208" t="str">
        <f>IF(ポートフォリオ実績!B1209="","", ポートフォリオ実績!B1209)</f>
        <v/>
      </c>
      <c r="C1208" s="10" t="str">
        <f>IF(ポートフォリオ実績!C1209="","", ポートフォリオ実績!C1209)</f>
        <v/>
      </c>
      <c r="D1208" s="10" t="str">
        <f>IF(ポートフォリオ実績!D1209="","", ポートフォリオ実績!D1209)</f>
        <v/>
      </c>
      <c r="E1208" s="10" t="str">
        <f>IF(ポートフォリオ実績!E1209="","", ポートフォリオ実績!E1209)</f>
        <v/>
      </c>
      <c r="F1208" s="10" t="str">
        <f>IF(ポートフォリオ実績!F1209="","", ポートフォリオ実績!F1209)</f>
        <v/>
      </c>
      <c r="G1208" t="str">
        <f t="shared" si="198"/>
        <v/>
      </c>
      <c r="H1208">
        <f>IF(B1208&lt;&gt;"", SUMIFS(ポートフォリオ実績!$D$2:$D$2001, ポートフォリオ実績!$B$2:$B$2001, B1208, ポートフォリオ実績!$A$2:$A$2001, G1208), 0)</f>
        <v>0</v>
      </c>
      <c r="I1208">
        <f>IF(B1208&lt;&gt;"", SUMIFS(ポートフォリオ実績!$C$2:$C$2001, ポートフォリオ実績!$B$2:$B$2001, B1208, ポートフォリオ実績!$A$2:$A$2001, G1208), 0)</f>
        <v>0</v>
      </c>
      <c r="J1208">
        <f t="shared" si="199"/>
        <v>0</v>
      </c>
      <c r="K1208">
        <f t="shared" si="200"/>
        <v>0</v>
      </c>
      <c r="L1208">
        <f t="shared" si="201"/>
        <v>0</v>
      </c>
      <c r="M1208">
        <f t="shared" si="202"/>
        <v>0</v>
      </c>
      <c r="N1208">
        <f t="shared" si="203"/>
        <v>0</v>
      </c>
      <c r="O1208">
        <f t="shared" si="204"/>
        <v>0</v>
      </c>
      <c r="P1208" t="str">
        <f t="shared" si="205"/>
        <v/>
      </c>
      <c r="Q1208" t="str">
        <f>IF(B1208="","", IFERROR(VLOOKUP(B1208, '基準資産配分（設定）'!$A$2:$C$2001, 3, FALSE), ""))</f>
        <v/>
      </c>
      <c r="R1208" t="str">
        <f>IF(B1208="","", IFERROR(VLOOKUP(B1208, '基準資産配分（設定）'!$A$2:$C$2001, 2, FALSE)/100, 0))</f>
        <v/>
      </c>
      <c r="S1208" t="str">
        <f>IF(B1208="","", IFERROR(SUMIFS(ベンチマークリターン!$C$2:$C$2001, ベンチマークリターン!$A$2:$A$2001, A1208, ベンチマークリターン!$B$2:$B$2001, Q1208) / 100, 0))</f>
        <v/>
      </c>
      <c r="T1208" t="str">
        <f>IF(A1208="","", SUMIFS($H$2:$H$2000, $A$2:$A$2000, A1208))</f>
        <v/>
      </c>
      <c r="U1208" t="str">
        <f t="shared" si="206"/>
        <v/>
      </c>
      <c r="V1208" t="str">
        <f t="shared" si="207"/>
        <v/>
      </c>
      <c r="W1208" t="str">
        <f t="shared" si="208"/>
        <v/>
      </c>
    </row>
    <row r="1209" spans="1:23" x14ac:dyDescent="0.2">
      <c r="A1209" s="4" t="str">
        <f>IF(ポートフォリオ実績!A1210="","", ポートフォリオ実績!A1210)</f>
        <v/>
      </c>
      <c r="B1209" t="str">
        <f>IF(ポートフォリオ実績!B1210="","", ポートフォリオ実績!B1210)</f>
        <v/>
      </c>
      <c r="C1209" s="10" t="str">
        <f>IF(ポートフォリオ実績!C1210="","", ポートフォリオ実績!C1210)</f>
        <v/>
      </c>
      <c r="D1209" s="10" t="str">
        <f>IF(ポートフォリオ実績!D1210="","", ポートフォリオ実績!D1210)</f>
        <v/>
      </c>
      <c r="E1209" s="10" t="str">
        <f>IF(ポートフォリオ実績!E1210="","", ポートフォリオ実績!E1210)</f>
        <v/>
      </c>
      <c r="F1209" s="10" t="str">
        <f>IF(ポートフォリオ実績!F1210="","", ポートフォリオ実績!F1210)</f>
        <v/>
      </c>
      <c r="G1209" t="str">
        <f t="shared" si="198"/>
        <v/>
      </c>
      <c r="H1209">
        <f>IF(B1209&lt;&gt;"", SUMIFS(ポートフォリオ実績!$D$2:$D$2001, ポートフォリオ実績!$B$2:$B$2001, B1209, ポートフォリオ実績!$A$2:$A$2001, G1209), 0)</f>
        <v>0</v>
      </c>
      <c r="I1209">
        <f>IF(B1209&lt;&gt;"", SUMIFS(ポートフォリオ実績!$C$2:$C$2001, ポートフォリオ実績!$B$2:$B$2001, B1209, ポートフォリオ実績!$A$2:$A$2001, G1209), 0)</f>
        <v>0</v>
      </c>
      <c r="J1209">
        <f t="shared" si="199"/>
        <v>0</v>
      </c>
      <c r="K1209">
        <f t="shared" si="200"/>
        <v>0</v>
      </c>
      <c r="L1209">
        <f t="shared" si="201"/>
        <v>0</v>
      </c>
      <c r="M1209">
        <f t="shared" si="202"/>
        <v>0</v>
      </c>
      <c r="N1209">
        <f t="shared" si="203"/>
        <v>0</v>
      </c>
      <c r="O1209">
        <f t="shared" si="204"/>
        <v>0</v>
      </c>
      <c r="P1209" t="str">
        <f t="shared" si="205"/>
        <v/>
      </c>
      <c r="Q1209" t="str">
        <f>IF(B1209="","", IFERROR(VLOOKUP(B1209, '基準資産配分（設定）'!$A$2:$C$2001, 3, FALSE), ""))</f>
        <v/>
      </c>
      <c r="R1209" t="str">
        <f>IF(B1209="","", IFERROR(VLOOKUP(B1209, '基準資産配分（設定）'!$A$2:$C$2001, 2, FALSE)/100, 0))</f>
        <v/>
      </c>
      <c r="S1209" t="str">
        <f>IF(B1209="","", IFERROR(SUMIFS(ベンチマークリターン!$C$2:$C$2001, ベンチマークリターン!$A$2:$A$2001, A1209, ベンチマークリターン!$B$2:$B$2001, Q1209) / 100, 0))</f>
        <v/>
      </c>
      <c r="T1209" t="str">
        <f>IF(A1209="","", SUMIFS($H$2:$H$2000, $A$2:$A$2000, A1209))</f>
        <v/>
      </c>
      <c r="U1209" t="str">
        <f t="shared" si="206"/>
        <v/>
      </c>
      <c r="V1209" t="str">
        <f t="shared" si="207"/>
        <v/>
      </c>
      <c r="W1209" t="str">
        <f t="shared" si="208"/>
        <v/>
      </c>
    </row>
    <row r="1210" spans="1:23" x14ac:dyDescent="0.2">
      <c r="A1210" s="4" t="str">
        <f>IF(ポートフォリオ実績!A1211="","", ポートフォリオ実績!A1211)</f>
        <v/>
      </c>
      <c r="B1210" t="str">
        <f>IF(ポートフォリオ実績!B1211="","", ポートフォリオ実績!B1211)</f>
        <v/>
      </c>
      <c r="C1210" s="10" t="str">
        <f>IF(ポートフォリオ実績!C1211="","", ポートフォリオ実績!C1211)</f>
        <v/>
      </c>
      <c r="D1210" s="10" t="str">
        <f>IF(ポートフォリオ実績!D1211="","", ポートフォリオ実績!D1211)</f>
        <v/>
      </c>
      <c r="E1210" s="10" t="str">
        <f>IF(ポートフォリオ実績!E1211="","", ポートフォリオ実績!E1211)</f>
        <v/>
      </c>
      <c r="F1210" s="10" t="str">
        <f>IF(ポートフォリオ実績!F1211="","", ポートフォリオ実績!F1211)</f>
        <v/>
      </c>
      <c r="G1210" t="str">
        <f t="shared" si="198"/>
        <v/>
      </c>
      <c r="H1210">
        <f>IF(B1210&lt;&gt;"", SUMIFS(ポートフォリオ実績!$D$2:$D$2001, ポートフォリオ実績!$B$2:$B$2001, B1210, ポートフォリオ実績!$A$2:$A$2001, G1210), 0)</f>
        <v>0</v>
      </c>
      <c r="I1210">
        <f>IF(B1210&lt;&gt;"", SUMIFS(ポートフォリオ実績!$C$2:$C$2001, ポートフォリオ実績!$B$2:$B$2001, B1210, ポートフォリオ実績!$A$2:$A$2001, G1210), 0)</f>
        <v>0</v>
      </c>
      <c r="J1210">
        <f t="shared" si="199"/>
        <v>0</v>
      </c>
      <c r="K1210">
        <f t="shared" si="200"/>
        <v>0</v>
      </c>
      <c r="L1210">
        <f t="shared" si="201"/>
        <v>0</v>
      </c>
      <c r="M1210">
        <f t="shared" si="202"/>
        <v>0</v>
      </c>
      <c r="N1210">
        <f t="shared" si="203"/>
        <v>0</v>
      </c>
      <c r="O1210">
        <f t="shared" si="204"/>
        <v>0</v>
      </c>
      <c r="P1210" t="str">
        <f t="shared" si="205"/>
        <v/>
      </c>
      <c r="Q1210" t="str">
        <f>IF(B1210="","", IFERROR(VLOOKUP(B1210, '基準資産配分（設定）'!$A$2:$C$2001, 3, FALSE), ""))</f>
        <v/>
      </c>
      <c r="R1210" t="str">
        <f>IF(B1210="","", IFERROR(VLOOKUP(B1210, '基準資産配分（設定）'!$A$2:$C$2001, 2, FALSE)/100, 0))</f>
        <v/>
      </c>
      <c r="S1210" t="str">
        <f>IF(B1210="","", IFERROR(SUMIFS(ベンチマークリターン!$C$2:$C$2001, ベンチマークリターン!$A$2:$A$2001, A1210, ベンチマークリターン!$B$2:$B$2001, Q1210) / 100, 0))</f>
        <v/>
      </c>
      <c r="T1210" t="str">
        <f>IF(A1210="","", SUMIFS($H$2:$H$2000, $A$2:$A$2000, A1210))</f>
        <v/>
      </c>
      <c r="U1210" t="str">
        <f t="shared" si="206"/>
        <v/>
      </c>
      <c r="V1210" t="str">
        <f t="shared" si="207"/>
        <v/>
      </c>
      <c r="W1210" t="str">
        <f t="shared" si="208"/>
        <v/>
      </c>
    </row>
    <row r="1211" spans="1:23" x14ac:dyDescent="0.2">
      <c r="A1211" s="4" t="str">
        <f>IF(ポートフォリオ実績!A1212="","", ポートフォリオ実績!A1212)</f>
        <v/>
      </c>
      <c r="B1211" t="str">
        <f>IF(ポートフォリオ実績!B1212="","", ポートフォリオ実績!B1212)</f>
        <v/>
      </c>
      <c r="C1211" s="10" t="str">
        <f>IF(ポートフォリオ実績!C1212="","", ポートフォリオ実績!C1212)</f>
        <v/>
      </c>
      <c r="D1211" s="10" t="str">
        <f>IF(ポートフォリオ実績!D1212="","", ポートフォリオ実績!D1212)</f>
        <v/>
      </c>
      <c r="E1211" s="10" t="str">
        <f>IF(ポートフォリオ実績!E1212="","", ポートフォリオ実績!E1212)</f>
        <v/>
      </c>
      <c r="F1211" s="10" t="str">
        <f>IF(ポートフォリオ実績!F1212="","", ポートフォリオ実績!F1212)</f>
        <v/>
      </c>
      <c r="G1211" t="str">
        <f t="shared" si="198"/>
        <v/>
      </c>
      <c r="H1211">
        <f>IF(B1211&lt;&gt;"", SUMIFS(ポートフォリオ実績!$D$2:$D$2001, ポートフォリオ実績!$B$2:$B$2001, B1211, ポートフォリオ実績!$A$2:$A$2001, G1211), 0)</f>
        <v>0</v>
      </c>
      <c r="I1211">
        <f>IF(B1211&lt;&gt;"", SUMIFS(ポートフォリオ実績!$C$2:$C$2001, ポートフォリオ実績!$B$2:$B$2001, B1211, ポートフォリオ実績!$A$2:$A$2001, G1211), 0)</f>
        <v>0</v>
      </c>
      <c r="J1211">
        <f t="shared" si="199"/>
        <v>0</v>
      </c>
      <c r="K1211">
        <f t="shared" si="200"/>
        <v>0</v>
      </c>
      <c r="L1211">
        <f t="shared" si="201"/>
        <v>0</v>
      </c>
      <c r="M1211">
        <f t="shared" si="202"/>
        <v>0</v>
      </c>
      <c r="N1211">
        <f t="shared" si="203"/>
        <v>0</v>
      </c>
      <c r="O1211">
        <f t="shared" si="204"/>
        <v>0</v>
      </c>
      <c r="P1211" t="str">
        <f t="shared" si="205"/>
        <v/>
      </c>
      <c r="Q1211" t="str">
        <f>IF(B1211="","", IFERROR(VLOOKUP(B1211, '基準資産配分（設定）'!$A$2:$C$2001, 3, FALSE), ""))</f>
        <v/>
      </c>
      <c r="R1211" t="str">
        <f>IF(B1211="","", IFERROR(VLOOKUP(B1211, '基準資産配分（設定）'!$A$2:$C$2001, 2, FALSE)/100, 0))</f>
        <v/>
      </c>
      <c r="S1211" t="str">
        <f>IF(B1211="","", IFERROR(SUMIFS(ベンチマークリターン!$C$2:$C$2001, ベンチマークリターン!$A$2:$A$2001, A1211, ベンチマークリターン!$B$2:$B$2001, Q1211) / 100, 0))</f>
        <v/>
      </c>
      <c r="T1211" t="str">
        <f>IF(A1211="","", SUMIFS($H$2:$H$2000, $A$2:$A$2000, A1211))</f>
        <v/>
      </c>
      <c r="U1211" t="str">
        <f t="shared" si="206"/>
        <v/>
      </c>
      <c r="V1211" t="str">
        <f t="shared" si="207"/>
        <v/>
      </c>
      <c r="W1211" t="str">
        <f t="shared" si="208"/>
        <v/>
      </c>
    </row>
    <row r="1212" spans="1:23" x14ac:dyDescent="0.2">
      <c r="A1212" s="4" t="str">
        <f>IF(ポートフォリオ実績!A1213="","", ポートフォリオ実績!A1213)</f>
        <v/>
      </c>
      <c r="B1212" t="str">
        <f>IF(ポートフォリオ実績!B1213="","", ポートフォリオ実績!B1213)</f>
        <v/>
      </c>
      <c r="C1212" s="10" t="str">
        <f>IF(ポートフォリオ実績!C1213="","", ポートフォリオ実績!C1213)</f>
        <v/>
      </c>
      <c r="D1212" s="10" t="str">
        <f>IF(ポートフォリオ実績!D1213="","", ポートフォリオ実績!D1213)</f>
        <v/>
      </c>
      <c r="E1212" s="10" t="str">
        <f>IF(ポートフォリオ実績!E1213="","", ポートフォリオ実績!E1213)</f>
        <v/>
      </c>
      <c r="F1212" s="10" t="str">
        <f>IF(ポートフォリオ実績!F1213="","", ポートフォリオ実績!F1213)</f>
        <v/>
      </c>
      <c r="G1212" t="str">
        <f t="shared" si="198"/>
        <v/>
      </c>
      <c r="H1212">
        <f>IF(B1212&lt;&gt;"", SUMIFS(ポートフォリオ実績!$D$2:$D$2001, ポートフォリオ実績!$B$2:$B$2001, B1212, ポートフォリオ実績!$A$2:$A$2001, G1212), 0)</f>
        <v>0</v>
      </c>
      <c r="I1212">
        <f>IF(B1212&lt;&gt;"", SUMIFS(ポートフォリオ実績!$C$2:$C$2001, ポートフォリオ実績!$B$2:$B$2001, B1212, ポートフォリオ実績!$A$2:$A$2001, G1212), 0)</f>
        <v>0</v>
      </c>
      <c r="J1212">
        <f t="shared" si="199"/>
        <v>0</v>
      </c>
      <c r="K1212">
        <f t="shared" si="200"/>
        <v>0</v>
      </c>
      <c r="L1212">
        <f t="shared" si="201"/>
        <v>0</v>
      </c>
      <c r="M1212">
        <f t="shared" si="202"/>
        <v>0</v>
      </c>
      <c r="N1212">
        <f t="shared" si="203"/>
        <v>0</v>
      </c>
      <c r="O1212">
        <f t="shared" si="204"/>
        <v>0</v>
      </c>
      <c r="P1212" t="str">
        <f t="shared" si="205"/>
        <v/>
      </c>
      <c r="Q1212" t="str">
        <f>IF(B1212="","", IFERROR(VLOOKUP(B1212, '基準資産配分（設定）'!$A$2:$C$2001, 3, FALSE), ""))</f>
        <v/>
      </c>
      <c r="R1212" t="str">
        <f>IF(B1212="","", IFERROR(VLOOKUP(B1212, '基準資産配分（設定）'!$A$2:$C$2001, 2, FALSE)/100, 0))</f>
        <v/>
      </c>
      <c r="S1212" t="str">
        <f>IF(B1212="","", IFERROR(SUMIFS(ベンチマークリターン!$C$2:$C$2001, ベンチマークリターン!$A$2:$A$2001, A1212, ベンチマークリターン!$B$2:$B$2001, Q1212) / 100, 0))</f>
        <v/>
      </c>
      <c r="T1212" t="str">
        <f>IF(A1212="","", SUMIFS($H$2:$H$2000, $A$2:$A$2000, A1212))</f>
        <v/>
      </c>
      <c r="U1212" t="str">
        <f t="shared" si="206"/>
        <v/>
      </c>
      <c r="V1212" t="str">
        <f t="shared" si="207"/>
        <v/>
      </c>
      <c r="W1212" t="str">
        <f t="shared" si="208"/>
        <v/>
      </c>
    </row>
    <row r="1213" spans="1:23" x14ac:dyDescent="0.2">
      <c r="A1213" s="4" t="str">
        <f>IF(ポートフォリオ実績!A1214="","", ポートフォリオ実績!A1214)</f>
        <v/>
      </c>
      <c r="B1213" t="str">
        <f>IF(ポートフォリオ実績!B1214="","", ポートフォリオ実績!B1214)</f>
        <v/>
      </c>
      <c r="C1213" s="10" t="str">
        <f>IF(ポートフォリオ実績!C1214="","", ポートフォリオ実績!C1214)</f>
        <v/>
      </c>
      <c r="D1213" s="10" t="str">
        <f>IF(ポートフォリオ実績!D1214="","", ポートフォリオ実績!D1214)</f>
        <v/>
      </c>
      <c r="E1213" s="10" t="str">
        <f>IF(ポートフォリオ実績!E1214="","", ポートフォリオ実績!E1214)</f>
        <v/>
      </c>
      <c r="F1213" s="10" t="str">
        <f>IF(ポートフォリオ実績!F1214="","", ポートフォリオ実績!F1214)</f>
        <v/>
      </c>
      <c r="G1213" t="str">
        <f t="shared" si="198"/>
        <v/>
      </c>
      <c r="H1213">
        <f>IF(B1213&lt;&gt;"", SUMIFS(ポートフォリオ実績!$D$2:$D$2001, ポートフォリオ実績!$B$2:$B$2001, B1213, ポートフォリオ実績!$A$2:$A$2001, G1213), 0)</f>
        <v>0</v>
      </c>
      <c r="I1213">
        <f>IF(B1213&lt;&gt;"", SUMIFS(ポートフォリオ実績!$C$2:$C$2001, ポートフォリオ実績!$B$2:$B$2001, B1213, ポートフォリオ実績!$A$2:$A$2001, G1213), 0)</f>
        <v>0</v>
      </c>
      <c r="J1213">
        <f t="shared" si="199"/>
        <v>0</v>
      </c>
      <c r="K1213">
        <f t="shared" si="200"/>
        <v>0</v>
      </c>
      <c r="L1213">
        <f t="shared" si="201"/>
        <v>0</v>
      </c>
      <c r="M1213">
        <f t="shared" si="202"/>
        <v>0</v>
      </c>
      <c r="N1213">
        <f t="shared" si="203"/>
        <v>0</v>
      </c>
      <c r="O1213">
        <f t="shared" si="204"/>
        <v>0</v>
      </c>
      <c r="P1213" t="str">
        <f t="shared" si="205"/>
        <v/>
      </c>
      <c r="Q1213" t="str">
        <f>IF(B1213="","", IFERROR(VLOOKUP(B1213, '基準資産配分（設定）'!$A$2:$C$2001, 3, FALSE), ""))</f>
        <v/>
      </c>
      <c r="R1213" t="str">
        <f>IF(B1213="","", IFERROR(VLOOKUP(B1213, '基準資産配分（設定）'!$A$2:$C$2001, 2, FALSE)/100, 0))</f>
        <v/>
      </c>
      <c r="S1213" t="str">
        <f>IF(B1213="","", IFERROR(SUMIFS(ベンチマークリターン!$C$2:$C$2001, ベンチマークリターン!$A$2:$A$2001, A1213, ベンチマークリターン!$B$2:$B$2001, Q1213) / 100, 0))</f>
        <v/>
      </c>
      <c r="T1213" t="str">
        <f>IF(A1213="","", SUMIFS($H$2:$H$2000, $A$2:$A$2000, A1213))</f>
        <v/>
      </c>
      <c r="U1213" t="str">
        <f t="shared" si="206"/>
        <v/>
      </c>
      <c r="V1213" t="str">
        <f t="shared" si="207"/>
        <v/>
      </c>
      <c r="W1213" t="str">
        <f t="shared" si="208"/>
        <v/>
      </c>
    </row>
    <row r="1214" spans="1:23" x14ac:dyDescent="0.2">
      <c r="A1214" s="4" t="str">
        <f>IF(ポートフォリオ実績!A1215="","", ポートフォリオ実績!A1215)</f>
        <v/>
      </c>
      <c r="B1214" t="str">
        <f>IF(ポートフォリオ実績!B1215="","", ポートフォリオ実績!B1215)</f>
        <v/>
      </c>
      <c r="C1214" s="10" t="str">
        <f>IF(ポートフォリオ実績!C1215="","", ポートフォリオ実績!C1215)</f>
        <v/>
      </c>
      <c r="D1214" s="10" t="str">
        <f>IF(ポートフォリオ実績!D1215="","", ポートフォリオ実績!D1215)</f>
        <v/>
      </c>
      <c r="E1214" s="10" t="str">
        <f>IF(ポートフォリオ実績!E1215="","", ポートフォリオ実績!E1215)</f>
        <v/>
      </c>
      <c r="F1214" s="10" t="str">
        <f>IF(ポートフォリオ実績!F1215="","", ポートフォリオ実績!F1215)</f>
        <v/>
      </c>
      <c r="G1214" t="str">
        <f t="shared" si="198"/>
        <v/>
      </c>
      <c r="H1214">
        <f>IF(B1214&lt;&gt;"", SUMIFS(ポートフォリオ実績!$D$2:$D$2001, ポートフォリオ実績!$B$2:$B$2001, B1214, ポートフォリオ実績!$A$2:$A$2001, G1214), 0)</f>
        <v>0</v>
      </c>
      <c r="I1214">
        <f>IF(B1214&lt;&gt;"", SUMIFS(ポートフォリオ実績!$C$2:$C$2001, ポートフォリオ実績!$B$2:$B$2001, B1214, ポートフォリオ実績!$A$2:$A$2001, G1214), 0)</f>
        <v>0</v>
      </c>
      <c r="J1214">
        <f t="shared" si="199"/>
        <v>0</v>
      </c>
      <c r="K1214">
        <f t="shared" si="200"/>
        <v>0</v>
      </c>
      <c r="L1214">
        <f t="shared" si="201"/>
        <v>0</v>
      </c>
      <c r="M1214">
        <f t="shared" si="202"/>
        <v>0</v>
      </c>
      <c r="N1214">
        <f t="shared" si="203"/>
        <v>0</v>
      </c>
      <c r="O1214">
        <f t="shared" si="204"/>
        <v>0</v>
      </c>
      <c r="P1214" t="str">
        <f t="shared" si="205"/>
        <v/>
      </c>
      <c r="Q1214" t="str">
        <f>IF(B1214="","", IFERROR(VLOOKUP(B1214, '基準資産配分（設定）'!$A$2:$C$2001, 3, FALSE), ""))</f>
        <v/>
      </c>
      <c r="R1214" t="str">
        <f>IF(B1214="","", IFERROR(VLOOKUP(B1214, '基準資産配分（設定）'!$A$2:$C$2001, 2, FALSE)/100, 0))</f>
        <v/>
      </c>
      <c r="S1214" t="str">
        <f>IF(B1214="","", IFERROR(SUMIFS(ベンチマークリターン!$C$2:$C$2001, ベンチマークリターン!$A$2:$A$2001, A1214, ベンチマークリターン!$B$2:$B$2001, Q1214) / 100, 0))</f>
        <v/>
      </c>
      <c r="T1214" t="str">
        <f>IF(A1214="","", SUMIFS($H$2:$H$2000, $A$2:$A$2000, A1214))</f>
        <v/>
      </c>
      <c r="U1214" t="str">
        <f t="shared" si="206"/>
        <v/>
      </c>
      <c r="V1214" t="str">
        <f t="shared" si="207"/>
        <v/>
      </c>
      <c r="W1214" t="str">
        <f t="shared" si="208"/>
        <v/>
      </c>
    </row>
    <row r="1215" spans="1:23" x14ac:dyDescent="0.2">
      <c r="A1215" s="4" t="str">
        <f>IF(ポートフォリオ実績!A1216="","", ポートフォリオ実績!A1216)</f>
        <v/>
      </c>
      <c r="B1215" t="str">
        <f>IF(ポートフォリオ実績!B1216="","", ポートフォリオ実績!B1216)</f>
        <v/>
      </c>
      <c r="C1215" s="10" t="str">
        <f>IF(ポートフォリオ実績!C1216="","", ポートフォリオ実績!C1216)</f>
        <v/>
      </c>
      <c r="D1215" s="10" t="str">
        <f>IF(ポートフォリオ実績!D1216="","", ポートフォリオ実績!D1216)</f>
        <v/>
      </c>
      <c r="E1215" s="10" t="str">
        <f>IF(ポートフォリオ実績!E1216="","", ポートフォリオ実績!E1216)</f>
        <v/>
      </c>
      <c r="F1215" s="10" t="str">
        <f>IF(ポートフォリオ実績!F1216="","", ポートフォリオ実績!F1216)</f>
        <v/>
      </c>
      <c r="G1215" t="str">
        <f t="shared" si="198"/>
        <v/>
      </c>
      <c r="H1215">
        <f>IF(B1215&lt;&gt;"", SUMIFS(ポートフォリオ実績!$D$2:$D$2001, ポートフォリオ実績!$B$2:$B$2001, B1215, ポートフォリオ実績!$A$2:$A$2001, G1215), 0)</f>
        <v>0</v>
      </c>
      <c r="I1215">
        <f>IF(B1215&lt;&gt;"", SUMIFS(ポートフォリオ実績!$C$2:$C$2001, ポートフォリオ実績!$B$2:$B$2001, B1215, ポートフォリオ実績!$A$2:$A$2001, G1215), 0)</f>
        <v>0</v>
      </c>
      <c r="J1215">
        <f t="shared" si="199"/>
        <v>0</v>
      </c>
      <c r="K1215">
        <f t="shared" si="200"/>
        <v>0</v>
      </c>
      <c r="L1215">
        <f t="shared" si="201"/>
        <v>0</v>
      </c>
      <c r="M1215">
        <f t="shared" si="202"/>
        <v>0</v>
      </c>
      <c r="N1215">
        <f t="shared" si="203"/>
        <v>0</v>
      </c>
      <c r="O1215">
        <f t="shared" si="204"/>
        <v>0</v>
      </c>
      <c r="P1215" t="str">
        <f t="shared" si="205"/>
        <v/>
      </c>
      <c r="Q1215" t="str">
        <f>IF(B1215="","", IFERROR(VLOOKUP(B1215, '基準資産配分（設定）'!$A$2:$C$2001, 3, FALSE), ""))</f>
        <v/>
      </c>
      <c r="R1215" t="str">
        <f>IF(B1215="","", IFERROR(VLOOKUP(B1215, '基準資産配分（設定）'!$A$2:$C$2001, 2, FALSE)/100, 0))</f>
        <v/>
      </c>
      <c r="S1215" t="str">
        <f>IF(B1215="","", IFERROR(SUMIFS(ベンチマークリターン!$C$2:$C$2001, ベンチマークリターン!$A$2:$A$2001, A1215, ベンチマークリターン!$B$2:$B$2001, Q1215) / 100, 0))</f>
        <v/>
      </c>
      <c r="T1215" t="str">
        <f>IF(A1215="","", SUMIFS($H$2:$H$2000, $A$2:$A$2000, A1215))</f>
        <v/>
      </c>
      <c r="U1215" t="str">
        <f t="shared" si="206"/>
        <v/>
      </c>
      <c r="V1215" t="str">
        <f t="shared" si="207"/>
        <v/>
      </c>
      <c r="W1215" t="str">
        <f t="shared" si="208"/>
        <v/>
      </c>
    </row>
    <row r="1216" spans="1:23" x14ac:dyDescent="0.2">
      <c r="A1216" s="4" t="str">
        <f>IF(ポートフォリオ実績!A1217="","", ポートフォリオ実績!A1217)</f>
        <v/>
      </c>
      <c r="B1216" t="str">
        <f>IF(ポートフォリオ実績!B1217="","", ポートフォリオ実績!B1217)</f>
        <v/>
      </c>
      <c r="C1216" s="10" t="str">
        <f>IF(ポートフォリオ実績!C1217="","", ポートフォリオ実績!C1217)</f>
        <v/>
      </c>
      <c r="D1216" s="10" t="str">
        <f>IF(ポートフォリオ実績!D1217="","", ポートフォリオ実績!D1217)</f>
        <v/>
      </c>
      <c r="E1216" s="10" t="str">
        <f>IF(ポートフォリオ実績!E1217="","", ポートフォリオ実績!E1217)</f>
        <v/>
      </c>
      <c r="F1216" s="10" t="str">
        <f>IF(ポートフォリオ実績!F1217="","", ポートフォリオ実績!F1217)</f>
        <v/>
      </c>
      <c r="G1216" t="str">
        <f t="shared" si="198"/>
        <v/>
      </c>
      <c r="H1216">
        <f>IF(B1216&lt;&gt;"", SUMIFS(ポートフォリオ実績!$D$2:$D$2001, ポートフォリオ実績!$B$2:$B$2001, B1216, ポートフォリオ実績!$A$2:$A$2001, G1216), 0)</f>
        <v>0</v>
      </c>
      <c r="I1216">
        <f>IF(B1216&lt;&gt;"", SUMIFS(ポートフォリオ実績!$C$2:$C$2001, ポートフォリオ実績!$B$2:$B$2001, B1216, ポートフォリオ実績!$A$2:$A$2001, G1216), 0)</f>
        <v>0</v>
      </c>
      <c r="J1216">
        <f t="shared" si="199"/>
        <v>0</v>
      </c>
      <c r="K1216">
        <f t="shared" si="200"/>
        <v>0</v>
      </c>
      <c r="L1216">
        <f t="shared" si="201"/>
        <v>0</v>
      </c>
      <c r="M1216">
        <f t="shared" si="202"/>
        <v>0</v>
      </c>
      <c r="N1216">
        <f t="shared" si="203"/>
        <v>0</v>
      </c>
      <c r="O1216">
        <f t="shared" si="204"/>
        <v>0</v>
      </c>
      <c r="P1216" t="str">
        <f t="shared" si="205"/>
        <v/>
      </c>
      <c r="Q1216" t="str">
        <f>IF(B1216="","", IFERROR(VLOOKUP(B1216, '基準資産配分（設定）'!$A$2:$C$2001, 3, FALSE), ""))</f>
        <v/>
      </c>
      <c r="R1216" t="str">
        <f>IF(B1216="","", IFERROR(VLOOKUP(B1216, '基準資産配分（設定）'!$A$2:$C$2001, 2, FALSE)/100, 0))</f>
        <v/>
      </c>
      <c r="S1216" t="str">
        <f>IF(B1216="","", IFERROR(SUMIFS(ベンチマークリターン!$C$2:$C$2001, ベンチマークリターン!$A$2:$A$2001, A1216, ベンチマークリターン!$B$2:$B$2001, Q1216) / 100, 0))</f>
        <v/>
      </c>
      <c r="T1216" t="str">
        <f>IF(A1216="","", SUMIFS($H$2:$H$2000, $A$2:$A$2000, A1216))</f>
        <v/>
      </c>
      <c r="U1216" t="str">
        <f t="shared" si="206"/>
        <v/>
      </c>
      <c r="V1216" t="str">
        <f t="shared" si="207"/>
        <v/>
      </c>
      <c r="W1216" t="str">
        <f t="shared" si="208"/>
        <v/>
      </c>
    </row>
    <row r="1217" spans="1:23" x14ac:dyDescent="0.2">
      <c r="A1217" s="4" t="str">
        <f>IF(ポートフォリオ実績!A1218="","", ポートフォリオ実績!A1218)</f>
        <v/>
      </c>
      <c r="B1217" t="str">
        <f>IF(ポートフォリオ実績!B1218="","", ポートフォリオ実績!B1218)</f>
        <v/>
      </c>
      <c r="C1217" s="10" t="str">
        <f>IF(ポートフォリオ実績!C1218="","", ポートフォリオ実績!C1218)</f>
        <v/>
      </c>
      <c r="D1217" s="10" t="str">
        <f>IF(ポートフォリオ実績!D1218="","", ポートフォリオ実績!D1218)</f>
        <v/>
      </c>
      <c r="E1217" s="10" t="str">
        <f>IF(ポートフォリオ実績!E1218="","", ポートフォリオ実績!E1218)</f>
        <v/>
      </c>
      <c r="F1217" s="10" t="str">
        <f>IF(ポートフォリオ実績!F1218="","", ポートフォリオ実績!F1218)</f>
        <v/>
      </c>
      <c r="G1217" t="str">
        <f t="shared" ref="G1217:G1280" si="209">IF(A1217&lt;&gt;"", EOMONTH(A1217, -1), "")</f>
        <v/>
      </c>
      <c r="H1217">
        <f>IF(B1217&lt;&gt;"", SUMIFS(ポートフォリオ実績!$D$2:$D$2001, ポートフォリオ実績!$B$2:$B$2001, B1217, ポートフォリオ実績!$A$2:$A$2001, G1217), 0)</f>
        <v>0</v>
      </c>
      <c r="I1217">
        <f>IF(B1217&lt;&gt;"", SUMIFS(ポートフォリオ実績!$C$2:$C$2001, ポートフォリオ実績!$B$2:$B$2001, B1217, ポートフォリオ実績!$A$2:$A$2001, G1217), 0)</f>
        <v>0</v>
      </c>
      <c r="J1217">
        <f t="shared" ref="J1217:J1280" si="210">IF(A1217&lt;&gt;"", D1217-C1217, 0)</f>
        <v>0</v>
      </c>
      <c r="K1217">
        <f t="shared" ref="K1217:K1280" si="211">IF(A1217&lt;&gt;"", H1217-I1217, 0)</f>
        <v>0</v>
      </c>
      <c r="L1217">
        <f t="shared" ref="L1217:L1280" si="212">IF(H1217=0, 0, J1217-K1217)</f>
        <v>0</v>
      </c>
      <c r="M1217">
        <f t="shared" ref="M1217:M1280" si="213">IF(A1217&lt;&gt;"", E1217+F1217+L1217, 0)</f>
        <v>0</v>
      </c>
      <c r="N1217">
        <f t="shared" ref="N1217:N1280" si="214">IF(H1217=0, 0, (D1217-H1217)-M1217)</f>
        <v>0</v>
      </c>
      <c r="O1217">
        <f t="shared" ref="O1217:O1280" si="215">IF(A1217&lt;&gt;"", H1217+N1217*0.5, 0)</f>
        <v>0</v>
      </c>
      <c r="P1217" t="str">
        <f t="shared" ref="P1217:P1280" si="216">IF(A1217="","", IF(O1217&gt;0.000001, M1217/O1217, IF(ABS(M1217)&lt;0.000001, 0, 0)))</f>
        <v/>
      </c>
      <c r="Q1217" t="str">
        <f>IF(B1217="","", IFERROR(VLOOKUP(B1217, '基準資産配分（設定）'!$A$2:$C$2001, 3, FALSE), ""))</f>
        <v/>
      </c>
      <c r="R1217" t="str">
        <f>IF(B1217="","", IFERROR(VLOOKUP(B1217, '基準資産配分（設定）'!$A$2:$C$2001, 2, FALSE)/100, 0))</f>
        <v/>
      </c>
      <c r="S1217" t="str">
        <f>IF(B1217="","", IFERROR(SUMIFS(ベンチマークリターン!$C$2:$C$2001, ベンチマークリターン!$A$2:$A$2001, A1217, ベンチマークリターン!$B$2:$B$2001, Q1217) / 100, 0))</f>
        <v/>
      </c>
      <c r="T1217" t="str">
        <f>IF(A1217="","", SUMIFS($H$2:$H$2000, $A$2:$A$2000, A1217))</f>
        <v/>
      </c>
      <c r="U1217" t="str">
        <f t="shared" ref="U1217:U1280" si="217">IF(A1217="","", IFERROR(H1217/T1217, 0))</f>
        <v/>
      </c>
      <c r="V1217" t="str">
        <f t="shared" ref="V1217:V1280" si="218">IF(A1217="","", U1217*P1217)</f>
        <v/>
      </c>
      <c r="W1217" t="str">
        <f t="shared" ref="W1217:W1280" si="219">IF(A1217="","", R1217*S1217)</f>
        <v/>
      </c>
    </row>
    <row r="1218" spans="1:23" x14ac:dyDescent="0.2">
      <c r="A1218" s="4" t="str">
        <f>IF(ポートフォリオ実績!A1219="","", ポートフォリオ実績!A1219)</f>
        <v/>
      </c>
      <c r="B1218" t="str">
        <f>IF(ポートフォリオ実績!B1219="","", ポートフォリオ実績!B1219)</f>
        <v/>
      </c>
      <c r="C1218" s="10" t="str">
        <f>IF(ポートフォリオ実績!C1219="","", ポートフォリオ実績!C1219)</f>
        <v/>
      </c>
      <c r="D1218" s="10" t="str">
        <f>IF(ポートフォリオ実績!D1219="","", ポートフォリオ実績!D1219)</f>
        <v/>
      </c>
      <c r="E1218" s="10" t="str">
        <f>IF(ポートフォリオ実績!E1219="","", ポートフォリオ実績!E1219)</f>
        <v/>
      </c>
      <c r="F1218" s="10" t="str">
        <f>IF(ポートフォリオ実績!F1219="","", ポートフォリオ実績!F1219)</f>
        <v/>
      </c>
      <c r="G1218" t="str">
        <f t="shared" si="209"/>
        <v/>
      </c>
      <c r="H1218">
        <f>IF(B1218&lt;&gt;"", SUMIFS(ポートフォリオ実績!$D$2:$D$2001, ポートフォリオ実績!$B$2:$B$2001, B1218, ポートフォリオ実績!$A$2:$A$2001, G1218), 0)</f>
        <v>0</v>
      </c>
      <c r="I1218">
        <f>IF(B1218&lt;&gt;"", SUMIFS(ポートフォリオ実績!$C$2:$C$2001, ポートフォリオ実績!$B$2:$B$2001, B1218, ポートフォリオ実績!$A$2:$A$2001, G1218), 0)</f>
        <v>0</v>
      </c>
      <c r="J1218">
        <f t="shared" si="210"/>
        <v>0</v>
      </c>
      <c r="K1218">
        <f t="shared" si="211"/>
        <v>0</v>
      </c>
      <c r="L1218">
        <f t="shared" si="212"/>
        <v>0</v>
      </c>
      <c r="M1218">
        <f t="shared" si="213"/>
        <v>0</v>
      </c>
      <c r="N1218">
        <f t="shared" si="214"/>
        <v>0</v>
      </c>
      <c r="O1218">
        <f t="shared" si="215"/>
        <v>0</v>
      </c>
      <c r="P1218" t="str">
        <f t="shared" si="216"/>
        <v/>
      </c>
      <c r="Q1218" t="str">
        <f>IF(B1218="","", IFERROR(VLOOKUP(B1218, '基準資産配分（設定）'!$A$2:$C$2001, 3, FALSE), ""))</f>
        <v/>
      </c>
      <c r="R1218" t="str">
        <f>IF(B1218="","", IFERROR(VLOOKUP(B1218, '基準資産配分（設定）'!$A$2:$C$2001, 2, FALSE)/100, 0))</f>
        <v/>
      </c>
      <c r="S1218" t="str">
        <f>IF(B1218="","", IFERROR(SUMIFS(ベンチマークリターン!$C$2:$C$2001, ベンチマークリターン!$A$2:$A$2001, A1218, ベンチマークリターン!$B$2:$B$2001, Q1218) / 100, 0))</f>
        <v/>
      </c>
      <c r="T1218" t="str">
        <f>IF(A1218="","", SUMIFS($H$2:$H$2000, $A$2:$A$2000, A1218))</f>
        <v/>
      </c>
      <c r="U1218" t="str">
        <f t="shared" si="217"/>
        <v/>
      </c>
      <c r="V1218" t="str">
        <f t="shared" si="218"/>
        <v/>
      </c>
      <c r="W1218" t="str">
        <f t="shared" si="219"/>
        <v/>
      </c>
    </row>
    <row r="1219" spans="1:23" x14ac:dyDescent="0.2">
      <c r="A1219" s="4" t="str">
        <f>IF(ポートフォリオ実績!A1220="","", ポートフォリオ実績!A1220)</f>
        <v/>
      </c>
      <c r="B1219" t="str">
        <f>IF(ポートフォリオ実績!B1220="","", ポートフォリオ実績!B1220)</f>
        <v/>
      </c>
      <c r="C1219" s="10" t="str">
        <f>IF(ポートフォリオ実績!C1220="","", ポートフォリオ実績!C1220)</f>
        <v/>
      </c>
      <c r="D1219" s="10" t="str">
        <f>IF(ポートフォリオ実績!D1220="","", ポートフォリオ実績!D1220)</f>
        <v/>
      </c>
      <c r="E1219" s="10" t="str">
        <f>IF(ポートフォリオ実績!E1220="","", ポートフォリオ実績!E1220)</f>
        <v/>
      </c>
      <c r="F1219" s="10" t="str">
        <f>IF(ポートフォリオ実績!F1220="","", ポートフォリオ実績!F1220)</f>
        <v/>
      </c>
      <c r="G1219" t="str">
        <f t="shared" si="209"/>
        <v/>
      </c>
      <c r="H1219">
        <f>IF(B1219&lt;&gt;"", SUMIFS(ポートフォリオ実績!$D$2:$D$2001, ポートフォリオ実績!$B$2:$B$2001, B1219, ポートフォリオ実績!$A$2:$A$2001, G1219), 0)</f>
        <v>0</v>
      </c>
      <c r="I1219">
        <f>IF(B1219&lt;&gt;"", SUMIFS(ポートフォリオ実績!$C$2:$C$2001, ポートフォリオ実績!$B$2:$B$2001, B1219, ポートフォリオ実績!$A$2:$A$2001, G1219), 0)</f>
        <v>0</v>
      </c>
      <c r="J1219">
        <f t="shared" si="210"/>
        <v>0</v>
      </c>
      <c r="K1219">
        <f t="shared" si="211"/>
        <v>0</v>
      </c>
      <c r="L1219">
        <f t="shared" si="212"/>
        <v>0</v>
      </c>
      <c r="M1219">
        <f t="shared" si="213"/>
        <v>0</v>
      </c>
      <c r="N1219">
        <f t="shared" si="214"/>
        <v>0</v>
      </c>
      <c r="O1219">
        <f t="shared" si="215"/>
        <v>0</v>
      </c>
      <c r="P1219" t="str">
        <f t="shared" si="216"/>
        <v/>
      </c>
      <c r="Q1219" t="str">
        <f>IF(B1219="","", IFERROR(VLOOKUP(B1219, '基準資産配分（設定）'!$A$2:$C$2001, 3, FALSE), ""))</f>
        <v/>
      </c>
      <c r="R1219" t="str">
        <f>IF(B1219="","", IFERROR(VLOOKUP(B1219, '基準資産配分（設定）'!$A$2:$C$2001, 2, FALSE)/100, 0))</f>
        <v/>
      </c>
      <c r="S1219" t="str">
        <f>IF(B1219="","", IFERROR(SUMIFS(ベンチマークリターン!$C$2:$C$2001, ベンチマークリターン!$A$2:$A$2001, A1219, ベンチマークリターン!$B$2:$B$2001, Q1219) / 100, 0))</f>
        <v/>
      </c>
      <c r="T1219" t="str">
        <f>IF(A1219="","", SUMIFS($H$2:$H$2000, $A$2:$A$2000, A1219))</f>
        <v/>
      </c>
      <c r="U1219" t="str">
        <f t="shared" si="217"/>
        <v/>
      </c>
      <c r="V1219" t="str">
        <f t="shared" si="218"/>
        <v/>
      </c>
      <c r="W1219" t="str">
        <f t="shared" si="219"/>
        <v/>
      </c>
    </row>
    <row r="1220" spans="1:23" x14ac:dyDescent="0.2">
      <c r="A1220" s="4" t="str">
        <f>IF(ポートフォリオ実績!A1221="","", ポートフォリオ実績!A1221)</f>
        <v/>
      </c>
      <c r="B1220" t="str">
        <f>IF(ポートフォリオ実績!B1221="","", ポートフォリオ実績!B1221)</f>
        <v/>
      </c>
      <c r="C1220" s="10" t="str">
        <f>IF(ポートフォリオ実績!C1221="","", ポートフォリオ実績!C1221)</f>
        <v/>
      </c>
      <c r="D1220" s="10" t="str">
        <f>IF(ポートフォリオ実績!D1221="","", ポートフォリオ実績!D1221)</f>
        <v/>
      </c>
      <c r="E1220" s="10" t="str">
        <f>IF(ポートフォリオ実績!E1221="","", ポートフォリオ実績!E1221)</f>
        <v/>
      </c>
      <c r="F1220" s="10" t="str">
        <f>IF(ポートフォリオ実績!F1221="","", ポートフォリオ実績!F1221)</f>
        <v/>
      </c>
      <c r="G1220" t="str">
        <f t="shared" si="209"/>
        <v/>
      </c>
      <c r="H1220">
        <f>IF(B1220&lt;&gt;"", SUMIFS(ポートフォリオ実績!$D$2:$D$2001, ポートフォリオ実績!$B$2:$B$2001, B1220, ポートフォリオ実績!$A$2:$A$2001, G1220), 0)</f>
        <v>0</v>
      </c>
      <c r="I1220">
        <f>IF(B1220&lt;&gt;"", SUMIFS(ポートフォリオ実績!$C$2:$C$2001, ポートフォリオ実績!$B$2:$B$2001, B1220, ポートフォリオ実績!$A$2:$A$2001, G1220), 0)</f>
        <v>0</v>
      </c>
      <c r="J1220">
        <f t="shared" si="210"/>
        <v>0</v>
      </c>
      <c r="K1220">
        <f t="shared" si="211"/>
        <v>0</v>
      </c>
      <c r="L1220">
        <f t="shared" si="212"/>
        <v>0</v>
      </c>
      <c r="M1220">
        <f t="shared" si="213"/>
        <v>0</v>
      </c>
      <c r="N1220">
        <f t="shared" si="214"/>
        <v>0</v>
      </c>
      <c r="O1220">
        <f t="shared" si="215"/>
        <v>0</v>
      </c>
      <c r="P1220" t="str">
        <f t="shared" si="216"/>
        <v/>
      </c>
      <c r="Q1220" t="str">
        <f>IF(B1220="","", IFERROR(VLOOKUP(B1220, '基準資産配分（設定）'!$A$2:$C$2001, 3, FALSE), ""))</f>
        <v/>
      </c>
      <c r="R1220" t="str">
        <f>IF(B1220="","", IFERROR(VLOOKUP(B1220, '基準資産配分（設定）'!$A$2:$C$2001, 2, FALSE)/100, 0))</f>
        <v/>
      </c>
      <c r="S1220" t="str">
        <f>IF(B1220="","", IFERROR(SUMIFS(ベンチマークリターン!$C$2:$C$2001, ベンチマークリターン!$A$2:$A$2001, A1220, ベンチマークリターン!$B$2:$B$2001, Q1220) / 100, 0))</f>
        <v/>
      </c>
      <c r="T1220" t="str">
        <f>IF(A1220="","", SUMIFS($H$2:$H$2000, $A$2:$A$2000, A1220))</f>
        <v/>
      </c>
      <c r="U1220" t="str">
        <f t="shared" si="217"/>
        <v/>
      </c>
      <c r="V1220" t="str">
        <f t="shared" si="218"/>
        <v/>
      </c>
      <c r="W1220" t="str">
        <f t="shared" si="219"/>
        <v/>
      </c>
    </row>
    <row r="1221" spans="1:23" x14ac:dyDescent="0.2">
      <c r="A1221" s="4" t="str">
        <f>IF(ポートフォリオ実績!A1222="","", ポートフォリオ実績!A1222)</f>
        <v/>
      </c>
      <c r="B1221" t="str">
        <f>IF(ポートフォリオ実績!B1222="","", ポートフォリオ実績!B1222)</f>
        <v/>
      </c>
      <c r="C1221" s="10" t="str">
        <f>IF(ポートフォリオ実績!C1222="","", ポートフォリオ実績!C1222)</f>
        <v/>
      </c>
      <c r="D1221" s="10" t="str">
        <f>IF(ポートフォリオ実績!D1222="","", ポートフォリオ実績!D1222)</f>
        <v/>
      </c>
      <c r="E1221" s="10" t="str">
        <f>IF(ポートフォリオ実績!E1222="","", ポートフォリオ実績!E1222)</f>
        <v/>
      </c>
      <c r="F1221" s="10" t="str">
        <f>IF(ポートフォリオ実績!F1222="","", ポートフォリオ実績!F1222)</f>
        <v/>
      </c>
      <c r="G1221" t="str">
        <f t="shared" si="209"/>
        <v/>
      </c>
      <c r="H1221">
        <f>IF(B1221&lt;&gt;"", SUMIFS(ポートフォリオ実績!$D$2:$D$2001, ポートフォリオ実績!$B$2:$B$2001, B1221, ポートフォリオ実績!$A$2:$A$2001, G1221), 0)</f>
        <v>0</v>
      </c>
      <c r="I1221">
        <f>IF(B1221&lt;&gt;"", SUMIFS(ポートフォリオ実績!$C$2:$C$2001, ポートフォリオ実績!$B$2:$B$2001, B1221, ポートフォリオ実績!$A$2:$A$2001, G1221), 0)</f>
        <v>0</v>
      </c>
      <c r="J1221">
        <f t="shared" si="210"/>
        <v>0</v>
      </c>
      <c r="K1221">
        <f t="shared" si="211"/>
        <v>0</v>
      </c>
      <c r="L1221">
        <f t="shared" si="212"/>
        <v>0</v>
      </c>
      <c r="M1221">
        <f t="shared" si="213"/>
        <v>0</v>
      </c>
      <c r="N1221">
        <f t="shared" si="214"/>
        <v>0</v>
      </c>
      <c r="O1221">
        <f t="shared" si="215"/>
        <v>0</v>
      </c>
      <c r="P1221" t="str">
        <f t="shared" si="216"/>
        <v/>
      </c>
      <c r="Q1221" t="str">
        <f>IF(B1221="","", IFERROR(VLOOKUP(B1221, '基準資産配分（設定）'!$A$2:$C$2001, 3, FALSE), ""))</f>
        <v/>
      </c>
      <c r="R1221" t="str">
        <f>IF(B1221="","", IFERROR(VLOOKUP(B1221, '基準資産配分（設定）'!$A$2:$C$2001, 2, FALSE)/100, 0))</f>
        <v/>
      </c>
      <c r="S1221" t="str">
        <f>IF(B1221="","", IFERROR(SUMIFS(ベンチマークリターン!$C$2:$C$2001, ベンチマークリターン!$A$2:$A$2001, A1221, ベンチマークリターン!$B$2:$B$2001, Q1221) / 100, 0))</f>
        <v/>
      </c>
      <c r="T1221" t="str">
        <f>IF(A1221="","", SUMIFS($H$2:$H$2000, $A$2:$A$2000, A1221))</f>
        <v/>
      </c>
      <c r="U1221" t="str">
        <f t="shared" si="217"/>
        <v/>
      </c>
      <c r="V1221" t="str">
        <f t="shared" si="218"/>
        <v/>
      </c>
      <c r="W1221" t="str">
        <f t="shared" si="219"/>
        <v/>
      </c>
    </row>
    <row r="1222" spans="1:23" x14ac:dyDescent="0.2">
      <c r="A1222" s="4" t="str">
        <f>IF(ポートフォリオ実績!A1223="","", ポートフォリオ実績!A1223)</f>
        <v/>
      </c>
      <c r="B1222" t="str">
        <f>IF(ポートフォリオ実績!B1223="","", ポートフォリオ実績!B1223)</f>
        <v/>
      </c>
      <c r="C1222" s="10" t="str">
        <f>IF(ポートフォリオ実績!C1223="","", ポートフォリオ実績!C1223)</f>
        <v/>
      </c>
      <c r="D1222" s="10" t="str">
        <f>IF(ポートフォリオ実績!D1223="","", ポートフォリオ実績!D1223)</f>
        <v/>
      </c>
      <c r="E1222" s="10" t="str">
        <f>IF(ポートフォリオ実績!E1223="","", ポートフォリオ実績!E1223)</f>
        <v/>
      </c>
      <c r="F1222" s="10" t="str">
        <f>IF(ポートフォリオ実績!F1223="","", ポートフォリオ実績!F1223)</f>
        <v/>
      </c>
      <c r="G1222" t="str">
        <f t="shared" si="209"/>
        <v/>
      </c>
      <c r="H1222">
        <f>IF(B1222&lt;&gt;"", SUMIFS(ポートフォリオ実績!$D$2:$D$2001, ポートフォリオ実績!$B$2:$B$2001, B1222, ポートフォリオ実績!$A$2:$A$2001, G1222), 0)</f>
        <v>0</v>
      </c>
      <c r="I1222">
        <f>IF(B1222&lt;&gt;"", SUMIFS(ポートフォリオ実績!$C$2:$C$2001, ポートフォリオ実績!$B$2:$B$2001, B1222, ポートフォリオ実績!$A$2:$A$2001, G1222), 0)</f>
        <v>0</v>
      </c>
      <c r="J1222">
        <f t="shared" si="210"/>
        <v>0</v>
      </c>
      <c r="K1222">
        <f t="shared" si="211"/>
        <v>0</v>
      </c>
      <c r="L1222">
        <f t="shared" si="212"/>
        <v>0</v>
      </c>
      <c r="M1222">
        <f t="shared" si="213"/>
        <v>0</v>
      </c>
      <c r="N1222">
        <f t="shared" si="214"/>
        <v>0</v>
      </c>
      <c r="O1222">
        <f t="shared" si="215"/>
        <v>0</v>
      </c>
      <c r="P1222" t="str">
        <f t="shared" si="216"/>
        <v/>
      </c>
      <c r="Q1222" t="str">
        <f>IF(B1222="","", IFERROR(VLOOKUP(B1222, '基準資産配分（設定）'!$A$2:$C$2001, 3, FALSE), ""))</f>
        <v/>
      </c>
      <c r="R1222" t="str">
        <f>IF(B1222="","", IFERROR(VLOOKUP(B1222, '基準資産配分（設定）'!$A$2:$C$2001, 2, FALSE)/100, 0))</f>
        <v/>
      </c>
      <c r="S1222" t="str">
        <f>IF(B1222="","", IFERROR(SUMIFS(ベンチマークリターン!$C$2:$C$2001, ベンチマークリターン!$A$2:$A$2001, A1222, ベンチマークリターン!$B$2:$B$2001, Q1222) / 100, 0))</f>
        <v/>
      </c>
      <c r="T1222" t="str">
        <f>IF(A1222="","", SUMIFS($H$2:$H$2000, $A$2:$A$2000, A1222))</f>
        <v/>
      </c>
      <c r="U1222" t="str">
        <f t="shared" si="217"/>
        <v/>
      </c>
      <c r="V1222" t="str">
        <f t="shared" si="218"/>
        <v/>
      </c>
      <c r="W1222" t="str">
        <f t="shared" si="219"/>
        <v/>
      </c>
    </row>
    <row r="1223" spans="1:23" x14ac:dyDescent="0.2">
      <c r="A1223" s="4" t="str">
        <f>IF(ポートフォリオ実績!A1224="","", ポートフォリオ実績!A1224)</f>
        <v/>
      </c>
      <c r="B1223" t="str">
        <f>IF(ポートフォリオ実績!B1224="","", ポートフォリオ実績!B1224)</f>
        <v/>
      </c>
      <c r="C1223" s="10" t="str">
        <f>IF(ポートフォリオ実績!C1224="","", ポートフォリオ実績!C1224)</f>
        <v/>
      </c>
      <c r="D1223" s="10" t="str">
        <f>IF(ポートフォリオ実績!D1224="","", ポートフォリオ実績!D1224)</f>
        <v/>
      </c>
      <c r="E1223" s="10" t="str">
        <f>IF(ポートフォリオ実績!E1224="","", ポートフォリオ実績!E1224)</f>
        <v/>
      </c>
      <c r="F1223" s="10" t="str">
        <f>IF(ポートフォリオ実績!F1224="","", ポートフォリオ実績!F1224)</f>
        <v/>
      </c>
      <c r="G1223" t="str">
        <f t="shared" si="209"/>
        <v/>
      </c>
      <c r="H1223">
        <f>IF(B1223&lt;&gt;"", SUMIFS(ポートフォリオ実績!$D$2:$D$2001, ポートフォリオ実績!$B$2:$B$2001, B1223, ポートフォリオ実績!$A$2:$A$2001, G1223), 0)</f>
        <v>0</v>
      </c>
      <c r="I1223">
        <f>IF(B1223&lt;&gt;"", SUMIFS(ポートフォリオ実績!$C$2:$C$2001, ポートフォリオ実績!$B$2:$B$2001, B1223, ポートフォリオ実績!$A$2:$A$2001, G1223), 0)</f>
        <v>0</v>
      </c>
      <c r="J1223">
        <f t="shared" si="210"/>
        <v>0</v>
      </c>
      <c r="K1223">
        <f t="shared" si="211"/>
        <v>0</v>
      </c>
      <c r="L1223">
        <f t="shared" si="212"/>
        <v>0</v>
      </c>
      <c r="M1223">
        <f t="shared" si="213"/>
        <v>0</v>
      </c>
      <c r="N1223">
        <f t="shared" si="214"/>
        <v>0</v>
      </c>
      <c r="O1223">
        <f t="shared" si="215"/>
        <v>0</v>
      </c>
      <c r="P1223" t="str">
        <f t="shared" si="216"/>
        <v/>
      </c>
      <c r="Q1223" t="str">
        <f>IF(B1223="","", IFERROR(VLOOKUP(B1223, '基準資産配分（設定）'!$A$2:$C$2001, 3, FALSE), ""))</f>
        <v/>
      </c>
      <c r="R1223" t="str">
        <f>IF(B1223="","", IFERROR(VLOOKUP(B1223, '基準資産配分（設定）'!$A$2:$C$2001, 2, FALSE)/100, 0))</f>
        <v/>
      </c>
      <c r="S1223" t="str">
        <f>IF(B1223="","", IFERROR(SUMIFS(ベンチマークリターン!$C$2:$C$2001, ベンチマークリターン!$A$2:$A$2001, A1223, ベンチマークリターン!$B$2:$B$2001, Q1223) / 100, 0))</f>
        <v/>
      </c>
      <c r="T1223" t="str">
        <f>IF(A1223="","", SUMIFS($H$2:$H$2000, $A$2:$A$2000, A1223))</f>
        <v/>
      </c>
      <c r="U1223" t="str">
        <f t="shared" si="217"/>
        <v/>
      </c>
      <c r="V1223" t="str">
        <f t="shared" si="218"/>
        <v/>
      </c>
      <c r="W1223" t="str">
        <f t="shared" si="219"/>
        <v/>
      </c>
    </row>
    <row r="1224" spans="1:23" x14ac:dyDescent="0.2">
      <c r="A1224" s="4" t="str">
        <f>IF(ポートフォリオ実績!A1225="","", ポートフォリオ実績!A1225)</f>
        <v/>
      </c>
      <c r="B1224" t="str">
        <f>IF(ポートフォリオ実績!B1225="","", ポートフォリオ実績!B1225)</f>
        <v/>
      </c>
      <c r="C1224" s="10" t="str">
        <f>IF(ポートフォリオ実績!C1225="","", ポートフォリオ実績!C1225)</f>
        <v/>
      </c>
      <c r="D1224" s="10" t="str">
        <f>IF(ポートフォリオ実績!D1225="","", ポートフォリオ実績!D1225)</f>
        <v/>
      </c>
      <c r="E1224" s="10" t="str">
        <f>IF(ポートフォリオ実績!E1225="","", ポートフォリオ実績!E1225)</f>
        <v/>
      </c>
      <c r="F1224" s="10" t="str">
        <f>IF(ポートフォリオ実績!F1225="","", ポートフォリオ実績!F1225)</f>
        <v/>
      </c>
      <c r="G1224" t="str">
        <f t="shared" si="209"/>
        <v/>
      </c>
      <c r="H1224">
        <f>IF(B1224&lt;&gt;"", SUMIFS(ポートフォリオ実績!$D$2:$D$2001, ポートフォリオ実績!$B$2:$B$2001, B1224, ポートフォリオ実績!$A$2:$A$2001, G1224), 0)</f>
        <v>0</v>
      </c>
      <c r="I1224">
        <f>IF(B1224&lt;&gt;"", SUMIFS(ポートフォリオ実績!$C$2:$C$2001, ポートフォリオ実績!$B$2:$B$2001, B1224, ポートフォリオ実績!$A$2:$A$2001, G1224), 0)</f>
        <v>0</v>
      </c>
      <c r="J1224">
        <f t="shared" si="210"/>
        <v>0</v>
      </c>
      <c r="K1224">
        <f t="shared" si="211"/>
        <v>0</v>
      </c>
      <c r="L1224">
        <f t="shared" si="212"/>
        <v>0</v>
      </c>
      <c r="M1224">
        <f t="shared" si="213"/>
        <v>0</v>
      </c>
      <c r="N1224">
        <f t="shared" si="214"/>
        <v>0</v>
      </c>
      <c r="O1224">
        <f t="shared" si="215"/>
        <v>0</v>
      </c>
      <c r="P1224" t="str">
        <f t="shared" si="216"/>
        <v/>
      </c>
      <c r="Q1224" t="str">
        <f>IF(B1224="","", IFERROR(VLOOKUP(B1224, '基準資産配分（設定）'!$A$2:$C$2001, 3, FALSE), ""))</f>
        <v/>
      </c>
      <c r="R1224" t="str">
        <f>IF(B1224="","", IFERROR(VLOOKUP(B1224, '基準資産配分（設定）'!$A$2:$C$2001, 2, FALSE)/100, 0))</f>
        <v/>
      </c>
      <c r="S1224" t="str">
        <f>IF(B1224="","", IFERROR(SUMIFS(ベンチマークリターン!$C$2:$C$2001, ベンチマークリターン!$A$2:$A$2001, A1224, ベンチマークリターン!$B$2:$B$2001, Q1224) / 100, 0))</f>
        <v/>
      </c>
      <c r="T1224" t="str">
        <f>IF(A1224="","", SUMIFS($H$2:$H$2000, $A$2:$A$2000, A1224))</f>
        <v/>
      </c>
      <c r="U1224" t="str">
        <f t="shared" si="217"/>
        <v/>
      </c>
      <c r="V1224" t="str">
        <f t="shared" si="218"/>
        <v/>
      </c>
      <c r="W1224" t="str">
        <f t="shared" si="219"/>
        <v/>
      </c>
    </row>
    <row r="1225" spans="1:23" x14ac:dyDescent="0.2">
      <c r="A1225" s="4" t="str">
        <f>IF(ポートフォリオ実績!A1226="","", ポートフォリオ実績!A1226)</f>
        <v/>
      </c>
      <c r="B1225" t="str">
        <f>IF(ポートフォリオ実績!B1226="","", ポートフォリオ実績!B1226)</f>
        <v/>
      </c>
      <c r="C1225" s="10" t="str">
        <f>IF(ポートフォリオ実績!C1226="","", ポートフォリオ実績!C1226)</f>
        <v/>
      </c>
      <c r="D1225" s="10" t="str">
        <f>IF(ポートフォリオ実績!D1226="","", ポートフォリオ実績!D1226)</f>
        <v/>
      </c>
      <c r="E1225" s="10" t="str">
        <f>IF(ポートフォリオ実績!E1226="","", ポートフォリオ実績!E1226)</f>
        <v/>
      </c>
      <c r="F1225" s="10" t="str">
        <f>IF(ポートフォリオ実績!F1226="","", ポートフォリオ実績!F1226)</f>
        <v/>
      </c>
      <c r="G1225" t="str">
        <f t="shared" si="209"/>
        <v/>
      </c>
      <c r="H1225">
        <f>IF(B1225&lt;&gt;"", SUMIFS(ポートフォリオ実績!$D$2:$D$2001, ポートフォリオ実績!$B$2:$B$2001, B1225, ポートフォリオ実績!$A$2:$A$2001, G1225), 0)</f>
        <v>0</v>
      </c>
      <c r="I1225">
        <f>IF(B1225&lt;&gt;"", SUMIFS(ポートフォリオ実績!$C$2:$C$2001, ポートフォリオ実績!$B$2:$B$2001, B1225, ポートフォリオ実績!$A$2:$A$2001, G1225), 0)</f>
        <v>0</v>
      </c>
      <c r="J1225">
        <f t="shared" si="210"/>
        <v>0</v>
      </c>
      <c r="K1225">
        <f t="shared" si="211"/>
        <v>0</v>
      </c>
      <c r="L1225">
        <f t="shared" si="212"/>
        <v>0</v>
      </c>
      <c r="M1225">
        <f t="shared" si="213"/>
        <v>0</v>
      </c>
      <c r="N1225">
        <f t="shared" si="214"/>
        <v>0</v>
      </c>
      <c r="O1225">
        <f t="shared" si="215"/>
        <v>0</v>
      </c>
      <c r="P1225" t="str">
        <f t="shared" si="216"/>
        <v/>
      </c>
      <c r="Q1225" t="str">
        <f>IF(B1225="","", IFERROR(VLOOKUP(B1225, '基準資産配分（設定）'!$A$2:$C$2001, 3, FALSE), ""))</f>
        <v/>
      </c>
      <c r="R1225" t="str">
        <f>IF(B1225="","", IFERROR(VLOOKUP(B1225, '基準資産配分（設定）'!$A$2:$C$2001, 2, FALSE)/100, 0))</f>
        <v/>
      </c>
      <c r="S1225" t="str">
        <f>IF(B1225="","", IFERROR(SUMIFS(ベンチマークリターン!$C$2:$C$2001, ベンチマークリターン!$A$2:$A$2001, A1225, ベンチマークリターン!$B$2:$B$2001, Q1225) / 100, 0))</f>
        <v/>
      </c>
      <c r="T1225" t="str">
        <f>IF(A1225="","", SUMIFS($H$2:$H$2000, $A$2:$A$2000, A1225))</f>
        <v/>
      </c>
      <c r="U1225" t="str">
        <f t="shared" si="217"/>
        <v/>
      </c>
      <c r="V1225" t="str">
        <f t="shared" si="218"/>
        <v/>
      </c>
      <c r="W1225" t="str">
        <f t="shared" si="219"/>
        <v/>
      </c>
    </row>
    <row r="1226" spans="1:23" x14ac:dyDescent="0.2">
      <c r="A1226" s="4" t="str">
        <f>IF(ポートフォリオ実績!A1227="","", ポートフォリオ実績!A1227)</f>
        <v/>
      </c>
      <c r="B1226" t="str">
        <f>IF(ポートフォリオ実績!B1227="","", ポートフォリオ実績!B1227)</f>
        <v/>
      </c>
      <c r="C1226" s="10" t="str">
        <f>IF(ポートフォリオ実績!C1227="","", ポートフォリオ実績!C1227)</f>
        <v/>
      </c>
      <c r="D1226" s="10" t="str">
        <f>IF(ポートフォリオ実績!D1227="","", ポートフォリオ実績!D1227)</f>
        <v/>
      </c>
      <c r="E1226" s="10" t="str">
        <f>IF(ポートフォリオ実績!E1227="","", ポートフォリオ実績!E1227)</f>
        <v/>
      </c>
      <c r="F1226" s="10" t="str">
        <f>IF(ポートフォリオ実績!F1227="","", ポートフォリオ実績!F1227)</f>
        <v/>
      </c>
      <c r="G1226" t="str">
        <f t="shared" si="209"/>
        <v/>
      </c>
      <c r="H1226">
        <f>IF(B1226&lt;&gt;"", SUMIFS(ポートフォリオ実績!$D$2:$D$2001, ポートフォリオ実績!$B$2:$B$2001, B1226, ポートフォリオ実績!$A$2:$A$2001, G1226), 0)</f>
        <v>0</v>
      </c>
      <c r="I1226">
        <f>IF(B1226&lt;&gt;"", SUMIFS(ポートフォリオ実績!$C$2:$C$2001, ポートフォリオ実績!$B$2:$B$2001, B1226, ポートフォリオ実績!$A$2:$A$2001, G1226), 0)</f>
        <v>0</v>
      </c>
      <c r="J1226">
        <f t="shared" si="210"/>
        <v>0</v>
      </c>
      <c r="K1226">
        <f t="shared" si="211"/>
        <v>0</v>
      </c>
      <c r="L1226">
        <f t="shared" si="212"/>
        <v>0</v>
      </c>
      <c r="M1226">
        <f t="shared" si="213"/>
        <v>0</v>
      </c>
      <c r="N1226">
        <f t="shared" si="214"/>
        <v>0</v>
      </c>
      <c r="O1226">
        <f t="shared" si="215"/>
        <v>0</v>
      </c>
      <c r="P1226" t="str">
        <f t="shared" si="216"/>
        <v/>
      </c>
      <c r="Q1226" t="str">
        <f>IF(B1226="","", IFERROR(VLOOKUP(B1226, '基準資産配分（設定）'!$A$2:$C$2001, 3, FALSE), ""))</f>
        <v/>
      </c>
      <c r="R1226" t="str">
        <f>IF(B1226="","", IFERROR(VLOOKUP(B1226, '基準資産配分（設定）'!$A$2:$C$2001, 2, FALSE)/100, 0))</f>
        <v/>
      </c>
      <c r="S1226" t="str">
        <f>IF(B1226="","", IFERROR(SUMIFS(ベンチマークリターン!$C$2:$C$2001, ベンチマークリターン!$A$2:$A$2001, A1226, ベンチマークリターン!$B$2:$B$2001, Q1226) / 100, 0))</f>
        <v/>
      </c>
      <c r="T1226" t="str">
        <f>IF(A1226="","", SUMIFS($H$2:$H$2000, $A$2:$A$2000, A1226))</f>
        <v/>
      </c>
      <c r="U1226" t="str">
        <f t="shared" si="217"/>
        <v/>
      </c>
      <c r="V1226" t="str">
        <f t="shared" si="218"/>
        <v/>
      </c>
      <c r="W1226" t="str">
        <f t="shared" si="219"/>
        <v/>
      </c>
    </row>
    <row r="1227" spans="1:23" x14ac:dyDescent="0.2">
      <c r="A1227" s="4" t="str">
        <f>IF(ポートフォリオ実績!A1228="","", ポートフォリオ実績!A1228)</f>
        <v/>
      </c>
      <c r="B1227" t="str">
        <f>IF(ポートフォリオ実績!B1228="","", ポートフォリオ実績!B1228)</f>
        <v/>
      </c>
      <c r="C1227" s="10" t="str">
        <f>IF(ポートフォリオ実績!C1228="","", ポートフォリオ実績!C1228)</f>
        <v/>
      </c>
      <c r="D1227" s="10" t="str">
        <f>IF(ポートフォリオ実績!D1228="","", ポートフォリオ実績!D1228)</f>
        <v/>
      </c>
      <c r="E1227" s="10" t="str">
        <f>IF(ポートフォリオ実績!E1228="","", ポートフォリオ実績!E1228)</f>
        <v/>
      </c>
      <c r="F1227" s="10" t="str">
        <f>IF(ポートフォリオ実績!F1228="","", ポートフォリオ実績!F1228)</f>
        <v/>
      </c>
      <c r="G1227" t="str">
        <f t="shared" si="209"/>
        <v/>
      </c>
      <c r="H1227">
        <f>IF(B1227&lt;&gt;"", SUMIFS(ポートフォリオ実績!$D$2:$D$2001, ポートフォリオ実績!$B$2:$B$2001, B1227, ポートフォリオ実績!$A$2:$A$2001, G1227), 0)</f>
        <v>0</v>
      </c>
      <c r="I1227">
        <f>IF(B1227&lt;&gt;"", SUMIFS(ポートフォリオ実績!$C$2:$C$2001, ポートフォリオ実績!$B$2:$B$2001, B1227, ポートフォリオ実績!$A$2:$A$2001, G1227), 0)</f>
        <v>0</v>
      </c>
      <c r="J1227">
        <f t="shared" si="210"/>
        <v>0</v>
      </c>
      <c r="K1227">
        <f t="shared" si="211"/>
        <v>0</v>
      </c>
      <c r="L1227">
        <f t="shared" si="212"/>
        <v>0</v>
      </c>
      <c r="M1227">
        <f t="shared" si="213"/>
        <v>0</v>
      </c>
      <c r="N1227">
        <f t="shared" si="214"/>
        <v>0</v>
      </c>
      <c r="O1227">
        <f t="shared" si="215"/>
        <v>0</v>
      </c>
      <c r="P1227" t="str">
        <f t="shared" si="216"/>
        <v/>
      </c>
      <c r="Q1227" t="str">
        <f>IF(B1227="","", IFERROR(VLOOKUP(B1227, '基準資産配分（設定）'!$A$2:$C$2001, 3, FALSE), ""))</f>
        <v/>
      </c>
      <c r="R1227" t="str">
        <f>IF(B1227="","", IFERROR(VLOOKUP(B1227, '基準資産配分（設定）'!$A$2:$C$2001, 2, FALSE)/100, 0))</f>
        <v/>
      </c>
      <c r="S1227" t="str">
        <f>IF(B1227="","", IFERROR(SUMIFS(ベンチマークリターン!$C$2:$C$2001, ベンチマークリターン!$A$2:$A$2001, A1227, ベンチマークリターン!$B$2:$B$2001, Q1227) / 100, 0))</f>
        <v/>
      </c>
      <c r="T1227" t="str">
        <f>IF(A1227="","", SUMIFS($H$2:$H$2000, $A$2:$A$2000, A1227))</f>
        <v/>
      </c>
      <c r="U1227" t="str">
        <f t="shared" si="217"/>
        <v/>
      </c>
      <c r="V1227" t="str">
        <f t="shared" si="218"/>
        <v/>
      </c>
      <c r="W1227" t="str">
        <f t="shared" si="219"/>
        <v/>
      </c>
    </row>
    <row r="1228" spans="1:23" x14ac:dyDescent="0.2">
      <c r="A1228" s="4" t="str">
        <f>IF(ポートフォリオ実績!A1229="","", ポートフォリオ実績!A1229)</f>
        <v/>
      </c>
      <c r="B1228" t="str">
        <f>IF(ポートフォリオ実績!B1229="","", ポートフォリオ実績!B1229)</f>
        <v/>
      </c>
      <c r="C1228" s="10" t="str">
        <f>IF(ポートフォリオ実績!C1229="","", ポートフォリオ実績!C1229)</f>
        <v/>
      </c>
      <c r="D1228" s="10" t="str">
        <f>IF(ポートフォリオ実績!D1229="","", ポートフォリオ実績!D1229)</f>
        <v/>
      </c>
      <c r="E1228" s="10" t="str">
        <f>IF(ポートフォリオ実績!E1229="","", ポートフォリオ実績!E1229)</f>
        <v/>
      </c>
      <c r="F1228" s="10" t="str">
        <f>IF(ポートフォリオ実績!F1229="","", ポートフォリオ実績!F1229)</f>
        <v/>
      </c>
      <c r="G1228" t="str">
        <f t="shared" si="209"/>
        <v/>
      </c>
      <c r="H1228">
        <f>IF(B1228&lt;&gt;"", SUMIFS(ポートフォリオ実績!$D$2:$D$2001, ポートフォリオ実績!$B$2:$B$2001, B1228, ポートフォリオ実績!$A$2:$A$2001, G1228), 0)</f>
        <v>0</v>
      </c>
      <c r="I1228">
        <f>IF(B1228&lt;&gt;"", SUMIFS(ポートフォリオ実績!$C$2:$C$2001, ポートフォリオ実績!$B$2:$B$2001, B1228, ポートフォリオ実績!$A$2:$A$2001, G1228), 0)</f>
        <v>0</v>
      </c>
      <c r="J1228">
        <f t="shared" si="210"/>
        <v>0</v>
      </c>
      <c r="K1228">
        <f t="shared" si="211"/>
        <v>0</v>
      </c>
      <c r="L1228">
        <f t="shared" si="212"/>
        <v>0</v>
      </c>
      <c r="M1228">
        <f t="shared" si="213"/>
        <v>0</v>
      </c>
      <c r="N1228">
        <f t="shared" si="214"/>
        <v>0</v>
      </c>
      <c r="O1228">
        <f t="shared" si="215"/>
        <v>0</v>
      </c>
      <c r="P1228" t="str">
        <f t="shared" si="216"/>
        <v/>
      </c>
      <c r="Q1228" t="str">
        <f>IF(B1228="","", IFERROR(VLOOKUP(B1228, '基準資産配分（設定）'!$A$2:$C$2001, 3, FALSE), ""))</f>
        <v/>
      </c>
      <c r="R1228" t="str">
        <f>IF(B1228="","", IFERROR(VLOOKUP(B1228, '基準資産配分（設定）'!$A$2:$C$2001, 2, FALSE)/100, 0))</f>
        <v/>
      </c>
      <c r="S1228" t="str">
        <f>IF(B1228="","", IFERROR(SUMIFS(ベンチマークリターン!$C$2:$C$2001, ベンチマークリターン!$A$2:$A$2001, A1228, ベンチマークリターン!$B$2:$B$2001, Q1228) / 100, 0))</f>
        <v/>
      </c>
      <c r="T1228" t="str">
        <f>IF(A1228="","", SUMIFS($H$2:$H$2000, $A$2:$A$2000, A1228))</f>
        <v/>
      </c>
      <c r="U1228" t="str">
        <f t="shared" si="217"/>
        <v/>
      </c>
      <c r="V1228" t="str">
        <f t="shared" si="218"/>
        <v/>
      </c>
      <c r="W1228" t="str">
        <f t="shared" si="219"/>
        <v/>
      </c>
    </row>
    <row r="1229" spans="1:23" x14ac:dyDescent="0.2">
      <c r="A1229" s="4" t="str">
        <f>IF(ポートフォリオ実績!A1230="","", ポートフォリオ実績!A1230)</f>
        <v/>
      </c>
      <c r="B1229" t="str">
        <f>IF(ポートフォリオ実績!B1230="","", ポートフォリオ実績!B1230)</f>
        <v/>
      </c>
      <c r="C1229" s="10" t="str">
        <f>IF(ポートフォリオ実績!C1230="","", ポートフォリオ実績!C1230)</f>
        <v/>
      </c>
      <c r="D1229" s="10" t="str">
        <f>IF(ポートフォリオ実績!D1230="","", ポートフォリオ実績!D1230)</f>
        <v/>
      </c>
      <c r="E1229" s="10" t="str">
        <f>IF(ポートフォリオ実績!E1230="","", ポートフォリオ実績!E1230)</f>
        <v/>
      </c>
      <c r="F1229" s="10" t="str">
        <f>IF(ポートフォリオ実績!F1230="","", ポートフォリオ実績!F1230)</f>
        <v/>
      </c>
      <c r="G1229" t="str">
        <f t="shared" si="209"/>
        <v/>
      </c>
      <c r="H1229">
        <f>IF(B1229&lt;&gt;"", SUMIFS(ポートフォリオ実績!$D$2:$D$2001, ポートフォリオ実績!$B$2:$B$2001, B1229, ポートフォリオ実績!$A$2:$A$2001, G1229), 0)</f>
        <v>0</v>
      </c>
      <c r="I1229">
        <f>IF(B1229&lt;&gt;"", SUMIFS(ポートフォリオ実績!$C$2:$C$2001, ポートフォリオ実績!$B$2:$B$2001, B1229, ポートフォリオ実績!$A$2:$A$2001, G1229), 0)</f>
        <v>0</v>
      </c>
      <c r="J1229">
        <f t="shared" si="210"/>
        <v>0</v>
      </c>
      <c r="K1229">
        <f t="shared" si="211"/>
        <v>0</v>
      </c>
      <c r="L1229">
        <f t="shared" si="212"/>
        <v>0</v>
      </c>
      <c r="M1229">
        <f t="shared" si="213"/>
        <v>0</v>
      </c>
      <c r="N1229">
        <f t="shared" si="214"/>
        <v>0</v>
      </c>
      <c r="O1229">
        <f t="shared" si="215"/>
        <v>0</v>
      </c>
      <c r="P1229" t="str">
        <f t="shared" si="216"/>
        <v/>
      </c>
      <c r="Q1229" t="str">
        <f>IF(B1229="","", IFERROR(VLOOKUP(B1229, '基準資産配分（設定）'!$A$2:$C$2001, 3, FALSE), ""))</f>
        <v/>
      </c>
      <c r="R1229" t="str">
        <f>IF(B1229="","", IFERROR(VLOOKUP(B1229, '基準資産配分（設定）'!$A$2:$C$2001, 2, FALSE)/100, 0))</f>
        <v/>
      </c>
      <c r="S1229" t="str">
        <f>IF(B1229="","", IFERROR(SUMIFS(ベンチマークリターン!$C$2:$C$2001, ベンチマークリターン!$A$2:$A$2001, A1229, ベンチマークリターン!$B$2:$B$2001, Q1229) / 100, 0))</f>
        <v/>
      </c>
      <c r="T1229" t="str">
        <f>IF(A1229="","", SUMIFS($H$2:$H$2000, $A$2:$A$2000, A1229))</f>
        <v/>
      </c>
      <c r="U1229" t="str">
        <f t="shared" si="217"/>
        <v/>
      </c>
      <c r="V1229" t="str">
        <f t="shared" si="218"/>
        <v/>
      </c>
      <c r="W1229" t="str">
        <f t="shared" si="219"/>
        <v/>
      </c>
    </row>
    <row r="1230" spans="1:23" x14ac:dyDescent="0.2">
      <c r="A1230" s="4" t="str">
        <f>IF(ポートフォリオ実績!A1231="","", ポートフォリオ実績!A1231)</f>
        <v/>
      </c>
      <c r="B1230" t="str">
        <f>IF(ポートフォリオ実績!B1231="","", ポートフォリオ実績!B1231)</f>
        <v/>
      </c>
      <c r="C1230" s="10" t="str">
        <f>IF(ポートフォリオ実績!C1231="","", ポートフォリオ実績!C1231)</f>
        <v/>
      </c>
      <c r="D1230" s="10" t="str">
        <f>IF(ポートフォリオ実績!D1231="","", ポートフォリオ実績!D1231)</f>
        <v/>
      </c>
      <c r="E1230" s="10" t="str">
        <f>IF(ポートフォリオ実績!E1231="","", ポートフォリオ実績!E1231)</f>
        <v/>
      </c>
      <c r="F1230" s="10" t="str">
        <f>IF(ポートフォリオ実績!F1231="","", ポートフォリオ実績!F1231)</f>
        <v/>
      </c>
      <c r="G1230" t="str">
        <f t="shared" si="209"/>
        <v/>
      </c>
      <c r="H1230">
        <f>IF(B1230&lt;&gt;"", SUMIFS(ポートフォリオ実績!$D$2:$D$2001, ポートフォリオ実績!$B$2:$B$2001, B1230, ポートフォリオ実績!$A$2:$A$2001, G1230), 0)</f>
        <v>0</v>
      </c>
      <c r="I1230">
        <f>IF(B1230&lt;&gt;"", SUMIFS(ポートフォリオ実績!$C$2:$C$2001, ポートフォリオ実績!$B$2:$B$2001, B1230, ポートフォリオ実績!$A$2:$A$2001, G1230), 0)</f>
        <v>0</v>
      </c>
      <c r="J1230">
        <f t="shared" si="210"/>
        <v>0</v>
      </c>
      <c r="K1230">
        <f t="shared" si="211"/>
        <v>0</v>
      </c>
      <c r="L1230">
        <f t="shared" si="212"/>
        <v>0</v>
      </c>
      <c r="M1230">
        <f t="shared" si="213"/>
        <v>0</v>
      </c>
      <c r="N1230">
        <f t="shared" si="214"/>
        <v>0</v>
      </c>
      <c r="O1230">
        <f t="shared" si="215"/>
        <v>0</v>
      </c>
      <c r="P1230" t="str">
        <f t="shared" si="216"/>
        <v/>
      </c>
      <c r="Q1230" t="str">
        <f>IF(B1230="","", IFERROR(VLOOKUP(B1230, '基準資産配分（設定）'!$A$2:$C$2001, 3, FALSE), ""))</f>
        <v/>
      </c>
      <c r="R1230" t="str">
        <f>IF(B1230="","", IFERROR(VLOOKUP(B1230, '基準資産配分（設定）'!$A$2:$C$2001, 2, FALSE)/100, 0))</f>
        <v/>
      </c>
      <c r="S1230" t="str">
        <f>IF(B1230="","", IFERROR(SUMIFS(ベンチマークリターン!$C$2:$C$2001, ベンチマークリターン!$A$2:$A$2001, A1230, ベンチマークリターン!$B$2:$B$2001, Q1230) / 100, 0))</f>
        <v/>
      </c>
      <c r="T1230" t="str">
        <f>IF(A1230="","", SUMIFS($H$2:$H$2000, $A$2:$A$2000, A1230))</f>
        <v/>
      </c>
      <c r="U1230" t="str">
        <f t="shared" si="217"/>
        <v/>
      </c>
      <c r="V1230" t="str">
        <f t="shared" si="218"/>
        <v/>
      </c>
      <c r="W1230" t="str">
        <f t="shared" si="219"/>
        <v/>
      </c>
    </row>
    <row r="1231" spans="1:23" x14ac:dyDescent="0.2">
      <c r="A1231" s="4" t="str">
        <f>IF(ポートフォリオ実績!A1232="","", ポートフォリオ実績!A1232)</f>
        <v/>
      </c>
      <c r="B1231" t="str">
        <f>IF(ポートフォリオ実績!B1232="","", ポートフォリオ実績!B1232)</f>
        <v/>
      </c>
      <c r="C1231" s="10" t="str">
        <f>IF(ポートフォリオ実績!C1232="","", ポートフォリオ実績!C1232)</f>
        <v/>
      </c>
      <c r="D1231" s="10" t="str">
        <f>IF(ポートフォリオ実績!D1232="","", ポートフォリオ実績!D1232)</f>
        <v/>
      </c>
      <c r="E1231" s="10" t="str">
        <f>IF(ポートフォリオ実績!E1232="","", ポートフォリオ実績!E1232)</f>
        <v/>
      </c>
      <c r="F1231" s="10" t="str">
        <f>IF(ポートフォリオ実績!F1232="","", ポートフォリオ実績!F1232)</f>
        <v/>
      </c>
      <c r="G1231" t="str">
        <f t="shared" si="209"/>
        <v/>
      </c>
      <c r="H1231">
        <f>IF(B1231&lt;&gt;"", SUMIFS(ポートフォリオ実績!$D$2:$D$2001, ポートフォリオ実績!$B$2:$B$2001, B1231, ポートフォリオ実績!$A$2:$A$2001, G1231), 0)</f>
        <v>0</v>
      </c>
      <c r="I1231">
        <f>IF(B1231&lt;&gt;"", SUMIFS(ポートフォリオ実績!$C$2:$C$2001, ポートフォリオ実績!$B$2:$B$2001, B1231, ポートフォリオ実績!$A$2:$A$2001, G1231), 0)</f>
        <v>0</v>
      </c>
      <c r="J1231">
        <f t="shared" si="210"/>
        <v>0</v>
      </c>
      <c r="K1231">
        <f t="shared" si="211"/>
        <v>0</v>
      </c>
      <c r="L1231">
        <f t="shared" si="212"/>
        <v>0</v>
      </c>
      <c r="M1231">
        <f t="shared" si="213"/>
        <v>0</v>
      </c>
      <c r="N1231">
        <f t="shared" si="214"/>
        <v>0</v>
      </c>
      <c r="O1231">
        <f t="shared" si="215"/>
        <v>0</v>
      </c>
      <c r="P1231" t="str">
        <f t="shared" si="216"/>
        <v/>
      </c>
      <c r="Q1231" t="str">
        <f>IF(B1231="","", IFERROR(VLOOKUP(B1231, '基準資産配分（設定）'!$A$2:$C$2001, 3, FALSE), ""))</f>
        <v/>
      </c>
      <c r="R1231" t="str">
        <f>IF(B1231="","", IFERROR(VLOOKUP(B1231, '基準資産配分（設定）'!$A$2:$C$2001, 2, FALSE)/100, 0))</f>
        <v/>
      </c>
      <c r="S1231" t="str">
        <f>IF(B1231="","", IFERROR(SUMIFS(ベンチマークリターン!$C$2:$C$2001, ベンチマークリターン!$A$2:$A$2001, A1231, ベンチマークリターン!$B$2:$B$2001, Q1231) / 100, 0))</f>
        <v/>
      </c>
      <c r="T1231" t="str">
        <f>IF(A1231="","", SUMIFS($H$2:$H$2000, $A$2:$A$2000, A1231))</f>
        <v/>
      </c>
      <c r="U1231" t="str">
        <f t="shared" si="217"/>
        <v/>
      </c>
      <c r="V1231" t="str">
        <f t="shared" si="218"/>
        <v/>
      </c>
      <c r="W1231" t="str">
        <f t="shared" si="219"/>
        <v/>
      </c>
    </row>
    <row r="1232" spans="1:23" x14ac:dyDescent="0.2">
      <c r="A1232" s="4" t="str">
        <f>IF(ポートフォリオ実績!A1233="","", ポートフォリオ実績!A1233)</f>
        <v/>
      </c>
      <c r="B1232" t="str">
        <f>IF(ポートフォリオ実績!B1233="","", ポートフォリオ実績!B1233)</f>
        <v/>
      </c>
      <c r="C1232" s="10" t="str">
        <f>IF(ポートフォリオ実績!C1233="","", ポートフォリオ実績!C1233)</f>
        <v/>
      </c>
      <c r="D1232" s="10" t="str">
        <f>IF(ポートフォリオ実績!D1233="","", ポートフォリオ実績!D1233)</f>
        <v/>
      </c>
      <c r="E1232" s="10" t="str">
        <f>IF(ポートフォリオ実績!E1233="","", ポートフォリオ実績!E1233)</f>
        <v/>
      </c>
      <c r="F1232" s="10" t="str">
        <f>IF(ポートフォリオ実績!F1233="","", ポートフォリオ実績!F1233)</f>
        <v/>
      </c>
      <c r="G1232" t="str">
        <f t="shared" si="209"/>
        <v/>
      </c>
      <c r="H1232">
        <f>IF(B1232&lt;&gt;"", SUMIFS(ポートフォリオ実績!$D$2:$D$2001, ポートフォリオ実績!$B$2:$B$2001, B1232, ポートフォリオ実績!$A$2:$A$2001, G1232), 0)</f>
        <v>0</v>
      </c>
      <c r="I1232">
        <f>IF(B1232&lt;&gt;"", SUMIFS(ポートフォリオ実績!$C$2:$C$2001, ポートフォリオ実績!$B$2:$B$2001, B1232, ポートフォリオ実績!$A$2:$A$2001, G1232), 0)</f>
        <v>0</v>
      </c>
      <c r="J1232">
        <f t="shared" si="210"/>
        <v>0</v>
      </c>
      <c r="K1232">
        <f t="shared" si="211"/>
        <v>0</v>
      </c>
      <c r="L1232">
        <f t="shared" si="212"/>
        <v>0</v>
      </c>
      <c r="M1232">
        <f t="shared" si="213"/>
        <v>0</v>
      </c>
      <c r="N1232">
        <f t="shared" si="214"/>
        <v>0</v>
      </c>
      <c r="O1232">
        <f t="shared" si="215"/>
        <v>0</v>
      </c>
      <c r="P1232" t="str">
        <f t="shared" si="216"/>
        <v/>
      </c>
      <c r="Q1232" t="str">
        <f>IF(B1232="","", IFERROR(VLOOKUP(B1232, '基準資産配分（設定）'!$A$2:$C$2001, 3, FALSE), ""))</f>
        <v/>
      </c>
      <c r="R1232" t="str">
        <f>IF(B1232="","", IFERROR(VLOOKUP(B1232, '基準資産配分（設定）'!$A$2:$C$2001, 2, FALSE)/100, 0))</f>
        <v/>
      </c>
      <c r="S1232" t="str">
        <f>IF(B1232="","", IFERROR(SUMIFS(ベンチマークリターン!$C$2:$C$2001, ベンチマークリターン!$A$2:$A$2001, A1232, ベンチマークリターン!$B$2:$B$2001, Q1232) / 100, 0))</f>
        <v/>
      </c>
      <c r="T1232" t="str">
        <f>IF(A1232="","", SUMIFS($H$2:$H$2000, $A$2:$A$2000, A1232))</f>
        <v/>
      </c>
      <c r="U1232" t="str">
        <f t="shared" si="217"/>
        <v/>
      </c>
      <c r="V1232" t="str">
        <f t="shared" si="218"/>
        <v/>
      </c>
      <c r="W1232" t="str">
        <f t="shared" si="219"/>
        <v/>
      </c>
    </row>
    <row r="1233" spans="1:23" x14ac:dyDescent="0.2">
      <c r="A1233" s="4" t="str">
        <f>IF(ポートフォリオ実績!A1234="","", ポートフォリオ実績!A1234)</f>
        <v/>
      </c>
      <c r="B1233" t="str">
        <f>IF(ポートフォリオ実績!B1234="","", ポートフォリオ実績!B1234)</f>
        <v/>
      </c>
      <c r="C1233" s="10" t="str">
        <f>IF(ポートフォリオ実績!C1234="","", ポートフォリオ実績!C1234)</f>
        <v/>
      </c>
      <c r="D1233" s="10" t="str">
        <f>IF(ポートフォリオ実績!D1234="","", ポートフォリオ実績!D1234)</f>
        <v/>
      </c>
      <c r="E1233" s="10" t="str">
        <f>IF(ポートフォリオ実績!E1234="","", ポートフォリオ実績!E1234)</f>
        <v/>
      </c>
      <c r="F1233" s="10" t="str">
        <f>IF(ポートフォリオ実績!F1234="","", ポートフォリオ実績!F1234)</f>
        <v/>
      </c>
      <c r="G1233" t="str">
        <f t="shared" si="209"/>
        <v/>
      </c>
      <c r="H1233">
        <f>IF(B1233&lt;&gt;"", SUMIFS(ポートフォリオ実績!$D$2:$D$2001, ポートフォリオ実績!$B$2:$B$2001, B1233, ポートフォリオ実績!$A$2:$A$2001, G1233), 0)</f>
        <v>0</v>
      </c>
      <c r="I1233">
        <f>IF(B1233&lt;&gt;"", SUMIFS(ポートフォリオ実績!$C$2:$C$2001, ポートフォリオ実績!$B$2:$B$2001, B1233, ポートフォリオ実績!$A$2:$A$2001, G1233), 0)</f>
        <v>0</v>
      </c>
      <c r="J1233">
        <f t="shared" si="210"/>
        <v>0</v>
      </c>
      <c r="K1233">
        <f t="shared" si="211"/>
        <v>0</v>
      </c>
      <c r="L1233">
        <f t="shared" si="212"/>
        <v>0</v>
      </c>
      <c r="M1233">
        <f t="shared" si="213"/>
        <v>0</v>
      </c>
      <c r="N1233">
        <f t="shared" si="214"/>
        <v>0</v>
      </c>
      <c r="O1233">
        <f t="shared" si="215"/>
        <v>0</v>
      </c>
      <c r="P1233" t="str">
        <f t="shared" si="216"/>
        <v/>
      </c>
      <c r="Q1233" t="str">
        <f>IF(B1233="","", IFERROR(VLOOKUP(B1233, '基準資産配分（設定）'!$A$2:$C$2001, 3, FALSE), ""))</f>
        <v/>
      </c>
      <c r="R1233" t="str">
        <f>IF(B1233="","", IFERROR(VLOOKUP(B1233, '基準資産配分（設定）'!$A$2:$C$2001, 2, FALSE)/100, 0))</f>
        <v/>
      </c>
      <c r="S1233" t="str">
        <f>IF(B1233="","", IFERROR(SUMIFS(ベンチマークリターン!$C$2:$C$2001, ベンチマークリターン!$A$2:$A$2001, A1233, ベンチマークリターン!$B$2:$B$2001, Q1233) / 100, 0))</f>
        <v/>
      </c>
      <c r="T1233" t="str">
        <f>IF(A1233="","", SUMIFS($H$2:$H$2000, $A$2:$A$2000, A1233))</f>
        <v/>
      </c>
      <c r="U1233" t="str">
        <f t="shared" si="217"/>
        <v/>
      </c>
      <c r="V1233" t="str">
        <f t="shared" si="218"/>
        <v/>
      </c>
      <c r="W1233" t="str">
        <f t="shared" si="219"/>
        <v/>
      </c>
    </row>
    <row r="1234" spans="1:23" x14ac:dyDescent="0.2">
      <c r="A1234" s="4" t="str">
        <f>IF(ポートフォリオ実績!A1235="","", ポートフォリオ実績!A1235)</f>
        <v/>
      </c>
      <c r="B1234" t="str">
        <f>IF(ポートフォリオ実績!B1235="","", ポートフォリオ実績!B1235)</f>
        <v/>
      </c>
      <c r="C1234" s="10" t="str">
        <f>IF(ポートフォリオ実績!C1235="","", ポートフォリオ実績!C1235)</f>
        <v/>
      </c>
      <c r="D1234" s="10" t="str">
        <f>IF(ポートフォリオ実績!D1235="","", ポートフォリオ実績!D1235)</f>
        <v/>
      </c>
      <c r="E1234" s="10" t="str">
        <f>IF(ポートフォリオ実績!E1235="","", ポートフォリオ実績!E1235)</f>
        <v/>
      </c>
      <c r="F1234" s="10" t="str">
        <f>IF(ポートフォリオ実績!F1235="","", ポートフォリオ実績!F1235)</f>
        <v/>
      </c>
      <c r="G1234" t="str">
        <f t="shared" si="209"/>
        <v/>
      </c>
      <c r="H1234">
        <f>IF(B1234&lt;&gt;"", SUMIFS(ポートフォリオ実績!$D$2:$D$2001, ポートフォリオ実績!$B$2:$B$2001, B1234, ポートフォリオ実績!$A$2:$A$2001, G1234), 0)</f>
        <v>0</v>
      </c>
      <c r="I1234">
        <f>IF(B1234&lt;&gt;"", SUMIFS(ポートフォリオ実績!$C$2:$C$2001, ポートフォリオ実績!$B$2:$B$2001, B1234, ポートフォリオ実績!$A$2:$A$2001, G1234), 0)</f>
        <v>0</v>
      </c>
      <c r="J1234">
        <f t="shared" si="210"/>
        <v>0</v>
      </c>
      <c r="K1234">
        <f t="shared" si="211"/>
        <v>0</v>
      </c>
      <c r="L1234">
        <f t="shared" si="212"/>
        <v>0</v>
      </c>
      <c r="M1234">
        <f t="shared" si="213"/>
        <v>0</v>
      </c>
      <c r="N1234">
        <f t="shared" si="214"/>
        <v>0</v>
      </c>
      <c r="O1234">
        <f t="shared" si="215"/>
        <v>0</v>
      </c>
      <c r="P1234" t="str">
        <f t="shared" si="216"/>
        <v/>
      </c>
      <c r="Q1234" t="str">
        <f>IF(B1234="","", IFERROR(VLOOKUP(B1234, '基準資産配分（設定）'!$A$2:$C$2001, 3, FALSE), ""))</f>
        <v/>
      </c>
      <c r="R1234" t="str">
        <f>IF(B1234="","", IFERROR(VLOOKUP(B1234, '基準資産配分（設定）'!$A$2:$C$2001, 2, FALSE)/100, 0))</f>
        <v/>
      </c>
      <c r="S1234" t="str">
        <f>IF(B1234="","", IFERROR(SUMIFS(ベンチマークリターン!$C$2:$C$2001, ベンチマークリターン!$A$2:$A$2001, A1234, ベンチマークリターン!$B$2:$B$2001, Q1234) / 100, 0))</f>
        <v/>
      </c>
      <c r="T1234" t="str">
        <f>IF(A1234="","", SUMIFS($H$2:$H$2000, $A$2:$A$2000, A1234))</f>
        <v/>
      </c>
      <c r="U1234" t="str">
        <f t="shared" si="217"/>
        <v/>
      </c>
      <c r="V1234" t="str">
        <f t="shared" si="218"/>
        <v/>
      </c>
      <c r="W1234" t="str">
        <f t="shared" si="219"/>
        <v/>
      </c>
    </row>
    <row r="1235" spans="1:23" x14ac:dyDescent="0.2">
      <c r="A1235" s="4" t="str">
        <f>IF(ポートフォリオ実績!A1236="","", ポートフォリオ実績!A1236)</f>
        <v/>
      </c>
      <c r="B1235" t="str">
        <f>IF(ポートフォリオ実績!B1236="","", ポートフォリオ実績!B1236)</f>
        <v/>
      </c>
      <c r="C1235" s="10" t="str">
        <f>IF(ポートフォリオ実績!C1236="","", ポートフォリオ実績!C1236)</f>
        <v/>
      </c>
      <c r="D1235" s="10" t="str">
        <f>IF(ポートフォリオ実績!D1236="","", ポートフォリオ実績!D1236)</f>
        <v/>
      </c>
      <c r="E1235" s="10" t="str">
        <f>IF(ポートフォリオ実績!E1236="","", ポートフォリオ実績!E1236)</f>
        <v/>
      </c>
      <c r="F1235" s="10" t="str">
        <f>IF(ポートフォリオ実績!F1236="","", ポートフォリオ実績!F1236)</f>
        <v/>
      </c>
      <c r="G1235" t="str">
        <f t="shared" si="209"/>
        <v/>
      </c>
      <c r="H1235">
        <f>IF(B1235&lt;&gt;"", SUMIFS(ポートフォリオ実績!$D$2:$D$2001, ポートフォリオ実績!$B$2:$B$2001, B1235, ポートフォリオ実績!$A$2:$A$2001, G1235), 0)</f>
        <v>0</v>
      </c>
      <c r="I1235">
        <f>IF(B1235&lt;&gt;"", SUMIFS(ポートフォリオ実績!$C$2:$C$2001, ポートフォリオ実績!$B$2:$B$2001, B1235, ポートフォリオ実績!$A$2:$A$2001, G1235), 0)</f>
        <v>0</v>
      </c>
      <c r="J1235">
        <f t="shared" si="210"/>
        <v>0</v>
      </c>
      <c r="K1235">
        <f t="shared" si="211"/>
        <v>0</v>
      </c>
      <c r="L1235">
        <f t="shared" si="212"/>
        <v>0</v>
      </c>
      <c r="M1235">
        <f t="shared" si="213"/>
        <v>0</v>
      </c>
      <c r="N1235">
        <f t="shared" si="214"/>
        <v>0</v>
      </c>
      <c r="O1235">
        <f t="shared" si="215"/>
        <v>0</v>
      </c>
      <c r="P1235" t="str">
        <f t="shared" si="216"/>
        <v/>
      </c>
      <c r="Q1235" t="str">
        <f>IF(B1235="","", IFERROR(VLOOKUP(B1235, '基準資産配分（設定）'!$A$2:$C$2001, 3, FALSE), ""))</f>
        <v/>
      </c>
      <c r="R1235" t="str">
        <f>IF(B1235="","", IFERROR(VLOOKUP(B1235, '基準資産配分（設定）'!$A$2:$C$2001, 2, FALSE)/100, 0))</f>
        <v/>
      </c>
      <c r="S1235" t="str">
        <f>IF(B1235="","", IFERROR(SUMIFS(ベンチマークリターン!$C$2:$C$2001, ベンチマークリターン!$A$2:$A$2001, A1235, ベンチマークリターン!$B$2:$B$2001, Q1235) / 100, 0))</f>
        <v/>
      </c>
      <c r="T1235" t="str">
        <f>IF(A1235="","", SUMIFS($H$2:$H$2000, $A$2:$A$2000, A1235))</f>
        <v/>
      </c>
      <c r="U1235" t="str">
        <f t="shared" si="217"/>
        <v/>
      </c>
      <c r="V1235" t="str">
        <f t="shared" si="218"/>
        <v/>
      </c>
      <c r="W1235" t="str">
        <f t="shared" si="219"/>
        <v/>
      </c>
    </row>
    <row r="1236" spans="1:23" x14ac:dyDescent="0.2">
      <c r="A1236" s="4" t="str">
        <f>IF(ポートフォリオ実績!A1237="","", ポートフォリオ実績!A1237)</f>
        <v/>
      </c>
      <c r="B1236" t="str">
        <f>IF(ポートフォリオ実績!B1237="","", ポートフォリオ実績!B1237)</f>
        <v/>
      </c>
      <c r="C1236" s="10" t="str">
        <f>IF(ポートフォリオ実績!C1237="","", ポートフォリオ実績!C1237)</f>
        <v/>
      </c>
      <c r="D1236" s="10" t="str">
        <f>IF(ポートフォリオ実績!D1237="","", ポートフォリオ実績!D1237)</f>
        <v/>
      </c>
      <c r="E1236" s="10" t="str">
        <f>IF(ポートフォリオ実績!E1237="","", ポートフォリオ実績!E1237)</f>
        <v/>
      </c>
      <c r="F1236" s="10" t="str">
        <f>IF(ポートフォリオ実績!F1237="","", ポートフォリオ実績!F1237)</f>
        <v/>
      </c>
      <c r="G1236" t="str">
        <f t="shared" si="209"/>
        <v/>
      </c>
      <c r="H1236">
        <f>IF(B1236&lt;&gt;"", SUMIFS(ポートフォリオ実績!$D$2:$D$2001, ポートフォリオ実績!$B$2:$B$2001, B1236, ポートフォリオ実績!$A$2:$A$2001, G1236), 0)</f>
        <v>0</v>
      </c>
      <c r="I1236">
        <f>IF(B1236&lt;&gt;"", SUMIFS(ポートフォリオ実績!$C$2:$C$2001, ポートフォリオ実績!$B$2:$B$2001, B1236, ポートフォリオ実績!$A$2:$A$2001, G1236), 0)</f>
        <v>0</v>
      </c>
      <c r="J1236">
        <f t="shared" si="210"/>
        <v>0</v>
      </c>
      <c r="K1236">
        <f t="shared" si="211"/>
        <v>0</v>
      </c>
      <c r="L1236">
        <f t="shared" si="212"/>
        <v>0</v>
      </c>
      <c r="M1236">
        <f t="shared" si="213"/>
        <v>0</v>
      </c>
      <c r="N1236">
        <f t="shared" si="214"/>
        <v>0</v>
      </c>
      <c r="O1236">
        <f t="shared" si="215"/>
        <v>0</v>
      </c>
      <c r="P1236" t="str">
        <f t="shared" si="216"/>
        <v/>
      </c>
      <c r="Q1236" t="str">
        <f>IF(B1236="","", IFERROR(VLOOKUP(B1236, '基準資産配分（設定）'!$A$2:$C$2001, 3, FALSE), ""))</f>
        <v/>
      </c>
      <c r="R1236" t="str">
        <f>IF(B1236="","", IFERROR(VLOOKUP(B1236, '基準資産配分（設定）'!$A$2:$C$2001, 2, FALSE)/100, 0))</f>
        <v/>
      </c>
      <c r="S1236" t="str">
        <f>IF(B1236="","", IFERROR(SUMIFS(ベンチマークリターン!$C$2:$C$2001, ベンチマークリターン!$A$2:$A$2001, A1236, ベンチマークリターン!$B$2:$B$2001, Q1236) / 100, 0))</f>
        <v/>
      </c>
      <c r="T1236" t="str">
        <f>IF(A1236="","", SUMIFS($H$2:$H$2000, $A$2:$A$2000, A1236))</f>
        <v/>
      </c>
      <c r="U1236" t="str">
        <f t="shared" si="217"/>
        <v/>
      </c>
      <c r="V1236" t="str">
        <f t="shared" si="218"/>
        <v/>
      </c>
      <c r="W1236" t="str">
        <f t="shared" si="219"/>
        <v/>
      </c>
    </row>
    <row r="1237" spans="1:23" x14ac:dyDescent="0.2">
      <c r="A1237" s="4" t="str">
        <f>IF(ポートフォリオ実績!A1238="","", ポートフォリオ実績!A1238)</f>
        <v/>
      </c>
      <c r="B1237" t="str">
        <f>IF(ポートフォリオ実績!B1238="","", ポートフォリオ実績!B1238)</f>
        <v/>
      </c>
      <c r="C1237" s="10" t="str">
        <f>IF(ポートフォリオ実績!C1238="","", ポートフォリオ実績!C1238)</f>
        <v/>
      </c>
      <c r="D1237" s="10" t="str">
        <f>IF(ポートフォリオ実績!D1238="","", ポートフォリオ実績!D1238)</f>
        <v/>
      </c>
      <c r="E1237" s="10" t="str">
        <f>IF(ポートフォリオ実績!E1238="","", ポートフォリオ実績!E1238)</f>
        <v/>
      </c>
      <c r="F1237" s="10" t="str">
        <f>IF(ポートフォリオ実績!F1238="","", ポートフォリオ実績!F1238)</f>
        <v/>
      </c>
      <c r="G1237" t="str">
        <f t="shared" si="209"/>
        <v/>
      </c>
      <c r="H1237">
        <f>IF(B1237&lt;&gt;"", SUMIFS(ポートフォリオ実績!$D$2:$D$2001, ポートフォリオ実績!$B$2:$B$2001, B1237, ポートフォリオ実績!$A$2:$A$2001, G1237), 0)</f>
        <v>0</v>
      </c>
      <c r="I1237">
        <f>IF(B1237&lt;&gt;"", SUMIFS(ポートフォリオ実績!$C$2:$C$2001, ポートフォリオ実績!$B$2:$B$2001, B1237, ポートフォリオ実績!$A$2:$A$2001, G1237), 0)</f>
        <v>0</v>
      </c>
      <c r="J1237">
        <f t="shared" si="210"/>
        <v>0</v>
      </c>
      <c r="K1237">
        <f t="shared" si="211"/>
        <v>0</v>
      </c>
      <c r="L1237">
        <f t="shared" si="212"/>
        <v>0</v>
      </c>
      <c r="M1237">
        <f t="shared" si="213"/>
        <v>0</v>
      </c>
      <c r="N1237">
        <f t="shared" si="214"/>
        <v>0</v>
      </c>
      <c r="O1237">
        <f t="shared" si="215"/>
        <v>0</v>
      </c>
      <c r="P1237" t="str">
        <f t="shared" si="216"/>
        <v/>
      </c>
      <c r="Q1237" t="str">
        <f>IF(B1237="","", IFERROR(VLOOKUP(B1237, '基準資産配分（設定）'!$A$2:$C$2001, 3, FALSE), ""))</f>
        <v/>
      </c>
      <c r="R1237" t="str">
        <f>IF(B1237="","", IFERROR(VLOOKUP(B1237, '基準資産配分（設定）'!$A$2:$C$2001, 2, FALSE)/100, 0))</f>
        <v/>
      </c>
      <c r="S1237" t="str">
        <f>IF(B1237="","", IFERROR(SUMIFS(ベンチマークリターン!$C$2:$C$2001, ベンチマークリターン!$A$2:$A$2001, A1237, ベンチマークリターン!$B$2:$B$2001, Q1237) / 100, 0))</f>
        <v/>
      </c>
      <c r="T1237" t="str">
        <f>IF(A1237="","", SUMIFS($H$2:$H$2000, $A$2:$A$2000, A1237))</f>
        <v/>
      </c>
      <c r="U1237" t="str">
        <f t="shared" si="217"/>
        <v/>
      </c>
      <c r="V1237" t="str">
        <f t="shared" si="218"/>
        <v/>
      </c>
      <c r="W1237" t="str">
        <f t="shared" si="219"/>
        <v/>
      </c>
    </row>
    <row r="1238" spans="1:23" x14ac:dyDescent="0.2">
      <c r="A1238" s="4" t="str">
        <f>IF(ポートフォリオ実績!A1239="","", ポートフォリオ実績!A1239)</f>
        <v/>
      </c>
      <c r="B1238" t="str">
        <f>IF(ポートフォリオ実績!B1239="","", ポートフォリオ実績!B1239)</f>
        <v/>
      </c>
      <c r="C1238" s="10" t="str">
        <f>IF(ポートフォリオ実績!C1239="","", ポートフォリオ実績!C1239)</f>
        <v/>
      </c>
      <c r="D1238" s="10" t="str">
        <f>IF(ポートフォリオ実績!D1239="","", ポートフォリオ実績!D1239)</f>
        <v/>
      </c>
      <c r="E1238" s="10" t="str">
        <f>IF(ポートフォリオ実績!E1239="","", ポートフォリオ実績!E1239)</f>
        <v/>
      </c>
      <c r="F1238" s="10" t="str">
        <f>IF(ポートフォリオ実績!F1239="","", ポートフォリオ実績!F1239)</f>
        <v/>
      </c>
      <c r="G1238" t="str">
        <f t="shared" si="209"/>
        <v/>
      </c>
      <c r="H1238">
        <f>IF(B1238&lt;&gt;"", SUMIFS(ポートフォリオ実績!$D$2:$D$2001, ポートフォリオ実績!$B$2:$B$2001, B1238, ポートフォリオ実績!$A$2:$A$2001, G1238), 0)</f>
        <v>0</v>
      </c>
      <c r="I1238">
        <f>IF(B1238&lt;&gt;"", SUMIFS(ポートフォリオ実績!$C$2:$C$2001, ポートフォリオ実績!$B$2:$B$2001, B1238, ポートフォリオ実績!$A$2:$A$2001, G1238), 0)</f>
        <v>0</v>
      </c>
      <c r="J1238">
        <f t="shared" si="210"/>
        <v>0</v>
      </c>
      <c r="K1238">
        <f t="shared" si="211"/>
        <v>0</v>
      </c>
      <c r="L1238">
        <f t="shared" si="212"/>
        <v>0</v>
      </c>
      <c r="M1238">
        <f t="shared" si="213"/>
        <v>0</v>
      </c>
      <c r="N1238">
        <f t="shared" si="214"/>
        <v>0</v>
      </c>
      <c r="O1238">
        <f t="shared" si="215"/>
        <v>0</v>
      </c>
      <c r="P1238" t="str">
        <f t="shared" si="216"/>
        <v/>
      </c>
      <c r="Q1238" t="str">
        <f>IF(B1238="","", IFERROR(VLOOKUP(B1238, '基準資産配分（設定）'!$A$2:$C$2001, 3, FALSE), ""))</f>
        <v/>
      </c>
      <c r="R1238" t="str">
        <f>IF(B1238="","", IFERROR(VLOOKUP(B1238, '基準資産配分（設定）'!$A$2:$C$2001, 2, FALSE)/100, 0))</f>
        <v/>
      </c>
      <c r="S1238" t="str">
        <f>IF(B1238="","", IFERROR(SUMIFS(ベンチマークリターン!$C$2:$C$2001, ベンチマークリターン!$A$2:$A$2001, A1238, ベンチマークリターン!$B$2:$B$2001, Q1238) / 100, 0))</f>
        <v/>
      </c>
      <c r="T1238" t="str">
        <f>IF(A1238="","", SUMIFS($H$2:$H$2000, $A$2:$A$2000, A1238))</f>
        <v/>
      </c>
      <c r="U1238" t="str">
        <f t="shared" si="217"/>
        <v/>
      </c>
      <c r="V1238" t="str">
        <f t="shared" si="218"/>
        <v/>
      </c>
      <c r="W1238" t="str">
        <f t="shared" si="219"/>
        <v/>
      </c>
    </row>
    <row r="1239" spans="1:23" x14ac:dyDescent="0.2">
      <c r="A1239" s="4" t="str">
        <f>IF(ポートフォリオ実績!A1240="","", ポートフォリオ実績!A1240)</f>
        <v/>
      </c>
      <c r="B1239" t="str">
        <f>IF(ポートフォリオ実績!B1240="","", ポートフォリオ実績!B1240)</f>
        <v/>
      </c>
      <c r="C1239" s="10" t="str">
        <f>IF(ポートフォリオ実績!C1240="","", ポートフォリオ実績!C1240)</f>
        <v/>
      </c>
      <c r="D1239" s="10" t="str">
        <f>IF(ポートフォリオ実績!D1240="","", ポートフォリオ実績!D1240)</f>
        <v/>
      </c>
      <c r="E1239" s="10" t="str">
        <f>IF(ポートフォリオ実績!E1240="","", ポートフォリオ実績!E1240)</f>
        <v/>
      </c>
      <c r="F1239" s="10" t="str">
        <f>IF(ポートフォリオ実績!F1240="","", ポートフォリオ実績!F1240)</f>
        <v/>
      </c>
      <c r="G1239" t="str">
        <f t="shared" si="209"/>
        <v/>
      </c>
      <c r="H1239">
        <f>IF(B1239&lt;&gt;"", SUMIFS(ポートフォリオ実績!$D$2:$D$2001, ポートフォリオ実績!$B$2:$B$2001, B1239, ポートフォリオ実績!$A$2:$A$2001, G1239), 0)</f>
        <v>0</v>
      </c>
      <c r="I1239">
        <f>IF(B1239&lt;&gt;"", SUMIFS(ポートフォリオ実績!$C$2:$C$2001, ポートフォリオ実績!$B$2:$B$2001, B1239, ポートフォリオ実績!$A$2:$A$2001, G1239), 0)</f>
        <v>0</v>
      </c>
      <c r="J1239">
        <f t="shared" si="210"/>
        <v>0</v>
      </c>
      <c r="K1239">
        <f t="shared" si="211"/>
        <v>0</v>
      </c>
      <c r="L1239">
        <f t="shared" si="212"/>
        <v>0</v>
      </c>
      <c r="M1239">
        <f t="shared" si="213"/>
        <v>0</v>
      </c>
      <c r="N1239">
        <f t="shared" si="214"/>
        <v>0</v>
      </c>
      <c r="O1239">
        <f t="shared" si="215"/>
        <v>0</v>
      </c>
      <c r="P1239" t="str">
        <f t="shared" si="216"/>
        <v/>
      </c>
      <c r="Q1239" t="str">
        <f>IF(B1239="","", IFERROR(VLOOKUP(B1239, '基準資産配分（設定）'!$A$2:$C$2001, 3, FALSE), ""))</f>
        <v/>
      </c>
      <c r="R1239" t="str">
        <f>IF(B1239="","", IFERROR(VLOOKUP(B1239, '基準資産配分（設定）'!$A$2:$C$2001, 2, FALSE)/100, 0))</f>
        <v/>
      </c>
      <c r="S1239" t="str">
        <f>IF(B1239="","", IFERROR(SUMIFS(ベンチマークリターン!$C$2:$C$2001, ベンチマークリターン!$A$2:$A$2001, A1239, ベンチマークリターン!$B$2:$B$2001, Q1239) / 100, 0))</f>
        <v/>
      </c>
      <c r="T1239" t="str">
        <f>IF(A1239="","", SUMIFS($H$2:$H$2000, $A$2:$A$2000, A1239))</f>
        <v/>
      </c>
      <c r="U1239" t="str">
        <f t="shared" si="217"/>
        <v/>
      </c>
      <c r="V1239" t="str">
        <f t="shared" si="218"/>
        <v/>
      </c>
      <c r="W1239" t="str">
        <f t="shared" si="219"/>
        <v/>
      </c>
    </row>
    <row r="1240" spans="1:23" x14ac:dyDescent="0.2">
      <c r="A1240" s="4" t="str">
        <f>IF(ポートフォリオ実績!A1241="","", ポートフォリオ実績!A1241)</f>
        <v/>
      </c>
      <c r="B1240" t="str">
        <f>IF(ポートフォリオ実績!B1241="","", ポートフォリオ実績!B1241)</f>
        <v/>
      </c>
      <c r="C1240" s="10" t="str">
        <f>IF(ポートフォリオ実績!C1241="","", ポートフォリオ実績!C1241)</f>
        <v/>
      </c>
      <c r="D1240" s="10" t="str">
        <f>IF(ポートフォリオ実績!D1241="","", ポートフォリオ実績!D1241)</f>
        <v/>
      </c>
      <c r="E1240" s="10" t="str">
        <f>IF(ポートフォリオ実績!E1241="","", ポートフォリオ実績!E1241)</f>
        <v/>
      </c>
      <c r="F1240" s="10" t="str">
        <f>IF(ポートフォリオ実績!F1241="","", ポートフォリオ実績!F1241)</f>
        <v/>
      </c>
      <c r="G1240" t="str">
        <f t="shared" si="209"/>
        <v/>
      </c>
      <c r="H1240">
        <f>IF(B1240&lt;&gt;"", SUMIFS(ポートフォリオ実績!$D$2:$D$2001, ポートフォリオ実績!$B$2:$B$2001, B1240, ポートフォリオ実績!$A$2:$A$2001, G1240), 0)</f>
        <v>0</v>
      </c>
      <c r="I1240">
        <f>IF(B1240&lt;&gt;"", SUMIFS(ポートフォリオ実績!$C$2:$C$2001, ポートフォリオ実績!$B$2:$B$2001, B1240, ポートフォリオ実績!$A$2:$A$2001, G1240), 0)</f>
        <v>0</v>
      </c>
      <c r="J1240">
        <f t="shared" si="210"/>
        <v>0</v>
      </c>
      <c r="K1240">
        <f t="shared" si="211"/>
        <v>0</v>
      </c>
      <c r="L1240">
        <f t="shared" si="212"/>
        <v>0</v>
      </c>
      <c r="M1240">
        <f t="shared" si="213"/>
        <v>0</v>
      </c>
      <c r="N1240">
        <f t="shared" si="214"/>
        <v>0</v>
      </c>
      <c r="O1240">
        <f t="shared" si="215"/>
        <v>0</v>
      </c>
      <c r="P1240" t="str">
        <f t="shared" si="216"/>
        <v/>
      </c>
      <c r="Q1240" t="str">
        <f>IF(B1240="","", IFERROR(VLOOKUP(B1240, '基準資産配分（設定）'!$A$2:$C$2001, 3, FALSE), ""))</f>
        <v/>
      </c>
      <c r="R1240" t="str">
        <f>IF(B1240="","", IFERROR(VLOOKUP(B1240, '基準資産配分（設定）'!$A$2:$C$2001, 2, FALSE)/100, 0))</f>
        <v/>
      </c>
      <c r="S1240" t="str">
        <f>IF(B1240="","", IFERROR(SUMIFS(ベンチマークリターン!$C$2:$C$2001, ベンチマークリターン!$A$2:$A$2001, A1240, ベンチマークリターン!$B$2:$B$2001, Q1240) / 100, 0))</f>
        <v/>
      </c>
      <c r="T1240" t="str">
        <f>IF(A1240="","", SUMIFS($H$2:$H$2000, $A$2:$A$2000, A1240))</f>
        <v/>
      </c>
      <c r="U1240" t="str">
        <f t="shared" si="217"/>
        <v/>
      </c>
      <c r="V1240" t="str">
        <f t="shared" si="218"/>
        <v/>
      </c>
      <c r="W1240" t="str">
        <f t="shared" si="219"/>
        <v/>
      </c>
    </row>
    <row r="1241" spans="1:23" x14ac:dyDescent="0.2">
      <c r="A1241" s="4" t="str">
        <f>IF(ポートフォリオ実績!A1242="","", ポートフォリオ実績!A1242)</f>
        <v/>
      </c>
      <c r="B1241" t="str">
        <f>IF(ポートフォリオ実績!B1242="","", ポートフォリオ実績!B1242)</f>
        <v/>
      </c>
      <c r="C1241" s="10" t="str">
        <f>IF(ポートフォリオ実績!C1242="","", ポートフォリオ実績!C1242)</f>
        <v/>
      </c>
      <c r="D1241" s="10" t="str">
        <f>IF(ポートフォリオ実績!D1242="","", ポートフォリオ実績!D1242)</f>
        <v/>
      </c>
      <c r="E1241" s="10" t="str">
        <f>IF(ポートフォリオ実績!E1242="","", ポートフォリオ実績!E1242)</f>
        <v/>
      </c>
      <c r="F1241" s="10" t="str">
        <f>IF(ポートフォリオ実績!F1242="","", ポートフォリオ実績!F1242)</f>
        <v/>
      </c>
      <c r="G1241" t="str">
        <f t="shared" si="209"/>
        <v/>
      </c>
      <c r="H1241">
        <f>IF(B1241&lt;&gt;"", SUMIFS(ポートフォリオ実績!$D$2:$D$2001, ポートフォリオ実績!$B$2:$B$2001, B1241, ポートフォリオ実績!$A$2:$A$2001, G1241), 0)</f>
        <v>0</v>
      </c>
      <c r="I1241">
        <f>IF(B1241&lt;&gt;"", SUMIFS(ポートフォリオ実績!$C$2:$C$2001, ポートフォリオ実績!$B$2:$B$2001, B1241, ポートフォリオ実績!$A$2:$A$2001, G1241), 0)</f>
        <v>0</v>
      </c>
      <c r="J1241">
        <f t="shared" si="210"/>
        <v>0</v>
      </c>
      <c r="K1241">
        <f t="shared" si="211"/>
        <v>0</v>
      </c>
      <c r="L1241">
        <f t="shared" si="212"/>
        <v>0</v>
      </c>
      <c r="M1241">
        <f t="shared" si="213"/>
        <v>0</v>
      </c>
      <c r="N1241">
        <f t="shared" si="214"/>
        <v>0</v>
      </c>
      <c r="O1241">
        <f t="shared" si="215"/>
        <v>0</v>
      </c>
      <c r="P1241" t="str">
        <f t="shared" si="216"/>
        <v/>
      </c>
      <c r="Q1241" t="str">
        <f>IF(B1241="","", IFERROR(VLOOKUP(B1241, '基準資産配分（設定）'!$A$2:$C$2001, 3, FALSE), ""))</f>
        <v/>
      </c>
      <c r="R1241" t="str">
        <f>IF(B1241="","", IFERROR(VLOOKUP(B1241, '基準資産配分（設定）'!$A$2:$C$2001, 2, FALSE)/100, 0))</f>
        <v/>
      </c>
      <c r="S1241" t="str">
        <f>IF(B1241="","", IFERROR(SUMIFS(ベンチマークリターン!$C$2:$C$2001, ベンチマークリターン!$A$2:$A$2001, A1241, ベンチマークリターン!$B$2:$B$2001, Q1241) / 100, 0))</f>
        <v/>
      </c>
      <c r="T1241" t="str">
        <f>IF(A1241="","", SUMIFS($H$2:$H$2000, $A$2:$A$2000, A1241))</f>
        <v/>
      </c>
      <c r="U1241" t="str">
        <f t="shared" si="217"/>
        <v/>
      </c>
      <c r="V1241" t="str">
        <f t="shared" si="218"/>
        <v/>
      </c>
      <c r="W1241" t="str">
        <f t="shared" si="219"/>
        <v/>
      </c>
    </row>
    <row r="1242" spans="1:23" x14ac:dyDescent="0.2">
      <c r="A1242" s="4" t="str">
        <f>IF(ポートフォリオ実績!A1243="","", ポートフォリオ実績!A1243)</f>
        <v/>
      </c>
      <c r="B1242" t="str">
        <f>IF(ポートフォリオ実績!B1243="","", ポートフォリオ実績!B1243)</f>
        <v/>
      </c>
      <c r="C1242" s="10" t="str">
        <f>IF(ポートフォリオ実績!C1243="","", ポートフォリオ実績!C1243)</f>
        <v/>
      </c>
      <c r="D1242" s="10" t="str">
        <f>IF(ポートフォリオ実績!D1243="","", ポートフォリオ実績!D1243)</f>
        <v/>
      </c>
      <c r="E1242" s="10" t="str">
        <f>IF(ポートフォリオ実績!E1243="","", ポートフォリオ実績!E1243)</f>
        <v/>
      </c>
      <c r="F1242" s="10" t="str">
        <f>IF(ポートフォリオ実績!F1243="","", ポートフォリオ実績!F1243)</f>
        <v/>
      </c>
      <c r="G1242" t="str">
        <f t="shared" si="209"/>
        <v/>
      </c>
      <c r="H1242">
        <f>IF(B1242&lt;&gt;"", SUMIFS(ポートフォリオ実績!$D$2:$D$2001, ポートフォリオ実績!$B$2:$B$2001, B1242, ポートフォリオ実績!$A$2:$A$2001, G1242), 0)</f>
        <v>0</v>
      </c>
      <c r="I1242">
        <f>IF(B1242&lt;&gt;"", SUMIFS(ポートフォリオ実績!$C$2:$C$2001, ポートフォリオ実績!$B$2:$B$2001, B1242, ポートフォリオ実績!$A$2:$A$2001, G1242), 0)</f>
        <v>0</v>
      </c>
      <c r="J1242">
        <f t="shared" si="210"/>
        <v>0</v>
      </c>
      <c r="K1242">
        <f t="shared" si="211"/>
        <v>0</v>
      </c>
      <c r="L1242">
        <f t="shared" si="212"/>
        <v>0</v>
      </c>
      <c r="M1242">
        <f t="shared" si="213"/>
        <v>0</v>
      </c>
      <c r="N1242">
        <f t="shared" si="214"/>
        <v>0</v>
      </c>
      <c r="O1242">
        <f t="shared" si="215"/>
        <v>0</v>
      </c>
      <c r="P1242" t="str">
        <f t="shared" si="216"/>
        <v/>
      </c>
      <c r="Q1242" t="str">
        <f>IF(B1242="","", IFERROR(VLOOKUP(B1242, '基準資産配分（設定）'!$A$2:$C$2001, 3, FALSE), ""))</f>
        <v/>
      </c>
      <c r="R1242" t="str">
        <f>IF(B1242="","", IFERROR(VLOOKUP(B1242, '基準資産配分（設定）'!$A$2:$C$2001, 2, FALSE)/100, 0))</f>
        <v/>
      </c>
      <c r="S1242" t="str">
        <f>IF(B1242="","", IFERROR(SUMIFS(ベンチマークリターン!$C$2:$C$2001, ベンチマークリターン!$A$2:$A$2001, A1242, ベンチマークリターン!$B$2:$B$2001, Q1242) / 100, 0))</f>
        <v/>
      </c>
      <c r="T1242" t="str">
        <f>IF(A1242="","", SUMIFS($H$2:$H$2000, $A$2:$A$2000, A1242))</f>
        <v/>
      </c>
      <c r="U1242" t="str">
        <f t="shared" si="217"/>
        <v/>
      </c>
      <c r="V1242" t="str">
        <f t="shared" si="218"/>
        <v/>
      </c>
      <c r="W1242" t="str">
        <f t="shared" si="219"/>
        <v/>
      </c>
    </row>
    <row r="1243" spans="1:23" x14ac:dyDescent="0.2">
      <c r="A1243" s="4" t="str">
        <f>IF(ポートフォリオ実績!A1244="","", ポートフォリオ実績!A1244)</f>
        <v/>
      </c>
      <c r="B1243" t="str">
        <f>IF(ポートフォリオ実績!B1244="","", ポートフォリオ実績!B1244)</f>
        <v/>
      </c>
      <c r="C1243" s="10" t="str">
        <f>IF(ポートフォリオ実績!C1244="","", ポートフォリオ実績!C1244)</f>
        <v/>
      </c>
      <c r="D1243" s="10" t="str">
        <f>IF(ポートフォリオ実績!D1244="","", ポートフォリオ実績!D1244)</f>
        <v/>
      </c>
      <c r="E1243" s="10" t="str">
        <f>IF(ポートフォリオ実績!E1244="","", ポートフォリオ実績!E1244)</f>
        <v/>
      </c>
      <c r="F1243" s="10" t="str">
        <f>IF(ポートフォリオ実績!F1244="","", ポートフォリオ実績!F1244)</f>
        <v/>
      </c>
      <c r="G1243" t="str">
        <f t="shared" si="209"/>
        <v/>
      </c>
      <c r="H1243">
        <f>IF(B1243&lt;&gt;"", SUMIFS(ポートフォリオ実績!$D$2:$D$2001, ポートフォリオ実績!$B$2:$B$2001, B1243, ポートフォリオ実績!$A$2:$A$2001, G1243), 0)</f>
        <v>0</v>
      </c>
      <c r="I1243">
        <f>IF(B1243&lt;&gt;"", SUMIFS(ポートフォリオ実績!$C$2:$C$2001, ポートフォリオ実績!$B$2:$B$2001, B1243, ポートフォリオ実績!$A$2:$A$2001, G1243), 0)</f>
        <v>0</v>
      </c>
      <c r="J1243">
        <f t="shared" si="210"/>
        <v>0</v>
      </c>
      <c r="K1243">
        <f t="shared" si="211"/>
        <v>0</v>
      </c>
      <c r="L1243">
        <f t="shared" si="212"/>
        <v>0</v>
      </c>
      <c r="M1243">
        <f t="shared" si="213"/>
        <v>0</v>
      </c>
      <c r="N1243">
        <f t="shared" si="214"/>
        <v>0</v>
      </c>
      <c r="O1243">
        <f t="shared" si="215"/>
        <v>0</v>
      </c>
      <c r="P1243" t="str">
        <f t="shared" si="216"/>
        <v/>
      </c>
      <c r="Q1243" t="str">
        <f>IF(B1243="","", IFERROR(VLOOKUP(B1243, '基準資産配分（設定）'!$A$2:$C$2001, 3, FALSE), ""))</f>
        <v/>
      </c>
      <c r="R1243" t="str">
        <f>IF(B1243="","", IFERROR(VLOOKUP(B1243, '基準資産配分（設定）'!$A$2:$C$2001, 2, FALSE)/100, 0))</f>
        <v/>
      </c>
      <c r="S1243" t="str">
        <f>IF(B1243="","", IFERROR(SUMIFS(ベンチマークリターン!$C$2:$C$2001, ベンチマークリターン!$A$2:$A$2001, A1243, ベンチマークリターン!$B$2:$B$2001, Q1243) / 100, 0))</f>
        <v/>
      </c>
      <c r="T1243" t="str">
        <f>IF(A1243="","", SUMIFS($H$2:$H$2000, $A$2:$A$2000, A1243))</f>
        <v/>
      </c>
      <c r="U1243" t="str">
        <f t="shared" si="217"/>
        <v/>
      </c>
      <c r="V1243" t="str">
        <f t="shared" si="218"/>
        <v/>
      </c>
      <c r="W1243" t="str">
        <f t="shared" si="219"/>
        <v/>
      </c>
    </row>
    <row r="1244" spans="1:23" x14ac:dyDescent="0.2">
      <c r="A1244" s="4" t="str">
        <f>IF(ポートフォリオ実績!A1245="","", ポートフォリオ実績!A1245)</f>
        <v/>
      </c>
      <c r="B1244" t="str">
        <f>IF(ポートフォリオ実績!B1245="","", ポートフォリオ実績!B1245)</f>
        <v/>
      </c>
      <c r="C1244" s="10" t="str">
        <f>IF(ポートフォリオ実績!C1245="","", ポートフォリオ実績!C1245)</f>
        <v/>
      </c>
      <c r="D1244" s="10" t="str">
        <f>IF(ポートフォリオ実績!D1245="","", ポートフォリオ実績!D1245)</f>
        <v/>
      </c>
      <c r="E1244" s="10" t="str">
        <f>IF(ポートフォリオ実績!E1245="","", ポートフォリオ実績!E1245)</f>
        <v/>
      </c>
      <c r="F1244" s="10" t="str">
        <f>IF(ポートフォリオ実績!F1245="","", ポートフォリオ実績!F1245)</f>
        <v/>
      </c>
      <c r="G1244" t="str">
        <f t="shared" si="209"/>
        <v/>
      </c>
      <c r="H1244">
        <f>IF(B1244&lt;&gt;"", SUMIFS(ポートフォリオ実績!$D$2:$D$2001, ポートフォリオ実績!$B$2:$B$2001, B1244, ポートフォリオ実績!$A$2:$A$2001, G1244), 0)</f>
        <v>0</v>
      </c>
      <c r="I1244">
        <f>IF(B1244&lt;&gt;"", SUMIFS(ポートフォリオ実績!$C$2:$C$2001, ポートフォリオ実績!$B$2:$B$2001, B1244, ポートフォリオ実績!$A$2:$A$2001, G1244), 0)</f>
        <v>0</v>
      </c>
      <c r="J1244">
        <f t="shared" si="210"/>
        <v>0</v>
      </c>
      <c r="K1244">
        <f t="shared" si="211"/>
        <v>0</v>
      </c>
      <c r="L1244">
        <f t="shared" si="212"/>
        <v>0</v>
      </c>
      <c r="M1244">
        <f t="shared" si="213"/>
        <v>0</v>
      </c>
      <c r="N1244">
        <f t="shared" si="214"/>
        <v>0</v>
      </c>
      <c r="O1244">
        <f t="shared" si="215"/>
        <v>0</v>
      </c>
      <c r="P1244" t="str">
        <f t="shared" si="216"/>
        <v/>
      </c>
      <c r="Q1244" t="str">
        <f>IF(B1244="","", IFERROR(VLOOKUP(B1244, '基準資産配分（設定）'!$A$2:$C$2001, 3, FALSE), ""))</f>
        <v/>
      </c>
      <c r="R1244" t="str">
        <f>IF(B1244="","", IFERROR(VLOOKUP(B1244, '基準資産配分（設定）'!$A$2:$C$2001, 2, FALSE)/100, 0))</f>
        <v/>
      </c>
      <c r="S1244" t="str">
        <f>IF(B1244="","", IFERROR(SUMIFS(ベンチマークリターン!$C$2:$C$2001, ベンチマークリターン!$A$2:$A$2001, A1244, ベンチマークリターン!$B$2:$B$2001, Q1244) / 100, 0))</f>
        <v/>
      </c>
      <c r="T1244" t="str">
        <f>IF(A1244="","", SUMIFS($H$2:$H$2000, $A$2:$A$2000, A1244))</f>
        <v/>
      </c>
      <c r="U1244" t="str">
        <f t="shared" si="217"/>
        <v/>
      </c>
      <c r="V1244" t="str">
        <f t="shared" si="218"/>
        <v/>
      </c>
      <c r="W1244" t="str">
        <f t="shared" si="219"/>
        <v/>
      </c>
    </row>
    <row r="1245" spans="1:23" x14ac:dyDescent="0.2">
      <c r="A1245" s="4" t="str">
        <f>IF(ポートフォリオ実績!A1246="","", ポートフォリオ実績!A1246)</f>
        <v/>
      </c>
      <c r="B1245" t="str">
        <f>IF(ポートフォリオ実績!B1246="","", ポートフォリオ実績!B1246)</f>
        <v/>
      </c>
      <c r="C1245" s="10" t="str">
        <f>IF(ポートフォリオ実績!C1246="","", ポートフォリオ実績!C1246)</f>
        <v/>
      </c>
      <c r="D1245" s="10" t="str">
        <f>IF(ポートフォリオ実績!D1246="","", ポートフォリオ実績!D1246)</f>
        <v/>
      </c>
      <c r="E1245" s="10" t="str">
        <f>IF(ポートフォリオ実績!E1246="","", ポートフォリオ実績!E1246)</f>
        <v/>
      </c>
      <c r="F1245" s="10" t="str">
        <f>IF(ポートフォリオ実績!F1246="","", ポートフォリオ実績!F1246)</f>
        <v/>
      </c>
      <c r="G1245" t="str">
        <f t="shared" si="209"/>
        <v/>
      </c>
      <c r="H1245">
        <f>IF(B1245&lt;&gt;"", SUMIFS(ポートフォリオ実績!$D$2:$D$2001, ポートフォリオ実績!$B$2:$B$2001, B1245, ポートフォリオ実績!$A$2:$A$2001, G1245), 0)</f>
        <v>0</v>
      </c>
      <c r="I1245">
        <f>IF(B1245&lt;&gt;"", SUMIFS(ポートフォリオ実績!$C$2:$C$2001, ポートフォリオ実績!$B$2:$B$2001, B1245, ポートフォリオ実績!$A$2:$A$2001, G1245), 0)</f>
        <v>0</v>
      </c>
      <c r="J1245">
        <f t="shared" si="210"/>
        <v>0</v>
      </c>
      <c r="K1245">
        <f t="shared" si="211"/>
        <v>0</v>
      </c>
      <c r="L1245">
        <f t="shared" si="212"/>
        <v>0</v>
      </c>
      <c r="M1245">
        <f t="shared" si="213"/>
        <v>0</v>
      </c>
      <c r="N1245">
        <f t="shared" si="214"/>
        <v>0</v>
      </c>
      <c r="O1245">
        <f t="shared" si="215"/>
        <v>0</v>
      </c>
      <c r="P1245" t="str">
        <f t="shared" si="216"/>
        <v/>
      </c>
      <c r="Q1245" t="str">
        <f>IF(B1245="","", IFERROR(VLOOKUP(B1245, '基準資産配分（設定）'!$A$2:$C$2001, 3, FALSE), ""))</f>
        <v/>
      </c>
      <c r="R1245" t="str">
        <f>IF(B1245="","", IFERROR(VLOOKUP(B1245, '基準資産配分（設定）'!$A$2:$C$2001, 2, FALSE)/100, 0))</f>
        <v/>
      </c>
      <c r="S1245" t="str">
        <f>IF(B1245="","", IFERROR(SUMIFS(ベンチマークリターン!$C$2:$C$2001, ベンチマークリターン!$A$2:$A$2001, A1245, ベンチマークリターン!$B$2:$B$2001, Q1245) / 100, 0))</f>
        <v/>
      </c>
      <c r="T1245" t="str">
        <f>IF(A1245="","", SUMIFS($H$2:$H$2000, $A$2:$A$2000, A1245))</f>
        <v/>
      </c>
      <c r="U1245" t="str">
        <f t="shared" si="217"/>
        <v/>
      </c>
      <c r="V1245" t="str">
        <f t="shared" si="218"/>
        <v/>
      </c>
      <c r="W1245" t="str">
        <f t="shared" si="219"/>
        <v/>
      </c>
    </row>
    <row r="1246" spans="1:23" x14ac:dyDescent="0.2">
      <c r="A1246" s="4" t="str">
        <f>IF(ポートフォリオ実績!A1247="","", ポートフォリオ実績!A1247)</f>
        <v/>
      </c>
      <c r="B1246" t="str">
        <f>IF(ポートフォリオ実績!B1247="","", ポートフォリオ実績!B1247)</f>
        <v/>
      </c>
      <c r="C1246" s="10" t="str">
        <f>IF(ポートフォリオ実績!C1247="","", ポートフォリオ実績!C1247)</f>
        <v/>
      </c>
      <c r="D1246" s="10" t="str">
        <f>IF(ポートフォリオ実績!D1247="","", ポートフォリオ実績!D1247)</f>
        <v/>
      </c>
      <c r="E1246" s="10" t="str">
        <f>IF(ポートフォリオ実績!E1247="","", ポートフォリオ実績!E1247)</f>
        <v/>
      </c>
      <c r="F1246" s="10" t="str">
        <f>IF(ポートフォリオ実績!F1247="","", ポートフォリオ実績!F1247)</f>
        <v/>
      </c>
      <c r="G1246" t="str">
        <f t="shared" si="209"/>
        <v/>
      </c>
      <c r="H1246">
        <f>IF(B1246&lt;&gt;"", SUMIFS(ポートフォリオ実績!$D$2:$D$2001, ポートフォリオ実績!$B$2:$B$2001, B1246, ポートフォリオ実績!$A$2:$A$2001, G1246), 0)</f>
        <v>0</v>
      </c>
      <c r="I1246">
        <f>IF(B1246&lt;&gt;"", SUMIFS(ポートフォリオ実績!$C$2:$C$2001, ポートフォリオ実績!$B$2:$B$2001, B1246, ポートフォリオ実績!$A$2:$A$2001, G1246), 0)</f>
        <v>0</v>
      </c>
      <c r="J1246">
        <f t="shared" si="210"/>
        <v>0</v>
      </c>
      <c r="K1246">
        <f t="shared" si="211"/>
        <v>0</v>
      </c>
      <c r="L1246">
        <f t="shared" si="212"/>
        <v>0</v>
      </c>
      <c r="M1246">
        <f t="shared" si="213"/>
        <v>0</v>
      </c>
      <c r="N1246">
        <f t="shared" si="214"/>
        <v>0</v>
      </c>
      <c r="O1246">
        <f t="shared" si="215"/>
        <v>0</v>
      </c>
      <c r="P1246" t="str">
        <f t="shared" si="216"/>
        <v/>
      </c>
      <c r="Q1246" t="str">
        <f>IF(B1246="","", IFERROR(VLOOKUP(B1246, '基準資産配分（設定）'!$A$2:$C$2001, 3, FALSE), ""))</f>
        <v/>
      </c>
      <c r="R1246" t="str">
        <f>IF(B1246="","", IFERROR(VLOOKUP(B1246, '基準資産配分（設定）'!$A$2:$C$2001, 2, FALSE)/100, 0))</f>
        <v/>
      </c>
      <c r="S1246" t="str">
        <f>IF(B1246="","", IFERROR(SUMIFS(ベンチマークリターン!$C$2:$C$2001, ベンチマークリターン!$A$2:$A$2001, A1246, ベンチマークリターン!$B$2:$B$2001, Q1246) / 100, 0))</f>
        <v/>
      </c>
      <c r="T1246" t="str">
        <f>IF(A1246="","", SUMIFS($H$2:$H$2000, $A$2:$A$2000, A1246))</f>
        <v/>
      </c>
      <c r="U1246" t="str">
        <f t="shared" si="217"/>
        <v/>
      </c>
      <c r="V1246" t="str">
        <f t="shared" si="218"/>
        <v/>
      </c>
      <c r="W1246" t="str">
        <f t="shared" si="219"/>
        <v/>
      </c>
    </row>
    <row r="1247" spans="1:23" x14ac:dyDescent="0.2">
      <c r="A1247" s="4" t="str">
        <f>IF(ポートフォリオ実績!A1248="","", ポートフォリオ実績!A1248)</f>
        <v/>
      </c>
      <c r="B1247" t="str">
        <f>IF(ポートフォリオ実績!B1248="","", ポートフォリオ実績!B1248)</f>
        <v/>
      </c>
      <c r="C1247" s="10" t="str">
        <f>IF(ポートフォリオ実績!C1248="","", ポートフォリオ実績!C1248)</f>
        <v/>
      </c>
      <c r="D1247" s="10" t="str">
        <f>IF(ポートフォリオ実績!D1248="","", ポートフォリオ実績!D1248)</f>
        <v/>
      </c>
      <c r="E1247" s="10" t="str">
        <f>IF(ポートフォリオ実績!E1248="","", ポートフォリオ実績!E1248)</f>
        <v/>
      </c>
      <c r="F1247" s="10" t="str">
        <f>IF(ポートフォリオ実績!F1248="","", ポートフォリオ実績!F1248)</f>
        <v/>
      </c>
      <c r="G1247" t="str">
        <f t="shared" si="209"/>
        <v/>
      </c>
      <c r="H1247">
        <f>IF(B1247&lt;&gt;"", SUMIFS(ポートフォリオ実績!$D$2:$D$2001, ポートフォリオ実績!$B$2:$B$2001, B1247, ポートフォリオ実績!$A$2:$A$2001, G1247), 0)</f>
        <v>0</v>
      </c>
      <c r="I1247">
        <f>IF(B1247&lt;&gt;"", SUMIFS(ポートフォリオ実績!$C$2:$C$2001, ポートフォリオ実績!$B$2:$B$2001, B1247, ポートフォリオ実績!$A$2:$A$2001, G1247), 0)</f>
        <v>0</v>
      </c>
      <c r="J1247">
        <f t="shared" si="210"/>
        <v>0</v>
      </c>
      <c r="K1247">
        <f t="shared" si="211"/>
        <v>0</v>
      </c>
      <c r="L1247">
        <f t="shared" si="212"/>
        <v>0</v>
      </c>
      <c r="M1247">
        <f t="shared" si="213"/>
        <v>0</v>
      </c>
      <c r="N1247">
        <f t="shared" si="214"/>
        <v>0</v>
      </c>
      <c r="O1247">
        <f t="shared" si="215"/>
        <v>0</v>
      </c>
      <c r="P1247" t="str">
        <f t="shared" si="216"/>
        <v/>
      </c>
      <c r="Q1247" t="str">
        <f>IF(B1247="","", IFERROR(VLOOKUP(B1247, '基準資産配分（設定）'!$A$2:$C$2001, 3, FALSE), ""))</f>
        <v/>
      </c>
      <c r="R1247" t="str">
        <f>IF(B1247="","", IFERROR(VLOOKUP(B1247, '基準資産配分（設定）'!$A$2:$C$2001, 2, FALSE)/100, 0))</f>
        <v/>
      </c>
      <c r="S1247" t="str">
        <f>IF(B1247="","", IFERROR(SUMIFS(ベンチマークリターン!$C$2:$C$2001, ベンチマークリターン!$A$2:$A$2001, A1247, ベンチマークリターン!$B$2:$B$2001, Q1247) / 100, 0))</f>
        <v/>
      </c>
      <c r="T1247" t="str">
        <f>IF(A1247="","", SUMIFS($H$2:$H$2000, $A$2:$A$2000, A1247))</f>
        <v/>
      </c>
      <c r="U1247" t="str">
        <f t="shared" si="217"/>
        <v/>
      </c>
      <c r="V1247" t="str">
        <f t="shared" si="218"/>
        <v/>
      </c>
      <c r="W1247" t="str">
        <f t="shared" si="219"/>
        <v/>
      </c>
    </row>
    <row r="1248" spans="1:23" x14ac:dyDescent="0.2">
      <c r="A1248" s="4" t="str">
        <f>IF(ポートフォリオ実績!A1249="","", ポートフォリオ実績!A1249)</f>
        <v/>
      </c>
      <c r="B1248" t="str">
        <f>IF(ポートフォリオ実績!B1249="","", ポートフォリオ実績!B1249)</f>
        <v/>
      </c>
      <c r="C1248" s="10" t="str">
        <f>IF(ポートフォリオ実績!C1249="","", ポートフォリオ実績!C1249)</f>
        <v/>
      </c>
      <c r="D1248" s="10" t="str">
        <f>IF(ポートフォリオ実績!D1249="","", ポートフォリオ実績!D1249)</f>
        <v/>
      </c>
      <c r="E1248" s="10" t="str">
        <f>IF(ポートフォリオ実績!E1249="","", ポートフォリオ実績!E1249)</f>
        <v/>
      </c>
      <c r="F1248" s="10" t="str">
        <f>IF(ポートフォリオ実績!F1249="","", ポートフォリオ実績!F1249)</f>
        <v/>
      </c>
      <c r="G1248" t="str">
        <f t="shared" si="209"/>
        <v/>
      </c>
      <c r="H1248">
        <f>IF(B1248&lt;&gt;"", SUMIFS(ポートフォリオ実績!$D$2:$D$2001, ポートフォリオ実績!$B$2:$B$2001, B1248, ポートフォリオ実績!$A$2:$A$2001, G1248), 0)</f>
        <v>0</v>
      </c>
      <c r="I1248">
        <f>IF(B1248&lt;&gt;"", SUMIFS(ポートフォリオ実績!$C$2:$C$2001, ポートフォリオ実績!$B$2:$B$2001, B1248, ポートフォリオ実績!$A$2:$A$2001, G1248), 0)</f>
        <v>0</v>
      </c>
      <c r="J1248">
        <f t="shared" si="210"/>
        <v>0</v>
      </c>
      <c r="K1248">
        <f t="shared" si="211"/>
        <v>0</v>
      </c>
      <c r="L1248">
        <f t="shared" si="212"/>
        <v>0</v>
      </c>
      <c r="M1248">
        <f t="shared" si="213"/>
        <v>0</v>
      </c>
      <c r="N1248">
        <f t="shared" si="214"/>
        <v>0</v>
      </c>
      <c r="O1248">
        <f t="shared" si="215"/>
        <v>0</v>
      </c>
      <c r="P1248" t="str">
        <f t="shared" si="216"/>
        <v/>
      </c>
      <c r="Q1248" t="str">
        <f>IF(B1248="","", IFERROR(VLOOKUP(B1248, '基準資産配分（設定）'!$A$2:$C$2001, 3, FALSE), ""))</f>
        <v/>
      </c>
      <c r="R1248" t="str">
        <f>IF(B1248="","", IFERROR(VLOOKUP(B1248, '基準資産配分（設定）'!$A$2:$C$2001, 2, FALSE)/100, 0))</f>
        <v/>
      </c>
      <c r="S1248" t="str">
        <f>IF(B1248="","", IFERROR(SUMIFS(ベンチマークリターン!$C$2:$C$2001, ベンチマークリターン!$A$2:$A$2001, A1248, ベンチマークリターン!$B$2:$B$2001, Q1248) / 100, 0))</f>
        <v/>
      </c>
      <c r="T1248" t="str">
        <f>IF(A1248="","", SUMIFS($H$2:$H$2000, $A$2:$A$2000, A1248))</f>
        <v/>
      </c>
      <c r="U1248" t="str">
        <f t="shared" si="217"/>
        <v/>
      </c>
      <c r="V1248" t="str">
        <f t="shared" si="218"/>
        <v/>
      </c>
      <c r="W1248" t="str">
        <f t="shared" si="219"/>
        <v/>
      </c>
    </row>
    <row r="1249" spans="1:23" x14ac:dyDescent="0.2">
      <c r="A1249" s="4" t="str">
        <f>IF(ポートフォリオ実績!A1250="","", ポートフォリオ実績!A1250)</f>
        <v/>
      </c>
      <c r="B1249" t="str">
        <f>IF(ポートフォリオ実績!B1250="","", ポートフォリオ実績!B1250)</f>
        <v/>
      </c>
      <c r="C1249" s="10" t="str">
        <f>IF(ポートフォリオ実績!C1250="","", ポートフォリオ実績!C1250)</f>
        <v/>
      </c>
      <c r="D1249" s="10" t="str">
        <f>IF(ポートフォリオ実績!D1250="","", ポートフォリオ実績!D1250)</f>
        <v/>
      </c>
      <c r="E1249" s="10" t="str">
        <f>IF(ポートフォリオ実績!E1250="","", ポートフォリオ実績!E1250)</f>
        <v/>
      </c>
      <c r="F1249" s="10" t="str">
        <f>IF(ポートフォリオ実績!F1250="","", ポートフォリオ実績!F1250)</f>
        <v/>
      </c>
      <c r="G1249" t="str">
        <f t="shared" si="209"/>
        <v/>
      </c>
      <c r="H1249">
        <f>IF(B1249&lt;&gt;"", SUMIFS(ポートフォリオ実績!$D$2:$D$2001, ポートフォリオ実績!$B$2:$B$2001, B1249, ポートフォリオ実績!$A$2:$A$2001, G1249), 0)</f>
        <v>0</v>
      </c>
      <c r="I1249">
        <f>IF(B1249&lt;&gt;"", SUMIFS(ポートフォリオ実績!$C$2:$C$2001, ポートフォリオ実績!$B$2:$B$2001, B1249, ポートフォリオ実績!$A$2:$A$2001, G1249), 0)</f>
        <v>0</v>
      </c>
      <c r="J1249">
        <f t="shared" si="210"/>
        <v>0</v>
      </c>
      <c r="K1249">
        <f t="shared" si="211"/>
        <v>0</v>
      </c>
      <c r="L1249">
        <f t="shared" si="212"/>
        <v>0</v>
      </c>
      <c r="M1249">
        <f t="shared" si="213"/>
        <v>0</v>
      </c>
      <c r="N1249">
        <f t="shared" si="214"/>
        <v>0</v>
      </c>
      <c r="O1249">
        <f t="shared" si="215"/>
        <v>0</v>
      </c>
      <c r="P1249" t="str">
        <f t="shared" si="216"/>
        <v/>
      </c>
      <c r="Q1249" t="str">
        <f>IF(B1249="","", IFERROR(VLOOKUP(B1249, '基準資産配分（設定）'!$A$2:$C$2001, 3, FALSE), ""))</f>
        <v/>
      </c>
      <c r="R1249" t="str">
        <f>IF(B1249="","", IFERROR(VLOOKUP(B1249, '基準資産配分（設定）'!$A$2:$C$2001, 2, FALSE)/100, 0))</f>
        <v/>
      </c>
      <c r="S1249" t="str">
        <f>IF(B1249="","", IFERROR(SUMIFS(ベンチマークリターン!$C$2:$C$2001, ベンチマークリターン!$A$2:$A$2001, A1249, ベンチマークリターン!$B$2:$B$2001, Q1249) / 100, 0))</f>
        <v/>
      </c>
      <c r="T1249" t="str">
        <f>IF(A1249="","", SUMIFS($H$2:$H$2000, $A$2:$A$2000, A1249))</f>
        <v/>
      </c>
      <c r="U1249" t="str">
        <f t="shared" si="217"/>
        <v/>
      </c>
      <c r="V1249" t="str">
        <f t="shared" si="218"/>
        <v/>
      </c>
      <c r="W1249" t="str">
        <f t="shared" si="219"/>
        <v/>
      </c>
    </row>
    <row r="1250" spans="1:23" x14ac:dyDescent="0.2">
      <c r="A1250" s="4" t="str">
        <f>IF(ポートフォリオ実績!A1251="","", ポートフォリオ実績!A1251)</f>
        <v/>
      </c>
      <c r="B1250" t="str">
        <f>IF(ポートフォリオ実績!B1251="","", ポートフォリオ実績!B1251)</f>
        <v/>
      </c>
      <c r="C1250" s="10" t="str">
        <f>IF(ポートフォリオ実績!C1251="","", ポートフォリオ実績!C1251)</f>
        <v/>
      </c>
      <c r="D1250" s="10" t="str">
        <f>IF(ポートフォリオ実績!D1251="","", ポートフォリオ実績!D1251)</f>
        <v/>
      </c>
      <c r="E1250" s="10" t="str">
        <f>IF(ポートフォリオ実績!E1251="","", ポートフォリオ実績!E1251)</f>
        <v/>
      </c>
      <c r="F1250" s="10" t="str">
        <f>IF(ポートフォリオ実績!F1251="","", ポートフォリオ実績!F1251)</f>
        <v/>
      </c>
      <c r="G1250" t="str">
        <f t="shared" si="209"/>
        <v/>
      </c>
      <c r="H1250">
        <f>IF(B1250&lt;&gt;"", SUMIFS(ポートフォリオ実績!$D$2:$D$2001, ポートフォリオ実績!$B$2:$B$2001, B1250, ポートフォリオ実績!$A$2:$A$2001, G1250), 0)</f>
        <v>0</v>
      </c>
      <c r="I1250">
        <f>IF(B1250&lt;&gt;"", SUMIFS(ポートフォリオ実績!$C$2:$C$2001, ポートフォリオ実績!$B$2:$B$2001, B1250, ポートフォリオ実績!$A$2:$A$2001, G1250), 0)</f>
        <v>0</v>
      </c>
      <c r="J1250">
        <f t="shared" si="210"/>
        <v>0</v>
      </c>
      <c r="K1250">
        <f t="shared" si="211"/>
        <v>0</v>
      </c>
      <c r="L1250">
        <f t="shared" si="212"/>
        <v>0</v>
      </c>
      <c r="M1250">
        <f t="shared" si="213"/>
        <v>0</v>
      </c>
      <c r="N1250">
        <f t="shared" si="214"/>
        <v>0</v>
      </c>
      <c r="O1250">
        <f t="shared" si="215"/>
        <v>0</v>
      </c>
      <c r="P1250" t="str">
        <f t="shared" si="216"/>
        <v/>
      </c>
      <c r="Q1250" t="str">
        <f>IF(B1250="","", IFERROR(VLOOKUP(B1250, '基準資産配分（設定）'!$A$2:$C$2001, 3, FALSE), ""))</f>
        <v/>
      </c>
      <c r="R1250" t="str">
        <f>IF(B1250="","", IFERROR(VLOOKUP(B1250, '基準資産配分（設定）'!$A$2:$C$2001, 2, FALSE)/100, 0))</f>
        <v/>
      </c>
      <c r="S1250" t="str">
        <f>IF(B1250="","", IFERROR(SUMIFS(ベンチマークリターン!$C$2:$C$2001, ベンチマークリターン!$A$2:$A$2001, A1250, ベンチマークリターン!$B$2:$B$2001, Q1250) / 100, 0))</f>
        <v/>
      </c>
      <c r="T1250" t="str">
        <f>IF(A1250="","", SUMIFS($H$2:$H$2000, $A$2:$A$2000, A1250))</f>
        <v/>
      </c>
      <c r="U1250" t="str">
        <f t="shared" si="217"/>
        <v/>
      </c>
      <c r="V1250" t="str">
        <f t="shared" si="218"/>
        <v/>
      </c>
      <c r="W1250" t="str">
        <f t="shared" si="219"/>
        <v/>
      </c>
    </row>
    <row r="1251" spans="1:23" x14ac:dyDescent="0.2">
      <c r="A1251" s="4" t="str">
        <f>IF(ポートフォリオ実績!A1252="","", ポートフォリオ実績!A1252)</f>
        <v/>
      </c>
      <c r="B1251" t="str">
        <f>IF(ポートフォリオ実績!B1252="","", ポートフォリオ実績!B1252)</f>
        <v/>
      </c>
      <c r="C1251" s="10" t="str">
        <f>IF(ポートフォリオ実績!C1252="","", ポートフォリオ実績!C1252)</f>
        <v/>
      </c>
      <c r="D1251" s="10" t="str">
        <f>IF(ポートフォリオ実績!D1252="","", ポートフォリオ実績!D1252)</f>
        <v/>
      </c>
      <c r="E1251" s="10" t="str">
        <f>IF(ポートフォリオ実績!E1252="","", ポートフォリオ実績!E1252)</f>
        <v/>
      </c>
      <c r="F1251" s="10" t="str">
        <f>IF(ポートフォリオ実績!F1252="","", ポートフォリオ実績!F1252)</f>
        <v/>
      </c>
      <c r="G1251" t="str">
        <f t="shared" si="209"/>
        <v/>
      </c>
      <c r="H1251">
        <f>IF(B1251&lt;&gt;"", SUMIFS(ポートフォリオ実績!$D$2:$D$2001, ポートフォリオ実績!$B$2:$B$2001, B1251, ポートフォリオ実績!$A$2:$A$2001, G1251), 0)</f>
        <v>0</v>
      </c>
      <c r="I1251">
        <f>IF(B1251&lt;&gt;"", SUMIFS(ポートフォリオ実績!$C$2:$C$2001, ポートフォリオ実績!$B$2:$B$2001, B1251, ポートフォリオ実績!$A$2:$A$2001, G1251), 0)</f>
        <v>0</v>
      </c>
      <c r="J1251">
        <f t="shared" si="210"/>
        <v>0</v>
      </c>
      <c r="K1251">
        <f t="shared" si="211"/>
        <v>0</v>
      </c>
      <c r="L1251">
        <f t="shared" si="212"/>
        <v>0</v>
      </c>
      <c r="M1251">
        <f t="shared" si="213"/>
        <v>0</v>
      </c>
      <c r="N1251">
        <f t="shared" si="214"/>
        <v>0</v>
      </c>
      <c r="O1251">
        <f t="shared" si="215"/>
        <v>0</v>
      </c>
      <c r="P1251" t="str">
        <f t="shared" si="216"/>
        <v/>
      </c>
      <c r="Q1251" t="str">
        <f>IF(B1251="","", IFERROR(VLOOKUP(B1251, '基準資産配分（設定）'!$A$2:$C$2001, 3, FALSE), ""))</f>
        <v/>
      </c>
      <c r="R1251" t="str">
        <f>IF(B1251="","", IFERROR(VLOOKUP(B1251, '基準資産配分（設定）'!$A$2:$C$2001, 2, FALSE)/100, 0))</f>
        <v/>
      </c>
      <c r="S1251" t="str">
        <f>IF(B1251="","", IFERROR(SUMIFS(ベンチマークリターン!$C$2:$C$2001, ベンチマークリターン!$A$2:$A$2001, A1251, ベンチマークリターン!$B$2:$B$2001, Q1251) / 100, 0))</f>
        <v/>
      </c>
      <c r="T1251" t="str">
        <f>IF(A1251="","", SUMIFS($H$2:$H$2000, $A$2:$A$2000, A1251))</f>
        <v/>
      </c>
      <c r="U1251" t="str">
        <f t="shared" si="217"/>
        <v/>
      </c>
      <c r="V1251" t="str">
        <f t="shared" si="218"/>
        <v/>
      </c>
      <c r="W1251" t="str">
        <f t="shared" si="219"/>
        <v/>
      </c>
    </row>
    <row r="1252" spans="1:23" x14ac:dyDescent="0.2">
      <c r="A1252" s="4" t="str">
        <f>IF(ポートフォリオ実績!A1253="","", ポートフォリオ実績!A1253)</f>
        <v/>
      </c>
      <c r="B1252" t="str">
        <f>IF(ポートフォリオ実績!B1253="","", ポートフォリオ実績!B1253)</f>
        <v/>
      </c>
      <c r="C1252" s="10" t="str">
        <f>IF(ポートフォリオ実績!C1253="","", ポートフォリオ実績!C1253)</f>
        <v/>
      </c>
      <c r="D1252" s="10" t="str">
        <f>IF(ポートフォリオ実績!D1253="","", ポートフォリオ実績!D1253)</f>
        <v/>
      </c>
      <c r="E1252" s="10" t="str">
        <f>IF(ポートフォリオ実績!E1253="","", ポートフォリオ実績!E1253)</f>
        <v/>
      </c>
      <c r="F1252" s="10" t="str">
        <f>IF(ポートフォリオ実績!F1253="","", ポートフォリオ実績!F1253)</f>
        <v/>
      </c>
      <c r="G1252" t="str">
        <f t="shared" si="209"/>
        <v/>
      </c>
      <c r="H1252">
        <f>IF(B1252&lt;&gt;"", SUMIFS(ポートフォリオ実績!$D$2:$D$2001, ポートフォリオ実績!$B$2:$B$2001, B1252, ポートフォリオ実績!$A$2:$A$2001, G1252), 0)</f>
        <v>0</v>
      </c>
      <c r="I1252">
        <f>IF(B1252&lt;&gt;"", SUMIFS(ポートフォリオ実績!$C$2:$C$2001, ポートフォリオ実績!$B$2:$B$2001, B1252, ポートフォリオ実績!$A$2:$A$2001, G1252), 0)</f>
        <v>0</v>
      </c>
      <c r="J1252">
        <f t="shared" si="210"/>
        <v>0</v>
      </c>
      <c r="K1252">
        <f t="shared" si="211"/>
        <v>0</v>
      </c>
      <c r="L1252">
        <f t="shared" si="212"/>
        <v>0</v>
      </c>
      <c r="M1252">
        <f t="shared" si="213"/>
        <v>0</v>
      </c>
      <c r="N1252">
        <f t="shared" si="214"/>
        <v>0</v>
      </c>
      <c r="O1252">
        <f t="shared" si="215"/>
        <v>0</v>
      </c>
      <c r="P1252" t="str">
        <f t="shared" si="216"/>
        <v/>
      </c>
      <c r="Q1252" t="str">
        <f>IF(B1252="","", IFERROR(VLOOKUP(B1252, '基準資産配分（設定）'!$A$2:$C$2001, 3, FALSE), ""))</f>
        <v/>
      </c>
      <c r="R1252" t="str">
        <f>IF(B1252="","", IFERROR(VLOOKUP(B1252, '基準資産配分（設定）'!$A$2:$C$2001, 2, FALSE)/100, 0))</f>
        <v/>
      </c>
      <c r="S1252" t="str">
        <f>IF(B1252="","", IFERROR(SUMIFS(ベンチマークリターン!$C$2:$C$2001, ベンチマークリターン!$A$2:$A$2001, A1252, ベンチマークリターン!$B$2:$B$2001, Q1252) / 100, 0))</f>
        <v/>
      </c>
      <c r="T1252" t="str">
        <f>IF(A1252="","", SUMIFS($H$2:$H$2000, $A$2:$A$2000, A1252))</f>
        <v/>
      </c>
      <c r="U1252" t="str">
        <f t="shared" si="217"/>
        <v/>
      </c>
      <c r="V1252" t="str">
        <f t="shared" si="218"/>
        <v/>
      </c>
      <c r="W1252" t="str">
        <f t="shared" si="219"/>
        <v/>
      </c>
    </row>
    <row r="1253" spans="1:23" x14ac:dyDescent="0.2">
      <c r="A1253" s="4" t="str">
        <f>IF(ポートフォリオ実績!A1254="","", ポートフォリオ実績!A1254)</f>
        <v/>
      </c>
      <c r="B1253" t="str">
        <f>IF(ポートフォリオ実績!B1254="","", ポートフォリオ実績!B1254)</f>
        <v/>
      </c>
      <c r="C1253" s="10" t="str">
        <f>IF(ポートフォリオ実績!C1254="","", ポートフォリオ実績!C1254)</f>
        <v/>
      </c>
      <c r="D1253" s="10" t="str">
        <f>IF(ポートフォリオ実績!D1254="","", ポートフォリオ実績!D1254)</f>
        <v/>
      </c>
      <c r="E1253" s="10" t="str">
        <f>IF(ポートフォリオ実績!E1254="","", ポートフォリオ実績!E1254)</f>
        <v/>
      </c>
      <c r="F1253" s="10" t="str">
        <f>IF(ポートフォリオ実績!F1254="","", ポートフォリオ実績!F1254)</f>
        <v/>
      </c>
      <c r="G1253" t="str">
        <f t="shared" si="209"/>
        <v/>
      </c>
      <c r="H1253">
        <f>IF(B1253&lt;&gt;"", SUMIFS(ポートフォリオ実績!$D$2:$D$2001, ポートフォリオ実績!$B$2:$B$2001, B1253, ポートフォリオ実績!$A$2:$A$2001, G1253), 0)</f>
        <v>0</v>
      </c>
      <c r="I1253">
        <f>IF(B1253&lt;&gt;"", SUMIFS(ポートフォリオ実績!$C$2:$C$2001, ポートフォリオ実績!$B$2:$B$2001, B1253, ポートフォリオ実績!$A$2:$A$2001, G1253), 0)</f>
        <v>0</v>
      </c>
      <c r="J1253">
        <f t="shared" si="210"/>
        <v>0</v>
      </c>
      <c r="K1253">
        <f t="shared" si="211"/>
        <v>0</v>
      </c>
      <c r="L1253">
        <f t="shared" si="212"/>
        <v>0</v>
      </c>
      <c r="M1253">
        <f t="shared" si="213"/>
        <v>0</v>
      </c>
      <c r="N1253">
        <f t="shared" si="214"/>
        <v>0</v>
      </c>
      <c r="O1253">
        <f t="shared" si="215"/>
        <v>0</v>
      </c>
      <c r="P1253" t="str">
        <f t="shared" si="216"/>
        <v/>
      </c>
      <c r="Q1253" t="str">
        <f>IF(B1253="","", IFERROR(VLOOKUP(B1253, '基準資産配分（設定）'!$A$2:$C$2001, 3, FALSE), ""))</f>
        <v/>
      </c>
      <c r="R1253" t="str">
        <f>IF(B1253="","", IFERROR(VLOOKUP(B1253, '基準資産配分（設定）'!$A$2:$C$2001, 2, FALSE)/100, 0))</f>
        <v/>
      </c>
      <c r="S1253" t="str">
        <f>IF(B1253="","", IFERROR(SUMIFS(ベンチマークリターン!$C$2:$C$2001, ベンチマークリターン!$A$2:$A$2001, A1253, ベンチマークリターン!$B$2:$B$2001, Q1253) / 100, 0))</f>
        <v/>
      </c>
      <c r="T1253" t="str">
        <f>IF(A1253="","", SUMIFS($H$2:$H$2000, $A$2:$A$2000, A1253))</f>
        <v/>
      </c>
      <c r="U1253" t="str">
        <f t="shared" si="217"/>
        <v/>
      </c>
      <c r="V1253" t="str">
        <f t="shared" si="218"/>
        <v/>
      </c>
      <c r="W1253" t="str">
        <f t="shared" si="219"/>
        <v/>
      </c>
    </row>
    <row r="1254" spans="1:23" x14ac:dyDescent="0.2">
      <c r="A1254" s="4" t="str">
        <f>IF(ポートフォリオ実績!A1255="","", ポートフォリオ実績!A1255)</f>
        <v/>
      </c>
      <c r="B1254" t="str">
        <f>IF(ポートフォリオ実績!B1255="","", ポートフォリオ実績!B1255)</f>
        <v/>
      </c>
      <c r="C1254" s="10" t="str">
        <f>IF(ポートフォリオ実績!C1255="","", ポートフォリオ実績!C1255)</f>
        <v/>
      </c>
      <c r="D1254" s="10" t="str">
        <f>IF(ポートフォリオ実績!D1255="","", ポートフォリオ実績!D1255)</f>
        <v/>
      </c>
      <c r="E1254" s="10" t="str">
        <f>IF(ポートフォリオ実績!E1255="","", ポートフォリオ実績!E1255)</f>
        <v/>
      </c>
      <c r="F1254" s="10" t="str">
        <f>IF(ポートフォリオ実績!F1255="","", ポートフォリオ実績!F1255)</f>
        <v/>
      </c>
      <c r="G1254" t="str">
        <f t="shared" si="209"/>
        <v/>
      </c>
      <c r="H1254">
        <f>IF(B1254&lt;&gt;"", SUMIFS(ポートフォリオ実績!$D$2:$D$2001, ポートフォリオ実績!$B$2:$B$2001, B1254, ポートフォリオ実績!$A$2:$A$2001, G1254), 0)</f>
        <v>0</v>
      </c>
      <c r="I1254">
        <f>IF(B1254&lt;&gt;"", SUMIFS(ポートフォリオ実績!$C$2:$C$2001, ポートフォリオ実績!$B$2:$B$2001, B1254, ポートフォリオ実績!$A$2:$A$2001, G1254), 0)</f>
        <v>0</v>
      </c>
      <c r="J1254">
        <f t="shared" si="210"/>
        <v>0</v>
      </c>
      <c r="K1254">
        <f t="shared" si="211"/>
        <v>0</v>
      </c>
      <c r="L1254">
        <f t="shared" si="212"/>
        <v>0</v>
      </c>
      <c r="M1254">
        <f t="shared" si="213"/>
        <v>0</v>
      </c>
      <c r="N1254">
        <f t="shared" si="214"/>
        <v>0</v>
      </c>
      <c r="O1254">
        <f t="shared" si="215"/>
        <v>0</v>
      </c>
      <c r="P1254" t="str">
        <f t="shared" si="216"/>
        <v/>
      </c>
      <c r="Q1254" t="str">
        <f>IF(B1254="","", IFERROR(VLOOKUP(B1254, '基準資産配分（設定）'!$A$2:$C$2001, 3, FALSE), ""))</f>
        <v/>
      </c>
      <c r="R1254" t="str">
        <f>IF(B1254="","", IFERROR(VLOOKUP(B1254, '基準資産配分（設定）'!$A$2:$C$2001, 2, FALSE)/100, 0))</f>
        <v/>
      </c>
      <c r="S1254" t="str">
        <f>IF(B1254="","", IFERROR(SUMIFS(ベンチマークリターン!$C$2:$C$2001, ベンチマークリターン!$A$2:$A$2001, A1254, ベンチマークリターン!$B$2:$B$2001, Q1254) / 100, 0))</f>
        <v/>
      </c>
      <c r="T1254" t="str">
        <f>IF(A1254="","", SUMIFS($H$2:$H$2000, $A$2:$A$2000, A1254))</f>
        <v/>
      </c>
      <c r="U1254" t="str">
        <f t="shared" si="217"/>
        <v/>
      </c>
      <c r="V1254" t="str">
        <f t="shared" si="218"/>
        <v/>
      </c>
      <c r="W1254" t="str">
        <f t="shared" si="219"/>
        <v/>
      </c>
    </row>
    <row r="1255" spans="1:23" x14ac:dyDescent="0.2">
      <c r="A1255" s="4" t="str">
        <f>IF(ポートフォリオ実績!A1256="","", ポートフォリオ実績!A1256)</f>
        <v/>
      </c>
      <c r="B1255" t="str">
        <f>IF(ポートフォリオ実績!B1256="","", ポートフォリオ実績!B1256)</f>
        <v/>
      </c>
      <c r="C1255" s="10" t="str">
        <f>IF(ポートフォリオ実績!C1256="","", ポートフォリオ実績!C1256)</f>
        <v/>
      </c>
      <c r="D1255" s="10" t="str">
        <f>IF(ポートフォリオ実績!D1256="","", ポートフォリオ実績!D1256)</f>
        <v/>
      </c>
      <c r="E1255" s="10" t="str">
        <f>IF(ポートフォリオ実績!E1256="","", ポートフォリオ実績!E1256)</f>
        <v/>
      </c>
      <c r="F1255" s="10" t="str">
        <f>IF(ポートフォリオ実績!F1256="","", ポートフォリオ実績!F1256)</f>
        <v/>
      </c>
      <c r="G1255" t="str">
        <f t="shared" si="209"/>
        <v/>
      </c>
      <c r="H1255">
        <f>IF(B1255&lt;&gt;"", SUMIFS(ポートフォリオ実績!$D$2:$D$2001, ポートフォリオ実績!$B$2:$B$2001, B1255, ポートフォリオ実績!$A$2:$A$2001, G1255), 0)</f>
        <v>0</v>
      </c>
      <c r="I1255">
        <f>IF(B1255&lt;&gt;"", SUMIFS(ポートフォリオ実績!$C$2:$C$2001, ポートフォリオ実績!$B$2:$B$2001, B1255, ポートフォリオ実績!$A$2:$A$2001, G1255), 0)</f>
        <v>0</v>
      </c>
      <c r="J1255">
        <f t="shared" si="210"/>
        <v>0</v>
      </c>
      <c r="K1255">
        <f t="shared" si="211"/>
        <v>0</v>
      </c>
      <c r="L1255">
        <f t="shared" si="212"/>
        <v>0</v>
      </c>
      <c r="M1255">
        <f t="shared" si="213"/>
        <v>0</v>
      </c>
      <c r="N1255">
        <f t="shared" si="214"/>
        <v>0</v>
      </c>
      <c r="O1255">
        <f t="shared" si="215"/>
        <v>0</v>
      </c>
      <c r="P1255" t="str">
        <f t="shared" si="216"/>
        <v/>
      </c>
      <c r="Q1255" t="str">
        <f>IF(B1255="","", IFERROR(VLOOKUP(B1255, '基準資産配分（設定）'!$A$2:$C$2001, 3, FALSE), ""))</f>
        <v/>
      </c>
      <c r="R1255" t="str">
        <f>IF(B1255="","", IFERROR(VLOOKUP(B1255, '基準資産配分（設定）'!$A$2:$C$2001, 2, FALSE)/100, 0))</f>
        <v/>
      </c>
      <c r="S1255" t="str">
        <f>IF(B1255="","", IFERROR(SUMIFS(ベンチマークリターン!$C$2:$C$2001, ベンチマークリターン!$A$2:$A$2001, A1255, ベンチマークリターン!$B$2:$B$2001, Q1255) / 100, 0))</f>
        <v/>
      </c>
      <c r="T1255" t="str">
        <f>IF(A1255="","", SUMIFS($H$2:$H$2000, $A$2:$A$2000, A1255))</f>
        <v/>
      </c>
      <c r="U1255" t="str">
        <f t="shared" si="217"/>
        <v/>
      </c>
      <c r="V1255" t="str">
        <f t="shared" si="218"/>
        <v/>
      </c>
      <c r="W1255" t="str">
        <f t="shared" si="219"/>
        <v/>
      </c>
    </row>
    <row r="1256" spans="1:23" x14ac:dyDescent="0.2">
      <c r="A1256" s="4" t="str">
        <f>IF(ポートフォリオ実績!A1257="","", ポートフォリオ実績!A1257)</f>
        <v/>
      </c>
      <c r="B1256" t="str">
        <f>IF(ポートフォリオ実績!B1257="","", ポートフォリオ実績!B1257)</f>
        <v/>
      </c>
      <c r="C1256" s="10" t="str">
        <f>IF(ポートフォリオ実績!C1257="","", ポートフォリオ実績!C1257)</f>
        <v/>
      </c>
      <c r="D1256" s="10" t="str">
        <f>IF(ポートフォリオ実績!D1257="","", ポートフォリオ実績!D1257)</f>
        <v/>
      </c>
      <c r="E1256" s="10" t="str">
        <f>IF(ポートフォリオ実績!E1257="","", ポートフォリオ実績!E1257)</f>
        <v/>
      </c>
      <c r="F1256" s="10" t="str">
        <f>IF(ポートフォリオ実績!F1257="","", ポートフォリオ実績!F1257)</f>
        <v/>
      </c>
      <c r="G1256" t="str">
        <f t="shared" si="209"/>
        <v/>
      </c>
      <c r="H1256">
        <f>IF(B1256&lt;&gt;"", SUMIFS(ポートフォリオ実績!$D$2:$D$2001, ポートフォリオ実績!$B$2:$B$2001, B1256, ポートフォリオ実績!$A$2:$A$2001, G1256), 0)</f>
        <v>0</v>
      </c>
      <c r="I1256">
        <f>IF(B1256&lt;&gt;"", SUMIFS(ポートフォリオ実績!$C$2:$C$2001, ポートフォリオ実績!$B$2:$B$2001, B1256, ポートフォリオ実績!$A$2:$A$2001, G1256), 0)</f>
        <v>0</v>
      </c>
      <c r="J1256">
        <f t="shared" si="210"/>
        <v>0</v>
      </c>
      <c r="K1256">
        <f t="shared" si="211"/>
        <v>0</v>
      </c>
      <c r="L1256">
        <f t="shared" si="212"/>
        <v>0</v>
      </c>
      <c r="M1256">
        <f t="shared" si="213"/>
        <v>0</v>
      </c>
      <c r="N1256">
        <f t="shared" si="214"/>
        <v>0</v>
      </c>
      <c r="O1256">
        <f t="shared" si="215"/>
        <v>0</v>
      </c>
      <c r="P1256" t="str">
        <f t="shared" si="216"/>
        <v/>
      </c>
      <c r="Q1256" t="str">
        <f>IF(B1256="","", IFERROR(VLOOKUP(B1256, '基準資産配分（設定）'!$A$2:$C$2001, 3, FALSE), ""))</f>
        <v/>
      </c>
      <c r="R1256" t="str">
        <f>IF(B1256="","", IFERROR(VLOOKUP(B1256, '基準資産配分（設定）'!$A$2:$C$2001, 2, FALSE)/100, 0))</f>
        <v/>
      </c>
      <c r="S1256" t="str">
        <f>IF(B1256="","", IFERROR(SUMIFS(ベンチマークリターン!$C$2:$C$2001, ベンチマークリターン!$A$2:$A$2001, A1256, ベンチマークリターン!$B$2:$B$2001, Q1256) / 100, 0))</f>
        <v/>
      </c>
      <c r="T1256" t="str">
        <f>IF(A1256="","", SUMIFS($H$2:$H$2000, $A$2:$A$2000, A1256))</f>
        <v/>
      </c>
      <c r="U1256" t="str">
        <f t="shared" si="217"/>
        <v/>
      </c>
      <c r="V1256" t="str">
        <f t="shared" si="218"/>
        <v/>
      </c>
      <c r="W1256" t="str">
        <f t="shared" si="219"/>
        <v/>
      </c>
    </row>
    <row r="1257" spans="1:23" x14ac:dyDescent="0.2">
      <c r="A1257" s="4" t="str">
        <f>IF(ポートフォリオ実績!A1258="","", ポートフォリオ実績!A1258)</f>
        <v/>
      </c>
      <c r="B1257" t="str">
        <f>IF(ポートフォリオ実績!B1258="","", ポートフォリオ実績!B1258)</f>
        <v/>
      </c>
      <c r="C1257" s="10" t="str">
        <f>IF(ポートフォリオ実績!C1258="","", ポートフォリオ実績!C1258)</f>
        <v/>
      </c>
      <c r="D1257" s="10" t="str">
        <f>IF(ポートフォリオ実績!D1258="","", ポートフォリオ実績!D1258)</f>
        <v/>
      </c>
      <c r="E1257" s="10" t="str">
        <f>IF(ポートフォリオ実績!E1258="","", ポートフォリオ実績!E1258)</f>
        <v/>
      </c>
      <c r="F1257" s="10" t="str">
        <f>IF(ポートフォリオ実績!F1258="","", ポートフォリオ実績!F1258)</f>
        <v/>
      </c>
      <c r="G1257" t="str">
        <f t="shared" si="209"/>
        <v/>
      </c>
      <c r="H1257">
        <f>IF(B1257&lt;&gt;"", SUMIFS(ポートフォリオ実績!$D$2:$D$2001, ポートフォリオ実績!$B$2:$B$2001, B1257, ポートフォリオ実績!$A$2:$A$2001, G1257), 0)</f>
        <v>0</v>
      </c>
      <c r="I1257">
        <f>IF(B1257&lt;&gt;"", SUMIFS(ポートフォリオ実績!$C$2:$C$2001, ポートフォリオ実績!$B$2:$B$2001, B1257, ポートフォリオ実績!$A$2:$A$2001, G1257), 0)</f>
        <v>0</v>
      </c>
      <c r="J1257">
        <f t="shared" si="210"/>
        <v>0</v>
      </c>
      <c r="K1257">
        <f t="shared" si="211"/>
        <v>0</v>
      </c>
      <c r="L1257">
        <f t="shared" si="212"/>
        <v>0</v>
      </c>
      <c r="M1257">
        <f t="shared" si="213"/>
        <v>0</v>
      </c>
      <c r="N1257">
        <f t="shared" si="214"/>
        <v>0</v>
      </c>
      <c r="O1257">
        <f t="shared" si="215"/>
        <v>0</v>
      </c>
      <c r="P1257" t="str">
        <f t="shared" si="216"/>
        <v/>
      </c>
      <c r="Q1257" t="str">
        <f>IF(B1257="","", IFERROR(VLOOKUP(B1257, '基準資産配分（設定）'!$A$2:$C$2001, 3, FALSE), ""))</f>
        <v/>
      </c>
      <c r="R1257" t="str">
        <f>IF(B1257="","", IFERROR(VLOOKUP(B1257, '基準資産配分（設定）'!$A$2:$C$2001, 2, FALSE)/100, 0))</f>
        <v/>
      </c>
      <c r="S1257" t="str">
        <f>IF(B1257="","", IFERROR(SUMIFS(ベンチマークリターン!$C$2:$C$2001, ベンチマークリターン!$A$2:$A$2001, A1257, ベンチマークリターン!$B$2:$B$2001, Q1257) / 100, 0))</f>
        <v/>
      </c>
      <c r="T1257" t="str">
        <f>IF(A1257="","", SUMIFS($H$2:$H$2000, $A$2:$A$2000, A1257))</f>
        <v/>
      </c>
      <c r="U1257" t="str">
        <f t="shared" si="217"/>
        <v/>
      </c>
      <c r="V1257" t="str">
        <f t="shared" si="218"/>
        <v/>
      </c>
      <c r="W1257" t="str">
        <f t="shared" si="219"/>
        <v/>
      </c>
    </row>
    <row r="1258" spans="1:23" x14ac:dyDescent="0.2">
      <c r="A1258" s="4" t="str">
        <f>IF(ポートフォリオ実績!A1259="","", ポートフォリオ実績!A1259)</f>
        <v/>
      </c>
      <c r="B1258" t="str">
        <f>IF(ポートフォリオ実績!B1259="","", ポートフォリオ実績!B1259)</f>
        <v/>
      </c>
      <c r="C1258" s="10" t="str">
        <f>IF(ポートフォリオ実績!C1259="","", ポートフォリオ実績!C1259)</f>
        <v/>
      </c>
      <c r="D1258" s="10" t="str">
        <f>IF(ポートフォリオ実績!D1259="","", ポートフォリオ実績!D1259)</f>
        <v/>
      </c>
      <c r="E1258" s="10" t="str">
        <f>IF(ポートフォリオ実績!E1259="","", ポートフォリオ実績!E1259)</f>
        <v/>
      </c>
      <c r="F1258" s="10" t="str">
        <f>IF(ポートフォリオ実績!F1259="","", ポートフォリオ実績!F1259)</f>
        <v/>
      </c>
      <c r="G1258" t="str">
        <f t="shared" si="209"/>
        <v/>
      </c>
      <c r="H1258">
        <f>IF(B1258&lt;&gt;"", SUMIFS(ポートフォリオ実績!$D$2:$D$2001, ポートフォリオ実績!$B$2:$B$2001, B1258, ポートフォリオ実績!$A$2:$A$2001, G1258), 0)</f>
        <v>0</v>
      </c>
      <c r="I1258">
        <f>IF(B1258&lt;&gt;"", SUMIFS(ポートフォリオ実績!$C$2:$C$2001, ポートフォリオ実績!$B$2:$B$2001, B1258, ポートフォリオ実績!$A$2:$A$2001, G1258), 0)</f>
        <v>0</v>
      </c>
      <c r="J1258">
        <f t="shared" si="210"/>
        <v>0</v>
      </c>
      <c r="K1258">
        <f t="shared" si="211"/>
        <v>0</v>
      </c>
      <c r="L1258">
        <f t="shared" si="212"/>
        <v>0</v>
      </c>
      <c r="M1258">
        <f t="shared" si="213"/>
        <v>0</v>
      </c>
      <c r="N1258">
        <f t="shared" si="214"/>
        <v>0</v>
      </c>
      <c r="O1258">
        <f t="shared" si="215"/>
        <v>0</v>
      </c>
      <c r="P1258" t="str">
        <f t="shared" si="216"/>
        <v/>
      </c>
      <c r="Q1258" t="str">
        <f>IF(B1258="","", IFERROR(VLOOKUP(B1258, '基準資産配分（設定）'!$A$2:$C$2001, 3, FALSE), ""))</f>
        <v/>
      </c>
      <c r="R1258" t="str">
        <f>IF(B1258="","", IFERROR(VLOOKUP(B1258, '基準資産配分（設定）'!$A$2:$C$2001, 2, FALSE)/100, 0))</f>
        <v/>
      </c>
      <c r="S1258" t="str">
        <f>IF(B1258="","", IFERROR(SUMIFS(ベンチマークリターン!$C$2:$C$2001, ベンチマークリターン!$A$2:$A$2001, A1258, ベンチマークリターン!$B$2:$B$2001, Q1258) / 100, 0))</f>
        <v/>
      </c>
      <c r="T1258" t="str">
        <f>IF(A1258="","", SUMIFS($H$2:$H$2000, $A$2:$A$2000, A1258))</f>
        <v/>
      </c>
      <c r="U1258" t="str">
        <f t="shared" si="217"/>
        <v/>
      </c>
      <c r="V1258" t="str">
        <f t="shared" si="218"/>
        <v/>
      </c>
      <c r="W1258" t="str">
        <f t="shared" si="219"/>
        <v/>
      </c>
    </row>
    <row r="1259" spans="1:23" x14ac:dyDescent="0.2">
      <c r="A1259" s="4" t="str">
        <f>IF(ポートフォリオ実績!A1260="","", ポートフォリオ実績!A1260)</f>
        <v/>
      </c>
      <c r="B1259" t="str">
        <f>IF(ポートフォリオ実績!B1260="","", ポートフォリオ実績!B1260)</f>
        <v/>
      </c>
      <c r="C1259" s="10" t="str">
        <f>IF(ポートフォリオ実績!C1260="","", ポートフォリオ実績!C1260)</f>
        <v/>
      </c>
      <c r="D1259" s="10" t="str">
        <f>IF(ポートフォリオ実績!D1260="","", ポートフォリオ実績!D1260)</f>
        <v/>
      </c>
      <c r="E1259" s="10" t="str">
        <f>IF(ポートフォリオ実績!E1260="","", ポートフォリオ実績!E1260)</f>
        <v/>
      </c>
      <c r="F1259" s="10" t="str">
        <f>IF(ポートフォリオ実績!F1260="","", ポートフォリオ実績!F1260)</f>
        <v/>
      </c>
      <c r="G1259" t="str">
        <f t="shared" si="209"/>
        <v/>
      </c>
      <c r="H1259">
        <f>IF(B1259&lt;&gt;"", SUMIFS(ポートフォリオ実績!$D$2:$D$2001, ポートフォリオ実績!$B$2:$B$2001, B1259, ポートフォリオ実績!$A$2:$A$2001, G1259), 0)</f>
        <v>0</v>
      </c>
      <c r="I1259">
        <f>IF(B1259&lt;&gt;"", SUMIFS(ポートフォリオ実績!$C$2:$C$2001, ポートフォリオ実績!$B$2:$B$2001, B1259, ポートフォリオ実績!$A$2:$A$2001, G1259), 0)</f>
        <v>0</v>
      </c>
      <c r="J1259">
        <f t="shared" si="210"/>
        <v>0</v>
      </c>
      <c r="K1259">
        <f t="shared" si="211"/>
        <v>0</v>
      </c>
      <c r="L1259">
        <f t="shared" si="212"/>
        <v>0</v>
      </c>
      <c r="M1259">
        <f t="shared" si="213"/>
        <v>0</v>
      </c>
      <c r="N1259">
        <f t="shared" si="214"/>
        <v>0</v>
      </c>
      <c r="O1259">
        <f t="shared" si="215"/>
        <v>0</v>
      </c>
      <c r="P1259" t="str">
        <f t="shared" si="216"/>
        <v/>
      </c>
      <c r="Q1259" t="str">
        <f>IF(B1259="","", IFERROR(VLOOKUP(B1259, '基準資産配分（設定）'!$A$2:$C$2001, 3, FALSE), ""))</f>
        <v/>
      </c>
      <c r="R1259" t="str">
        <f>IF(B1259="","", IFERROR(VLOOKUP(B1259, '基準資産配分（設定）'!$A$2:$C$2001, 2, FALSE)/100, 0))</f>
        <v/>
      </c>
      <c r="S1259" t="str">
        <f>IF(B1259="","", IFERROR(SUMIFS(ベンチマークリターン!$C$2:$C$2001, ベンチマークリターン!$A$2:$A$2001, A1259, ベンチマークリターン!$B$2:$B$2001, Q1259) / 100, 0))</f>
        <v/>
      </c>
      <c r="T1259" t="str">
        <f>IF(A1259="","", SUMIFS($H$2:$H$2000, $A$2:$A$2000, A1259))</f>
        <v/>
      </c>
      <c r="U1259" t="str">
        <f t="shared" si="217"/>
        <v/>
      </c>
      <c r="V1259" t="str">
        <f t="shared" si="218"/>
        <v/>
      </c>
      <c r="W1259" t="str">
        <f t="shared" si="219"/>
        <v/>
      </c>
    </row>
    <row r="1260" spans="1:23" x14ac:dyDescent="0.2">
      <c r="A1260" s="4" t="str">
        <f>IF(ポートフォリオ実績!A1261="","", ポートフォリオ実績!A1261)</f>
        <v/>
      </c>
      <c r="B1260" t="str">
        <f>IF(ポートフォリオ実績!B1261="","", ポートフォリオ実績!B1261)</f>
        <v/>
      </c>
      <c r="C1260" s="10" t="str">
        <f>IF(ポートフォリオ実績!C1261="","", ポートフォリオ実績!C1261)</f>
        <v/>
      </c>
      <c r="D1260" s="10" t="str">
        <f>IF(ポートフォリオ実績!D1261="","", ポートフォリオ実績!D1261)</f>
        <v/>
      </c>
      <c r="E1260" s="10" t="str">
        <f>IF(ポートフォリオ実績!E1261="","", ポートフォリオ実績!E1261)</f>
        <v/>
      </c>
      <c r="F1260" s="10" t="str">
        <f>IF(ポートフォリオ実績!F1261="","", ポートフォリオ実績!F1261)</f>
        <v/>
      </c>
      <c r="G1260" t="str">
        <f t="shared" si="209"/>
        <v/>
      </c>
      <c r="H1260">
        <f>IF(B1260&lt;&gt;"", SUMIFS(ポートフォリオ実績!$D$2:$D$2001, ポートフォリオ実績!$B$2:$B$2001, B1260, ポートフォリオ実績!$A$2:$A$2001, G1260), 0)</f>
        <v>0</v>
      </c>
      <c r="I1260">
        <f>IF(B1260&lt;&gt;"", SUMIFS(ポートフォリオ実績!$C$2:$C$2001, ポートフォリオ実績!$B$2:$B$2001, B1260, ポートフォリオ実績!$A$2:$A$2001, G1260), 0)</f>
        <v>0</v>
      </c>
      <c r="J1260">
        <f t="shared" si="210"/>
        <v>0</v>
      </c>
      <c r="K1260">
        <f t="shared" si="211"/>
        <v>0</v>
      </c>
      <c r="L1260">
        <f t="shared" si="212"/>
        <v>0</v>
      </c>
      <c r="M1260">
        <f t="shared" si="213"/>
        <v>0</v>
      </c>
      <c r="N1260">
        <f t="shared" si="214"/>
        <v>0</v>
      </c>
      <c r="O1260">
        <f t="shared" si="215"/>
        <v>0</v>
      </c>
      <c r="P1260" t="str">
        <f t="shared" si="216"/>
        <v/>
      </c>
      <c r="Q1260" t="str">
        <f>IF(B1260="","", IFERROR(VLOOKUP(B1260, '基準資産配分（設定）'!$A$2:$C$2001, 3, FALSE), ""))</f>
        <v/>
      </c>
      <c r="R1260" t="str">
        <f>IF(B1260="","", IFERROR(VLOOKUP(B1260, '基準資産配分（設定）'!$A$2:$C$2001, 2, FALSE)/100, 0))</f>
        <v/>
      </c>
      <c r="S1260" t="str">
        <f>IF(B1260="","", IFERROR(SUMIFS(ベンチマークリターン!$C$2:$C$2001, ベンチマークリターン!$A$2:$A$2001, A1260, ベンチマークリターン!$B$2:$B$2001, Q1260) / 100, 0))</f>
        <v/>
      </c>
      <c r="T1260" t="str">
        <f>IF(A1260="","", SUMIFS($H$2:$H$2000, $A$2:$A$2000, A1260))</f>
        <v/>
      </c>
      <c r="U1260" t="str">
        <f t="shared" si="217"/>
        <v/>
      </c>
      <c r="V1260" t="str">
        <f t="shared" si="218"/>
        <v/>
      </c>
      <c r="W1260" t="str">
        <f t="shared" si="219"/>
        <v/>
      </c>
    </row>
    <row r="1261" spans="1:23" x14ac:dyDescent="0.2">
      <c r="A1261" s="4" t="str">
        <f>IF(ポートフォリオ実績!A1262="","", ポートフォリオ実績!A1262)</f>
        <v/>
      </c>
      <c r="B1261" t="str">
        <f>IF(ポートフォリオ実績!B1262="","", ポートフォリオ実績!B1262)</f>
        <v/>
      </c>
      <c r="C1261" s="10" t="str">
        <f>IF(ポートフォリオ実績!C1262="","", ポートフォリオ実績!C1262)</f>
        <v/>
      </c>
      <c r="D1261" s="10" t="str">
        <f>IF(ポートフォリオ実績!D1262="","", ポートフォリオ実績!D1262)</f>
        <v/>
      </c>
      <c r="E1261" s="10" t="str">
        <f>IF(ポートフォリオ実績!E1262="","", ポートフォリオ実績!E1262)</f>
        <v/>
      </c>
      <c r="F1261" s="10" t="str">
        <f>IF(ポートフォリオ実績!F1262="","", ポートフォリオ実績!F1262)</f>
        <v/>
      </c>
      <c r="G1261" t="str">
        <f t="shared" si="209"/>
        <v/>
      </c>
      <c r="H1261">
        <f>IF(B1261&lt;&gt;"", SUMIFS(ポートフォリオ実績!$D$2:$D$2001, ポートフォリオ実績!$B$2:$B$2001, B1261, ポートフォリオ実績!$A$2:$A$2001, G1261), 0)</f>
        <v>0</v>
      </c>
      <c r="I1261">
        <f>IF(B1261&lt;&gt;"", SUMIFS(ポートフォリオ実績!$C$2:$C$2001, ポートフォリオ実績!$B$2:$B$2001, B1261, ポートフォリオ実績!$A$2:$A$2001, G1261), 0)</f>
        <v>0</v>
      </c>
      <c r="J1261">
        <f t="shared" si="210"/>
        <v>0</v>
      </c>
      <c r="K1261">
        <f t="shared" si="211"/>
        <v>0</v>
      </c>
      <c r="L1261">
        <f t="shared" si="212"/>
        <v>0</v>
      </c>
      <c r="M1261">
        <f t="shared" si="213"/>
        <v>0</v>
      </c>
      <c r="N1261">
        <f t="shared" si="214"/>
        <v>0</v>
      </c>
      <c r="O1261">
        <f t="shared" si="215"/>
        <v>0</v>
      </c>
      <c r="P1261" t="str">
        <f t="shared" si="216"/>
        <v/>
      </c>
      <c r="Q1261" t="str">
        <f>IF(B1261="","", IFERROR(VLOOKUP(B1261, '基準資産配分（設定）'!$A$2:$C$2001, 3, FALSE), ""))</f>
        <v/>
      </c>
      <c r="R1261" t="str">
        <f>IF(B1261="","", IFERROR(VLOOKUP(B1261, '基準資産配分（設定）'!$A$2:$C$2001, 2, FALSE)/100, 0))</f>
        <v/>
      </c>
      <c r="S1261" t="str">
        <f>IF(B1261="","", IFERROR(SUMIFS(ベンチマークリターン!$C$2:$C$2001, ベンチマークリターン!$A$2:$A$2001, A1261, ベンチマークリターン!$B$2:$B$2001, Q1261) / 100, 0))</f>
        <v/>
      </c>
      <c r="T1261" t="str">
        <f>IF(A1261="","", SUMIFS($H$2:$H$2000, $A$2:$A$2000, A1261))</f>
        <v/>
      </c>
      <c r="U1261" t="str">
        <f t="shared" si="217"/>
        <v/>
      </c>
      <c r="V1261" t="str">
        <f t="shared" si="218"/>
        <v/>
      </c>
      <c r="W1261" t="str">
        <f t="shared" si="219"/>
        <v/>
      </c>
    </row>
    <row r="1262" spans="1:23" x14ac:dyDescent="0.2">
      <c r="A1262" s="4" t="str">
        <f>IF(ポートフォリオ実績!A1263="","", ポートフォリオ実績!A1263)</f>
        <v/>
      </c>
      <c r="B1262" t="str">
        <f>IF(ポートフォリオ実績!B1263="","", ポートフォリオ実績!B1263)</f>
        <v/>
      </c>
      <c r="C1262" s="10" t="str">
        <f>IF(ポートフォリオ実績!C1263="","", ポートフォリオ実績!C1263)</f>
        <v/>
      </c>
      <c r="D1262" s="10" t="str">
        <f>IF(ポートフォリオ実績!D1263="","", ポートフォリオ実績!D1263)</f>
        <v/>
      </c>
      <c r="E1262" s="10" t="str">
        <f>IF(ポートフォリオ実績!E1263="","", ポートフォリオ実績!E1263)</f>
        <v/>
      </c>
      <c r="F1262" s="10" t="str">
        <f>IF(ポートフォリオ実績!F1263="","", ポートフォリオ実績!F1263)</f>
        <v/>
      </c>
      <c r="G1262" t="str">
        <f t="shared" si="209"/>
        <v/>
      </c>
      <c r="H1262">
        <f>IF(B1262&lt;&gt;"", SUMIFS(ポートフォリオ実績!$D$2:$D$2001, ポートフォリオ実績!$B$2:$B$2001, B1262, ポートフォリオ実績!$A$2:$A$2001, G1262), 0)</f>
        <v>0</v>
      </c>
      <c r="I1262">
        <f>IF(B1262&lt;&gt;"", SUMIFS(ポートフォリオ実績!$C$2:$C$2001, ポートフォリオ実績!$B$2:$B$2001, B1262, ポートフォリオ実績!$A$2:$A$2001, G1262), 0)</f>
        <v>0</v>
      </c>
      <c r="J1262">
        <f t="shared" si="210"/>
        <v>0</v>
      </c>
      <c r="K1262">
        <f t="shared" si="211"/>
        <v>0</v>
      </c>
      <c r="L1262">
        <f t="shared" si="212"/>
        <v>0</v>
      </c>
      <c r="M1262">
        <f t="shared" si="213"/>
        <v>0</v>
      </c>
      <c r="N1262">
        <f t="shared" si="214"/>
        <v>0</v>
      </c>
      <c r="O1262">
        <f t="shared" si="215"/>
        <v>0</v>
      </c>
      <c r="P1262" t="str">
        <f t="shared" si="216"/>
        <v/>
      </c>
      <c r="Q1262" t="str">
        <f>IF(B1262="","", IFERROR(VLOOKUP(B1262, '基準資産配分（設定）'!$A$2:$C$2001, 3, FALSE), ""))</f>
        <v/>
      </c>
      <c r="R1262" t="str">
        <f>IF(B1262="","", IFERROR(VLOOKUP(B1262, '基準資産配分（設定）'!$A$2:$C$2001, 2, FALSE)/100, 0))</f>
        <v/>
      </c>
      <c r="S1262" t="str">
        <f>IF(B1262="","", IFERROR(SUMIFS(ベンチマークリターン!$C$2:$C$2001, ベンチマークリターン!$A$2:$A$2001, A1262, ベンチマークリターン!$B$2:$B$2001, Q1262) / 100, 0))</f>
        <v/>
      </c>
      <c r="T1262" t="str">
        <f>IF(A1262="","", SUMIFS($H$2:$H$2000, $A$2:$A$2000, A1262))</f>
        <v/>
      </c>
      <c r="U1262" t="str">
        <f t="shared" si="217"/>
        <v/>
      </c>
      <c r="V1262" t="str">
        <f t="shared" si="218"/>
        <v/>
      </c>
      <c r="W1262" t="str">
        <f t="shared" si="219"/>
        <v/>
      </c>
    </row>
    <row r="1263" spans="1:23" x14ac:dyDescent="0.2">
      <c r="A1263" s="4" t="str">
        <f>IF(ポートフォリオ実績!A1264="","", ポートフォリオ実績!A1264)</f>
        <v/>
      </c>
      <c r="B1263" t="str">
        <f>IF(ポートフォリオ実績!B1264="","", ポートフォリオ実績!B1264)</f>
        <v/>
      </c>
      <c r="C1263" s="10" t="str">
        <f>IF(ポートフォリオ実績!C1264="","", ポートフォリオ実績!C1264)</f>
        <v/>
      </c>
      <c r="D1263" s="10" t="str">
        <f>IF(ポートフォリオ実績!D1264="","", ポートフォリオ実績!D1264)</f>
        <v/>
      </c>
      <c r="E1263" s="10" t="str">
        <f>IF(ポートフォリオ実績!E1264="","", ポートフォリオ実績!E1264)</f>
        <v/>
      </c>
      <c r="F1263" s="10" t="str">
        <f>IF(ポートフォリオ実績!F1264="","", ポートフォリオ実績!F1264)</f>
        <v/>
      </c>
      <c r="G1263" t="str">
        <f t="shared" si="209"/>
        <v/>
      </c>
      <c r="H1263">
        <f>IF(B1263&lt;&gt;"", SUMIFS(ポートフォリオ実績!$D$2:$D$2001, ポートフォリオ実績!$B$2:$B$2001, B1263, ポートフォリオ実績!$A$2:$A$2001, G1263), 0)</f>
        <v>0</v>
      </c>
      <c r="I1263">
        <f>IF(B1263&lt;&gt;"", SUMIFS(ポートフォリオ実績!$C$2:$C$2001, ポートフォリオ実績!$B$2:$B$2001, B1263, ポートフォリオ実績!$A$2:$A$2001, G1263), 0)</f>
        <v>0</v>
      </c>
      <c r="J1263">
        <f t="shared" si="210"/>
        <v>0</v>
      </c>
      <c r="K1263">
        <f t="shared" si="211"/>
        <v>0</v>
      </c>
      <c r="L1263">
        <f t="shared" si="212"/>
        <v>0</v>
      </c>
      <c r="M1263">
        <f t="shared" si="213"/>
        <v>0</v>
      </c>
      <c r="N1263">
        <f t="shared" si="214"/>
        <v>0</v>
      </c>
      <c r="O1263">
        <f t="shared" si="215"/>
        <v>0</v>
      </c>
      <c r="P1263" t="str">
        <f t="shared" si="216"/>
        <v/>
      </c>
      <c r="Q1263" t="str">
        <f>IF(B1263="","", IFERROR(VLOOKUP(B1263, '基準資産配分（設定）'!$A$2:$C$2001, 3, FALSE), ""))</f>
        <v/>
      </c>
      <c r="R1263" t="str">
        <f>IF(B1263="","", IFERROR(VLOOKUP(B1263, '基準資産配分（設定）'!$A$2:$C$2001, 2, FALSE)/100, 0))</f>
        <v/>
      </c>
      <c r="S1263" t="str">
        <f>IF(B1263="","", IFERROR(SUMIFS(ベンチマークリターン!$C$2:$C$2001, ベンチマークリターン!$A$2:$A$2001, A1263, ベンチマークリターン!$B$2:$B$2001, Q1263) / 100, 0))</f>
        <v/>
      </c>
      <c r="T1263" t="str">
        <f>IF(A1263="","", SUMIFS($H$2:$H$2000, $A$2:$A$2000, A1263))</f>
        <v/>
      </c>
      <c r="U1263" t="str">
        <f t="shared" si="217"/>
        <v/>
      </c>
      <c r="V1263" t="str">
        <f t="shared" si="218"/>
        <v/>
      </c>
      <c r="W1263" t="str">
        <f t="shared" si="219"/>
        <v/>
      </c>
    </row>
    <row r="1264" spans="1:23" x14ac:dyDescent="0.2">
      <c r="A1264" s="4" t="str">
        <f>IF(ポートフォリオ実績!A1265="","", ポートフォリオ実績!A1265)</f>
        <v/>
      </c>
      <c r="B1264" t="str">
        <f>IF(ポートフォリオ実績!B1265="","", ポートフォリオ実績!B1265)</f>
        <v/>
      </c>
      <c r="C1264" s="10" t="str">
        <f>IF(ポートフォリオ実績!C1265="","", ポートフォリオ実績!C1265)</f>
        <v/>
      </c>
      <c r="D1264" s="10" t="str">
        <f>IF(ポートフォリオ実績!D1265="","", ポートフォリオ実績!D1265)</f>
        <v/>
      </c>
      <c r="E1264" s="10" t="str">
        <f>IF(ポートフォリオ実績!E1265="","", ポートフォリオ実績!E1265)</f>
        <v/>
      </c>
      <c r="F1264" s="10" t="str">
        <f>IF(ポートフォリオ実績!F1265="","", ポートフォリオ実績!F1265)</f>
        <v/>
      </c>
      <c r="G1264" t="str">
        <f t="shared" si="209"/>
        <v/>
      </c>
      <c r="H1264">
        <f>IF(B1264&lt;&gt;"", SUMIFS(ポートフォリオ実績!$D$2:$D$2001, ポートフォリオ実績!$B$2:$B$2001, B1264, ポートフォリオ実績!$A$2:$A$2001, G1264), 0)</f>
        <v>0</v>
      </c>
      <c r="I1264">
        <f>IF(B1264&lt;&gt;"", SUMIFS(ポートフォリオ実績!$C$2:$C$2001, ポートフォリオ実績!$B$2:$B$2001, B1264, ポートフォリオ実績!$A$2:$A$2001, G1264), 0)</f>
        <v>0</v>
      </c>
      <c r="J1264">
        <f t="shared" si="210"/>
        <v>0</v>
      </c>
      <c r="K1264">
        <f t="shared" si="211"/>
        <v>0</v>
      </c>
      <c r="L1264">
        <f t="shared" si="212"/>
        <v>0</v>
      </c>
      <c r="M1264">
        <f t="shared" si="213"/>
        <v>0</v>
      </c>
      <c r="N1264">
        <f t="shared" si="214"/>
        <v>0</v>
      </c>
      <c r="O1264">
        <f t="shared" si="215"/>
        <v>0</v>
      </c>
      <c r="P1264" t="str">
        <f t="shared" si="216"/>
        <v/>
      </c>
      <c r="Q1264" t="str">
        <f>IF(B1264="","", IFERROR(VLOOKUP(B1264, '基準資産配分（設定）'!$A$2:$C$2001, 3, FALSE), ""))</f>
        <v/>
      </c>
      <c r="R1264" t="str">
        <f>IF(B1264="","", IFERROR(VLOOKUP(B1264, '基準資産配分（設定）'!$A$2:$C$2001, 2, FALSE)/100, 0))</f>
        <v/>
      </c>
      <c r="S1264" t="str">
        <f>IF(B1264="","", IFERROR(SUMIFS(ベンチマークリターン!$C$2:$C$2001, ベンチマークリターン!$A$2:$A$2001, A1264, ベンチマークリターン!$B$2:$B$2001, Q1264) / 100, 0))</f>
        <v/>
      </c>
      <c r="T1264" t="str">
        <f>IF(A1264="","", SUMIFS($H$2:$H$2000, $A$2:$A$2000, A1264))</f>
        <v/>
      </c>
      <c r="U1264" t="str">
        <f t="shared" si="217"/>
        <v/>
      </c>
      <c r="V1264" t="str">
        <f t="shared" si="218"/>
        <v/>
      </c>
      <c r="W1264" t="str">
        <f t="shared" si="219"/>
        <v/>
      </c>
    </row>
    <row r="1265" spans="1:23" x14ac:dyDescent="0.2">
      <c r="A1265" s="4" t="str">
        <f>IF(ポートフォリオ実績!A1266="","", ポートフォリオ実績!A1266)</f>
        <v/>
      </c>
      <c r="B1265" t="str">
        <f>IF(ポートフォリオ実績!B1266="","", ポートフォリオ実績!B1266)</f>
        <v/>
      </c>
      <c r="C1265" s="10" t="str">
        <f>IF(ポートフォリオ実績!C1266="","", ポートフォリオ実績!C1266)</f>
        <v/>
      </c>
      <c r="D1265" s="10" t="str">
        <f>IF(ポートフォリオ実績!D1266="","", ポートフォリオ実績!D1266)</f>
        <v/>
      </c>
      <c r="E1265" s="10" t="str">
        <f>IF(ポートフォリオ実績!E1266="","", ポートフォリオ実績!E1266)</f>
        <v/>
      </c>
      <c r="F1265" s="10" t="str">
        <f>IF(ポートフォリオ実績!F1266="","", ポートフォリオ実績!F1266)</f>
        <v/>
      </c>
      <c r="G1265" t="str">
        <f t="shared" si="209"/>
        <v/>
      </c>
      <c r="H1265">
        <f>IF(B1265&lt;&gt;"", SUMIFS(ポートフォリオ実績!$D$2:$D$2001, ポートフォリオ実績!$B$2:$B$2001, B1265, ポートフォリオ実績!$A$2:$A$2001, G1265), 0)</f>
        <v>0</v>
      </c>
      <c r="I1265">
        <f>IF(B1265&lt;&gt;"", SUMIFS(ポートフォリオ実績!$C$2:$C$2001, ポートフォリオ実績!$B$2:$B$2001, B1265, ポートフォリオ実績!$A$2:$A$2001, G1265), 0)</f>
        <v>0</v>
      </c>
      <c r="J1265">
        <f t="shared" si="210"/>
        <v>0</v>
      </c>
      <c r="K1265">
        <f t="shared" si="211"/>
        <v>0</v>
      </c>
      <c r="L1265">
        <f t="shared" si="212"/>
        <v>0</v>
      </c>
      <c r="M1265">
        <f t="shared" si="213"/>
        <v>0</v>
      </c>
      <c r="N1265">
        <f t="shared" si="214"/>
        <v>0</v>
      </c>
      <c r="O1265">
        <f t="shared" si="215"/>
        <v>0</v>
      </c>
      <c r="P1265" t="str">
        <f t="shared" si="216"/>
        <v/>
      </c>
      <c r="Q1265" t="str">
        <f>IF(B1265="","", IFERROR(VLOOKUP(B1265, '基準資産配分（設定）'!$A$2:$C$2001, 3, FALSE), ""))</f>
        <v/>
      </c>
      <c r="R1265" t="str">
        <f>IF(B1265="","", IFERROR(VLOOKUP(B1265, '基準資産配分（設定）'!$A$2:$C$2001, 2, FALSE)/100, 0))</f>
        <v/>
      </c>
      <c r="S1265" t="str">
        <f>IF(B1265="","", IFERROR(SUMIFS(ベンチマークリターン!$C$2:$C$2001, ベンチマークリターン!$A$2:$A$2001, A1265, ベンチマークリターン!$B$2:$B$2001, Q1265) / 100, 0))</f>
        <v/>
      </c>
      <c r="T1265" t="str">
        <f>IF(A1265="","", SUMIFS($H$2:$H$2000, $A$2:$A$2000, A1265))</f>
        <v/>
      </c>
      <c r="U1265" t="str">
        <f t="shared" si="217"/>
        <v/>
      </c>
      <c r="V1265" t="str">
        <f t="shared" si="218"/>
        <v/>
      </c>
      <c r="W1265" t="str">
        <f t="shared" si="219"/>
        <v/>
      </c>
    </row>
    <row r="1266" spans="1:23" x14ac:dyDescent="0.2">
      <c r="A1266" s="4" t="str">
        <f>IF(ポートフォリオ実績!A1267="","", ポートフォリオ実績!A1267)</f>
        <v/>
      </c>
      <c r="B1266" t="str">
        <f>IF(ポートフォリオ実績!B1267="","", ポートフォリオ実績!B1267)</f>
        <v/>
      </c>
      <c r="C1266" s="10" t="str">
        <f>IF(ポートフォリオ実績!C1267="","", ポートフォリオ実績!C1267)</f>
        <v/>
      </c>
      <c r="D1266" s="10" t="str">
        <f>IF(ポートフォリオ実績!D1267="","", ポートフォリオ実績!D1267)</f>
        <v/>
      </c>
      <c r="E1266" s="10" t="str">
        <f>IF(ポートフォリオ実績!E1267="","", ポートフォリオ実績!E1267)</f>
        <v/>
      </c>
      <c r="F1266" s="10" t="str">
        <f>IF(ポートフォリオ実績!F1267="","", ポートフォリオ実績!F1267)</f>
        <v/>
      </c>
      <c r="G1266" t="str">
        <f t="shared" si="209"/>
        <v/>
      </c>
      <c r="H1266">
        <f>IF(B1266&lt;&gt;"", SUMIFS(ポートフォリオ実績!$D$2:$D$2001, ポートフォリオ実績!$B$2:$B$2001, B1266, ポートフォリオ実績!$A$2:$A$2001, G1266), 0)</f>
        <v>0</v>
      </c>
      <c r="I1266">
        <f>IF(B1266&lt;&gt;"", SUMIFS(ポートフォリオ実績!$C$2:$C$2001, ポートフォリオ実績!$B$2:$B$2001, B1266, ポートフォリオ実績!$A$2:$A$2001, G1266), 0)</f>
        <v>0</v>
      </c>
      <c r="J1266">
        <f t="shared" si="210"/>
        <v>0</v>
      </c>
      <c r="K1266">
        <f t="shared" si="211"/>
        <v>0</v>
      </c>
      <c r="L1266">
        <f t="shared" si="212"/>
        <v>0</v>
      </c>
      <c r="M1266">
        <f t="shared" si="213"/>
        <v>0</v>
      </c>
      <c r="N1266">
        <f t="shared" si="214"/>
        <v>0</v>
      </c>
      <c r="O1266">
        <f t="shared" si="215"/>
        <v>0</v>
      </c>
      <c r="P1266" t="str">
        <f t="shared" si="216"/>
        <v/>
      </c>
      <c r="Q1266" t="str">
        <f>IF(B1266="","", IFERROR(VLOOKUP(B1266, '基準資産配分（設定）'!$A$2:$C$2001, 3, FALSE), ""))</f>
        <v/>
      </c>
      <c r="R1266" t="str">
        <f>IF(B1266="","", IFERROR(VLOOKUP(B1266, '基準資産配分（設定）'!$A$2:$C$2001, 2, FALSE)/100, 0))</f>
        <v/>
      </c>
      <c r="S1266" t="str">
        <f>IF(B1266="","", IFERROR(SUMIFS(ベンチマークリターン!$C$2:$C$2001, ベンチマークリターン!$A$2:$A$2001, A1266, ベンチマークリターン!$B$2:$B$2001, Q1266) / 100, 0))</f>
        <v/>
      </c>
      <c r="T1266" t="str">
        <f>IF(A1266="","", SUMIFS($H$2:$H$2000, $A$2:$A$2000, A1266))</f>
        <v/>
      </c>
      <c r="U1266" t="str">
        <f t="shared" si="217"/>
        <v/>
      </c>
      <c r="V1266" t="str">
        <f t="shared" si="218"/>
        <v/>
      </c>
      <c r="W1266" t="str">
        <f t="shared" si="219"/>
        <v/>
      </c>
    </row>
    <row r="1267" spans="1:23" x14ac:dyDescent="0.2">
      <c r="A1267" s="4" t="str">
        <f>IF(ポートフォリオ実績!A1268="","", ポートフォリオ実績!A1268)</f>
        <v/>
      </c>
      <c r="B1267" t="str">
        <f>IF(ポートフォリオ実績!B1268="","", ポートフォリオ実績!B1268)</f>
        <v/>
      </c>
      <c r="C1267" s="10" t="str">
        <f>IF(ポートフォリオ実績!C1268="","", ポートフォリオ実績!C1268)</f>
        <v/>
      </c>
      <c r="D1267" s="10" t="str">
        <f>IF(ポートフォリオ実績!D1268="","", ポートフォリオ実績!D1268)</f>
        <v/>
      </c>
      <c r="E1267" s="10" t="str">
        <f>IF(ポートフォリオ実績!E1268="","", ポートフォリオ実績!E1268)</f>
        <v/>
      </c>
      <c r="F1267" s="10" t="str">
        <f>IF(ポートフォリオ実績!F1268="","", ポートフォリオ実績!F1268)</f>
        <v/>
      </c>
      <c r="G1267" t="str">
        <f t="shared" si="209"/>
        <v/>
      </c>
      <c r="H1267">
        <f>IF(B1267&lt;&gt;"", SUMIFS(ポートフォリオ実績!$D$2:$D$2001, ポートフォリオ実績!$B$2:$B$2001, B1267, ポートフォリオ実績!$A$2:$A$2001, G1267), 0)</f>
        <v>0</v>
      </c>
      <c r="I1267">
        <f>IF(B1267&lt;&gt;"", SUMIFS(ポートフォリオ実績!$C$2:$C$2001, ポートフォリオ実績!$B$2:$B$2001, B1267, ポートフォリオ実績!$A$2:$A$2001, G1267), 0)</f>
        <v>0</v>
      </c>
      <c r="J1267">
        <f t="shared" si="210"/>
        <v>0</v>
      </c>
      <c r="K1267">
        <f t="shared" si="211"/>
        <v>0</v>
      </c>
      <c r="L1267">
        <f t="shared" si="212"/>
        <v>0</v>
      </c>
      <c r="M1267">
        <f t="shared" si="213"/>
        <v>0</v>
      </c>
      <c r="N1267">
        <f t="shared" si="214"/>
        <v>0</v>
      </c>
      <c r="O1267">
        <f t="shared" si="215"/>
        <v>0</v>
      </c>
      <c r="P1267" t="str">
        <f t="shared" si="216"/>
        <v/>
      </c>
      <c r="Q1267" t="str">
        <f>IF(B1267="","", IFERROR(VLOOKUP(B1267, '基準資産配分（設定）'!$A$2:$C$2001, 3, FALSE), ""))</f>
        <v/>
      </c>
      <c r="R1267" t="str">
        <f>IF(B1267="","", IFERROR(VLOOKUP(B1267, '基準資産配分（設定）'!$A$2:$C$2001, 2, FALSE)/100, 0))</f>
        <v/>
      </c>
      <c r="S1267" t="str">
        <f>IF(B1267="","", IFERROR(SUMIFS(ベンチマークリターン!$C$2:$C$2001, ベンチマークリターン!$A$2:$A$2001, A1267, ベンチマークリターン!$B$2:$B$2001, Q1267) / 100, 0))</f>
        <v/>
      </c>
      <c r="T1267" t="str">
        <f>IF(A1267="","", SUMIFS($H$2:$H$2000, $A$2:$A$2000, A1267))</f>
        <v/>
      </c>
      <c r="U1267" t="str">
        <f t="shared" si="217"/>
        <v/>
      </c>
      <c r="V1267" t="str">
        <f t="shared" si="218"/>
        <v/>
      </c>
      <c r="W1267" t="str">
        <f t="shared" si="219"/>
        <v/>
      </c>
    </row>
    <row r="1268" spans="1:23" x14ac:dyDescent="0.2">
      <c r="A1268" s="4" t="str">
        <f>IF(ポートフォリオ実績!A1269="","", ポートフォリオ実績!A1269)</f>
        <v/>
      </c>
      <c r="B1268" t="str">
        <f>IF(ポートフォリオ実績!B1269="","", ポートフォリオ実績!B1269)</f>
        <v/>
      </c>
      <c r="C1268" s="10" t="str">
        <f>IF(ポートフォリオ実績!C1269="","", ポートフォリオ実績!C1269)</f>
        <v/>
      </c>
      <c r="D1268" s="10" t="str">
        <f>IF(ポートフォリオ実績!D1269="","", ポートフォリオ実績!D1269)</f>
        <v/>
      </c>
      <c r="E1268" s="10" t="str">
        <f>IF(ポートフォリオ実績!E1269="","", ポートフォリオ実績!E1269)</f>
        <v/>
      </c>
      <c r="F1268" s="10" t="str">
        <f>IF(ポートフォリオ実績!F1269="","", ポートフォリオ実績!F1269)</f>
        <v/>
      </c>
      <c r="G1268" t="str">
        <f t="shared" si="209"/>
        <v/>
      </c>
      <c r="H1268">
        <f>IF(B1268&lt;&gt;"", SUMIFS(ポートフォリオ実績!$D$2:$D$2001, ポートフォリオ実績!$B$2:$B$2001, B1268, ポートフォリオ実績!$A$2:$A$2001, G1268), 0)</f>
        <v>0</v>
      </c>
      <c r="I1268">
        <f>IF(B1268&lt;&gt;"", SUMIFS(ポートフォリオ実績!$C$2:$C$2001, ポートフォリオ実績!$B$2:$B$2001, B1268, ポートフォリオ実績!$A$2:$A$2001, G1268), 0)</f>
        <v>0</v>
      </c>
      <c r="J1268">
        <f t="shared" si="210"/>
        <v>0</v>
      </c>
      <c r="K1268">
        <f t="shared" si="211"/>
        <v>0</v>
      </c>
      <c r="L1268">
        <f t="shared" si="212"/>
        <v>0</v>
      </c>
      <c r="M1268">
        <f t="shared" si="213"/>
        <v>0</v>
      </c>
      <c r="N1268">
        <f t="shared" si="214"/>
        <v>0</v>
      </c>
      <c r="O1268">
        <f t="shared" si="215"/>
        <v>0</v>
      </c>
      <c r="P1268" t="str">
        <f t="shared" si="216"/>
        <v/>
      </c>
      <c r="Q1268" t="str">
        <f>IF(B1268="","", IFERROR(VLOOKUP(B1268, '基準資産配分（設定）'!$A$2:$C$2001, 3, FALSE), ""))</f>
        <v/>
      </c>
      <c r="R1268" t="str">
        <f>IF(B1268="","", IFERROR(VLOOKUP(B1268, '基準資産配分（設定）'!$A$2:$C$2001, 2, FALSE)/100, 0))</f>
        <v/>
      </c>
      <c r="S1268" t="str">
        <f>IF(B1268="","", IFERROR(SUMIFS(ベンチマークリターン!$C$2:$C$2001, ベンチマークリターン!$A$2:$A$2001, A1268, ベンチマークリターン!$B$2:$B$2001, Q1268) / 100, 0))</f>
        <v/>
      </c>
      <c r="T1268" t="str">
        <f>IF(A1268="","", SUMIFS($H$2:$H$2000, $A$2:$A$2000, A1268))</f>
        <v/>
      </c>
      <c r="U1268" t="str">
        <f t="shared" si="217"/>
        <v/>
      </c>
      <c r="V1268" t="str">
        <f t="shared" si="218"/>
        <v/>
      </c>
      <c r="W1268" t="str">
        <f t="shared" si="219"/>
        <v/>
      </c>
    </row>
    <row r="1269" spans="1:23" x14ac:dyDescent="0.2">
      <c r="A1269" s="4" t="str">
        <f>IF(ポートフォリオ実績!A1270="","", ポートフォリオ実績!A1270)</f>
        <v/>
      </c>
      <c r="B1269" t="str">
        <f>IF(ポートフォリオ実績!B1270="","", ポートフォリオ実績!B1270)</f>
        <v/>
      </c>
      <c r="C1269" s="10" t="str">
        <f>IF(ポートフォリオ実績!C1270="","", ポートフォリオ実績!C1270)</f>
        <v/>
      </c>
      <c r="D1269" s="10" t="str">
        <f>IF(ポートフォリオ実績!D1270="","", ポートフォリオ実績!D1270)</f>
        <v/>
      </c>
      <c r="E1269" s="10" t="str">
        <f>IF(ポートフォリオ実績!E1270="","", ポートフォリオ実績!E1270)</f>
        <v/>
      </c>
      <c r="F1269" s="10" t="str">
        <f>IF(ポートフォリオ実績!F1270="","", ポートフォリオ実績!F1270)</f>
        <v/>
      </c>
      <c r="G1269" t="str">
        <f t="shared" si="209"/>
        <v/>
      </c>
      <c r="H1269">
        <f>IF(B1269&lt;&gt;"", SUMIFS(ポートフォリオ実績!$D$2:$D$2001, ポートフォリオ実績!$B$2:$B$2001, B1269, ポートフォリオ実績!$A$2:$A$2001, G1269), 0)</f>
        <v>0</v>
      </c>
      <c r="I1269">
        <f>IF(B1269&lt;&gt;"", SUMIFS(ポートフォリオ実績!$C$2:$C$2001, ポートフォリオ実績!$B$2:$B$2001, B1269, ポートフォリオ実績!$A$2:$A$2001, G1269), 0)</f>
        <v>0</v>
      </c>
      <c r="J1269">
        <f t="shared" si="210"/>
        <v>0</v>
      </c>
      <c r="K1269">
        <f t="shared" si="211"/>
        <v>0</v>
      </c>
      <c r="L1269">
        <f t="shared" si="212"/>
        <v>0</v>
      </c>
      <c r="M1269">
        <f t="shared" si="213"/>
        <v>0</v>
      </c>
      <c r="N1269">
        <f t="shared" si="214"/>
        <v>0</v>
      </c>
      <c r="O1269">
        <f t="shared" si="215"/>
        <v>0</v>
      </c>
      <c r="P1269" t="str">
        <f t="shared" si="216"/>
        <v/>
      </c>
      <c r="Q1269" t="str">
        <f>IF(B1269="","", IFERROR(VLOOKUP(B1269, '基準資産配分（設定）'!$A$2:$C$2001, 3, FALSE), ""))</f>
        <v/>
      </c>
      <c r="R1269" t="str">
        <f>IF(B1269="","", IFERROR(VLOOKUP(B1269, '基準資産配分（設定）'!$A$2:$C$2001, 2, FALSE)/100, 0))</f>
        <v/>
      </c>
      <c r="S1269" t="str">
        <f>IF(B1269="","", IFERROR(SUMIFS(ベンチマークリターン!$C$2:$C$2001, ベンチマークリターン!$A$2:$A$2001, A1269, ベンチマークリターン!$B$2:$B$2001, Q1269) / 100, 0))</f>
        <v/>
      </c>
      <c r="T1269" t="str">
        <f>IF(A1269="","", SUMIFS($H$2:$H$2000, $A$2:$A$2000, A1269))</f>
        <v/>
      </c>
      <c r="U1269" t="str">
        <f t="shared" si="217"/>
        <v/>
      </c>
      <c r="V1269" t="str">
        <f t="shared" si="218"/>
        <v/>
      </c>
      <c r="W1269" t="str">
        <f t="shared" si="219"/>
        <v/>
      </c>
    </row>
    <row r="1270" spans="1:23" x14ac:dyDescent="0.2">
      <c r="A1270" s="4" t="str">
        <f>IF(ポートフォリオ実績!A1271="","", ポートフォリオ実績!A1271)</f>
        <v/>
      </c>
      <c r="B1270" t="str">
        <f>IF(ポートフォリオ実績!B1271="","", ポートフォリオ実績!B1271)</f>
        <v/>
      </c>
      <c r="C1270" s="10" t="str">
        <f>IF(ポートフォリオ実績!C1271="","", ポートフォリオ実績!C1271)</f>
        <v/>
      </c>
      <c r="D1270" s="10" t="str">
        <f>IF(ポートフォリオ実績!D1271="","", ポートフォリオ実績!D1271)</f>
        <v/>
      </c>
      <c r="E1270" s="10" t="str">
        <f>IF(ポートフォリオ実績!E1271="","", ポートフォリオ実績!E1271)</f>
        <v/>
      </c>
      <c r="F1270" s="10" t="str">
        <f>IF(ポートフォリオ実績!F1271="","", ポートフォリオ実績!F1271)</f>
        <v/>
      </c>
      <c r="G1270" t="str">
        <f t="shared" si="209"/>
        <v/>
      </c>
      <c r="H1270">
        <f>IF(B1270&lt;&gt;"", SUMIFS(ポートフォリオ実績!$D$2:$D$2001, ポートフォリオ実績!$B$2:$B$2001, B1270, ポートフォリオ実績!$A$2:$A$2001, G1270), 0)</f>
        <v>0</v>
      </c>
      <c r="I1270">
        <f>IF(B1270&lt;&gt;"", SUMIFS(ポートフォリオ実績!$C$2:$C$2001, ポートフォリオ実績!$B$2:$B$2001, B1270, ポートフォリオ実績!$A$2:$A$2001, G1270), 0)</f>
        <v>0</v>
      </c>
      <c r="J1270">
        <f t="shared" si="210"/>
        <v>0</v>
      </c>
      <c r="K1270">
        <f t="shared" si="211"/>
        <v>0</v>
      </c>
      <c r="L1270">
        <f t="shared" si="212"/>
        <v>0</v>
      </c>
      <c r="M1270">
        <f t="shared" si="213"/>
        <v>0</v>
      </c>
      <c r="N1270">
        <f t="shared" si="214"/>
        <v>0</v>
      </c>
      <c r="O1270">
        <f t="shared" si="215"/>
        <v>0</v>
      </c>
      <c r="P1270" t="str">
        <f t="shared" si="216"/>
        <v/>
      </c>
      <c r="Q1270" t="str">
        <f>IF(B1270="","", IFERROR(VLOOKUP(B1270, '基準資産配分（設定）'!$A$2:$C$2001, 3, FALSE), ""))</f>
        <v/>
      </c>
      <c r="R1270" t="str">
        <f>IF(B1270="","", IFERROR(VLOOKUP(B1270, '基準資産配分（設定）'!$A$2:$C$2001, 2, FALSE)/100, 0))</f>
        <v/>
      </c>
      <c r="S1270" t="str">
        <f>IF(B1270="","", IFERROR(SUMIFS(ベンチマークリターン!$C$2:$C$2001, ベンチマークリターン!$A$2:$A$2001, A1270, ベンチマークリターン!$B$2:$B$2001, Q1270) / 100, 0))</f>
        <v/>
      </c>
      <c r="T1270" t="str">
        <f>IF(A1270="","", SUMIFS($H$2:$H$2000, $A$2:$A$2000, A1270))</f>
        <v/>
      </c>
      <c r="U1270" t="str">
        <f t="shared" si="217"/>
        <v/>
      </c>
      <c r="V1270" t="str">
        <f t="shared" si="218"/>
        <v/>
      </c>
      <c r="W1270" t="str">
        <f t="shared" si="219"/>
        <v/>
      </c>
    </row>
    <row r="1271" spans="1:23" x14ac:dyDescent="0.2">
      <c r="A1271" s="4" t="str">
        <f>IF(ポートフォリオ実績!A1272="","", ポートフォリオ実績!A1272)</f>
        <v/>
      </c>
      <c r="B1271" t="str">
        <f>IF(ポートフォリオ実績!B1272="","", ポートフォリオ実績!B1272)</f>
        <v/>
      </c>
      <c r="C1271" s="10" t="str">
        <f>IF(ポートフォリオ実績!C1272="","", ポートフォリオ実績!C1272)</f>
        <v/>
      </c>
      <c r="D1271" s="10" t="str">
        <f>IF(ポートフォリオ実績!D1272="","", ポートフォリオ実績!D1272)</f>
        <v/>
      </c>
      <c r="E1271" s="10" t="str">
        <f>IF(ポートフォリオ実績!E1272="","", ポートフォリオ実績!E1272)</f>
        <v/>
      </c>
      <c r="F1271" s="10" t="str">
        <f>IF(ポートフォリオ実績!F1272="","", ポートフォリオ実績!F1272)</f>
        <v/>
      </c>
      <c r="G1271" t="str">
        <f t="shared" si="209"/>
        <v/>
      </c>
      <c r="H1271">
        <f>IF(B1271&lt;&gt;"", SUMIFS(ポートフォリオ実績!$D$2:$D$2001, ポートフォリオ実績!$B$2:$B$2001, B1271, ポートフォリオ実績!$A$2:$A$2001, G1271), 0)</f>
        <v>0</v>
      </c>
      <c r="I1271">
        <f>IF(B1271&lt;&gt;"", SUMIFS(ポートフォリオ実績!$C$2:$C$2001, ポートフォリオ実績!$B$2:$B$2001, B1271, ポートフォリオ実績!$A$2:$A$2001, G1271), 0)</f>
        <v>0</v>
      </c>
      <c r="J1271">
        <f t="shared" si="210"/>
        <v>0</v>
      </c>
      <c r="K1271">
        <f t="shared" si="211"/>
        <v>0</v>
      </c>
      <c r="L1271">
        <f t="shared" si="212"/>
        <v>0</v>
      </c>
      <c r="M1271">
        <f t="shared" si="213"/>
        <v>0</v>
      </c>
      <c r="N1271">
        <f t="shared" si="214"/>
        <v>0</v>
      </c>
      <c r="O1271">
        <f t="shared" si="215"/>
        <v>0</v>
      </c>
      <c r="P1271" t="str">
        <f t="shared" si="216"/>
        <v/>
      </c>
      <c r="Q1271" t="str">
        <f>IF(B1271="","", IFERROR(VLOOKUP(B1271, '基準資産配分（設定）'!$A$2:$C$2001, 3, FALSE), ""))</f>
        <v/>
      </c>
      <c r="R1271" t="str">
        <f>IF(B1271="","", IFERROR(VLOOKUP(B1271, '基準資産配分（設定）'!$A$2:$C$2001, 2, FALSE)/100, 0))</f>
        <v/>
      </c>
      <c r="S1271" t="str">
        <f>IF(B1271="","", IFERROR(SUMIFS(ベンチマークリターン!$C$2:$C$2001, ベンチマークリターン!$A$2:$A$2001, A1271, ベンチマークリターン!$B$2:$B$2001, Q1271) / 100, 0))</f>
        <v/>
      </c>
      <c r="T1271" t="str">
        <f>IF(A1271="","", SUMIFS($H$2:$H$2000, $A$2:$A$2000, A1271))</f>
        <v/>
      </c>
      <c r="U1271" t="str">
        <f t="shared" si="217"/>
        <v/>
      </c>
      <c r="V1271" t="str">
        <f t="shared" si="218"/>
        <v/>
      </c>
      <c r="W1271" t="str">
        <f t="shared" si="219"/>
        <v/>
      </c>
    </row>
    <row r="1272" spans="1:23" x14ac:dyDescent="0.2">
      <c r="A1272" s="4" t="str">
        <f>IF(ポートフォリオ実績!A1273="","", ポートフォリオ実績!A1273)</f>
        <v/>
      </c>
      <c r="B1272" t="str">
        <f>IF(ポートフォリオ実績!B1273="","", ポートフォリオ実績!B1273)</f>
        <v/>
      </c>
      <c r="C1272" s="10" t="str">
        <f>IF(ポートフォリオ実績!C1273="","", ポートフォリオ実績!C1273)</f>
        <v/>
      </c>
      <c r="D1272" s="10" t="str">
        <f>IF(ポートフォリオ実績!D1273="","", ポートフォリオ実績!D1273)</f>
        <v/>
      </c>
      <c r="E1272" s="10" t="str">
        <f>IF(ポートフォリオ実績!E1273="","", ポートフォリオ実績!E1273)</f>
        <v/>
      </c>
      <c r="F1272" s="10" t="str">
        <f>IF(ポートフォリオ実績!F1273="","", ポートフォリオ実績!F1273)</f>
        <v/>
      </c>
      <c r="G1272" t="str">
        <f t="shared" si="209"/>
        <v/>
      </c>
      <c r="H1272">
        <f>IF(B1272&lt;&gt;"", SUMIFS(ポートフォリオ実績!$D$2:$D$2001, ポートフォリオ実績!$B$2:$B$2001, B1272, ポートフォリオ実績!$A$2:$A$2001, G1272), 0)</f>
        <v>0</v>
      </c>
      <c r="I1272">
        <f>IF(B1272&lt;&gt;"", SUMIFS(ポートフォリオ実績!$C$2:$C$2001, ポートフォリオ実績!$B$2:$B$2001, B1272, ポートフォリオ実績!$A$2:$A$2001, G1272), 0)</f>
        <v>0</v>
      </c>
      <c r="J1272">
        <f t="shared" si="210"/>
        <v>0</v>
      </c>
      <c r="K1272">
        <f t="shared" si="211"/>
        <v>0</v>
      </c>
      <c r="L1272">
        <f t="shared" si="212"/>
        <v>0</v>
      </c>
      <c r="M1272">
        <f t="shared" si="213"/>
        <v>0</v>
      </c>
      <c r="N1272">
        <f t="shared" si="214"/>
        <v>0</v>
      </c>
      <c r="O1272">
        <f t="shared" si="215"/>
        <v>0</v>
      </c>
      <c r="P1272" t="str">
        <f t="shared" si="216"/>
        <v/>
      </c>
      <c r="Q1272" t="str">
        <f>IF(B1272="","", IFERROR(VLOOKUP(B1272, '基準資産配分（設定）'!$A$2:$C$2001, 3, FALSE), ""))</f>
        <v/>
      </c>
      <c r="R1272" t="str">
        <f>IF(B1272="","", IFERROR(VLOOKUP(B1272, '基準資産配分（設定）'!$A$2:$C$2001, 2, FALSE)/100, 0))</f>
        <v/>
      </c>
      <c r="S1272" t="str">
        <f>IF(B1272="","", IFERROR(SUMIFS(ベンチマークリターン!$C$2:$C$2001, ベンチマークリターン!$A$2:$A$2001, A1272, ベンチマークリターン!$B$2:$B$2001, Q1272) / 100, 0))</f>
        <v/>
      </c>
      <c r="T1272" t="str">
        <f>IF(A1272="","", SUMIFS($H$2:$H$2000, $A$2:$A$2000, A1272))</f>
        <v/>
      </c>
      <c r="U1272" t="str">
        <f t="shared" si="217"/>
        <v/>
      </c>
      <c r="V1272" t="str">
        <f t="shared" si="218"/>
        <v/>
      </c>
      <c r="W1272" t="str">
        <f t="shared" si="219"/>
        <v/>
      </c>
    </row>
    <row r="1273" spans="1:23" x14ac:dyDescent="0.2">
      <c r="A1273" s="4" t="str">
        <f>IF(ポートフォリオ実績!A1274="","", ポートフォリオ実績!A1274)</f>
        <v/>
      </c>
      <c r="B1273" t="str">
        <f>IF(ポートフォリオ実績!B1274="","", ポートフォリオ実績!B1274)</f>
        <v/>
      </c>
      <c r="C1273" s="10" t="str">
        <f>IF(ポートフォリオ実績!C1274="","", ポートフォリオ実績!C1274)</f>
        <v/>
      </c>
      <c r="D1273" s="10" t="str">
        <f>IF(ポートフォリオ実績!D1274="","", ポートフォリオ実績!D1274)</f>
        <v/>
      </c>
      <c r="E1273" s="10" t="str">
        <f>IF(ポートフォリオ実績!E1274="","", ポートフォリオ実績!E1274)</f>
        <v/>
      </c>
      <c r="F1273" s="10" t="str">
        <f>IF(ポートフォリオ実績!F1274="","", ポートフォリオ実績!F1274)</f>
        <v/>
      </c>
      <c r="G1273" t="str">
        <f t="shared" si="209"/>
        <v/>
      </c>
      <c r="H1273">
        <f>IF(B1273&lt;&gt;"", SUMIFS(ポートフォリオ実績!$D$2:$D$2001, ポートフォリオ実績!$B$2:$B$2001, B1273, ポートフォリオ実績!$A$2:$A$2001, G1273), 0)</f>
        <v>0</v>
      </c>
      <c r="I1273">
        <f>IF(B1273&lt;&gt;"", SUMIFS(ポートフォリオ実績!$C$2:$C$2001, ポートフォリオ実績!$B$2:$B$2001, B1273, ポートフォリオ実績!$A$2:$A$2001, G1273), 0)</f>
        <v>0</v>
      </c>
      <c r="J1273">
        <f t="shared" si="210"/>
        <v>0</v>
      </c>
      <c r="K1273">
        <f t="shared" si="211"/>
        <v>0</v>
      </c>
      <c r="L1273">
        <f t="shared" si="212"/>
        <v>0</v>
      </c>
      <c r="M1273">
        <f t="shared" si="213"/>
        <v>0</v>
      </c>
      <c r="N1273">
        <f t="shared" si="214"/>
        <v>0</v>
      </c>
      <c r="O1273">
        <f t="shared" si="215"/>
        <v>0</v>
      </c>
      <c r="P1273" t="str">
        <f t="shared" si="216"/>
        <v/>
      </c>
      <c r="Q1273" t="str">
        <f>IF(B1273="","", IFERROR(VLOOKUP(B1273, '基準資産配分（設定）'!$A$2:$C$2001, 3, FALSE), ""))</f>
        <v/>
      </c>
      <c r="R1273" t="str">
        <f>IF(B1273="","", IFERROR(VLOOKUP(B1273, '基準資産配分（設定）'!$A$2:$C$2001, 2, FALSE)/100, 0))</f>
        <v/>
      </c>
      <c r="S1273" t="str">
        <f>IF(B1273="","", IFERROR(SUMIFS(ベンチマークリターン!$C$2:$C$2001, ベンチマークリターン!$A$2:$A$2001, A1273, ベンチマークリターン!$B$2:$B$2001, Q1273) / 100, 0))</f>
        <v/>
      </c>
      <c r="T1273" t="str">
        <f>IF(A1273="","", SUMIFS($H$2:$H$2000, $A$2:$A$2000, A1273))</f>
        <v/>
      </c>
      <c r="U1273" t="str">
        <f t="shared" si="217"/>
        <v/>
      </c>
      <c r="V1273" t="str">
        <f t="shared" si="218"/>
        <v/>
      </c>
      <c r="W1273" t="str">
        <f t="shared" si="219"/>
        <v/>
      </c>
    </row>
    <row r="1274" spans="1:23" x14ac:dyDescent="0.2">
      <c r="A1274" s="4" t="str">
        <f>IF(ポートフォリオ実績!A1275="","", ポートフォリオ実績!A1275)</f>
        <v/>
      </c>
      <c r="B1274" t="str">
        <f>IF(ポートフォリオ実績!B1275="","", ポートフォリオ実績!B1275)</f>
        <v/>
      </c>
      <c r="C1274" s="10" t="str">
        <f>IF(ポートフォリオ実績!C1275="","", ポートフォリオ実績!C1275)</f>
        <v/>
      </c>
      <c r="D1274" s="10" t="str">
        <f>IF(ポートフォリオ実績!D1275="","", ポートフォリオ実績!D1275)</f>
        <v/>
      </c>
      <c r="E1274" s="10" t="str">
        <f>IF(ポートフォリオ実績!E1275="","", ポートフォリオ実績!E1275)</f>
        <v/>
      </c>
      <c r="F1274" s="10" t="str">
        <f>IF(ポートフォリオ実績!F1275="","", ポートフォリオ実績!F1275)</f>
        <v/>
      </c>
      <c r="G1274" t="str">
        <f t="shared" si="209"/>
        <v/>
      </c>
      <c r="H1274">
        <f>IF(B1274&lt;&gt;"", SUMIFS(ポートフォリオ実績!$D$2:$D$2001, ポートフォリオ実績!$B$2:$B$2001, B1274, ポートフォリオ実績!$A$2:$A$2001, G1274), 0)</f>
        <v>0</v>
      </c>
      <c r="I1274">
        <f>IF(B1274&lt;&gt;"", SUMIFS(ポートフォリオ実績!$C$2:$C$2001, ポートフォリオ実績!$B$2:$B$2001, B1274, ポートフォリオ実績!$A$2:$A$2001, G1274), 0)</f>
        <v>0</v>
      </c>
      <c r="J1274">
        <f t="shared" si="210"/>
        <v>0</v>
      </c>
      <c r="K1274">
        <f t="shared" si="211"/>
        <v>0</v>
      </c>
      <c r="L1274">
        <f t="shared" si="212"/>
        <v>0</v>
      </c>
      <c r="M1274">
        <f t="shared" si="213"/>
        <v>0</v>
      </c>
      <c r="N1274">
        <f t="shared" si="214"/>
        <v>0</v>
      </c>
      <c r="O1274">
        <f t="shared" si="215"/>
        <v>0</v>
      </c>
      <c r="P1274" t="str">
        <f t="shared" si="216"/>
        <v/>
      </c>
      <c r="Q1274" t="str">
        <f>IF(B1274="","", IFERROR(VLOOKUP(B1274, '基準資産配分（設定）'!$A$2:$C$2001, 3, FALSE), ""))</f>
        <v/>
      </c>
      <c r="R1274" t="str">
        <f>IF(B1274="","", IFERROR(VLOOKUP(B1274, '基準資産配分（設定）'!$A$2:$C$2001, 2, FALSE)/100, 0))</f>
        <v/>
      </c>
      <c r="S1274" t="str">
        <f>IF(B1274="","", IFERROR(SUMIFS(ベンチマークリターン!$C$2:$C$2001, ベンチマークリターン!$A$2:$A$2001, A1274, ベンチマークリターン!$B$2:$B$2001, Q1274) / 100, 0))</f>
        <v/>
      </c>
      <c r="T1274" t="str">
        <f>IF(A1274="","", SUMIFS($H$2:$H$2000, $A$2:$A$2000, A1274))</f>
        <v/>
      </c>
      <c r="U1274" t="str">
        <f t="shared" si="217"/>
        <v/>
      </c>
      <c r="V1274" t="str">
        <f t="shared" si="218"/>
        <v/>
      </c>
      <c r="W1274" t="str">
        <f t="shared" si="219"/>
        <v/>
      </c>
    </row>
    <row r="1275" spans="1:23" x14ac:dyDescent="0.2">
      <c r="A1275" s="4" t="str">
        <f>IF(ポートフォリオ実績!A1276="","", ポートフォリオ実績!A1276)</f>
        <v/>
      </c>
      <c r="B1275" t="str">
        <f>IF(ポートフォリオ実績!B1276="","", ポートフォリオ実績!B1276)</f>
        <v/>
      </c>
      <c r="C1275" s="10" t="str">
        <f>IF(ポートフォリオ実績!C1276="","", ポートフォリオ実績!C1276)</f>
        <v/>
      </c>
      <c r="D1275" s="10" t="str">
        <f>IF(ポートフォリオ実績!D1276="","", ポートフォリオ実績!D1276)</f>
        <v/>
      </c>
      <c r="E1275" s="10" t="str">
        <f>IF(ポートフォリオ実績!E1276="","", ポートフォリオ実績!E1276)</f>
        <v/>
      </c>
      <c r="F1275" s="10" t="str">
        <f>IF(ポートフォリオ実績!F1276="","", ポートフォリオ実績!F1276)</f>
        <v/>
      </c>
      <c r="G1275" t="str">
        <f t="shared" si="209"/>
        <v/>
      </c>
      <c r="H1275">
        <f>IF(B1275&lt;&gt;"", SUMIFS(ポートフォリオ実績!$D$2:$D$2001, ポートフォリオ実績!$B$2:$B$2001, B1275, ポートフォリオ実績!$A$2:$A$2001, G1275), 0)</f>
        <v>0</v>
      </c>
      <c r="I1275">
        <f>IF(B1275&lt;&gt;"", SUMIFS(ポートフォリオ実績!$C$2:$C$2001, ポートフォリオ実績!$B$2:$B$2001, B1275, ポートフォリオ実績!$A$2:$A$2001, G1275), 0)</f>
        <v>0</v>
      </c>
      <c r="J1275">
        <f t="shared" si="210"/>
        <v>0</v>
      </c>
      <c r="K1275">
        <f t="shared" si="211"/>
        <v>0</v>
      </c>
      <c r="L1275">
        <f t="shared" si="212"/>
        <v>0</v>
      </c>
      <c r="M1275">
        <f t="shared" si="213"/>
        <v>0</v>
      </c>
      <c r="N1275">
        <f t="shared" si="214"/>
        <v>0</v>
      </c>
      <c r="O1275">
        <f t="shared" si="215"/>
        <v>0</v>
      </c>
      <c r="P1275" t="str">
        <f t="shared" si="216"/>
        <v/>
      </c>
      <c r="Q1275" t="str">
        <f>IF(B1275="","", IFERROR(VLOOKUP(B1275, '基準資産配分（設定）'!$A$2:$C$2001, 3, FALSE), ""))</f>
        <v/>
      </c>
      <c r="R1275" t="str">
        <f>IF(B1275="","", IFERROR(VLOOKUP(B1275, '基準資産配分（設定）'!$A$2:$C$2001, 2, FALSE)/100, 0))</f>
        <v/>
      </c>
      <c r="S1275" t="str">
        <f>IF(B1275="","", IFERROR(SUMIFS(ベンチマークリターン!$C$2:$C$2001, ベンチマークリターン!$A$2:$A$2001, A1275, ベンチマークリターン!$B$2:$B$2001, Q1275) / 100, 0))</f>
        <v/>
      </c>
      <c r="T1275" t="str">
        <f>IF(A1275="","", SUMIFS($H$2:$H$2000, $A$2:$A$2000, A1275))</f>
        <v/>
      </c>
      <c r="U1275" t="str">
        <f t="shared" si="217"/>
        <v/>
      </c>
      <c r="V1275" t="str">
        <f t="shared" si="218"/>
        <v/>
      </c>
      <c r="W1275" t="str">
        <f t="shared" si="219"/>
        <v/>
      </c>
    </row>
    <row r="1276" spans="1:23" x14ac:dyDescent="0.2">
      <c r="A1276" s="4" t="str">
        <f>IF(ポートフォリオ実績!A1277="","", ポートフォリオ実績!A1277)</f>
        <v/>
      </c>
      <c r="B1276" t="str">
        <f>IF(ポートフォリオ実績!B1277="","", ポートフォリオ実績!B1277)</f>
        <v/>
      </c>
      <c r="C1276" s="10" t="str">
        <f>IF(ポートフォリオ実績!C1277="","", ポートフォリオ実績!C1277)</f>
        <v/>
      </c>
      <c r="D1276" s="10" t="str">
        <f>IF(ポートフォリオ実績!D1277="","", ポートフォリオ実績!D1277)</f>
        <v/>
      </c>
      <c r="E1276" s="10" t="str">
        <f>IF(ポートフォリオ実績!E1277="","", ポートフォリオ実績!E1277)</f>
        <v/>
      </c>
      <c r="F1276" s="10" t="str">
        <f>IF(ポートフォリオ実績!F1277="","", ポートフォリオ実績!F1277)</f>
        <v/>
      </c>
      <c r="G1276" t="str">
        <f t="shared" si="209"/>
        <v/>
      </c>
      <c r="H1276">
        <f>IF(B1276&lt;&gt;"", SUMIFS(ポートフォリオ実績!$D$2:$D$2001, ポートフォリオ実績!$B$2:$B$2001, B1276, ポートフォリオ実績!$A$2:$A$2001, G1276), 0)</f>
        <v>0</v>
      </c>
      <c r="I1276">
        <f>IF(B1276&lt;&gt;"", SUMIFS(ポートフォリオ実績!$C$2:$C$2001, ポートフォリオ実績!$B$2:$B$2001, B1276, ポートフォリオ実績!$A$2:$A$2001, G1276), 0)</f>
        <v>0</v>
      </c>
      <c r="J1276">
        <f t="shared" si="210"/>
        <v>0</v>
      </c>
      <c r="K1276">
        <f t="shared" si="211"/>
        <v>0</v>
      </c>
      <c r="L1276">
        <f t="shared" si="212"/>
        <v>0</v>
      </c>
      <c r="M1276">
        <f t="shared" si="213"/>
        <v>0</v>
      </c>
      <c r="N1276">
        <f t="shared" si="214"/>
        <v>0</v>
      </c>
      <c r="O1276">
        <f t="shared" si="215"/>
        <v>0</v>
      </c>
      <c r="P1276" t="str">
        <f t="shared" si="216"/>
        <v/>
      </c>
      <c r="Q1276" t="str">
        <f>IF(B1276="","", IFERROR(VLOOKUP(B1276, '基準資産配分（設定）'!$A$2:$C$2001, 3, FALSE), ""))</f>
        <v/>
      </c>
      <c r="R1276" t="str">
        <f>IF(B1276="","", IFERROR(VLOOKUP(B1276, '基準資産配分（設定）'!$A$2:$C$2001, 2, FALSE)/100, 0))</f>
        <v/>
      </c>
      <c r="S1276" t="str">
        <f>IF(B1276="","", IFERROR(SUMIFS(ベンチマークリターン!$C$2:$C$2001, ベンチマークリターン!$A$2:$A$2001, A1276, ベンチマークリターン!$B$2:$B$2001, Q1276) / 100, 0))</f>
        <v/>
      </c>
      <c r="T1276" t="str">
        <f>IF(A1276="","", SUMIFS($H$2:$H$2000, $A$2:$A$2000, A1276))</f>
        <v/>
      </c>
      <c r="U1276" t="str">
        <f t="shared" si="217"/>
        <v/>
      </c>
      <c r="V1276" t="str">
        <f t="shared" si="218"/>
        <v/>
      </c>
      <c r="W1276" t="str">
        <f t="shared" si="219"/>
        <v/>
      </c>
    </row>
    <row r="1277" spans="1:23" x14ac:dyDescent="0.2">
      <c r="A1277" s="4" t="str">
        <f>IF(ポートフォリオ実績!A1278="","", ポートフォリオ実績!A1278)</f>
        <v/>
      </c>
      <c r="B1277" t="str">
        <f>IF(ポートフォリオ実績!B1278="","", ポートフォリオ実績!B1278)</f>
        <v/>
      </c>
      <c r="C1277" s="10" t="str">
        <f>IF(ポートフォリオ実績!C1278="","", ポートフォリオ実績!C1278)</f>
        <v/>
      </c>
      <c r="D1277" s="10" t="str">
        <f>IF(ポートフォリオ実績!D1278="","", ポートフォリオ実績!D1278)</f>
        <v/>
      </c>
      <c r="E1277" s="10" t="str">
        <f>IF(ポートフォリオ実績!E1278="","", ポートフォリオ実績!E1278)</f>
        <v/>
      </c>
      <c r="F1277" s="10" t="str">
        <f>IF(ポートフォリオ実績!F1278="","", ポートフォリオ実績!F1278)</f>
        <v/>
      </c>
      <c r="G1277" t="str">
        <f t="shared" si="209"/>
        <v/>
      </c>
      <c r="H1277">
        <f>IF(B1277&lt;&gt;"", SUMIFS(ポートフォリオ実績!$D$2:$D$2001, ポートフォリオ実績!$B$2:$B$2001, B1277, ポートフォリオ実績!$A$2:$A$2001, G1277), 0)</f>
        <v>0</v>
      </c>
      <c r="I1277">
        <f>IF(B1277&lt;&gt;"", SUMIFS(ポートフォリオ実績!$C$2:$C$2001, ポートフォリオ実績!$B$2:$B$2001, B1277, ポートフォリオ実績!$A$2:$A$2001, G1277), 0)</f>
        <v>0</v>
      </c>
      <c r="J1277">
        <f t="shared" si="210"/>
        <v>0</v>
      </c>
      <c r="K1277">
        <f t="shared" si="211"/>
        <v>0</v>
      </c>
      <c r="L1277">
        <f t="shared" si="212"/>
        <v>0</v>
      </c>
      <c r="M1277">
        <f t="shared" si="213"/>
        <v>0</v>
      </c>
      <c r="N1277">
        <f t="shared" si="214"/>
        <v>0</v>
      </c>
      <c r="O1277">
        <f t="shared" si="215"/>
        <v>0</v>
      </c>
      <c r="P1277" t="str">
        <f t="shared" si="216"/>
        <v/>
      </c>
      <c r="Q1277" t="str">
        <f>IF(B1277="","", IFERROR(VLOOKUP(B1277, '基準資産配分（設定）'!$A$2:$C$2001, 3, FALSE), ""))</f>
        <v/>
      </c>
      <c r="R1277" t="str">
        <f>IF(B1277="","", IFERROR(VLOOKUP(B1277, '基準資産配分（設定）'!$A$2:$C$2001, 2, FALSE)/100, 0))</f>
        <v/>
      </c>
      <c r="S1277" t="str">
        <f>IF(B1277="","", IFERROR(SUMIFS(ベンチマークリターン!$C$2:$C$2001, ベンチマークリターン!$A$2:$A$2001, A1277, ベンチマークリターン!$B$2:$B$2001, Q1277) / 100, 0))</f>
        <v/>
      </c>
      <c r="T1277" t="str">
        <f>IF(A1277="","", SUMIFS($H$2:$H$2000, $A$2:$A$2000, A1277))</f>
        <v/>
      </c>
      <c r="U1277" t="str">
        <f t="shared" si="217"/>
        <v/>
      </c>
      <c r="V1277" t="str">
        <f t="shared" si="218"/>
        <v/>
      </c>
      <c r="W1277" t="str">
        <f t="shared" si="219"/>
        <v/>
      </c>
    </row>
    <row r="1278" spans="1:23" x14ac:dyDescent="0.2">
      <c r="A1278" s="4" t="str">
        <f>IF(ポートフォリオ実績!A1279="","", ポートフォリオ実績!A1279)</f>
        <v/>
      </c>
      <c r="B1278" t="str">
        <f>IF(ポートフォリオ実績!B1279="","", ポートフォリオ実績!B1279)</f>
        <v/>
      </c>
      <c r="C1278" s="10" t="str">
        <f>IF(ポートフォリオ実績!C1279="","", ポートフォリオ実績!C1279)</f>
        <v/>
      </c>
      <c r="D1278" s="10" t="str">
        <f>IF(ポートフォリオ実績!D1279="","", ポートフォリオ実績!D1279)</f>
        <v/>
      </c>
      <c r="E1278" s="10" t="str">
        <f>IF(ポートフォリオ実績!E1279="","", ポートフォリオ実績!E1279)</f>
        <v/>
      </c>
      <c r="F1278" s="10" t="str">
        <f>IF(ポートフォリオ実績!F1279="","", ポートフォリオ実績!F1279)</f>
        <v/>
      </c>
      <c r="G1278" t="str">
        <f t="shared" si="209"/>
        <v/>
      </c>
      <c r="H1278">
        <f>IF(B1278&lt;&gt;"", SUMIFS(ポートフォリオ実績!$D$2:$D$2001, ポートフォリオ実績!$B$2:$B$2001, B1278, ポートフォリオ実績!$A$2:$A$2001, G1278), 0)</f>
        <v>0</v>
      </c>
      <c r="I1278">
        <f>IF(B1278&lt;&gt;"", SUMIFS(ポートフォリオ実績!$C$2:$C$2001, ポートフォリオ実績!$B$2:$B$2001, B1278, ポートフォリオ実績!$A$2:$A$2001, G1278), 0)</f>
        <v>0</v>
      </c>
      <c r="J1278">
        <f t="shared" si="210"/>
        <v>0</v>
      </c>
      <c r="K1278">
        <f t="shared" si="211"/>
        <v>0</v>
      </c>
      <c r="L1278">
        <f t="shared" si="212"/>
        <v>0</v>
      </c>
      <c r="M1278">
        <f t="shared" si="213"/>
        <v>0</v>
      </c>
      <c r="N1278">
        <f t="shared" si="214"/>
        <v>0</v>
      </c>
      <c r="O1278">
        <f t="shared" si="215"/>
        <v>0</v>
      </c>
      <c r="P1278" t="str">
        <f t="shared" si="216"/>
        <v/>
      </c>
      <c r="Q1278" t="str">
        <f>IF(B1278="","", IFERROR(VLOOKUP(B1278, '基準資産配分（設定）'!$A$2:$C$2001, 3, FALSE), ""))</f>
        <v/>
      </c>
      <c r="R1278" t="str">
        <f>IF(B1278="","", IFERROR(VLOOKUP(B1278, '基準資産配分（設定）'!$A$2:$C$2001, 2, FALSE)/100, 0))</f>
        <v/>
      </c>
      <c r="S1278" t="str">
        <f>IF(B1278="","", IFERROR(SUMIFS(ベンチマークリターン!$C$2:$C$2001, ベンチマークリターン!$A$2:$A$2001, A1278, ベンチマークリターン!$B$2:$B$2001, Q1278) / 100, 0))</f>
        <v/>
      </c>
      <c r="T1278" t="str">
        <f>IF(A1278="","", SUMIFS($H$2:$H$2000, $A$2:$A$2000, A1278))</f>
        <v/>
      </c>
      <c r="U1278" t="str">
        <f t="shared" si="217"/>
        <v/>
      </c>
      <c r="V1278" t="str">
        <f t="shared" si="218"/>
        <v/>
      </c>
      <c r="W1278" t="str">
        <f t="shared" si="219"/>
        <v/>
      </c>
    </row>
    <row r="1279" spans="1:23" x14ac:dyDescent="0.2">
      <c r="A1279" s="4" t="str">
        <f>IF(ポートフォリオ実績!A1280="","", ポートフォリオ実績!A1280)</f>
        <v/>
      </c>
      <c r="B1279" t="str">
        <f>IF(ポートフォリオ実績!B1280="","", ポートフォリオ実績!B1280)</f>
        <v/>
      </c>
      <c r="C1279" s="10" t="str">
        <f>IF(ポートフォリオ実績!C1280="","", ポートフォリオ実績!C1280)</f>
        <v/>
      </c>
      <c r="D1279" s="10" t="str">
        <f>IF(ポートフォリオ実績!D1280="","", ポートフォリオ実績!D1280)</f>
        <v/>
      </c>
      <c r="E1279" s="10" t="str">
        <f>IF(ポートフォリオ実績!E1280="","", ポートフォリオ実績!E1280)</f>
        <v/>
      </c>
      <c r="F1279" s="10" t="str">
        <f>IF(ポートフォリオ実績!F1280="","", ポートフォリオ実績!F1280)</f>
        <v/>
      </c>
      <c r="G1279" t="str">
        <f t="shared" si="209"/>
        <v/>
      </c>
      <c r="H1279">
        <f>IF(B1279&lt;&gt;"", SUMIFS(ポートフォリオ実績!$D$2:$D$2001, ポートフォリオ実績!$B$2:$B$2001, B1279, ポートフォリオ実績!$A$2:$A$2001, G1279), 0)</f>
        <v>0</v>
      </c>
      <c r="I1279">
        <f>IF(B1279&lt;&gt;"", SUMIFS(ポートフォリオ実績!$C$2:$C$2001, ポートフォリオ実績!$B$2:$B$2001, B1279, ポートフォリオ実績!$A$2:$A$2001, G1279), 0)</f>
        <v>0</v>
      </c>
      <c r="J1279">
        <f t="shared" si="210"/>
        <v>0</v>
      </c>
      <c r="K1279">
        <f t="shared" si="211"/>
        <v>0</v>
      </c>
      <c r="L1279">
        <f t="shared" si="212"/>
        <v>0</v>
      </c>
      <c r="M1279">
        <f t="shared" si="213"/>
        <v>0</v>
      </c>
      <c r="N1279">
        <f t="shared" si="214"/>
        <v>0</v>
      </c>
      <c r="O1279">
        <f t="shared" si="215"/>
        <v>0</v>
      </c>
      <c r="P1279" t="str">
        <f t="shared" si="216"/>
        <v/>
      </c>
      <c r="Q1279" t="str">
        <f>IF(B1279="","", IFERROR(VLOOKUP(B1279, '基準資産配分（設定）'!$A$2:$C$2001, 3, FALSE), ""))</f>
        <v/>
      </c>
      <c r="R1279" t="str">
        <f>IF(B1279="","", IFERROR(VLOOKUP(B1279, '基準資産配分（設定）'!$A$2:$C$2001, 2, FALSE)/100, 0))</f>
        <v/>
      </c>
      <c r="S1279" t="str">
        <f>IF(B1279="","", IFERROR(SUMIFS(ベンチマークリターン!$C$2:$C$2001, ベンチマークリターン!$A$2:$A$2001, A1279, ベンチマークリターン!$B$2:$B$2001, Q1279) / 100, 0))</f>
        <v/>
      </c>
      <c r="T1279" t="str">
        <f>IF(A1279="","", SUMIFS($H$2:$H$2000, $A$2:$A$2000, A1279))</f>
        <v/>
      </c>
      <c r="U1279" t="str">
        <f t="shared" si="217"/>
        <v/>
      </c>
      <c r="V1279" t="str">
        <f t="shared" si="218"/>
        <v/>
      </c>
      <c r="W1279" t="str">
        <f t="shared" si="219"/>
        <v/>
      </c>
    </row>
    <row r="1280" spans="1:23" x14ac:dyDescent="0.2">
      <c r="A1280" s="4" t="str">
        <f>IF(ポートフォリオ実績!A1281="","", ポートフォリオ実績!A1281)</f>
        <v/>
      </c>
      <c r="B1280" t="str">
        <f>IF(ポートフォリオ実績!B1281="","", ポートフォリオ実績!B1281)</f>
        <v/>
      </c>
      <c r="C1280" s="10" t="str">
        <f>IF(ポートフォリオ実績!C1281="","", ポートフォリオ実績!C1281)</f>
        <v/>
      </c>
      <c r="D1280" s="10" t="str">
        <f>IF(ポートフォリオ実績!D1281="","", ポートフォリオ実績!D1281)</f>
        <v/>
      </c>
      <c r="E1280" s="10" t="str">
        <f>IF(ポートフォリオ実績!E1281="","", ポートフォリオ実績!E1281)</f>
        <v/>
      </c>
      <c r="F1280" s="10" t="str">
        <f>IF(ポートフォリオ実績!F1281="","", ポートフォリオ実績!F1281)</f>
        <v/>
      </c>
      <c r="G1280" t="str">
        <f t="shared" si="209"/>
        <v/>
      </c>
      <c r="H1280">
        <f>IF(B1280&lt;&gt;"", SUMIFS(ポートフォリオ実績!$D$2:$D$2001, ポートフォリオ実績!$B$2:$B$2001, B1280, ポートフォリオ実績!$A$2:$A$2001, G1280), 0)</f>
        <v>0</v>
      </c>
      <c r="I1280">
        <f>IF(B1280&lt;&gt;"", SUMIFS(ポートフォリオ実績!$C$2:$C$2001, ポートフォリオ実績!$B$2:$B$2001, B1280, ポートフォリオ実績!$A$2:$A$2001, G1280), 0)</f>
        <v>0</v>
      </c>
      <c r="J1280">
        <f t="shared" si="210"/>
        <v>0</v>
      </c>
      <c r="K1280">
        <f t="shared" si="211"/>
        <v>0</v>
      </c>
      <c r="L1280">
        <f t="shared" si="212"/>
        <v>0</v>
      </c>
      <c r="M1280">
        <f t="shared" si="213"/>
        <v>0</v>
      </c>
      <c r="N1280">
        <f t="shared" si="214"/>
        <v>0</v>
      </c>
      <c r="O1280">
        <f t="shared" si="215"/>
        <v>0</v>
      </c>
      <c r="P1280" t="str">
        <f t="shared" si="216"/>
        <v/>
      </c>
      <c r="Q1280" t="str">
        <f>IF(B1280="","", IFERROR(VLOOKUP(B1280, '基準資産配分（設定）'!$A$2:$C$2001, 3, FALSE), ""))</f>
        <v/>
      </c>
      <c r="R1280" t="str">
        <f>IF(B1280="","", IFERROR(VLOOKUP(B1280, '基準資産配分（設定）'!$A$2:$C$2001, 2, FALSE)/100, 0))</f>
        <v/>
      </c>
      <c r="S1280" t="str">
        <f>IF(B1280="","", IFERROR(SUMIFS(ベンチマークリターン!$C$2:$C$2001, ベンチマークリターン!$A$2:$A$2001, A1280, ベンチマークリターン!$B$2:$B$2001, Q1280) / 100, 0))</f>
        <v/>
      </c>
      <c r="T1280" t="str">
        <f>IF(A1280="","", SUMIFS($H$2:$H$2000, $A$2:$A$2000, A1280))</f>
        <v/>
      </c>
      <c r="U1280" t="str">
        <f t="shared" si="217"/>
        <v/>
      </c>
      <c r="V1280" t="str">
        <f t="shared" si="218"/>
        <v/>
      </c>
      <c r="W1280" t="str">
        <f t="shared" si="219"/>
        <v/>
      </c>
    </row>
    <row r="1281" spans="1:23" x14ac:dyDescent="0.2">
      <c r="A1281" s="4" t="str">
        <f>IF(ポートフォリオ実績!A1282="","", ポートフォリオ実績!A1282)</f>
        <v/>
      </c>
      <c r="B1281" t="str">
        <f>IF(ポートフォリオ実績!B1282="","", ポートフォリオ実績!B1282)</f>
        <v/>
      </c>
      <c r="C1281" s="10" t="str">
        <f>IF(ポートフォリオ実績!C1282="","", ポートフォリオ実績!C1282)</f>
        <v/>
      </c>
      <c r="D1281" s="10" t="str">
        <f>IF(ポートフォリオ実績!D1282="","", ポートフォリオ実績!D1282)</f>
        <v/>
      </c>
      <c r="E1281" s="10" t="str">
        <f>IF(ポートフォリオ実績!E1282="","", ポートフォリオ実績!E1282)</f>
        <v/>
      </c>
      <c r="F1281" s="10" t="str">
        <f>IF(ポートフォリオ実績!F1282="","", ポートフォリオ実績!F1282)</f>
        <v/>
      </c>
      <c r="G1281" t="str">
        <f t="shared" ref="G1281:G1344" si="220">IF(A1281&lt;&gt;"", EOMONTH(A1281, -1), "")</f>
        <v/>
      </c>
      <c r="H1281">
        <f>IF(B1281&lt;&gt;"", SUMIFS(ポートフォリオ実績!$D$2:$D$2001, ポートフォリオ実績!$B$2:$B$2001, B1281, ポートフォリオ実績!$A$2:$A$2001, G1281), 0)</f>
        <v>0</v>
      </c>
      <c r="I1281">
        <f>IF(B1281&lt;&gt;"", SUMIFS(ポートフォリオ実績!$C$2:$C$2001, ポートフォリオ実績!$B$2:$B$2001, B1281, ポートフォリオ実績!$A$2:$A$2001, G1281), 0)</f>
        <v>0</v>
      </c>
      <c r="J1281">
        <f t="shared" ref="J1281:J1344" si="221">IF(A1281&lt;&gt;"", D1281-C1281, 0)</f>
        <v>0</v>
      </c>
      <c r="K1281">
        <f t="shared" ref="K1281:K1344" si="222">IF(A1281&lt;&gt;"", H1281-I1281, 0)</f>
        <v>0</v>
      </c>
      <c r="L1281">
        <f t="shared" ref="L1281:L1344" si="223">IF(H1281=0, 0, J1281-K1281)</f>
        <v>0</v>
      </c>
      <c r="M1281">
        <f t="shared" ref="M1281:M1344" si="224">IF(A1281&lt;&gt;"", E1281+F1281+L1281, 0)</f>
        <v>0</v>
      </c>
      <c r="N1281">
        <f t="shared" ref="N1281:N1344" si="225">IF(H1281=0, 0, (D1281-H1281)-M1281)</f>
        <v>0</v>
      </c>
      <c r="O1281">
        <f t="shared" ref="O1281:O1344" si="226">IF(A1281&lt;&gt;"", H1281+N1281*0.5, 0)</f>
        <v>0</v>
      </c>
      <c r="P1281" t="str">
        <f t="shared" ref="P1281:P1344" si="227">IF(A1281="","", IF(O1281&gt;0.000001, M1281/O1281, IF(ABS(M1281)&lt;0.000001, 0, 0)))</f>
        <v/>
      </c>
      <c r="Q1281" t="str">
        <f>IF(B1281="","", IFERROR(VLOOKUP(B1281, '基準資産配分（設定）'!$A$2:$C$2001, 3, FALSE), ""))</f>
        <v/>
      </c>
      <c r="R1281" t="str">
        <f>IF(B1281="","", IFERROR(VLOOKUP(B1281, '基準資産配分（設定）'!$A$2:$C$2001, 2, FALSE)/100, 0))</f>
        <v/>
      </c>
      <c r="S1281" t="str">
        <f>IF(B1281="","", IFERROR(SUMIFS(ベンチマークリターン!$C$2:$C$2001, ベンチマークリターン!$A$2:$A$2001, A1281, ベンチマークリターン!$B$2:$B$2001, Q1281) / 100, 0))</f>
        <v/>
      </c>
      <c r="T1281" t="str">
        <f>IF(A1281="","", SUMIFS($H$2:$H$2000, $A$2:$A$2000, A1281))</f>
        <v/>
      </c>
      <c r="U1281" t="str">
        <f t="shared" ref="U1281:U1344" si="228">IF(A1281="","", IFERROR(H1281/T1281, 0))</f>
        <v/>
      </c>
      <c r="V1281" t="str">
        <f t="shared" ref="V1281:V1344" si="229">IF(A1281="","", U1281*P1281)</f>
        <v/>
      </c>
      <c r="W1281" t="str">
        <f t="shared" ref="W1281:W1344" si="230">IF(A1281="","", R1281*S1281)</f>
        <v/>
      </c>
    </row>
    <row r="1282" spans="1:23" x14ac:dyDescent="0.2">
      <c r="A1282" s="4" t="str">
        <f>IF(ポートフォリオ実績!A1283="","", ポートフォリオ実績!A1283)</f>
        <v/>
      </c>
      <c r="B1282" t="str">
        <f>IF(ポートフォリオ実績!B1283="","", ポートフォリオ実績!B1283)</f>
        <v/>
      </c>
      <c r="C1282" s="10" t="str">
        <f>IF(ポートフォリオ実績!C1283="","", ポートフォリオ実績!C1283)</f>
        <v/>
      </c>
      <c r="D1282" s="10" t="str">
        <f>IF(ポートフォリオ実績!D1283="","", ポートフォリオ実績!D1283)</f>
        <v/>
      </c>
      <c r="E1282" s="10" t="str">
        <f>IF(ポートフォリオ実績!E1283="","", ポートフォリオ実績!E1283)</f>
        <v/>
      </c>
      <c r="F1282" s="10" t="str">
        <f>IF(ポートフォリオ実績!F1283="","", ポートフォリオ実績!F1283)</f>
        <v/>
      </c>
      <c r="G1282" t="str">
        <f t="shared" si="220"/>
        <v/>
      </c>
      <c r="H1282">
        <f>IF(B1282&lt;&gt;"", SUMIFS(ポートフォリオ実績!$D$2:$D$2001, ポートフォリオ実績!$B$2:$B$2001, B1282, ポートフォリオ実績!$A$2:$A$2001, G1282), 0)</f>
        <v>0</v>
      </c>
      <c r="I1282">
        <f>IF(B1282&lt;&gt;"", SUMIFS(ポートフォリオ実績!$C$2:$C$2001, ポートフォリオ実績!$B$2:$B$2001, B1282, ポートフォリオ実績!$A$2:$A$2001, G1282), 0)</f>
        <v>0</v>
      </c>
      <c r="J1282">
        <f t="shared" si="221"/>
        <v>0</v>
      </c>
      <c r="K1282">
        <f t="shared" si="222"/>
        <v>0</v>
      </c>
      <c r="L1282">
        <f t="shared" si="223"/>
        <v>0</v>
      </c>
      <c r="M1282">
        <f t="shared" si="224"/>
        <v>0</v>
      </c>
      <c r="N1282">
        <f t="shared" si="225"/>
        <v>0</v>
      </c>
      <c r="O1282">
        <f t="shared" si="226"/>
        <v>0</v>
      </c>
      <c r="P1282" t="str">
        <f t="shared" si="227"/>
        <v/>
      </c>
      <c r="Q1282" t="str">
        <f>IF(B1282="","", IFERROR(VLOOKUP(B1282, '基準資産配分（設定）'!$A$2:$C$2001, 3, FALSE), ""))</f>
        <v/>
      </c>
      <c r="R1282" t="str">
        <f>IF(B1282="","", IFERROR(VLOOKUP(B1282, '基準資産配分（設定）'!$A$2:$C$2001, 2, FALSE)/100, 0))</f>
        <v/>
      </c>
      <c r="S1282" t="str">
        <f>IF(B1282="","", IFERROR(SUMIFS(ベンチマークリターン!$C$2:$C$2001, ベンチマークリターン!$A$2:$A$2001, A1282, ベンチマークリターン!$B$2:$B$2001, Q1282) / 100, 0))</f>
        <v/>
      </c>
      <c r="T1282" t="str">
        <f>IF(A1282="","", SUMIFS($H$2:$H$2000, $A$2:$A$2000, A1282))</f>
        <v/>
      </c>
      <c r="U1282" t="str">
        <f t="shared" si="228"/>
        <v/>
      </c>
      <c r="V1282" t="str">
        <f t="shared" si="229"/>
        <v/>
      </c>
      <c r="W1282" t="str">
        <f t="shared" si="230"/>
        <v/>
      </c>
    </row>
    <row r="1283" spans="1:23" x14ac:dyDescent="0.2">
      <c r="A1283" s="4" t="str">
        <f>IF(ポートフォリオ実績!A1284="","", ポートフォリオ実績!A1284)</f>
        <v/>
      </c>
      <c r="B1283" t="str">
        <f>IF(ポートフォリオ実績!B1284="","", ポートフォリオ実績!B1284)</f>
        <v/>
      </c>
      <c r="C1283" s="10" t="str">
        <f>IF(ポートフォリオ実績!C1284="","", ポートフォリオ実績!C1284)</f>
        <v/>
      </c>
      <c r="D1283" s="10" t="str">
        <f>IF(ポートフォリオ実績!D1284="","", ポートフォリオ実績!D1284)</f>
        <v/>
      </c>
      <c r="E1283" s="10" t="str">
        <f>IF(ポートフォリオ実績!E1284="","", ポートフォリオ実績!E1284)</f>
        <v/>
      </c>
      <c r="F1283" s="10" t="str">
        <f>IF(ポートフォリオ実績!F1284="","", ポートフォリオ実績!F1284)</f>
        <v/>
      </c>
      <c r="G1283" t="str">
        <f t="shared" si="220"/>
        <v/>
      </c>
      <c r="H1283">
        <f>IF(B1283&lt;&gt;"", SUMIFS(ポートフォリオ実績!$D$2:$D$2001, ポートフォリオ実績!$B$2:$B$2001, B1283, ポートフォリオ実績!$A$2:$A$2001, G1283), 0)</f>
        <v>0</v>
      </c>
      <c r="I1283">
        <f>IF(B1283&lt;&gt;"", SUMIFS(ポートフォリオ実績!$C$2:$C$2001, ポートフォリオ実績!$B$2:$B$2001, B1283, ポートフォリオ実績!$A$2:$A$2001, G1283), 0)</f>
        <v>0</v>
      </c>
      <c r="J1283">
        <f t="shared" si="221"/>
        <v>0</v>
      </c>
      <c r="K1283">
        <f t="shared" si="222"/>
        <v>0</v>
      </c>
      <c r="L1283">
        <f t="shared" si="223"/>
        <v>0</v>
      </c>
      <c r="M1283">
        <f t="shared" si="224"/>
        <v>0</v>
      </c>
      <c r="N1283">
        <f t="shared" si="225"/>
        <v>0</v>
      </c>
      <c r="O1283">
        <f t="shared" si="226"/>
        <v>0</v>
      </c>
      <c r="P1283" t="str">
        <f t="shared" si="227"/>
        <v/>
      </c>
      <c r="Q1283" t="str">
        <f>IF(B1283="","", IFERROR(VLOOKUP(B1283, '基準資産配分（設定）'!$A$2:$C$2001, 3, FALSE), ""))</f>
        <v/>
      </c>
      <c r="R1283" t="str">
        <f>IF(B1283="","", IFERROR(VLOOKUP(B1283, '基準資産配分（設定）'!$A$2:$C$2001, 2, FALSE)/100, 0))</f>
        <v/>
      </c>
      <c r="S1283" t="str">
        <f>IF(B1283="","", IFERROR(SUMIFS(ベンチマークリターン!$C$2:$C$2001, ベンチマークリターン!$A$2:$A$2001, A1283, ベンチマークリターン!$B$2:$B$2001, Q1283) / 100, 0))</f>
        <v/>
      </c>
      <c r="T1283" t="str">
        <f>IF(A1283="","", SUMIFS($H$2:$H$2000, $A$2:$A$2000, A1283))</f>
        <v/>
      </c>
      <c r="U1283" t="str">
        <f t="shared" si="228"/>
        <v/>
      </c>
      <c r="V1283" t="str">
        <f t="shared" si="229"/>
        <v/>
      </c>
      <c r="W1283" t="str">
        <f t="shared" si="230"/>
        <v/>
      </c>
    </row>
    <row r="1284" spans="1:23" x14ac:dyDescent="0.2">
      <c r="A1284" s="4" t="str">
        <f>IF(ポートフォリオ実績!A1285="","", ポートフォリオ実績!A1285)</f>
        <v/>
      </c>
      <c r="B1284" t="str">
        <f>IF(ポートフォリオ実績!B1285="","", ポートフォリオ実績!B1285)</f>
        <v/>
      </c>
      <c r="C1284" s="10" t="str">
        <f>IF(ポートフォリオ実績!C1285="","", ポートフォリオ実績!C1285)</f>
        <v/>
      </c>
      <c r="D1284" s="10" t="str">
        <f>IF(ポートフォリオ実績!D1285="","", ポートフォリオ実績!D1285)</f>
        <v/>
      </c>
      <c r="E1284" s="10" t="str">
        <f>IF(ポートフォリオ実績!E1285="","", ポートフォリオ実績!E1285)</f>
        <v/>
      </c>
      <c r="F1284" s="10" t="str">
        <f>IF(ポートフォリオ実績!F1285="","", ポートフォリオ実績!F1285)</f>
        <v/>
      </c>
      <c r="G1284" t="str">
        <f t="shared" si="220"/>
        <v/>
      </c>
      <c r="H1284">
        <f>IF(B1284&lt;&gt;"", SUMIFS(ポートフォリオ実績!$D$2:$D$2001, ポートフォリオ実績!$B$2:$B$2001, B1284, ポートフォリオ実績!$A$2:$A$2001, G1284), 0)</f>
        <v>0</v>
      </c>
      <c r="I1284">
        <f>IF(B1284&lt;&gt;"", SUMIFS(ポートフォリオ実績!$C$2:$C$2001, ポートフォリオ実績!$B$2:$B$2001, B1284, ポートフォリオ実績!$A$2:$A$2001, G1284), 0)</f>
        <v>0</v>
      </c>
      <c r="J1284">
        <f t="shared" si="221"/>
        <v>0</v>
      </c>
      <c r="K1284">
        <f t="shared" si="222"/>
        <v>0</v>
      </c>
      <c r="L1284">
        <f t="shared" si="223"/>
        <v>0</v>
      </c>
      <c r="M1284">
        <f t="shared" si="224"/>
        <v>0</v>
      </c>
      <c r="N1284">
        <f t="shared" si="225"/>
        <v>0</v>
      </c>
      <c r="O1284">
        <f t="shared" si="226"/>
        <v>0</v>
      </c>
      <c r="P1284" t="str">
        <f t="shared" si="227"/>
        <v/>
      </c>
      <c r="Q1284" t="str">
        <f>IF(B1284="","", IFERROR(VLOOKUP(B1284, '基準資産配分（設定）'!$A$2:$C$2001, 3, FALSE), ""))</f>
        <v/>
      </c>
      <c r="R1284" t="str">
        <f>IF(B1284="","", IFERROR(VLOOKUP(B1284, '基準資産配分（設定）'!$A$2:$C$2001, 2, FALSE)/100, 0))</f>
        <v/>
      </c>
      <c r="S1284" t="str">
        <f>IF(B1284="","", IFERROR(SUMIFS(ベンチマークリターン!$C$2:$C$2001, ベンチマークリターン!$A$2:$A$2001, A1284, ベンチマークリターン!$B$2:$B$2001, Q1284) / 100, 0))</f>
        <v/>
      </c>
      <c r="T1284" t="str">
        <f>IF(A1284="","", SUMIFS($H$2:$H$2000, $A$2:$A$2000, A1284))</f>
        <v/>
      </c>
      <c r="U1284" t="str">
        <f t="shared" si="228"/>
        <v/>
      </c>
      <c r="V1284" t="str">
        <f t="shared" si="229"/>
        <v/>
      </c>
      <c r="W1284" t="str">
        <f t="shared" si="230"/>
        <v/>
      </c>
    </row>
    <row r="1285" spans="1:23" x14ac:dyDescent="0.2">
      <c r="A1285" s="4" t="str">
        <f>IF(ポートフォリオ実績!A1286="","", ポートフォリオ実績!A1286)</f>
        <v/>
      </c>
      <c r="B1285" t="str">
        <f>IF(ポートフォリオ実績!B1286="","", ポートフォリオ実績!B1286)</f>
        <v/>
      </c>
      <c r="C1285" s="10" t="str">
        <f>IF(ポートフォリオ実績!C1286="","", ポートフォリオ実績!C1286)</f>
        <v/>
      </c>
      <c r="D1285" s="10" t="str">
        <f>IF(ポートフォリオ実績!D1286="","", ポートフォリオ実績!D1286)</f>
        <v/>
      </c>
      <c r="E1285" s="10" t="str">
        <f>IF(ポートフォリオ実績!E1286="","", ポートフォリオ実績!E1286)</f>
        <v/>
      </c>
      <c r="F1285" s="10" t="str">
        <f>IF(ポートフォリオ実績!F1286="","", ポートフォリオ実績!F1286)</f>
        <v/>
      </c>
      <c r="G1285" t="str">
        <f t="shared" si="220"/>
        <v/>
      </c>
      <c r="H1285">
        <f>IF(B1285&lt;&gt;"", SUMIFS(ポートフォリオ実績!$D$2:$D$2001, ポートフォリオ実績!$B$2:$B$2001, B1285, ポートフォリオ実績!$A$2:$A$2001, G1285), 0)</f>
        <v>0</v>
      </c>
      <c r="I1285">
        <f>IF(B1285&lt;&gt;"", SUMIFS(ポートフォリオ実績!$C$2:$C$2001, ポートフォリオ実績!$B$2:$B$2001, B1285, ポートフォリオ実績!$A$2:$A$2001, G1285), 0)</f>
        <v>0</v>
      </c>
      <c r="J1285">
        <f t="shared" si="221"/>
        <v>0</v>
      </c>
      <c r="K1285">
        <f t="shared" si="222"/>
        <v>0</v>
      </c>
      <c r="L1285">
        <f t="shared" si="223"/>
        <v>0</v>
      </c>
      <c r="M1285">
        <f t="shared" si="224"/>
        <v>0</v>
      </c>
      <c r="N1285">
        <f t="shared" si="225"/>
        <v>0</v>
      </c>
      <c r="O1285">
        <f t="shared" si="226"/>
        <v>0</v>
      </c>
      <c r="P1285" t="str">
        <f t="shared" si="227"/>
        <v/>
      </c>
      <c r="Q1285" t="str">
        <f>IF(B1285="","", IFERROR(VLOOKUP(B1285, '基準資産配分（設定）'!$A$2:$C$2001, 3, FALSE), ""))</f>
        <v/>
      </c>
      <c r="R1285" t="str">
        <f>IF(B1285="","", IFERROR(VLOOKUP(B1285, '基準資産配分（設定）'!$A$2:$C$2001, 2, FALSE)/100, 0))</f>
        <v/>
      </c>
      <c r="S1285" t="str">
        <f>IF(B1285="","", IFERROR(SUMIFS(ベンチマークリターン!$C$2:$C$2001, ベンチマークリターン!$A$2:$A$2001, A1285, ベンチマークリターン!$B$2:$B$2001, Q1285) / 100, 0))</f>
        <v/>
      </c>
      <c r="T1285" t="str">
        <f>IF(A1285="","", SUMIFS($H$2:$H$2000, $A$2:$A$2000, A1285))</f>
        <v/>
      </c>
      <c r="U1285" t="str">
        <f t="shared" si="228"/>
        <v/>
      </c>
      <c r="V1285" t="str">
        <f t="shared" si="229"/>
        <v/>
      </c>
      <c r="W1285" t="str">
        <f t="shared" si="230"/>
        <v/>
      </c>
    </row>
    <row r="1286" spans="1:23" x14ac:dyDescent="0.2">
      <c r="A1286" s="4" t="str">
        <f>IF(ポートフォリオ実績!A1287="","", ポートフォリオ実績!A1287)</f>
        <v/>
      </c>
      <c r="B1286" t="str">
        <f>IF(ポートフォリオ実績!B1287="","", ポートフォリオ実績!B1287)</f>
        <v/>
      </c>
      <c r="C1286" s="10" t="str">
        <f>IF(ポートフォリオ実績!C1287="","", ポートフォリオ実績!C1287)</f>
        <v/>
      </c>
      <c r="D1286" s="10" t="str">
        <f>IF(ポートフォリオ実績!D1287="","", ポートフォリオ実績!D1287)</f>
        <v/>
      </c>
      <c r="E1286" s="10" t="str">
        <f>IF(ポートフォリオ実績!E1287="","", ポートフォリオ実績!E1287)</f>
        <v/>
      </c>
      <c r="F1286" s="10" t="str">
        <f>IF(ポートフォリオ実績!F1287="","", ポートフォリオ実績!F1287)</f>
        <v/>
      </c>
      <c r="G1286" t="str">
        <f t="shared" si="220"/>
        <v/>
      </c>
      <c r="H1286">
        <f>IF(B1286&lt;&gt;"", SUMIFS(ポートフォリオ実績!$D$2:$D$2001, ポートフォリオ実績!$B$2:$B$2001, B1286, ポートフォリオ実績!$A$2:$A$2001, G1286), 0)</f>
        <v>0</v>
      </c>
      <c r="I1286">
        <f>IF(B1286&lt;&gt;"", SUMIFS(ポートフォリオ実績!$C$2:$C$2001, ポートフォリオ実績!$B$2:$B$2001, B1286, ポートフォリオ実績!$A$2:$A$2001, G1286), 0)</f>
        <v>0</v>
      </c>
      <c r="J1286">
        <f t="shared" si="221"/>
        <v>0</v>
      </c>
      <c r="K1286">
        <f t="shared" si="222"/>
        <v>0</v>
      </c>
      <c r="L1286">
        <f t="shared" si="223"/>
        <v>0</v>
      </c>
      <c r="M1286">
        <f t="shared" si="224"/>
        <v>0</v>
      </c>
      <c r="N1286">
        <f t="shared" si="225"/>
        <v>0</v>
      </c>
      <c r="O1286">
        <f t="shared" si="226"/>
        <v>0</v>
      </c>
      <c r="P1286" t="str">
        <f t="shared" si="227"/>
        <v/>
      </c>
      <c r="Q1286" t="str">
        <f>IF(B1286="","", IFERROR(VLOOKUP(B1286, '基準資産配分（設定）'!$A$2:$C$2001, 3, FALSE), ""))</f>
        <v/>
      </c>
      <c r="R1286" t="str">
        <f>IF(B1286="","", IFERROR(VLOOKUP(B1286, '基準資産配分（設定）'!$A$2:$C$2001, 2, FALSE)/100, 0))</f>
        <v/>
      </c>
      <c r="S1286" t="str">
        <f>IF(B1286="","", IFERROR(SUMIFS(ベンチマークリターン!$C$2:$C$2001, ベンチマークリターン!$A$2:$A$2001, A1286, ベンチマークリターン!$B$2:$B$2001, Q1286) / 100, 0))</f>
        <v/>
      </c>
      <c r="T1286" t="str">
        <f>IF(A1286="","", SUMIFS($H$2:$H$2000, $A$2:$A$2000, A1286))</f>
        <v/>
      </c>
      <c r="U1286" t="str">
        <f t="shared" si="228"/>
        <v/>
      </c>
      <c r="V1286" t="str">
        <f t="shared" si="229"/>
        <v/>
      </c>
      <c r="W1286" t="str">
        <f t="shared" si="230"/>
        <v/>
      </c>
    </row>
    <row r="1287" spans="1:23" x14ac:dyDescent="0.2">
      <c r="A1287" s="4" t="str">
        <f>IF(ポートフォリオ実績!A1288="","", ポートフォリオ実績!A1288)</f>
        <v/>
      </c>
      <c r="B1287" t="str">
        <f>IF(ポートフォリオ実績!B1288="","", ポートフォリオ実績!B1288)</f>
        <v/>
      </c>
      <c r="C1287" s="10" t="str">
        <f>IF(ポートフォリオ実績!C1288="","", ポートフォリオ実績!C1288)</f>
        <v/>
      </c>
      <c r="D1287" s="10" t="str">
        <f>IF(ポートフォリオ実績!D1288="","", ポートフォリオ実績!D1288)</f>
        <v/>
      </c>
      <c r="E1287" s="10" t="str">
        <f>IF(ポートフォリオ実績!E1288="","", ポートフォリオ実績!E1288)</f>
        <v/>
      </c>
      <c r="F1287" s="10" t="str">
        <f>IF(ポートフォリオ実績!F1288="","", ポートフォリオ実績!F1288)</f>
        <v/>
      </c>
      <c r="G1287" t="str">
        <f t="shared" si="220"/>
        <v/>
      </c>
      <c r="H1287">
        <f>IF(B1287&lt;&gt;"", SUMIFS(ポートフォリオ実績!$D$2:$D$2001, ポートフォリオ実績!$B$2:$B$2001, B1287, ポートフォリオ実績!$A$2:$A$2001, G1287), 0)</f>
        <v>0</v>
      </c>
      <c r="I1287">
        <f>IF(B1287&lt;&gt;"", SUMIFS(ポートフォリオ実績!$C$2:$C$2001, ポートフォリオ実績!$B$2:$B$2001, B1287, ポートフォリオ実績!$A$2:$A$2001, G1287), 0)</f>
        <v>0</v>
      </c>
      <c r="J1287">
        <f t="shared" si="221"/>
        <v>0</v>
      </c>
      <c r="K1287">
        <f t="shared" si="222"/>
        <v>0</v>
      </c>
      <c r="L1287">
        <f t="shared" si="223"/>
        <v>0</v>
      </c>
      <c r="M1287">
        <f t="shared" si="224"/>
        <v>0</v>
      </c>
      <c r="N1287">
        <f t="shared" si="225"/>
        <v>0</v>
      </c>
      <c r="O1287">
        <f t="shared" si="226"/>
        <v>0</v>
      </c>
      <c r="P1287" t="str">
        <f t="shared" si="227"/>
        <v/>
      </c>
      <c r="Q1287" t="str">
        <f>IF(B1287="","", IFERROR(VLOOKUP(B1287, '基準資産配分（設定）'!$A$2:$C$2001, 3, FALSE), ""))</f>
        <v/>
      </c>
      <c r="R1287" t="str">
        <f>IF(B1287="","", IFERROR(VLOOKUP(B1287, '基準資産配分（設定）'!$A$2:$C$2001, 2, FALSE)/100, 0))</f>
        <v/>
      </c>
      <c r="S1287" t="str">
        <f>IF(B1287="","", IFERROR(SUMIFS(ベンチマークリターン!$C$2:$C$2001, ベンチマークリターン!$A$2:$A$2001, A1287, ベンチマークリターン!$B$2:$B$2001, Q1287) / 100, 0))</f>
        <v/>
      </c>
      <c r="T1287" t="str">
        <f>IF(A1287="","", SUMIFS($H$2:$H$2000, $A$2:$A$2000, A1287))</f>
        <v/>
      </c>
      <c r="U1287" t="str">
        <f t="shared" si="228"/>
        <v/>
      </c>
      <c r="V1287" t="str">
        <f t="shared" si="229"/>
        <v/>
      </c>
      <c r="W1287" t="str">
        <f t="shared" si="230"/>
        <v/>
      </c>
    </row>
    <row r="1288" spans="1:23" x14ac:dyDescent="0.2">
      <c r="A1288" s="4" t="str">
        <f>IF(ポートフォリオ実績!A1289="","", ポートフォリオ実績!A1289)</f>
        <v/>
      </c>
      <c r="B1288" t="str">
        <f>IF(ポートフォリオ実績!B1289="","", ポートフォリオ実績!B1289)</f>
        <v/>
      </c>
      <c r="C1288" s="10" t="str">
        <f>IF(ポートフォリオ実績!C1289="","", ポートフォリオ実績!C1289)</f>
        <v/>
      </c>
      <c r="D1288" s="10" t="str">
        <f>IF(ポートフォリオ実績!D1289="","", ポートフォリオ実績!D1289)</f>
        <v/>
      </c>
      <c r="E1288" s="10" t="str">
        <f>IF(ポートフォリオ実績!E1289="","", ポートフォリオ実績!E1289)</f>
        <v/>
      </c>
      <c r="F1288" s="10" t="str">
        <f>IF(ポートフォリオ実績!F1289="","", ポートフォリオ実績!F1289)</f>
        <v/>
      </c>
      <c r="G1288" t="str">
        <f t="shared" si="220"/>
        <v/>
      </c>
      <c r="H1288">
        <f>IF(B1288&lt;&gt;"", SUMIFS(ポートフォリオ実績!$D$2:$D$2001, ポートフォリオ実績!$B$2:$B$2001, B1288, ポートフォリオ実績!$A$2:$A$2001, G1288), 0)</f>
        <v>0</v>
      </c>
      <c r="I1288">
        <f>IF(B1288&lt;&gt;"", SUMIFS(ポートフォリオ実績!$C$2:$C$2001, ポートフォリオ実績!$B$2:$B$2001, B1288, ポートフォリオ実績!$A$2:$A$2001, G1288), 0)</f>
        <v>0</v>
      </c>
      <c r="J1288">
        <f t="shared" si="221"/>
        <v>0</v>
      </c>
      <c r="K1288">
        <f t="shared" si="222"/>
        <v>0</v>
      </c>
      <c r="L1288">
        <f t="shared" si="223"/>
        <v>0</v>
      </c>
      <c r="M1288">
        <f t="shared" si="224"/>
        <v>0</v>
      </c>
      <c r="N1288">
        <f t="shared" si="225"/>
        <v>0</v>
      </c>
      <c r="O1288">
        <f t="shared" si="226"/>
        <v>0</v>
      </c>
      <c r="P1288" t="str">
        <f t="shared" si="227"/>
        <v/>
      </c>
      <c r="Q1288" t="str">
        <f>IF(B1288="","", IFERROR(VLOOKUP(B1288, '基準資産配分（設定）'!$A$2:$C$2001, 3, FALSE), ""))</f>
        <v/>
      </c>
      <c r="R1288" t="str">
        <f>IF(B1288="","", IFERROR(VLOOKUP(B1288, '基準資産配分（設定）'!$A$2:$C$2001, 2, FALSE)/100, 0))</f>
        <v/>
      </c>
      <c r="S1288" t="str">
        <f>IF(B1288="","", IFERROR(SUMIFS(ベンチマークリターン!$C$2:$C$2001, ベンチマークリターン!$A$2:$A$2001, A1288, ベンチマークリターン!$B$2:$B$2001, Q1288) / 100, 0))</f>
        <v/>
      </c>
      <c r="T1288" t="str">
        <f>IF(A1288="","", SUMIFS($H$2:$H$2000, $A$2:$A$2000, A1288))</f>
        <v/>
      </c>
      <c r="U1288" t="str">
        <f t="shared" si="228"/>
        <v/>
      </c>
      <c r="V1288" t="str">
        <f t="shared" si="229"/>
        <v/>
      </c>
      <c r="W1288" t="str">
        <f t="shared" si="230"/>
        <v/>
      </c>
    </row>
    <row r="1289" spans="1:23" x14ac:dyDescent="0.2">
      <c r="A1289" s="4" t="str">
        <f>IF(ポートフォリオ実績!A1290="","", ポートフォリオ実績!A1290)</f>
        <v/>
      </c>
      <c r="B1289" t="str">
        <f>IF(ポートフォリオ実績!B1290="","", ポートフォリオ実績!B1290)</f>
        <v/>
      </c>
      <c r="C1289" s="10" t="str">
        <f>IF(ポートフォリオ実績!C1290="","", ポートフォリオ実績!C1290)</f>
        <v/>
      </c>
      <c r="D1289" s="10" t="str">
        <f>IF(ポートフォリオ実績!D1290="","", ポートフォリオ実績!D1290)</f>
        <v/>
      </c>
      <c r="E1289" s="10" t="str">
        <f>IF(ポートフォリオ実績!E1290="","", ポートフォリオ実績!E1290)</f>
        <v/>
      </c>
      <c r="F1289" s="10" t="str">
        <f>IF(ポートフォリオ実績!F1290="","", ポートフォリオ実績!F1290)</f>
        <v/>
      </c>
      <c r="G1289" t="str">
        <f t="shared" si="220"/>
        <v/>
      </c>
      <c r="H1289">
        <f>IF(B1289&lt;&gt;"", SUMIFS(ポートフォリオ実績!$D$2:$D$2001, ポートフォリオ実績!$B$2:$B$2001, B1289, ポートフォリオ実績!$A$2:$A$2001, G1289), 0)</f>
        <v>0</v>
      </c>
      <c r="I1289">
        <f>IF(B1289&lt;&gt;"", SUMIFS(ポートフォリオ実績!$C$2:$C$2001, ポートフォリオ実績!$B$2:$B$2001, B1289, ポートフォリオ実績!$A$2:$A$2001, G1289), 0)</f>
        <v>0</v>
      </c>
      <c r="J1289">
        <f t="shared" si="221"/>
        <v>0</v>
      </c>
      <c r="K1289">
        <f t="shared" si="222"/>
        <v>0</v>
      </c>
      <c r="L1289">
        <f t="shared" si="223"/>
        <v>0</v>
      </c>
      <c r="M1289">
        <f t="shared" si="224"/>
        <v>0</v>
      </c>
      <c r="N1289">
        <f t="shared" si="225"/>
        <v>0</v>
      </c>
      <c r="O1289">
        <f t="shared" si="226"/>
        <v>0</v>
      </c>
      <c r="P1289" t="str">
        <f t="shared" si="227"/>
        <v/>
      </c>
      <c r="Q1289" t="str">
        <f>IF(B1289="","", IFERROR(VLOOKUP(B1289, '基準資産配分（設定）'!$A$2:$C$2001, 3, FALSE), ""))</f>
        <v/>
      </c>
      <c r="R1289" t="str">
        <f>IF(B1289="","", IFERROR(VLOOKUP(B1289, '基準資産配分（設定）'!$A$2:$C$2001, 2, FALSE)/100, 0))</f>
        <v/>
      </c>
      <c r="S1289" t="str">
        <f>IF(B1289="","", IFERROR(SUMIFS(ベンチマークリターン!$C$2:$C$2001, ベンチマークリターン!$A$2:$A$2001, A1289, ベンチマークリターン!$B$2:$B$2001, Q1289) / 100, 0))</f>
        <v/>
      </c>
      <c r="T1289" t="str">
        <f>IF(A1289="","", SUMIFS($H$2:$H$2000, $A$2:$A$2000, A1289))</f>
        <v/>
      </c>
      <c r="U1289" t="str">
        <f t="shared" si="228"/>
        <v/>
      </c>
      <c r="V1289" t="str">
        <f t="shared" si="229"/>
        <v/>
      </c>
      <c r="W1289" t="str">
        <f t="shared" si="230"/>
        <v/>
      </c>
    </row>
    <row r="1290" spans="1:23" x14ac:dyDescent="0.2">
      <c r="A1290" s="4" t="str">
        <f>IF(ポートフォリオ実績!A1291="","", ポートフォリオ実績!A1291)</f>
        <v/>
      </c>
      <c r="B1290" t="str">
        <f>IF(ポートフォリオ実績!B1291="","", ポートフォリオ実績!B1291)</f>
        <v/>
      </c>
      <c r="C1290" s="10" t="str">
        <f>IF(ポートフォリオ実績!C1291="","", ポートフォリオ実績!C1291)</f>
        <v/>
      </c>
      <c r="D1290" s="10" t="str">
        <f>IF(ポートフォリオ実績!D1291="","", ポートフォリオ実績!D1291)</f>
        <v/>
      </c>
      <c r="E1290" s="10" t="str">
        <f>IF(ポートフォリオ実績!E1291="","", ポートフォリオ実績!E1291)</f>
        <v/>
      </c>
      <c r="F1290" s="10" t="str">
        <f>IF(ポートフォリオ実績!F1291="","", ポートフォリオ実績!F1291)</f>
        <v/>
      </c>
      <c r="G1290" t="str">
        <f t="shared" si="220"/>
        <v/>
      </c>
      <c r="H1290">
        <f>IF(B1290&lt;&gt;"", SUMIFS(ポートフォリオ実績!$D$2:$D$2001, ポートフォリオ実績!$B$2:$B$2001, B1290, ポートフォリオ実績!$A$2:$A$2001, G1290), 0)</f>
        <v>0</v>
      </c>
      <c r="I1290">
        <f>IF(B1290&lt;&gt;"", SUMIFS(ポートフォリオ実績!$C$2:$C$2001, ポートフォリオ実績!$B$2:$B$2001, B1290, ポートフォリオ実績!$A$2:$A$2001, G1290), 0)</f>
        <v>0</v>
      </c>
      <c r="J1290">
        <f t="shared" si="221"/>
        <v>0</v>
      </c>
      <c r="K1290">
        <f t="shared" si="222"/>
        <v>0</v>
      </c>
      <c r="L1290">
        <f t="shared" si="223"/>
        <v>0</v>
      </c>
      <c r="M1290">
        <f t="shared" si="224"/>
        <v>0</v>
      </c>
      <c r="N1290">
        <f t="shared" si="225"/>
        <v>0</v>
      </c>
      <c r="O1290">
        <f t="shared" si="226"/>
        <v>0</v>
      </c>
      <c r="P1290" t="str">
        <f t="shared" si="227"/>
        <v/>
      </c>
      <c r="Q1290" t="str">
        <f>IF(B1290="","", IFERROR(VLOOKUP(B1290, '基準資産配分（設定）'!$A$2:$C$2001, 3, FALSE), ""))</f>
        <v/>
      </c>
      <c r="R1290" t="str">
        <f>IF(B1290="","", IFERROR(VLOOKUP(B1290, '基準資産配分（設定）'!$A$2:$C$2001, 2, FALSE)/100, 0))</f>
        <v/>
      </c>
      <c r="S1290" t="str">
        <f>IF(B1290="","", IFERROR(SUMIFS(ベンチマークリターン!$C$2:$C$2001, ベンチマークリターン!$A$2:$A$2001, A1290, ベンチマークリターン!$B$2:$B$2001, Q1290) / 100, 0))</f>
        <v/>
      </c>
      <c r="T1290" t="str">
        <f>IF(A1290="","", SUMIFS($H$2:$H$2000, $A$2:$A$2000, A1290))</f>
        <v/>
      </c>
      <c r="U1290" t="str">
        <f t="shared" si="228"/>
        <v/>
      </c>
      <c r="V1290" t="str">
        <f t="shared" si="229"/>
        <v/>
      </c>
      <c r="W1290" t="str">
        <f t="shared" si="230"/>
        <v/>
      </c>
    </row>
    <row r="1291" spans="1:23" x14ac:dyDescent="0.2">
      <c r="A1291" s="4" t="str">
        <f>IF(ポートフォリオ実績!A1292="","", ポートフォリオ実績!A1292)</f>
        <v/>
      </c>
      <c r="B1291" t="str">
        <f>IF(ポートフォリオ実績!B1292="","", ポートフォリオ実績!B1292)</f>
        <v/>
      </c>
      <c r="C1291" s="10" t="str">
        <f>IF(ポートフォリオ実績!C1292="","", ポートフォリオ実績!C1292)</f>
        <v/>
      </c>
      <c r="D1291" s="10" t="str">
        <f>IF(ポートフォリオ実績!D1292="","", ポートフォリオ実績!D1292)</f>
        <v/>
      </c>
      <c r="E1291" s="10" t="str">
        <f>IF(ポートフォリオ実績!E1292="","", ポートフォリオ実績!E1292)</f>
        <v/>
      </c>
      <c r="F1291" s="10" t="str">
        <f>IF(ポートフォリオ実績!F1292="","", ポートフォリオ実績!F1292)</f>
        <v/>
      </c>
      <c r="G1291" t="str">
        <f t="shared" si="220"/>
        <v/>
      </c>
      <c r="H1291">
        <f>IF(B1291&lt;&gt;"", SUMIFS(ポートフォリオ実績!$D$2:$D$2001, ポートフォリオ実績!$B$2:$B$2001, B1291, ポートフォリオ実績!$A$2:$A$2001, G1291), 0)</f>
        <v>0</v>
      </c>
      <c r="I1291">
        <f>IF(B1291&lt;&gt;"", SUMIFS(ポートフォリオ実績!$C$2:$C$2001, ポートフォリオ実績!$B$2:$B$2001, B1291, ポートフォリオ実績!$A$2:$A$2001, G1291), 0)</f>
        <v>0</v>
      </c>
      <c r="J1291">
        <f t="shared" si="221"/>
        <v>0</v>
      </c>
      <c r="K1291">
        <f t="shared" si="222"/>
        <v>0</v>
      </c>
      <c r="L1291">
        <f t="shared" si="223"/>
        <v>0</v>
      </c>
      <c r="M1291">
        <f t="shared" si="224"/>
        <v>0</v>
      </c>
      <c r="N1291">
        <f t="shared" si="225"/>
        <v>0</v>
      </c>
      <c r="O1291">
        <f t="shared" si="226"/>
        <v>0</v>
      </c>
      <c r="P1291" t="str">
        <f t="shared" si="227"/>
        <v/>
      </c>
      <c r="Q1291" t="str">
        <f>IF(B1291="","", IFERROR(VLOOKUP(B1291, '基準資産配分（設定）'!$A$2:$C$2001, 3, FALSE), ""))</f>
        <v/>
      </c>
      <c r="R1291" t="str">
        <f>IF(B1291="","", IFERROR(VLOOKUP(B1291, '基準資産配分（設定）'!$A$2:$C$2001, 2, FALSE)/100, 0))</f>
        <v/>
      </c>
      <c r="S1291" t="str">
        <f>IF(B1291="","", IFERROR(SUMIFS(ベンチマークリターン!$C$2:$C$2001, ベンチマークリターン!$A$2:$A$2001, A1291, ベンチマークリターン!$B$2:$B$2001, Q1291) / 100, 0))</f>
        <v/>
      </c>
      <c r="T1291" t="str">
        <f>IF(A1291="","", SUMIFS($H$2:$H$2000, $A$2:$A$2000, A1291))</f>
        <v/>
      </c>
      <c r="U1291" t="str">
        <f t="shared" si="228"/>
        <v/>
      </c>
      <c r="V1291" t="str">
        <f t="shared" si="229"/>
        <v/>
      </c>
      <c r="W1291" t="str">
        <f t="shared" si="230"/>
        <v/>
      </c>
    </row>
    <row r="1292" spans="1:23" x14ac:dyDescent="0.2">
      <c r="A1292" s="4" t="str">
        <f>IF(ポートフォリオ実績!A1293="","", ポートフォリオ実績!A1293)</f>
        <v/>
      </c>
      <c r="B1292" t="str">
        <f>IF(ポートフォリオ実績!B1293="","", ポートフォリオ実績!B1293)</f>
        <v/>
      </c>
      <c r="C1292" s="10" t="str">
        <f>IF(ポートフォリオ実績!C1293="","", ポートフォリオ実績!C1293)</f>
        <v/>
      </c>
      <c r="D1292" s="10" t="str">
        <f>IF(ポートフォリオ実績!D1293="","", ポートフォリオ実績!D1293)</f>
        <v/>
      </c>
      <c r="E1292" s="10" t="str">
        <f>IF(ポートフォリオ実績!E1293="","", ポートフォリオ実績!E1293)</f>
        <v/>
      </c>
      <c r="F1292" s="10" t="str">
        <f>IF(ポートフォリオ実績!F1293="","", ポートフォリオ実績!F1293)</f>
        <v/>
      </c>
      <c r="G1292" t="str">
        <f t="shared" si="220"/>
        <v/>
      </c>
      <c r="H1292">
        <f>IF(B1292&lt;&gt;"", SUMIFS(ポートフォリオ実績!$D$2:$D$2001, ポートフォリオ実績!$B$2:$B$2001, B1292, ポートフォリオ実績!$A$2:$A$2001, G1292), 0)</f>
        <v>0</v>
      </c>
      <c r="I1292">
        <f>IF(B1292&lt;&gt;"", SUMIFS(ポートフォリオ実績!$C$2:$C$2001, ポートフォリオ実績!$B$2:$B$2001, B1292, ポートフォリオ実績!$A$2:$A$2001, G1292), 0)</f>
        <v>0</v>
      </c>
      <c r="J1292">
        <f t="shared" si="221"/>
        <v>0</v>
      </c>
      <c r="K1292">
        <f t="shared" si="222"/>
        <v>0</v>
      </c>
      <c r="L1292">
        <f t="shared" si="223"/>
        <v>0</v>
      </c>
      <c r="M1292">
        <f t="shared" si="224"/>
        <v>0</v>
      </c>
      <c r="N1292">
        <f t="shared" si="225"/>
        <v>0</v>
      </c>
      <c r="O1292">
        <f t="shared" si="226"/>
        <v>0</v>
      </c>
      <c r="P1292" t="str">
        <f t="shared" si="227"/>
        <v/>
      </c>
      <c r="Q1292" t="str">
        <f>IF(B1292="","", IFERROR(VLOOKUP(B1292, '基準資産配分（設定）'!$A$2:$C$2001, 3, FALSE), ""))</f>
        <v/>
      </c>
      <c r="R1292" t="str">
        <f>IF(B1292="","", IFERROR(VLOOKUP(B1292, '基準資産配分（設定）'!$A$2:$C$2001, 2, FALSE)/100, 0))</f>
        <v/>
      </c>
      <c r="S1292" t="str">
        <f>IF(B1292="","", IFERROR(SUMIFS(ベンチマークリターン!$C$2:$C$2001, ベンチマークリターン!$A$2:$A$2001, A1292, ベンチマークリターン!$B$2:$B$2001, Q1292) / 100, 0))</f>
        <v/>
      </c>
      <c r="T1292" t="str">
        <f>IF(A1292="","", SUMIFS($H$2:$H$2000, $A$2:$A$2000, A1292))</f>
        <v/>
      </c>
      <c r="U1292" t="str">
        <f t="shared" si="228"/>
        <v/>
      </c>
      <c r="V1292" t="str">
        <f t="shared" si="229"/>
        <v/>
      </c>
      <c r="W1292" t="str">
        <f t="shared" si="230"/>
        <v/>
      </c>
    </row>
    <row r="1293" spans="1:23" x14ac:dyDescent="0.2">
      <c r="A1293" s="4" t="str">
        <f>IF(ポートフォリオ実績!A1294="","", ポートフォリオ実績!A1294)</f>
        <v/>
      </c>
      <c r="B1293" t="str">
        <f>IF(ポートフォリオ実績!B1294="","", ポートフォリオ実績!B1294)</f>
        <v/>
      </c>
      <c r="C1293" s="10" t="str">
        <f>IF(ポートフォリオ実績!C1294="","", ポートフォリオ実績!C1294)</f>
        <v/>
      </c>
      <c r="D1293" s="10" t="str">
        <f>IF(ポートフォリオ実績!D1294="","", ポートフォリオ実績!D1294)</f>
        <v/>
      </c>
      <c r="E1293" s="10" t="str">
        <f>IF(ポートフォリオ実績!E1294="","", ポートフォリオ実績!E1294)</f>
        <v/>
      </c>
      <c r="F1293" s="10" t="str">
        <f>IF(ポートフォリオ実績!F1294="","", ポートフォリオ実績!F1294)</f>
        <v/>
      </c>
      <c r="G1293" t="str">
        <f t="shared" si="220"/>
        <v/>
      </c>
      <c r="H1293">
        <f>IF(B1293&lt;&gt;"", SUMIFS(ポートフォリオ実績!$D$2:$D$2001, ポートフォリオ実績!$B$2:$B$2001, B1293, ポートフォリオ実績!$A$2:$A$2001, G1293), 0)</f>
        <v>0</v>
      </c>
      <c r="I1293">
        <f>IF(B1293&lt;&gt;"", SUMIFS(ポートフォリオ実績!$C$2:$C$2001, ポートフォリオ実績!$B$2:$B$2001, B1293, ポートフォリオ実績!$A$2:$A$2001, G1293), 0)</f>
        <v>0</v>
      </c>
      <c r="J1293">
        <f t="shared" si="221"/>
        <v>0</v>
      </c>
      <c r="K1293">
        <f t="shared" si="222"/>
        <v>0</v>
      </c>
      <c r="L1293">
        <f t="shared" si="223"/>
        <v>0</v>
      </c>
      <c r="M1293">
        <f t="shared" si="224"/>
        <v>0</v>
      </c>
      <c r="N1293">
        <f t="shared" si="225"/>
        <v>0</v>
      </c>
      <c r="O1293">
        <f t="shared" si="226"/>
        <v>0</v>
      </c>
      <c r="P1293" t="str">
        <f t="shared" si="227"/>
        <v/>
      </c>
      <c r="Q1293" t="str">
        <f>IF(B1293="","", IFERROR(VLOOKUP(B1293, '基準資産配分（設定）'!$A$2:$C$2001, 3, FALSE), ""))</f>
        <v/>
      </c>
      <c r="R1293" t="str">
        <f>IF(B1293="","", IFERROR(VLOOKUP(B1293, '基準資産配分（設定）'!$A$2:$C$2001, 2, FALSE)/100, 0))</f>
        <v/>
      </c>
      <c r="S1293" t="str">
        <f>IF(B1293="","", IFERROR(SUMIFS(ベンチマークリターン!$C$2:$C$2001, ベンチマークリターン!$A$2:$A$2001, A1293, ベンチマークリターン!$B$2:$B$2001, Q1293) / 100, 0))</f>
        <v/>
      </c>
      <c r="T1293" t="str">
        <f>IF(A1293="","", SUMIFS($H$2:$H$2000, $A$2:$A$2000, A1293))</f>
        <v/>
      </c>
      <c r="U1293" t="str">
        <f t="shared" si="228"/>
        <v/>
      </c>
      <c r="V1293" t="str">
        <f t="shared" si="229"/>
        <v/>
      </c>
      <c r="W1293" t="str">
        <f t="shared" si="230"/>
        <v/>
      </c>
    </row>
    <row r="1294" spans="1:23" x14ac:dyDescent="0.2">
      <c r="A1294" s="4" t="str">
        <f>IF(ポートフォリオ実績!A1295="","", ポートフォリオ実績!A1295)</f>
        <v/>
      </c>
      <c r="B1294" t="str">
        <f>IF(ポートフォリオ実績!B1295="","", ポートフォリオ実績!B1295)</f>
        <v/>
      </c>
      <c r="C1294" s="10" t="str">
        <f>IF(ポートフォリオ実績!C1295="","", ポートフォリオ実績!C1295)</f>
        <v/>
      </c>
      <c r="D1294" s="10" t="str">
        <f>IF(ポートフォリオ実績!D1295="","", ポートフォリオ実績!D1295)</f>
        <v/>
      </c>
      <c r="E1294" s="10" t="str">
        <f>IF(ポートフォリオ実績!E1295="","", ポートフォリオ実績!E1295)</f>
        <v/>
      </c>
      <c r="F1294" s="10" t="str">
        <f>IF(ポートフォリオ実績!F1295="","", ポートフォリオ実績!F1295)</f>
        <v/>
      </c>
      <c r="G1294" t="str">
        <f t="shared" si="220"/>
        <v/>
      </c>
      <c r="H1294">
        <f>IF(B1294&lt;&gt;"", SUMIFS(ポートフォリオ実績!$D$2:$D$2001, ポートフォリオ実績!$B$2:$B$2001, B1294, ポートフォリオ実績!$A$2:$A$2001, G1294), 0)</f>
        <v>0</v>
      </c>
      <c r="I1294">
        <f>IF(B1294&lt;&gt;"", SUMIFS(ポートフォリオ実績!$C$2:$C$2001, ポートフォリオ実績!$B$2:$B$2001, B1294, ポートフォリオ実績!$A$2:$A$2001, G1294), 0)</f>
        <v>0</v>
      </c>
      <c r="J1294">
        <f t="shared" si="221"/>
        <v>0</v>
      </c>
      <c r="K1294">
        <f t="shared" si="222"/>
        <v>0</v>
      </c>
      <c r="L1294">
        <f t="shared" si="223"/>
        <v>0</v>
      </c>
      <c r="M1294">
        <f t="shared" si="224"/>
        <v>0</v>
      </c>
      <c r="N1294">
        <f t="shared" si="225"/>
        <v>0</v>
      </c>
      <c r="O1294">
        <f t="shared" si="226"/>
        <v>0</v>
      </c>
      <c r="P1294" t="str">
        <f t="shared" si="227"/>
        <v/>
      </c>
      <c r="Q1294" t="str">
        <f>IF(B1294="","", IFERROR(VLOOKUP(B1294, '基準資産配分（設定）'!$A$2:$C$2001, 3, FALSE), ""))</f>
        <v/>
      </c>
      <c r="R1294" t="str">
        <f>IF(B1294="","", IFERROR(VLOOKUP(B1294, '基準資産配分（設定）'!$A$2:$C$2001, 2, FALSE)/100, 0))</f>
        <v/>
      </c>
      <c r="S1294" t="str">
        <f>IF(B1294="","", IFERROR(SUMIFS(ベンチマークリターン!$C$2:$C$2001, ベンチマークリターン!$A$2:$A$2001, A1294, ベンチマークリターン!$B$2:$B$2001, Q1294) / 100, 0))</f>
        <v/>
      </c>
      <c r="T1294" t="str">
        <f>IF(A1294="","", SUMIFS($H$2:$H$2000, $A$2:$A$2000, A1294))</f>
        <v/>
      </c>
      <c r="U1294" t="str">
        <f t="shared" si="228"/>
        <v/>
      </c>
      <c r="V1294" t="str">
        <f t="shared" si="229"/>
        <v/>
      </c>
      <c r="W1294" t="str">
        <f t="shared" si="230"/>
        <v/>
      </c>
    </row>
    <row r="1295" spans="1:23" x14ac:dyDescent="0.2">
      <c r="A1295" s="4" t="str">
        <f>IF(ポートフォリオ実績!A1296="","", ポートフォリオ実績!A1296)</f>
        <v/>
      </c>
      <c r="B1295" t="str">
        <f>IF(ポートフォリオ実績!B1296="","", ポートフォリオ実績!B1296)</f>
        <v/>
      </c>
      <c r="C1295" s="10" t="str">
        <f>IF(ポートフォリオ実績!C1296="","", ポートフォリオ実績!C1296)</f>
        <v/>
      </c>
      <c r="D1295" s="10" t="str">
        <f>IF(ポートフォリオ実績!D1296="","", ポートフォリオ実績!D1296)</f>
        <v/>
      </c>
      <c r="E1295" s="10" t="str">
        <f>IF(ポートフォリオ実績!E1296="","", ポートフォリオ実績!E1296)</f>
        <v/>
      </c>
      <c r="F1295" s="10" t="str">
        <f>IF(ポートフォリオ実績!F1296="","", ポートフォリオ実績!F1296)</f>
        <v/>
      </c>
      <c r="G1295" t="str">
        <f t="shared" si="220"/>
        <v/>
      </c>
      <c r="H1295">
        <f>IF(B1295&lt;&gt;"", SUMIFS(ポートフォリオ実績!$D$2:$D$2001, ポートフォリオ実績!$B$2:$B$2001, B1295, ポートフォリオ実績!$A$2:$A$2001, G1295), 0)</f>
        <v>0</v>
      </c>
      <c r="I1295">
        <f>IF(B1295&lt;&gt;"", SUMIFS(ポートフォリオ実績!$C$2:$C$2001, ポートフォリオ実績!$B$2:$B$2001, B1295, ポートフォリオ実績!$A$2:$A$2001, G1295), 0)</f>
        <v>0</v>
      </c>
      <c r="J1295">
        <f t="shared" si="221"/>
        <v>0</v>
      </c>
      <c r="K1295">
        <f t="shared" si="222"/>
        <v>0</v>
      </c>
      <c r="L1295">
        <f t="shared" si="223"/>
        <v>0</v>
      </c>
      <c r="M1295">
        <f t="shared" si="224"/>
        <v>0</v>
      </c>
      <c r="N1295">
        <f t="shared" si="225"/>
        <v>0</v>
      </c>
      <c r="O1295">
        <f t="shared" si="226"/>
        <v>0</v>
      </c>
      <c r="P1295" t="str">
        <f t="shared" si="227"/>
        <v/>
      </c>
      <c r="Q1295" t="str">
        <f>IF(B1295="","", IFERROR(VLOOKUP(B1295, '基準資産配分（設定）'!$A$2:$C$2001, 3, FALSE), ""))</f>
        <v/>
      </c>
      <c r="R1295" t="str">
        <f>IF(B1295="","", IFERROR(VLOOKUP(B1295, '基準資産配分（設定）'!$A$2:$C$2001, 2, FALSE)/100, 0))</f>
        <v/>
      </c>
      <c r="S1295" t="str">
        <f>IF(B1295="","", IFERROR(SUMIFS(ベンチマークリターン!$C$2:$C$2001, ベンチマークリターン!$A$2:$A$2001, A1295, ベンチマークリターン!$B$2:$B$2001, Q1295) / 100, 0))</f>
        <v/>
      </c>
      <c r="T1295" t="str">
        <f>IF(A1295="","", SUMIFS($H$2:$H$2000, $A$2:$A$2000, A1295))</f>
        <v/>
      </c>
      <c r="U1295" t="str">
        <f t="shared" si="228"/>
        <v/>
      </c>
      <c r="V1295" t="str">
        <f t="shared" si="229"/>
        <v/>
      </c>
      <c r="W1295" t="str">
        <f t="shared" si="230"/>
        <v/>
      </c>
    </row>
    <row r="1296" spans="1:23" x14ac:dyDescent="0.2">
      <c r="A1296" s="4" t="str">
        <f>IF(ポートフォリオ実績!A1297="","", ポートフォリオ実績!A1297)</f>
        <v/>
      </c>
      <c r="B1296" t="str">
        <f>IF(ポートフォリオ実績!B1297="","", ポートフォリオ実績!B1297)</f>
        <v/>
      </c>
      <c r="C1296" s="10" t="str">
        <f>IF(ポートフォリオ実績!C1297="","", ポートフォリオ実績!C1297)</f>
        <v/>
      </c>
      <c r="D1296" s="10" t="str">
        <f>IF(ポートフォリオ実績!D1297="","", ポートフォリオ実績!D1297)</f>
        <v/>
      </c>
      <c r="E1296" s="10" t="str">
        <f>IF(ポートフォリオ実績!E1297="","", ポートフォリオ実績!E1297)</f>
        <v/>
      </c>
      <c r="F1296" s="10" t="str">
        <f>IF(ポートフォリオ実績!F1297="","", ポートフォリオ実績!F1297)</f>
        <v/>
      </c>
      <c r="G1296" t="str">
        <f t="shared" si="220"/>
        <v/>
      </c>
      <c r="H1296">
        <f>IF(B1296&lt;&gt;"", SUMIFS(ポートフォリオ実績!$D$2:$D$2001, ポートフォリオ実績!$B$2:$B$2001, B1296, ポートフォリオ実績!$A$2:$A$2001, G1296), 0)</f>
        <v>0</v>
      </c>
      <c r="I1296">
        <f>IF(B1296&lt;&gt;"", SUMIFS(ポートフォリオ実績!$C$2:$C$2001, ポートフォリオ実績!$B$2:$B$2001, B1296, ポートフォリオ実績!$A$2:$A$2001, G1296), 0)</f>
        <v>0</v>
      </c>
      <c r="J1296">
        <f t="shared" si="221"/>
        <v>0</v>
      </c>
      <c r="K1296">
        <f t="shared" si="222"/>
        <v>0</v>
      </c>
      <c r="L1296">
        <f t="shared" si="223"/>
        <v>0</v>
      </c>
      <c r="M1296">
        <f t="shared" si="224"/>
        <v>0</v>
      </c>
      <c r="N1296">
        <f t="shared" si="225"/>
        <v>0</v>
      </c>
      <c r="O1296">
        <f t="shared" si="226"/>
        <v>0</v>
      </c>
      <c r="P1296" t="str">
        <f t="shared" si="227"/>
        <v/>
      </c>
      <c r="Q1296" t="str">
        <f>IF(B1296="","", IFERROR(VLOOKUP(B1296, '基準資産配分（設定）'!$A$2:$C$2001, 3, FALSE), ""))</f>
        <v/>
      </c>
      <c r="R1296" t="str">
        <f>IF(B1296="","", IFERROR(VLOOKUP(B1296, '基準資産配分（設定）'!$A$2:$C$2001, 2, FALSE)/100, 0))</f>
        <v/>
      </c>
      <c r="S1296" t="str">
        <f>IF(B1296="","", IFERROR(SUMIFS(ベンチマークリターン!$C$2:$C$2001, ベンチマークリターン!$A$2:$A$2001, A1296, ベンチマークリターン!$B$2:$B$2001, Q1296) / 100, 0))</f>
        <v/>
      </c>
      <c r="T1296" t="str">
        <f>IF(A1296="","", SUMIFS($H$2:$H$2000, $A$2:$A$2000, A1296))</f>
        <v/>
      </c>
      <c r="U1296" t="str">
        <f t="shared" si="228"/>
        <v/>
      </c>
      <c r="V1296" t="str">
        <f t="shared" si="229"/>
        <v/>
      </c>
      <c r="W1296" t="str">
        <f t="shared" si="230"/>
        <v/>
      </c>
    </row>
    <row r="1297" spans="1:23" x14ac:dyDescent="0.2">
      <c r="A1297" s="4" t="str">
        <f>IF(ポートフォリオ実績!A1298="","", ポートフォリオ実績!A1298)</f>
        <v/>
      </c>
      <c r="B1297" t="str">
        <f>IF(ポートフォリオ実績!B1298="","", ポートフォリオ実績!B1298)</f>
        <v/>
      </c>
      <c r="C1297" s="10" t="str">
        <f>IF(ポートフォリオ実績!C1298="","", ポートフォリオ実績!C1298)</f>
        <v/>
      </c>
      <c r="D1297" s="10" t="str">
        <f>IF(ポートフォリオ実績!D1298="","", ポートフォリオ実績!D1298)</f>
        <v/>
      </c>
      <c r="E1297" s="10" t="str">
        <f>IF(ポートフォリオ実績!E1298="","", ポートフォリオ実績!E1298)</f>
        <v/>
      </c>
      <c r="F1297" s="10" t="str">
        <f>IF(ポートフォリオ実績!F1298="","", ポートフォリオ実績!F1298)</f>
        <v/>
      </c>
      <c r="G1297" t="str">
        <f t="shared" si="220"/>
        <v/>
      </c>
      <c r="H1297">
        <f>IF(B1297&lt;&gt;"", SUMIFS(ポートフォリオ実績!$D$2:$D$2001, ポートフォリオ実績!$B$2:$B$2001, B1297, ポートフォリオ実績!$A$2:$A$2001, G1297), 0)</f>
        <v>0</v>
      </c>
      <c r="I1297">
        <f>IF(B1297&lt;&gt;"", SUMIFS(ポートフォリオ実績!$C$2:$C$2001, ポートフォリオ実績!$B$2:$B$2001, B1297, ポートフォリオ実績!$A$2:$A$2001, G1297), 0)</f>
        <v>0</v>
      </c>
      <c r="J1297">
        <f t="shared" si="221"/>
        <v>0</v>
      </c>
      <c r="K1297">
        <f t="shared" si="222"/>
        <v>0</v>
      </c>
      <c r="L1297">
        <f t="shared" si="223"/>
        <v>0</v>
      </c>
      <c r="M1297">
        <f t="shared" si="224"/>
        <v>0</v>
      </c>
      <c r="N1297">
        <f t="shared" si="225"/>
        <v>0</v>
      </c>
      <c r="O1297">
        <f t="shared" si="226"/>
        <v>0</v>
      </c>
      <c r="P1297" t="str">
        <f t="shared" si="227"/>
        <v/>
      </c>
      <c r="Q1297" t="str">
        <f>IF(B1297="","", IFERROR(VLOOKUP(B1297, '基準資産配分（設定）'!$A$2:$C$2001, 3, FALSE), ""))</f>
        <v/>
      </c>
      <c r="R1297" t="str">
        <f>IF(B1297="","", IFERROR(VLOOKUP(B1297, '基準資産配分（設定）'!$A$2:$C$2001, 2, FALSE)/100, 0))</f>
        <v/>
      </c>
      <c r="S1297" t="str">
        <f>IF(B1297="","", IFERROR(SUMIFS(ベンチマークリターン!$C$2:$C$2001, ベンチマークリターン!$A$2:$A$2001, A1297, ベンチマークリターン!$B$2:$B$2001, Q1297) / 100, 0))</f>
        <v/>
      </c>
      <c r="T1297" t="str">
        <f>IF(A1297="","", SUMIFS($H$2:$H$2000, $A$2:$A$2000, A1297))</f>
        <v/>
      </c>
      <c r="U1297" t="str">
        <f t="shared" si="228"/>
        <v/>
      </c>
      <c r="V1297" t="str">
        <f t="shared" si="229"/>
        <v/>
      </c>
      <c r="W1297" t="str">
        <f t="shared" si="230"/>
        <v/>
      </c>
    </row>
    <row r="1298" spans="1:23" x14ac:dyDescent="0.2">
      <c r="A1298" s="4" t="str">
        <f>IF(ポートフォリオ実績!A1299="","", ポートフォリオ実績!A1299)</f>
        <v/>
      </c>
      <c r="B1298" t="str">
        <f>IF(ポートフォリオ実績!B1299="","", ポートフォリオ実績!B1299)</f>
        <v/>
      </c>
      <c r="C1298" s="10" t="str">
        <f>IF(ポートフォリオ実績!C1299="","", ポートフォリオ実績!C1299)</f>
        <v/>
      </c>
      <c r="D1298" s="10" t="str">
        <f>IF(ポートフォリオ実績!D1299="","", ポートフォリオ実績!D1299)</f>
        <v/>
      </c>
      <c r="E1298" s="10" t="str">
        <f>IF(ポートフォリオ実績!E1299="","", ポートフォリオ実績!E1299)</f>
        <v/>
      </c>
      <c r="F1298" s="10" t="str">
        <f>IF(ポートフォリオ実績!F1299="","", ポートフォリオ実績!F1299)</f>
        <v/>
      </c>
      <c r="G1298" t="str">
        <f t="shared" si="220"/>
        <v/>
      </c>
      <c r="H1298">
        <f>IF(B1298&lt;&gt;"", SUMIFS(ポートフォリオ実績!$D$2:$D$2001, ポートフォリオ実績!$B$2:$B$2001, B1298, ポートフォリオ実績!$A$2:$A$2001, G1298), 0)</f>
        <v>0</v>
      </c>
      <c r="I1298">
        <f>IF(B1298&lt;&gt;"", SUMIFS(ポートフォリオ実績!$C$2:$C$2001, ポートフォリオ実績!$B$2:$B$2001, B1298, ポートフォリオ実績!$A$2:$A$2001, G1298), 0)</f>
        <v>0</v>
      </c>
      <c r="J1298">
        <f t="shared" si="221"/>
        <v>0</v>
      </c>
      <c r="K1298">
        <f t="shared" si="222"/>
        <v>0</v>
      </c>
      <c r="L1298">
        <f t="shared" si="223"/>
        <v>0</v>
      </c>
      <c r="M1298">
        <f t="shared" si="224"/>
        <v>0</v>
      </c>
      <c r="N1298">
        <f t="shared" si="225"/>
        <v>0</v>
      </c>
      <c r="O1298">
        <f t="shared" si="226"/>
        <v>0</v>
      </c>
      <c r="P1298" t="str">
        <f t="shared" si="227"/>
        <v/>
      </c>
      <c r="Q1298" t="str">
        <f>IF(B1298="","", IFERROR(VLOOKUP(B1298, '基準資産配分（設定）'!$A$2:$C$2001, 3, FALSE), ""))</f>
        <v/>
      </c>
      <c r="R1298" t="str">
        <f>IF(B1298="","", IFERROR(VLOOKUP(B1298, '基準資産配分（設定）'!$A$2:$C$2001, 2, FALSE)/100, 0))</f>
        <v/>
      </c>
      <c r="S1298" t="str">
        <f>IF(B1298="","", IFERROR(SUMIFS(ベンチマークリターン!$C$2:$C$2001, ベンチマークリターン!$A$2:$A$2001, A1298, ベンチマークリターン!$B$2:$B$2001, Q1298) / 100, 0))</f>
        <v/>
      </c>
      <c r="T1298" t="str">
        <f>IF(A1298="","", SUMIFS($H$2:$H$2000, $A$2:$A$2000, A1298))</f>
        <v/>
      </c>
      <c r="U1298" t="str">
        <f t="shared" si="228"/>
        <v/>
      </c>
      <c r="V1298" t="str">
        <f t="shared" si="229"/>
        <v/>
      </c>
      <c r="W1298" t="str">
        <f t="shared" si="230"/>
        <v/>
      </c>
    </row>
    <row r="1299" spans="1:23" x14ac:dyDescent="0.2">
      <c r="A1299" s="4" t="str">
        <f>IF(ポートフォリオ実績!A1300="","", ポートフォリオ実績!A1300)</f>
        <v/>
      </c>
      <c r="B1299" t="str">
        <f>IF(ポートフォリオ実績!B1300="","", ポートフォリオ実績!B1300)</f>
        <v/>
      </c>
      <c r="C1299" s="10" t="str">
        <f>IF(ポートフォリオ実績!C1300="","", ポートフォリオ実績!C1300)</f>
        <v/>
      </c>
      <c r="D1299" s="10" t="str">
        <f>IF(ポートフォリオ実績!D1300="","", ポートフォリオ実績!D1300)</f>
        <v/>
      </c>
      <c r="E1299" s="10" t="str">
        <f>IF(ポートフォリオ実績!E1300="","", ポートフォリオ実績!E1300)</f>
        <v/>
      </c>
      <c r="F1299" s="10" t="str">
        <f>IF(ポートフォリオ実績!F1300="","", ポートフォリオ実績!F1300)</f>
        <v/>
      </c>
      <c r="G1299" t="str">
        <f t="shared" si="220"/>
        <v/>
      </c>
      <c r="H1299">
        <f>IF(B1299&lt;&gt;"", SUMIFS(ポートフォリオ実績!$D$2:$D$2001, ポートフォリオ実績!$B$2:$B$2001, B1299, ポートフォリオ実績!$A$2:$A$2001, G1299), 0)</f>
        <v>0</v>
      </c>
      <c r="I1299">
        <f>IF(B1299&lt;&gt;"", SUMIFS(ポートフォリオ実績!$C$2:$C$2001, ポートフォリオ実績!$B$2:$B$2001, B1299, ポートフォリオ実績!$A$2:$A$2001, G1299), 0)</f>
        <v>0</v>
      </c>
      <c r="J1299">
        <f t="shared" si="221"/>
        <v>0</v>
      </c>
      <c r="K1299">
        <f t="shared" si="222"/>
        <v>0</v>
      </c>
      <c r="L1299">
        <f t="shared" si="223"/>
        <v>0</v>
      </c>
      <c r="M1299">
        <f t="shared" si="224"/>
        <v>0</v>
      </c>
      <c r="N1299">
        <f t="shared" si="225"/>
        <v>0</v>
      </c>
      <c r="O1299">
        <f t="shared" si="226"/>
        <v>0</v>
      </c>
      <c r="P1299" t="str">
        <f t="shared" si="227"/>
        <v/>
      </c>
      <c r="Q1299" t="str">
        <f>IF(B1299="","", IFERROR(VLOOKUP(B1299, '基準資産配分（設定）'!$A$2:$C$2001, 3, FALSE), ""))</f>
        <v/>
      </c>
      <c r="R1299" t="str">
        <f>IF(B1299="","", IFERROR(VLOOKUP(B1299, '基準資産配分（設定）'!$A$2:$C$2001, 2, FALSE)/100, 0))</f>
        <v/>
      </c>
      <c r="S1299" t="str">
        <f>IF(B1299="","", IFERROR(SUMIFS(ベンチマークリターン!$C$2:$C$2001, ベンチマークリターン!$A$2:$A$2001, A1299, ベンチマークリターン!$B$2:$B$2001, Q1299) / 100, 0))</f>
        <v/>
      </c>
      <c r="T1299" t="str">
        <f>IF(A1299="","", SUMIFS($H$2:$H$2000, $A$2:$A$2000, A1299))</f>
        <v/>
      </c>
      <c r="U1299" t="str">
        <f t="shared" si="228"/>
        <v/>
      </c>
      <c r="V1299" t="str">
        <f t="shared" si="229"/>
        <v/>
      </c>
      <c r="W1299" t="str">
        <f t="shared" si="230"/>
        <v/>
      </c>
    </row>
    <row r="1300" spans="1:23" x14ac:dyDescent="0.2">
      <c r="A1300" s="4" t="str">
        <f>IF(ポートフォリオ実績!A1301="","", ポートフォリオ実績!A1301)</f>
        <v/>
      </c>
      <c r="B1300" t="str">
        <f>IF(ポートフォリオ実績!B1301="","", ポートフォリオ実績!B1301)</f>
        <v/>
      </c>
      <c r="C1300" s="10" t="str">
        <f>IF(ポートフォリオ実績!C1301="","", ポートフォリオ実績!C1301)</f>
        <v/>
      </c>
      <c r="D1300" s="10" t="str">
        <f>IF(ポートフォリオ実績!D1301="","", ポートフォリオ実績!D1301)</f>
        <v/>
      </c>
      <c r="E1300" s="10" t="str">
        <f>IF(ポートフォリオ実績!E1301="","", ポートフォリオ実績!E1301)</f>
        <v/>
      </c>
      <c r="F1300" s="10" t="str">
        <f>IF(ポートフォリオ実績!F1301="","", ポートフォリオ実績!F1301)</f>
        <v/>
      </c>
      <c r="G1300" t="str">
        <f t="shared" si="220"/>
        <v/>
      </c>
      <c r="H1300">
        <f>IF(B1300&lt;&gt;"", SUMIFS(ポートフォリオ実績!$D$2:$D$2001, ポートフォリオ実績!$B$2:$B$2001, B1300, ポートフォリオ実績!$A$2:$A$2001, G1300), 0)</f>
        <v>0</v>
      </c>
      <c r="I1300">
        <f>IF(B1300&lt;&gt;"", SUMIFS(ポートフォリオ実績!$C$2:$C$2001, ポートフォリオ実績!$B$2:$B$2001, B1300, ポートフォリオ実績!$A$2:$A$2001, G1300), 0)</f>
        <v>0</v>
      </c>
      <c r="J1300">
        <f t="shared" si="221"/>
        <v>0</v>
      </c>
      <c r="K1300">
        <f t="shared" si="222"/>
        <v>0</v>
      </c>
      <c r="L1300">
        <f t="shared" si="223"/>
        <v>0</v>
      </c>
      <c r="M1300">
        <f t="shared" si="224"/>
        <v>0</v>
      </c>
      <c r="N1300">
        <f t="shared" si="225"/>
        <v>0</v>
      </c>
      <c r="O1300">
        <f t="shared" si="226"/>
        <v>0</v>
      </c>
      <c r="P1300" t="str">
        <f t="shared" si="227"/>
        <v/>
      </c>
      <c r="Q1300" t="str">
        <f>IF(B1300="","", IFERROR(VLOOKUP(B1300, '基準資産配分（設定）'!$A$2:$C$2001, 3, FALSE), ""))</f>
        <v/>
      </c>
      <c r="R1300" t="str">
        <f>IF(B1300="","", IFERROR(VLOOKUP(B1300, '基準資産配分（設定）'!$A$2:$C$2001, 2, FALSE)/100, 0))</f>
        <v/>
      </c>
      <c r="S1300" t="str">
        <f>IF(B1300="","", IFERROR(SUMIFS(ベンチマークリターン!$C$2:$C$2001, ベンチマークリターン!$A$2:$A$2001, A1300, ベンチマークリターン!$B$2:$B$2001, Q1300) / 100, 0))</f>
        <v/>
      </c>
      <c r="T1300" t="str">
        <f>IF(A1300="","", SUMIFS($H$2:$H$2000, $A$2:$A$2000, A1300))</f>
        <v/>
      </c>
      <c r="U1300" t="str">
        <f t="shared" si="228"/>
        <v/>
      </c>
      <c r="V1300" t="str">
        <f t="shared" si="229"/>
        <v/>
      </c>
      <c r="W1300" t="str">
        <f t="shared" si="230"/>
        <v/>
      </c>
    </row>
    <row r="1301" spans="1:23" x14ac:dyDescent="0.2">
      <c r="A1301" s="4" t="str">
        <f>IF(ポートフォリオ実績!A1302="","", ポートフォリオ実績!A1302)</f>
        <v/>
      </c>
      <c r="B1301" t="str">
        <f>IF(ポートフォリオ実績!B1302="","", ポートフォリオ実績!B1302)</f>
        <v/>
      </c>
      <c r="C1301" s="10" t="str">
        <f>IF(ポートフォリオ実績!C1302="","", ポートフォリオ実績!C1302)</f>
        <v/>
      </c>
      <c r="D1301" s="10" t="str">
        <f>IF(ポートフォリオ実績!D1302="","", ポートフォリオ実績!D1302)</f>
        <v/>
      </c>
      <c r="E1301" s="10" t="str">
        <f>IF(ポートフォリオ実績!E1302="","", ポートフォリオ実績!E1302)</f>
        <v/>
      </c>
      <c r="F1301" s="10" t="str">
        <f>IF(ポートフォリオ実績!F1302="","", ポートフォリオ実績!F1302)</f>
        <v/>
      </c>
      <c r="G1301" t="str">
        <f t="shared" si="220"/>
        <v/>
      </c>
      <c r="H1301">
        <f>IF(B1301&lt;&gt;"", SUMIFS(ポートフォリオ実績!$D$2:$D$2001, ポートフォリオ実績!$B$2:$B$2001, B1301, ポートフォリオ実績!$A$2:$A$2001, G1301), 0)</f>
        <v>0</v>
      </c>
      <c r="I1301">
        <f>IF(B1301&lt;&gt;"", SUMIFS(ポートフォリオ実績!$C$2:$C$2001, ポートフォリオ実績!$B$2:$B$2001, B1301, ポートフォリオ実績!$A$2:$A$2001, G1301), 0)</f>
        <v>0</v>
      </c>
      <c r="J1301">
        <f t="shared" si="221"/>
        <v>0</v>
      </c>
      <c r="K1301">
        <f t="shared" si="222"/>
        <v>0</v>
      </c>
      <c r="L1301">
        <f t="shared" si="223"/>
        <v>0</v>
      </c>
      <c r="M1301">
        <f t="shared" si="224"/>
        <v>0</v>
      </c>
      <c r="N1301">
        <f t="shared" si="225"/>
        <v>0</v>
      </c>
      <c r="O1301">
        <f t="shared" si="226"/>
        <v>0</v>
      </c>
      <c r="P1301" t="str">
        <f t="shared" si="227"/>
        <v/>
      </c>
      <c r="Q1301" t="str">
        <f>IF(B1301="","", IFERROR(VLOOKUP(B1301, '基準資産配分（設定）'!$A$2:$C$2001, 3, FALSE), ""))</f>
        <v/>
      </c>
      <c r="R1301" t="str">
        <f>IF(B1301="","", IFERROR(VLOOKUP(B1301, '基準資産配分（設定）'!$A$2:$C$2001, 2, FALSE)/100, 0))</f>
        <v/>
      </c>
      <c r="S1301" t="str">
        <f>IF(B1301="","", IFERROR(SUMIFS(ベンチマークリターン!$C$2:$C$2001, ベンチマークリターン!$A$2:$A$2001, A1301, ベンチマークリターン!$B$2:$B$2001, Q1301) / 100, 0))</f>
        <v/>
      </c>
      <c r="T1301" t="str">
        <f>IF(A1301="","", SUMIFS($H$2:$H$2000, $A$2:$A$2000, A1301))</f>
        <v/>
      </c>
      <c r="U1301" t="str">
        <f t="shared" si="228"/>
        <v/>
      </c>
      <c r="V1301" t="str">
        <f t="shared" si="229"/>
        <v/>
      </c>
      <c r="W1301" t="str">
        <f t="shared" si="230"/>
        <v/>
      </c>
    </row>
    <row r="1302" spans="1:23" x14ac:dyDescent="0.2">
      <c r="A1302" s="4" t="str">
        <f>IF(ポートフォリオ実績!A1303="","", ポートフォリオ実績!A1303)</f>
        <v/>
      </c>
      <c r="B1302" t="str">
        <f>IF(ポートフォリオ実績!B1303="","", ポートフォリオ実績!B1303)</f>
        <v/>
      </c>
      <c r="C1302" s="10" t="str">
        <f>IF(ポートフォリオ実績!C1303="","", ポートフォリオ実績!C1303)</f>
        <v/>
      </c>
      <c r="D1302" s="10" t="str">
        <f>IF(ポートフォリオ実績!D1303="","", ポートフォリオ実績!D1303)</f>
        <v/>
      </c>
      <c r="E1302" s="10" t="str">
        <f>IF(ポートフォリオ実績!E1303="","", ポートフォリオ実績!E1303)</f>
        <v/>
      </c>
      <c r="F1302" s="10" t="str">
        <f>IF(ポートフォリオ実績!F1303="","", ポートフォリオ実績!F1303)</f>
        <v/>
      </c>
      <c r="G1302" t="str">
        <f t="shared" si="220"/>
        <v/>
      </c>
      <c r="H1302">
        <f>IF(B1302&lt;&gt;"", SUMIFS(ポートフォリオ実績!$D$2:$D$2001, ポートフォリオ実績!$B$2:$B$2001, B1302, ポートフォリオ実績!$A$2:$A$2001, G1302), 0)</f>
        <v>0</v>
      </c>
      <c r="I1302">
        <f>IF(B1302&lt;&gt;"", SUMIFS(ポートフォリオ実績!$C$2:$C$2001, ポートフォリオ実績!$B$2:$B$2001, B1302, ポートフォリオ実績!$A$2:$A$2001, G1302), 0)</f>
        <v>0</v>
      </c>
      <c r="J1302">
        <f t="shared" si="221"/>
        <v>0</v>
      </c>
      <c r="K1302">
        <f t="shared" si="222"/>
        <v>0</v>
      </c>
      <c r="L1302">
        <f t="shared" si="223"/>
        <v>0</v>
      </c>
      <c r="M1302">
        <f t="shared" si="224"/>
        <v>0</v>
      </c>
      <c r="N1302">
        <f t="shared" si="225"/>
        <v>0</v>
      </c>
      <c r="O1302">
        <f t="shared" si="226"/>
        <v>0</v>
      </c>
      <c r="P1302" t="str">
        <f t="shared" si="227"/>
        <v/>
      </c>
      <c r="Q1302" t="str">
        <f>IF(B1302="","", IFERROR(VLOOKUP(B1302, '基準資産配分（設定）'!$A$2:$C$2001, 3, FALSE), ""))</f>
        <v/>
      </c>
      <c r="R1302" t="str">
        <f>IF(B1302="","", IFERROR(VLOOKUP(B1302, '基準資産配分（設定）'!$A$2:$C$2001, 2, FALSE)/100, 0))</f>
        <v/>
      </c>
      <c r="S1302" t="str">
        <f>IF(B1302="","", IFERROR(SUMIFS(ベンチマークリターン!$C$2:$C$2001, ベンチマークリターン!$A$2:$A$2001, A1302, ベンチマークリターン!$B$2:$B$2001, Q1302) / 100, 0))</f>
        <v/>
      </c>
      <c r="T1302" t="str">
        <f>IF(A1302="","", SUMIFS($H$2:$H$2000, $A$2:$A$2000, A1302))</f>
        <v/>
      </c>
      <c r="U1302" t="str">
        <f t="shared" si="228"/>
        <v/>
      </c>
      <c r="V1302" t="str">
        <f t="shared" si="229"/>
        <v/>
      </c>
      <c r="W1302" t="str">
        <f t="shared" si="230"/>
        <v/>
      </c>
    </row>
    <row r="1303" spans="1:23" x14ac:dyDescent="0.2">
      <c r="A1303" s="4" t="str">
        <f>IF(ポートフォリオ実績!A1304="","", ポートフォリオ実績!A1304)</f>
        <v/>
      </c>
      <c r="B1303" t="str">
        <f>IF(ポートフォリオ実績!B1304="","", ポートフォリオ実績!B1304)</f>
        <v/>
      </c>
      <c r="C1303" s="10" t="str">
        <f>IF(ポートフォリオ実績!C1304="","", ポートフォリオ実績!C1304)</f>
        <v/>
      </c>
      <c r="D1303" s="10" t="str">
        <f>IF(ポートフォリオ実績!D1304="","", ポートフォリオ実績!D1304)</f>
        <v/>
      </c>
      <c r="E1303" s="10" t="str">
        <f>IF(ポートフォリオ実績!E1304="","", ポートフォリオ実績!E1304)</f>
        <v/>
      </c>
      <c r="F1303" s="10" t="str">
        <f>IF(ポートフォリオ実績!F1304="","", ポートフォリオ実績!F1304)</f>
        <v/>
      </c>
      <c r="G1303" t="str">
        <f t="shared" si="220"/>
        <v/>
      </c>
      <c r="H1303">
        <f>IF(B1303&lt;&gt;"", SUMIFS(ポートフォリオ実績!$D$2:$D$2001, ポートフォリオ実績!$B$2:$B$2001, B1303, ポートフォリオ実績!$A$2:$A$2001, G1303), 0)</f>
        <v>0</v>
      </c>
      <c r="I1303">
        <f>IF(B1303&lt;&gt;"", SUMIFS(ポートフォリオ実績!$C$2:$C$2001, ポートフォリオ実績!$B$2:$B$2001, B1303, ポートフォリオ実績!$A$2:$A$2001, G1303), 0)</f>
        <v>0</v>
      </c>
      <c r="J1303">
        <f t="shared" si="221"/>
        <v>0</v>
      </c>
      <c r="K1303">
        <f t="shared" si="222"/>
        <v>0</v>
      </c>
      <c r="L1303">
        <f t="shared" si="223"/>
        <v>0</v>
      </c>
      <c r="M1303">
        <f t="shared" si="224"/>
        <v>0</v>
      </c>
      <c r="N1303">
        <f t="shared" si="225"/>
        <v>0</v>
      </c>
      <c r="O1303">
        <f t="shared" si="226"/>
        <v>0</v>
      </c>
      <c r="P1303" t="str">
        <f t="shared" si="227"/>
        <v/>
      </c>
      <c r="Q1303" t="str">
        <f>IF(B1303="","", IFERROR(VLOOKUP(B1303, '基準資産配分（設定）'!$A$2:$C$2001, 3, FALSE), ""))</f>
        <v/>
      </c>
      <c r="R1303" t="str">
        <f>IF(B1303="","", IFERROR(VLOOKUP(B1303, '基準資産配分（設定）'!$A$2:$C$2001, 2, FALSE)/100, 0))</f>
        <v/>
      </c>
      <c r="S1303" t="str">
        <f>IF(B1303="","", IFERROR(SUMIFS(ベンチマークリターン!$C$2:$C$2001, ベンチマークリターン!$A$2:$A$2001, A1303, ベンチマークリターン!$B$2:$B$2001, Q1303) / 100, 0))</f>
        <v/>
      </c>
      <c r="T1303" t="str">
        <f>IF(A1303="","", SUMIFS($H$2:$H$2000, $A$2:$A$2000, A1303))</f>
        <v/>
      </c>
      <c r="U1303" t="str">
        <f t="shared" si="228"/>
        <v/>
      </c>
      <c r="V1303" t="str">
        <f t="shared" si="229"/>
        <v/>
      </c>
      <c r="W1303" t="str">
        <f t="shared" si="230"/>
        <v/>
      </c>
    </row>
    <row r="1304" spans="1:23" x14ac:dyDescent="0.2">
      <c r="A1304" s="4" t="str">
        <f>IF(ポートフォリオ実績!A1305="","", ポートフォリオ実績!A1305)</f>
        <v/>
      </c>
      <c r="B1304" t="str">
        <f>IF(ポートフォリオ実績!B1305="","", ポートフォリオ実績!B1305)</f>
        <v/>
      </c>
      <c r="C1304" s="10" t="str">
        <f>IF(ポートフォリオ実績!C1305="","", ポートフォリオ実績!C1305)</f>
        <v/>
      </c>
      <c r="D1304" s="10" t="str">
        <f>IF(ポートフォリオ実績!D1305="","", ポートフォリオ実績!D1305)</f>
        <v/>
      </c>
      <c r="E1304" s="10" t="str">
        <f>IF(ポートフォリオ実績!E1305="","", ポートフォリオ実績!E1305)</f>
        <v/>
      </c>
      <c r="F1304" s="10" t="str">
        <f>IF(ポートフォリオ実績!F1305="","", ポートフォリオ実績!F1305)</f>
        <v/>
      </c>
      <c r="G1304" t="str">
        <f t="shared" si="220"/>
        <v/>
      </c>
      <c r="H1304">
        <f>IF(B1304&lt;&gt;"", SUMIFS(ポートフォリオ実績!$D$2:$D$2001, ポートフォリオ実績!$B$2:$B$2001, B1304, ポートフォリオ実績!$A$2:$A$2001, G1304), 0)</f>
        <v>0</v>
      </c>
      <c r="I1304">
        <f>IF(B1304&lt;&gt;"", SUMIFS(ポートフォリオ実績!$C$2:$C$2001, ポートフォリオ実績!$B$2:$B$2001, B1304, ポートフォリオ実績!$A$2:$A$2001, G1304), 0)</f>
        <v>0</v>
      </c>
      <c r="J1304">
        <f t="shared" si="221"/>
        <v>0</v>
      </c>
      <c r="K1304">
        <f t="shared" si="222"/>
        <v>0</v>
      </c>
      <c r="L1304">
        <f t="shared" si="223"/>
        <v>0</v>
      </c>
      <c r="M1304">
        <f t="shared" si="224"/>
        <v>0</v>
      </c>
      <c r="N1304">
        <f t="shared" si="225"/>
        <v>0</v>
      </c>
      <c r="O1304">
        <f t="shared" si="226"/>
        <v>0</v>
      </c>
      <c r="P1304" t="str">
        <f t="shared" si="227"/>
        <v/>
      </c>
      <c r="Q1304" t="str">
        <f>IF(B1304="","", IFERROR(VLOOKUP(B1304, '基準資産配分（設定）'!$A$2:$C$2001, 3, FALSE), ""))</f>
        <v/>
      </c>
      <c r="R1304" t="str">
        <f>IF(B1304="","", IFERROR(VLOOKUP(B1304, '基準資産配分（設定）'!$A$2:$C$2001, 2, FALSE)/100, 0))</f>
        <v/>
      </c>
      <c r="S1304" t="str">
        <f>IF(B1304="","", IFERROR(SUMIFS(ベンチマークリターン!$C$2:$C$2001, ベンチマークリターン!$A$2:$A$2001, A1304, ベンチマークリターン!$B$2:$B$2001, Q1304) / 100, 0))</f>
        <v/>
      </c>
      <c r="T1304" t="str">
        <f>IF(A1304="","", SUMIFS($H$2:$H$2000, $A$2:$A$2000, A1304))</f>
        <v/>
      </c>
      <c r="U1304" t="str">
        <f t="shared" si="228"/>
        <v/>
      </c>
      <c r="V1304" t="str">
        <f t="shared" si="229"/>
        <v/>
      </c>
      <c r="W1304" t="str">
        <f t="shared" si="230"/>
        <v/>
      </c>
    </row>
    <row r="1305" spans="1:23" x14ac:dyDescent="0.2">
      <c r="A1305" s="4" t="str">
        <f>IF(ポートフォリオ実績!A1306="","", ポートフォリオ実績!A1306)</f>
        <v/>
      </c>
      <c r="B1305" t="str">
        <f>IF(ポートフォリオ実績!B1306="","", ポートフォリオ実績!B1306)</f>
        <v/>
      </c>
      <c r="C1305" s="10" t="str">
        <f>IF(ポートフォリオ実績!C1306="","", ポートフォリオ実績!C1306)</f>
        <v/>
      </c>
      <c r="D1305" s="10" t="str">
        <f>IF(ポートフォリオ実績!D1306="","", ポートフォリオ実績!D1306)</f>
        <v/>
      </c>
      <c r="E1305" s="10" t="str">
        <f>IF(ポートフォリオ実績!E1306="","", ポートフォリオ実績!E1306)</f>
        <v/>
      </c>
      <c r="F1305" s="10" t="str">
        <f>IF(ポートフォリオ実績!F1306="","", ポートフォリオ実績!F1306)</f>
        <v/>
      </c>
      <c r="G1305" t="str">
        <f t="shared" si="220"/>
        <v/>
      </c>
      <c r="H1305">
        <f>IF(B1305&lt;&gt;"", SUMIFS(ポートフォリオ実績!$D$2:$D$2001, ポートフォリオ実績!$B$2:$B$2001, B1305, ポートフォリオ実績!$A$2:$A$2001, G1305), 0)</f>
        <v>0</v>
      </c>
      <c r="I1305">
        <f>IF(B1305&lt;&gt;"", SUMIFS(ポートフォリオ実績!$C$2:$C$2001, ポートフォリオ実績!$B$2:$B$2001, B1305, ポートフォリオ実績!$A$2:$A$2001, G1305), 0)</f>
        <v>0</v>
      </c>
      <c r="J1305">
        <f t="shared" si="221"/>
        <v>0</v>
      </c>
      <c r="K1305">
        <f t="shared" si="222"/>
        <v>0</v>
      </c>
      <c r="L1305">
        <f t="shared" si="223"/>
        <v>0</v>
      </c>
      <c r="M1305">
        <f t="shared" si="224"/>
        <v>0</v>
      </c>
      <c r="N1305">
        <f t="shared" si="225"/>
        <v>0</v>
      </c>
      <c r="O1305">
        <f t="shared" si="226"/>
        <v>0</v>
      </c>
      <c r="P1305" t="str">
        <f t="shared" si="227"/>
        <v/>
      </c>
      <c r="Q1305" t="str">
        <f>IF(B1305="","", IFERROR(VLOOKUP(B1305, '基準資産配分（設定）'!$A$2:$C$2001, 3, FALSE), ""))</f>
        <v/>
      </c>
      <c r="R1305" t="str">
        <f>IF(B1305="","", IFERROR(VLOOKUP(B1305, '基準資産配分（設定）'!$A$2:$C$2001, 2, FALSE)/100, 0))</f>
        <v/>
      </c>
      <c r="S1305" t="str">
        <f>IF(B1305="","", IFERROR(SUMIFS(ベンチマークリターン!$C$2:$C$2001, ベンチマークリターン!$A$2:$A$2001, A1305, ベンチマークリターン!$B$2:$B$2001, Q1305) / 100, 0))</f>
        <v/>
      </c>
      <c r="T1305" t="str">
        <f>IF(A1305="","", SUMIFS($H$2:$H$2000, $A$2:$A$2000, A1305))</f>
        <v/>
      </c>
      <c r="U1305" t="str">
        <f t="shared" si="228"/>
        <v/>
      </c>
      <c r="V1305" t="str">
        <f t="shared" si="229"/>
        <v/>
      </c>
      <c r="W1305" t="str">
        <f t="shared" si="230"/>
        <v/>
      </c>
    </row>
    <row r="1306" spans="1:23" x14ac:dyDescent="0.2">
      <c r="A1306" s="4" t="str">
        <f>IF(ポートフォリオ実績!A1307="","", ポートフォリオ実績!A1307)</f>
        <v/>
      </c>
      <c r="B1306" t="str">
        <f>IF(ポートフォリオ実績!B1307="","", ポートフォリオ実績!B1307)</f>
        <v/>
      </c>
      <c r="C1306" s="10" t="str">
        <f>IF(ポートフォリオ実績!C1307="","", ポートフォリオ実績!C1307)</f>
        <v/>
      </c>
      <c r="D1306" s="10" t="str">
        <f>IF(ポートフォリオ実績!D1307="","", ポートフォリオ実績!D1307)</f>
        <v/>
      </c>
      <c r="E1306" s="10" t="str">
        <f>IF(ポートフォリオ実績!E1307="","", ポートフォリオ実績!E1307)</f>
        <v/>
      </c>
      <c r="F1306" s="10" t="str">
        <f>IF(ポートフォリオ実績!F1307="","", ポートフォリオ実績!F1307)</f>
        <v/>
      </c>
      <c r="G1306" t="str">
        <f t="shared" si="220"/>
        <v/>
      </c>
      <c r="H1306">
        <f>IF(B1306&lt;&gt;"", SUMIFS(ポートフォリオ実績!$D$2:$D$2001, ポートフォリオ実績!$B$2:$B$2001, B1306, ポートフォリオ実績!$A$2:$A$2001, G1306), 0)</f>
        <v>0</v>
      </c>
      <c r="I1306">
        <f>IF(B1306&lt;&gt;"", SUMIFS(ポートフォリオ実績!$C$2:$C$2001, ポートフォリオ実績!$B$2:$B$2001, B1306, ポートフォリオ実績!$A$2:$A$2001, G1306), 0)</f>
        <v>0</v>
      </c>
      <c r="J1306">
        <f t="shared" si="221"/>
        <v>0</v>
      </c>
      <c r="K1306">
        <f t="shared" si="222"/>
        <v>0</v>
      </c>
      <c r="L1306">
        <f t="shared" si="223"/>
        <v>0</v>
      </c>
      <c r="M1306">
        <f t="shared" si="224"/>
        <v>0</v>
      </c>
      <c r="N1306">
        <f t="shared" si="225"/>
        <v>0</v>
      </c>
      <c r="O1306">
        <f t="shared" si="226"/>
        <v>0</v>
      </c>
      <c r="P1306" t="str">
        <f t="shared" si="227"/>
        <v/>
      </c>
      <c r="Q1306" t="str">
        <f>IF(B1306="","", IFERROR(VLOOKUP(B1306, '基準資産配分（設定）'!$A$2:$C$2001, 3, FALSE), ""))</f>
        <v/>
      </c>
      <c r="R1306" t="str">
        <f>IF(B1306="","", IFERROR(VLOOKUP(B1306, '基準資産配分（設定）'!$A$2:$C$2001, 2, FALSE)/100, 0))</f>
        <v/>
      </c>
      <c r="S1306" t="str">
        <f>IF(B1306="","", IFERROR(SUMIFS(ベンチマークリターン!$C$2:$C$2001, ベンチマークリターン!$A$2:$A$2001, A1306, ベンチマークリターン!$B$2:$B$2001, Q1306) / 100, 0))</f>
        <v/>
      </c>
      <c r="T1306" t="str">
        <f>IF(A1306="","", SUMIFS($H$2:$H$2000, $A$2:$A$2000, A1306))</f>
        <v/>
      </c>
      <c r="U1306" t="str">
        <f t="shared" si="228"/>
        <v/>
      </c>
      <c r="V1306" t="str">
        <f t="shared" si="229"/>
        <v/>
      </c>
      <c r="W1306" t="str">
        <f t="shared" si="230"/>
        <v/>
      </c>
    </row>
    <row r="1307" spans="1:23" x14ac:dyDescent="0.2">
      <c r="A1307" s="4" t="str">
        <f>IF(ポートフォリオ実績!A1308="","", ポートフォリオ実績!A1308)</f>
        <v/>
      </c>
      <c r="B1307" t="str">
        <f>IF(ポートフォリオ実績!B1308="","", ポートフォリオ実績!B1308)</f>
        <v/>
      </c>
      <c r="C1307" s="10" t="str">
        <f>IF(ポートフォリオ実績!C1308="","", ポートフォリオ実績!C1308)</f>
        <v/>
      </c>
      <c r="D1307" s="10" t="str">
        <f>IF(ポートフォリオ実績!D1308="","", ポートフォリオ実績!D1308)</f>
        <v/>
      </c>
      <c r="E1307" s="10" t="str">
        <f>IF(ポートフォリオ実績!E1308="","", ポートフォリオ実績!E1308)</f>
        <v/>
      </c>
      <c r="F1307" s="10" t="str">
        <f>IF(ポートフォリオ実績!F1308="","", ポートフォリオ実績!F1308)</f>
        <v/>
      </c>
      <c r="G1307" t="str">
        <f t="shared" si="220"/>
        <v/>
      </c>
      <c r="H1307">
        <f>IF(B1307&lt;&gt;"", SUMIFS(ポートフォリオ実績!$D$2:$D$2001, ポートフォリオ実績!$B$2:$B$2001, B1307, ポートフォリオ実績!$A$2:$A$2001, G1307), 0)</f>
        <v>0</v>
      </c>
      <c r="I1307">
        <f>IF(B1307&lt;&gt;"", SUMIFS(ポートフォリオ実績!$C$2:$C$2001, ポートフォリオ実績!$B$2:$B$2001, B1307, ポートフォリオ実績!$A$2:$A$2001, G1307), 0)</f>
        <v>0</v>
      </c>
      <c r="J1307">
        <f t="shared" si="221"/>
        <v>0</v>
      </c>
      <c r="K1307">
        <f t="shared" si="222"/>
        <v>0</v>
      </c>
      <c r="L1307">
        <f t="shared" si="223"/>
        <v>0</v>
      </c>
      <c r="M1307">
        <f t="shared" si="224"/>
        <v>0</v>
      </c>
      <c r="N1307">
        <f t="shared" si="225"/>
        <v>0</v>
      </c>
      <c r="O1307">
        <f t="shared" si="226"/>
        <v>0</v>
      </c>
      <c r="P1307" t="str">
        <f t="shared" si="227"/>
        <v/>
      </c>
      <c r="Q1307" t="str">
        <f>IF(B1307="","", IFERROR(VLOOKUP(B1307, '基準資産配分（設定）'!$A$2:$C$2001, 3, FALSE), ""))</f>
        <v/>
      </c>
      <c r="R1307" t="str">
        <f>IF(B1307="","", IFERROR(VLOOKUP(B1307, '基準資産配分（設定）'!$A$2:$C$2001, 2, FALSE)/100, 0))</f>
        <v/>
      </c>
      <c r="S1307" t="str">
        <f>IF(B1307="","", IFERROR(SUMIFS(ベンチマークリターン!$C$2:$C$2001, ベンチマークリターン!$A$2:$A$2001, A1307, ベンチマークリターン!$B$2:$B$2001, Q1307) / 100, 0))</f>
        <v/>
      </c>
      <c r="T1307" t="str">
        <f>IF(A1307="","", SUMIFS($H$2:$H$2000, $A$2:$A$2000, A1307))</f>
        <v/>
      </c>
      <c r="U1307" t="str">
        <f t="shared" si="228"/>
        <v/>
      </c>
      <c r="V1307" t="str">
        <f t="shared" si="229"/>
        <v/>
      </c>
      <c r="W1307" t="str">
        <f t="shared" si="230"/>
        <v/>
      </c>
    </row>
    <row r="1308" spans="1:23" x14ac:dyDescent="0.2">
      <c r="A1308" s="4" t="str">
        <f>IF(ポートフォリオ実績!A1309="","", ポートフォリオ実績!A1309)</f>
        <v/>
      </c>
      <c r="B1308" t="str">
        <f>IF(ポートフォリオ実績!B1309="","", ポートフォリオ実績!B1309)</f>
        <v/>
      </c>
      <c r="C1308" s="10" t="str">
        <f>IF(ポートフォリオ実績!C1309="","", ポートフォリオ実績!C1309)</f>
        <v/>
      </c>
      <c r="D1308" s="10" t="str">
        <f>IF(ポートフォリオ実績!D1309="","", ポートフォリオ実績!D1309)</f>
        <v/>
      </c>
      <c r="E1308" s="10" t="str">
        <f>IF(ポートフォリオ実績!E1309="","", ポートフォリオ実績!E1309)</f>
        <v/>
      </c>
      <c r="F1308" s="10" t="str">
        <f>IF(ポートフォリオ実績!F1309="","", ポートフォリオ実績!F1309)</f>
        <v/>
      </c>
      <c r="G1308" t="str">
        <f t="shared" si="220"/>
        <v/>
      </c>
      <c r="H1308">
        <f>IF(B1308&lt;&gt;"", SUMIFS(ポートフォリオ実績!$D$2:$D$2001, ポートフォリオ実績!$B$2:$B$2001, B1308, ポートフォリオ実績!$A$2:$A$2001, G1308), 0)</f>
        <v>0</v>
      </c>
      <c r="I1308">
        <f>IF(B1308&lt;&gt;"", SUMIFS(ポートフォリオ実績!$C$2:$C$2001, ポートフォリオ実績!$B$2:$B$2001, B1308, ポートフォリオ実績!$A$2:$A$2001, G1308), 0)</f>
        <v>0</v>
      </c>
      <c r="J1308">
        <f t="shared" si="221"/>
        <v>0</v>
      </c>
      <c r="K1308">
        <f t="shared" si="222"/>
        <v>0</v>
      </c>
      <c r="L1308">
        <f t="shared" si="223"/>
        <v>0</v>
      </c>
      <c r="M1308">
        <f t="shared" si="224"/>
        <v>0</v>
      </c>
      <c r="N1308">
        <f t="shared" si="225"/>
        <v>0</v>
      </c>
      <c r="O1308">
        <f t="shared" si="226"/>
        <v>0</v>
      </c>
      <c r="P1308" t="str">
        <f t="shared" si="227"/>
        <v/>
      </c>
      <c r="Q1308" t="str">
        <f>IF(B1308="","", IFERROR(VLOOKUP(B1308, '基準資産配分（設定）'!$A$2:$C$2001, 3, FALSE), ""))</f>
        <v/>
      </c>
      <c r="R1308" t="str">
        <f>IF(B1308="","", IFERROR(VLOOKUP(B1308, '基準資産配分（設定）'!$A$2:$C$2001, 2, FALSE)/100, 0))</f>
        <v/>
      </c>
      <c r="S1308" t="str">
        <f>IF(B1308="","", IFERROR(SUMIFS(ベンチマークリターン!$C$2:$C$2001, ベンチマークリターン!$A$2:$A$2001, A1308, ベンチマークリターン!$B$2:$B$2001, Q1308) / 100, 0))</f>
        <v/>
      </c>
      <c r="T1308" t="str">
        <f>IF(A1308="","", SUMIFS($H$2:$H$2000, $A$2:$A$2000, A1308))</f>
        <v/>
      </c>
      <c r="U1308" t="str">
        <f t="shared" si="228"/>
        <v/>
      </c>
      <c r="V1308" t="str">
        <f t="shared" si="229"/>
        <v/>
      </c>
      <c r="W1308" t="str">
        <f t="shared" si="230"/>
        <v/>
      </c>
    </row>
    <row r="1309" spans="1:23" x14ac:dyDescent="0.2">
      <c r="A1309" s="4" t="str">
        <f>IF(ポートフォリオ実績!A1310="","", ポートフォリオ実績!A1310)</f>
        <v/>
      </c>
      <c r="B1309" t="str">
        <f>IF(ポートフォリオ実績!B1310="","", ポートフォリオ実績!B1310)</f>
        <v/>
      </c>
      <c r="C1309" s="10" t="str">
        <f>IF(ポートフォリオ実績!C1310="","", ポートフォリオ実績!C1310)</f>
        <v/>
      </c>
      <c r="D1309" s="10" t="str">
        <f>IF(ポートフォリオ実績!D1310="","", ポートフォリオ実績!D1310)</f>
        <v/>
      </c>
      <c r="E1309" s="10" t="str">
        <f>IF(ポートフォリオ実績!E1310="","", ポートフォリオ実績!E1310)</f>
        <v/>
      </c>
      <c r="F1309" s="10" t="str">
        <f>IF(ポートフォリオ実績!F1310="","", ポートフォリオ実績!F1310)</f>
        <v/>
      </c>
      <c r="G1309" t="str">
        <f t="shared" si="220"/>
        <v/>
      </c>
      <c r="H1309">
        <f>IF(B1309&lt;&gt;"", SUMIFS(ポートフォリオ実績!$D$2:$D$2001, ポートフォリオ実績!$B$2:$B$2001, B1309, ポートフォリオ実績!$A$2:$A$2001, G1309), 0)</f>
        <v>0</v>
      </c>
      <c r="I1309">
        <f>IF(B1309&lt;&gt;"", SUMIFS(ポートフォリオ実績!$C$2:$C$2001, ポートフォリオ実績!$B$2:$B$2001, B1309, ポートフォリオ実績!$A$2:$A$2001, G1309), 0)</f>
        <v>0</v>
      </c>
      <c r="J1309">
        <f t="shared" si="221"/>
        <v>0</v>
      </c>
      <c r="K1309">
        <f t="shared" si="222"/>
        <v>0</v>
      </c>
      <c r="L1309">
        <f t="shared" si="223"/>
        <v>0</v>
      </c>
      <c r="M1309">
        <f t="shared" si="224"/>
        <v>0</v>
      </c>
      <c r="N1309">
        <f t="shared" si="225"/>
        <v>0</v>
      </c>
      <c r="O1309">
        <f t="shared" si="226"/>
        <v>0</v>
      </c>
      <c r="P1309" t="str">
        <f t="shared" si="227"/>
        <v/>
      </c>
      <c r="Q1309" t="str">
        <f>IF(B1309="","", IFERROR(VLOOKUP(B1309, '基準資産配分（設定）'!$A$2:$C$2001, 3, FALSE), ""))</f>
        <v/>
      </c>
      <c r="R1309" t="str">
        <f>IF(B1309="","", IFERROR(VLOOKUP(B1309, '基準資産配分（設定）'!$A$2:$C$2001, 2, FALSE)/100, 0))</f>
        <v/>
      </c>
      <c r="S1309" t="str">
        <f>IF(B1309="","", IFERROR(SUMIFS(ベンチマークリターン!$C$2:$C$2001, ベンチマークリターン!$A$2:$A$2001, A1309, ベンチマークリターン!$B$2:$B$2001, Q1309) / 100, 0))</f>
        <v/>
      </c>
      <c r="T1309" t="str">
        <f>IF(A1309="","", SUMIFS($H$2:$H$2000, $A$2:$A$2000, A1309))</f>
        <v/>
      </c>
      <c r="U1309" t="str">
        <f t="shared" si="228"/>
        <v/>
      </c>
      <c r="V1309" t="str">
        <f t="shared" si="229"/>
        <v/>
      </c>
      <c r="W1309" t="str">
        <f t="shared" si="230"/>
        <v/>
      </c>
    </row>
    <row r="1310" spans="1:23" x14ac:dyDescent="0.2">
      <c r="A1310" s="4" t="str">
        <f>IF(ポートフォリオ実績!A1311="","", ポートフォリオ実績!A1311)</f>
        <v/>
      </c>
      <c r="B1310" t="str">
        <f>IF(ポートフォリオ実績!B1311="","", ポートフォリオ実績!B1311)</f>
        <v/>
      </c>
      <c r="C1310" s="10" t="str">
        <f>IF(ポートフォリオ実績!C1311="","", ポートフォリオ実績!C1311)</f>
        <v/>
      </c>
      <c r="D1310" s="10" t="str">
        <f>IF(ポートフォリオ実績!D1311="","", ポートフォリオ実績!D1311)</f>
        <v/>
      </c>
      <c r="E1310" s="10" t="str">
        <f>IF(ポートフォリオ実績!E1311="","", ポートフォリオ実績!E1311)</f>
        <v/>
      </c>
      <c r="F1310" s="10" t="str">
        <f>IF(ポートフォリオ実績!F1311="","", ポートフォリオ実績!F1311)</f>
        <v/>
      </c>
      <c r="G1310" t="str">
        <f t="shared" si="220"/>
        <v/>
      </c>
      <c r="H1310">
        <f>IF(B1310&lt;&gt;"", SUMIFS(ポートフォリオ実績!$D$2:$D$2001, ポートフォリオ実績!$B$2:$B$2001, B1310, ポートフォリオ実績!$A$2:$A$2001, G1310), 0)</f>
        <v>0</v>
      </c>
      <c r="I1310">
        <f>IF(B1310&lt;&gt;"", SUMIFS(ポートフォリオ実績!$C$2:$C$2001, ポートフォリオ実績!$B$2:$B$2001, B1310, ポートフォリオ実績!$A$2:$A$2001, G1310), 0)</f>
        <v>0</v>
      </c>
      <c r="J1310">
        <f t="shared" si="221"/>
        <v>0</v>
      </c>
      <c r="K1310">
        <f t="shared" si="222"/>
        <v>0</v>
      </c>
      <c r="L1310">
        <f t="shared" si="223"/>
        <v>0</v>
      </c>
      <c r="M1310">
        <f t="shared" si="224"/>
        <v>0</v>
      </c>
      <c r="N1310">
        <f t="shared" si="225"/>
        <v>0</v>
      </c>
      <c r="O1310">
        <f t="shared" si="226"/>
        <v>0</v>
      </c>
      <c r="P1310" t="str">
        <f t="shared" si="227"/>
        <v/>
      </c>
      <c r="Q1310" t="str">
        <f>IF(B1310="","", IFERROR(VLOOKUP(B1310, '基準資産配分（設定）'!$A$2:$C$2001, 3, FALSE), ""))</f>
        <v/>
      </c>
      <c r="R1310" t="str">
        <f>IF(B1310="","", IFERROR(VLOOKUP(B1310, '基準資産配分（設定）'!$A$2:$C$2001, 2, FALSE)/100, 0))</f>
        <v/>
      </c>
      <c r="S1310" t="str">
        <f>IF(B1310="","", IFERROR(SUMIFS(ベンチマークリターン!$C$2:$C$2001, ベンチマークリターン!$A$2:$A$2001, A1310, ベンチマークリターン!$B$2:$B$2001, Q1310) / 100, 0))</f>
        <v/>
      </c>
      <c r="T1310" t="str">
        <f>IF(A1310="","", SUMIFS($H$2:$H$2000, $A$2:$A$2000, A1310))</f>
        <v/>
      </c>
      <c r="U1310" t="str">
        <f t="shared" si="228"/>
        <v/>
      </c>
      <c r="V1310" t="str">
        <f t="shared" si="229"/>
        <v/>
      </c>
      <c r="W1310" t="str">
        <f t="shared" si="230"/>
        <v/>
      </c>
    </row>
    <row r="1311" spans="1:23" x14ac:dyDescent="0.2">
      <c r="A1311" s="4" t="str">
        <f>IF(ポートフォリオ実績!A1312="","", ポートフォリオ実績!A1312)</f>
        <v/>
      </c>
      <c r="B1311" t="str">
        <f>IF(ポートフォリオ実績!B1312="","", ポートフォリオ実績!B1312)</f>
        <v/>
      </c>
      <c r="C1311" s="10" t="str">
        <f>IF(ポートフォリオ実績!C1312="","", ポートフォリオ実績!C1312)</f>
        <v/>
      </c>
      <c r="D1311" s="10" t="str">
        <f>IF(ポートフォリオ実績!D1312="","", ポートフォリオ実績!D1312)</f>
        <v/>
      </c>
      <c r="E1311" s="10" t="str">
        <f>IF(ポートフォリオ実績!E1312="","", ポートフォリオ実績!E1312)</f>
        <v/>
      </c>
      <c r="F1311" s="10" t="str">
        <f>IF(ポートフォリオ実績!F1312="","", ポートフォリオ実績!F1312)</f>
        <v/>
      </c>
      <c r="G1311" t="str">
        <f t="shared" si="220"/>
        <v/>
      </c>
      <c r="H1311">
        <f>IF(B1311&lt;&gt;"", SUMIFS(ポートフォリオ実績!$D$2:$D$2001, ポートフォリオ実績!$B$2:$B$2001, B1311, ポートフォリオ実績!$A$2:$A$2001, G1311), 0)</f>
        <v>0</v>
      </c>
      <c r="I1311">
        <f>IF(B1311&lt;&gt;"", SUMIFS(ポートフォリオ実績!$C$2:$C$2001, ポートフォリオ実績!$B$2:$B$2001, B1311, ポートフォリオ実績!$A$2:$A$2001, G1311), 0)</f>
        <v>0</v>
      </c>
      <c r="J1311">
        <f t="shared" si="221"/>
        <v>0</v>
      </c>
      <c r="K1311">
        <f t="shared" si="222"/>
        <v>0</v>
      </c>
      <c r="L1311">
        <f t="shared" si="223"/>
        <v>0</v>
      </c>
      <c r="M1311">
        <f t="shared" si="224"/>
        <v>0</v>
      </c>
      <c r="N1311">
        <f t="shared" si="225"/>
        <v>0</v>
      </c>
      <c r="O1311">
        <f t="shared" si="226"/>
        <v>0</v>
      </c>
      <c r="P1311" t="str">
        <f t="shared" si="227"/>
        <v/>
      </c>
      <c r="Q1311" t="str">
        <f>IF(B1311="","", IFERROR(VLOOKUP(B1311, '基準資産配分（設定）'!$A$2:$C$2001, 3, FALSE), ""))</f>
        <v/>
      </c>
      <c r="R1311" t="str">
        <f>IF(B1311="","", IFERROR(VLOOKUP(B1311, '基準資産配分（設定）'!$A$2:$C$2001, 2, FALSE)/100, 0))</f>
        <v/>
      </c>
      <c r="S1311" t="str">
        <f>IF(B1311="","", IFERROR(SUMIFS(ベンチマークリターン!$C$2:$C$2001, ベンチマークリターン!$A$2:$A$2001, A1311, ベンチマークリターン!$B$2:$B$2001, Q1311) / 100, 0))</f>
        <v/>
      </c>
      <c r="T1311" t="str">
        <f>IF(A1311="","", SUMIFS($H$2:$H$2000, $A$2:$A$2000, A1311))</f>
        <v/>
      </c>
      <c r="U1311" t="str">
        <f t="shared" si="228"/>
        <v/>
      </c>
      <c r="V1311" t="str">
        <f t="shared" si="229"/>
        <v/>
      </c>
      <c r="W1311" t="str">
        <f t="shared" si="230"/>
        <v/>
      </c>
    </row>
    <row r="1312" spans="1:23" x14ac:dyDescent="0.2">
      <c r="A1312" s="4" t="str">
        <f>IF(ポートフォリオ実績!A1313="","", ポートフォリオ実績!A1313)</f>
        <v/>
      </c>
      <c r="B1312" t="str">
        <f>IF(ポートフォリオ実績!B1313="","", ポートフォリオ実績!B1313)</f>
        <v/>
      </c>
      <c r="C1312" s="10" t="str">
        <f>IF(ポートフォリオ実績!C1313="","", ポートフォリオ実績!C1313)</f>
        <v/>
      </c>
      <c r="D1312" s="10" t="str">
        <f>IF(ポートフォリオ実績!D1313="","", ポートフォリオ実績!D1313)</f>
        <v/>
      </c>
      <c r="E1312" s="10" t="str">
        <f>IF(ポートフォリオ実績!E1313="","", ポートフォリオ実績!E1313)</f>
        <v/>
      </c>
      <c r="F1312" s="10" t="str">
        <f>IF(ポートフォリオ実績!F1313="","", ポートフォリオ実績!F1313)</f>
        <v/>
      </c>
      <c r="G1312" t="str">
        <f t="shared" si="220"/>
        <v/>
      </c>
      <c r="H1312">
        <f>IF(B1312&lt;&gt;"", SUMIFS(ポートフォリオ実績!$D$2:$D$2001, ポートフォリオ実績!$B$2:$B$2001, B1312, ポートフォリオ実績!$A$2:$A$2001, G1312), 0)</f>
        <v>0</v>
      </c>
      <c r="I1312">
        <f>IF(B1312&lt;&gt;"", SUMIFS(ポートフォリオ実績!$C$2:$C$2001, ポートフォリオ実績!$B$2:$B$2001, B1312, ポートフォリオ実績!$A$2:$A$2001, G1312), 0)</f>
        <v>0</v>
      </c>
      <c r="J1312">
        <f t="shared" si="221"/>
        <v>0</v>
      </c>
      <c r="K1312">
        <f t="shared" si="222"/>
        <v>0</v>
      </c>
      <c r="L1312">
        <f t="shared" si="223"/>
        <v>0</v>
      </c>
      <c r="M1312">
        <f t="shared" si="224"/>
        <v>0</v>
      </c>
      <c r="N1312">
        <f t="shared" si="225"/>
        <v>0</v>
      </c>
      <c r="O1312">
        <f t="shared" si="226"/>
        <v>0</v>
      </c>
      <c r="P1312" t="str">
        <f t="shared" si="227"/>
        <v/>
      </c>
      <c r="Q1312" t="str">
        <f>IF(B1312="","", IFERROR(VLOOKUP(B1312, '基準資産配分（設定）'!$A$2:$C$2001, 3, FALSE), ""))</f>
        <v/>
      </c>
      <c r="R1312" t="str">
        <f>IF(B1312="","", IFERROR(VLOOKUP(B1312, '基準資産配分（設定）'!$A$2:$C$2001, 2, FALSE)/100, 0))</f>
        <v/>
      </c>
      <c r="S1312" t="str">
        <f>IF(B1312="","", IFERROR(SUMIFS(ベンチマークリターン!$C$2:$C$2001, ベンチマークリターン!$A$2:$A$2001, A1312, ベンチマークリターン!$B$2:$B$2001, Q1312) / 100, 0))</f>
        <v/>
      </c>
      <c r="T1312" t="str">
        <f>IF(A1312="","", SUMIFS($H$2:$H$2000, $A$2:$A$2000, A1312))</f>
        <v/>
      </c>
      <c r="U1312" t="str">
        <f t="shared" si="228"/>
        <v/>
      </c>
      <c r="V1312" t="str">
        <f t="shared" si="229"/>
        <v/>
      </c>
      <c r="W1312" t="str">
        <f t="shared" si="230"/>
        <v/>
      </c>
    </row>
    <row r="1313" spans="1:23" x14ac:dyDescent="0.2">
      <c r="A1313" s="4" t="str">
        <f>IF(ポートフォリオ実績!A1314="","", ポートフォリオ実績!A1314)</f>
        <v/>
      </c>
      <c r="B1313" t="str">
        <f>IF(ポートフォリオ実績!B1314="","", ポートフォリオ実績!B1314)</f>
        <v/>
      </c>
      <c r="C1313" s="10" t="str">
        <f>IF(ポートフォリオ実績!C1314="","", ポートフォリオ実績!C1314)</f>
        <v/>
      </c>
      <c r="D1313" s="10" t="str">
        <f>IF(ポートフォリオ実績!D1314="","", ポートフォリオ実績!D1314)</f>
        <v/>
      </c>
      <c r="E1313" s="10" t="str">
        <f>IF(ポートフォリオ実績!E1314="","", ポートフォリオ実績!E1314)</f>
        <v/>
      </c>
      <c r="F1313" s="10" t="str">
        <f>IF(ポートフォリオ実績!F1314="","", ポートフォリオ実績!F1314)</f>
        <v/>
      </c>
      <c r="G1313" t="str">
        <f t="shared" si="220"/>
        <v/>
      </c>
      <c r="H1313">
        <f>IF(B1313&lt;&gt;"", SUMIFS(ポートフォリオ実績!$D$2:$D$2001, ポートフォリオ実績!$B$2:$B$2001, B1313, ポートフォリオ実績!$A$2:$A$2001, G1313), 0)</f>
        <v>0</v>
      </c>
      <c r="I1313">
        <f>IF(B1313&lt;&gt;"", SUMIFS(ポートフォリオ実績!$C$2:$C$2001, ポートフォリオ実績!$B$2:$B$2001, B1313, ポートフォリオ実績!$A$2:$A$2001, G1313), 0)</f>
        <v>0</v>
      </c>
      <c r="J1313">
        <f t="shared" si="221"/>
        <v>0</v>
      </c>
      <c r="K1313">
        <f t="shared" si="222"/>
        <v>0</v>
      </c>
      <c r="L1313">
        <f t="shared" si="223"/>
        <v>0</v>
      </c>
      <c r="M1313">
        <f t="shared" si="224"/>
        <v>0</v>
      </c>
      <c r="N1313">
        <f t="shared" si="225"/>
        <v>0</v>
      </c>
      <c r="O1313">
        <f t="shared" si="226"/>
        <v>0</v>
      </c>
      <c r="P1313" t="str">
        <f t="shared" si="227"/>
        <v/>
      </c>
      <c r="Q1313" t="str">
        <f>IF(B1313="","", IFERROR(VLOOKUP(B1313, '基準資産配分（設定）'!$A$2:$C$2001, 3, FALSE), ""))</f>
        <v/>
      </c>
      <c r="R1313" t="str">
        <f>IF(B1313="","", IFERROR(VLOOKUP(B1313, '基準資産配分（設定）'!$A$2:$C$2001, 2, FALSE)/100, 0))</f>
        <v/>
      </c>
      <c r="S1313" t="str">
        <f>IF(B1313="","", IFERROR(SUMIFS(ベンチマークリターン!$C$2:$C$2001, ベンチマークリターン!$A$2:$A$2001, A1313, ベンチマークリターン!$B$2:$B$2001, Q1313) / 100, 0))</f>
        <v/>
      </c>
      <c r="T1313" t="str">
        <f>IF(A1313="","", SUMIFS($H$2:$H$2000, $A$2:$A$2000, A1313))</f>
        <v/>
      </c>
      <c r="U1313" t="str">
        <f t="shared" si="228"/>
        <v/>
      </c>
      <c r="V1313" t="str">
        <f t="shared" si="229"/>
        <v/>
      </c>
      <c r="W1313" t="str">
        <f t="shared" si="230"/>
        <v/>
      </c>
    </row>
    <row r="1314" spans="1:23" x14ac:dyDescent="0.2">
      <c r="A1314" s="4" t="str">
        <f>IF(ポートフォリオ実績!A1315="","", ポートフォリオ実績!A1315)</f>
        <v/>
      </c>
      <c r="B1314" t="str">
        <f>IF(ポートフォリオ実績!B1315="","", ポートフォリオ実績!B1315)</f>
        <v/>
      </c>
      <c r="C1314" s="10" t="str">
        <f>IF(ポートフォリオ実績!C1315="","", ポートフォリオ実績!C1315)</f>
        <v/>
      </c>
      <c r="D1314" s="10" t="str">
        <f>IF(ポートフォリオ実績!D1315="","", ポートフォリオ実績!D1315)</f>
        <v/>
      </c>
      <c r="E1314" s="10" t="str">
        <f>IF(ポートフォリオ実績!E1315="","", ポートフォリオ実績!E1315)</f>
        <v/>
      </c>
      <c r="F1314" s="10" t="str">
        <f>IF(ポートフォリオ実績!F1315="","", ポートフォリオ実績!F1315)</f>
        <v/>
      </c>
      <c r="G1314" t="str">
        <f t="shared" si="220"/>
        <v/>
      </c>
      <c r="H1314">
        <f>IF(B1314&lt;&gt;"", SUMIFS(ポートフォリオ実績!$D$2:$D$2001, ポートフォリオ実績!$B$2:$B$2001, B1314, ポートフォリオ実績!$A$2:$A$2001, G1314), 0)</f>
        <v>0</v>
      </c>
      <c r="I1314">
        <f>IF(B1314&lt;&gt;"", SUMIFS(ポートフォリオ実績!$C$2:$C$2001, ポートフォリオ実績!$B$2:$B$2001, B1314, ポートフォリオ実績!$A$2:$A$2001, G1314), 0)</f>
        <v>0</v>
      </c>
      <c r="J1314">
        <f t="shared" si="221"/>
        <v>0</v>
      </c>
      <c r="K1314">
        <f t="shared" si="222"/>
        <v>0</v>
      </c>
      <c r="L1314">
        <f t="shared" si="223"/>
        <v>0</v>
      </c>
      <c r="M1314">
        <f t="shared" si="224"/>
        <v>0</v>
      </c>
      <c r="N1314">
        <f t="shared" si="225"/>
        <v>0</v>
      </c>
      <c r="O1314">
        <f t="shared" si="226"/>
        <v>0</v>
      </c>
      <c r="P1314" t="str">
        <f t="shared" si="227"/>
        <v/>
      </c>
      <c r="Q1314" t="str">
        <f>IF(B1314="","", IFERROR(VLOOKUP(B1314, '基準資産配分（設定）'!$A$2:$C$2001, 3, FALSE), ""))</f>
        <v/>
      </c>
      <c r="R1314" t="str">
        <f>IF(B1314="","", IFERROR(VLOOKUP(B1314, '基準資産配分（設定）'!$A$2:$C$2001, 2, FALSE)/100, 0))</f>
        <v/>
      </c>
      <c r="S1314" t="str">
        <f>IF(B1314="","", IFERROR(SUMIFS(ベンチマークリターン!$C$2:$C$2001, ベンチマークリターン!$A$2:$A$2001, A1314, ベンチマークリターン!$B$2:$B$2001, Q1314) / 100, 0))</f>
        <v/>
      </c>
      <c r="T1314" t="str">
        <f>IF(A1314="","", SUMIFS($H$2:$H$2000, $A$2:$A$2000, A1314))</f>
        <v/>
      </c>
      <c r="U1314" t="str">
        <f t="shared" si="228"/>
        <v/>
      </c>
      <c r="V1314" t="str">
        <f t="shared" si="229"/>
        <v/>
      </c>
      <c r="W1314" t="str">
        <f t="shared" si="230"/>
        <v/>
      </c>
    </row>
    <row r="1315" spans="1:23" x14ac:dyDescent="0.2">
      <c r="A1315" s="4" t="str">
        <f>IF(ポートフォリオ実績!A1316="","", ポートフォリオ実績!A1316)</f>
        <v/>
      </c>
      <c r="B1315" t="str">
        <f>IF(ポートフォリオ実績!B1316="","", ポートフォリオ実績!B1316)</f>
        <v/>
      </c>
      <c r="C1315" s="10" t="str">
        <f>IF(ポートフォリオ実績!C1316="","", ポートフォリオ実績!C1316)</f>
        <v/>
      </c>
      <c r="D1315" s="10" t="str">
        <f>IF(ポートフォリオ実績!D1316="","", ポートフォリオ実績!D1316)</f>
        <v/>
      </c>
      <c r="E1315" s="10" t="str">
        <f>IF(ポートフォリオ実績!E1316="","", ポートフォリオ実績!E1316)</f>
        <v/>
      </c>
      <c r="F1315" s="10" t="str">
        <f>IF(ポートフォリオ実績!F1316="","", ポートフォリオ実績!F1316)</f>
        <v/>
      </c>
      <c r="G1315" t="str">
        <f t="shared" si="220"/>
        <v/>
      </c>
      <c r="H1315">
        <f>IF(B1315&lt;&gt;"", SUMIFS(ポートフォリオ実績!$D$2:$D$2001, ポートフォリオ実績!$B$2:$B$2001, B1315, ポートフォリオ実績!$A$2:$A$2001, G1315), 0)</f>
        <v>0</v>
      </c>
      <c r="I1315">
        <f>IF(B1315&lt;&gt;"", SUMIFS(ポートフォリオ実績!$C$2:$C$2001, ポートフォリオ実績!$B$2:$B$2001, B1315, ポートフォリオ実績!$A$2:$A$2001, G1315), 0)</f>
        <v>0</v>
      </c>
      <c r="J1315">
        <f t="shared" si="221"/>
        <v>0</v>
      </c>
      <c r="K1315">
        <f t="shared" si="222"/>
        <v>0</v>
      </c>
      <c r="L1315">
        <f t="shared" si="223"/>
        <v>0</v>
      </c>
      <c r="M1315">
        <f t="shared" si="224"/>
        <v>0</v>
      </c>
      <c r="N1315">
        <f t="shared" si="225"/>
        <v>0</v>
      </c>
      <c r="O1315">
        <f t="shared" si="226"/>
        <v>0</v>
      </c>
      <c r="P1315" t="str">
        <f t="shared" si="227"/>
        <v/>
      </c>
      <c r="Q1315" t="str">
        <f>IF(B1315="","", IFERROR(VLOOKUP(B1315, '基準資産配分（設定）'!$A$2:$C$2001, 3, FALSE), ""))</f>
        <v/>
      </c>
      <c r="R1315" t="str">
        <f>IF(B1315="","", IFERROR(VLOOKUP(B1315, '基準資産配分（設定）'!$A$2:$C$2001, 2, FALSE)/100, 0))</f>
        <v/>
      </c>
      <c r="S1315" t="str">
        <f>IF(B1315="","", IFERROR(SUMIFS(ベンチマークリターン!$C$2:$C$2001, ベンチマークリターン!$A$2:$A$2001, A1315, ベンチマークリターン!$B$2:$B$2001, Q1315) / 100, 0))</f>
        <v/>
      </c>
      <c r="T1315" t="str">
        <f>IF(A1315="","", SUMIFS($H$2:$H$2000, $A$2:$A$2000, A1315))</f>
        <v/>
      </c>
      <c r="U1315" t="str">
        <f t="shared" si="228"/>
        <v/>
      </c>
      <c r="V1315" t="str">
        <f t="shared" si="229"/>
        <v/>
      </c>
      <c r="W1315" t="str">
        <f t="shared" si="230"/>
        <v/>
      </c>
    </row>
    <row r="1316" spans="1:23" x14ac:dyDescent="0.2">
      <c r="A1316" s="4" t="str">
        <f>IF(ポートフォリオ実績!A1317="","", ポートフォリオ実績!A1317)</f>
        <v/>
      </c>
      <c r="B1316" t="str">
        <f>IF(ポートフォリオ実績!B1317="","", ポートフォリオ実績!B1317)</f>
        <v/>
      </c>
      <c r="C1316" s="10" t="str">
        <f>IF(ポートフォリオ実績!C1317="","", ポートフォリオ実績!C1317)</f>
        <v/>
      </c>
      <c r="D1316" s="10" t="str">
        <f>IF(ポートフォリオ実績!D1317="","", ポートフォリオ実績!D1317)</f>
        <v/>
      </c>
      <c r="E1316" s="10" t="str">
        <f>IF(ポートフォリオ実績!E1317="","", ポートフォリオ実績!E1317)</f>
        <v/>
      </c>
      <c r="F1316" s="10" t="str">
        <f>IF(ポートフォリオ実績!F1317="","", ポートフォリオ実績!F1317)</f>
        <v/>
      </c>
      <c r="G1316" t="str">
        <f t="shared" si="220"/>
        <v/>
      </c>
      <c r="H1316">
        <f>IF(B1316&lt;&gt;"", SUMIFS(ポートフォリオ実績!$D$2:$D$2001, ポートフォリオ実績!$B$2:$B$2001, B1316, ポートフォリオ実績!$A$2:$A$2001, G1316), 0)</f>
        <v>0</v>
      </c>
      <c r="I1316">
        <f>IF(B1316&lt;&gt;"", SUMIFS(ポートフォリオ実績!$C$2:$C$2001, ポートフォリオ実績!$B$2:$B$2001, B1316, ポートフォリオ実績!$A$2:$A$2001, G1316), 0)</f>
        <v>0</v>
      </c>
      <c r="J1316">
        <f t="shared" si="221"/>
        <v>0</v>
      </c>
      <c r="K1316">
        <f t="shared" si="222"/>
        <v>0</v>
      </c>
      <c r="L1316">
        <f t="shared" si="223"/>
        <v>0</v>
      </c>
      <c r="M1316">
        <f t="shared" si="224"/>
        <v>0</v>
      </c>
      <c r="N1316">
        <f t="shared" si="225"/>
        <v>0</v>
      </c>
      <c r="O1316">
        <f t="shared" si="226"/>
        <v>0</v>
      </c>
      <c r="P1316" t="str">
        <f t="shared" si="227"/>
        <v/>
      </c>
      <c r="Q1316" t="str">
        <f>IF(B1316="","", IFERROR(VLOOKUP(B1316, '基準資産配分（設定）'!$A$2:$C$2001, 3, FALSE), ""))</f>
        <v/>
      </c>
      <c r="R1316" t="str">
        <f>IF(B1316="","", IFERROR(VLOOKUP(B1316, '基準資産配分（設定）'!$A$2:$C$2001, 2, FALSE)/100, 0))</f>
        <v/>
      </c>
      <c r="S1316" t="str">
        <f>IF(B1316="","", IFERROR(SUMIFS(ベンチマークリターン!$C$2:$C$2001, ベンチマークリターン!$A$2:$A$2001, A1316, ベンチマークリターン!$B$2:$B$2001, Q1316) / 100, 0))</f>
        <v/>
      </c>
      <c r="T1316" t="str">
        <f>IF(A1316="","", SUMIFS($H$2:$H$2000, $A$2:$A$2000, A1316))</f>
        <v/>
      </c>
      <c r="U1316" t="str">
        <f t="shared" si="228"/>
        <v/>
      </c>
      <c r="V1316" t="str">
        <f t="shared" si="229"/>
        <v/>
      </c>
      <c r="W1316" t="str">
        <f t="shared" si="230"/>
        <v/>
      </c>
    </row>
    <row r="1317" spans="1:23" x14ac:dyDescent="0.2">
      <c r="A1317" s="4" t="str">
        <f>IF(ポートフォリオ実績!A1318="","", ポートフォリオ実績!A1318)</f>
        <v/>
      </c>
      <c r="B1317" t="str">
        <f>IF(ポートフォリオ実績!B1318="","", ポートフォリオ実績!B1318)</f>
        <v/>
      </c>
      <c r="C1317" s="10" t="str">
        <f>IF(ポートフォリオ実績!C1318="","", ポートフォリオ実績!C1318)</f>
        <v/>
      </c>
      <c r="D1317" s="10" t="str">
        <f>IF(ポートフォリオ実績!D1318="","", ポートフォリオ実績!D1318)</f>
        <v/>
      </c>
      <c r="E1317" s="10" t="str">
        <f>IF(ポートフォリオ実績!E1318="","", ポートフォリオ実績!E1318)</f>
        <v/>
      </c>
      <c r="F1317" s="10" t="str">
        <f>IF(ポートフォリオ実績!F1318="","", ポートフォリオ実績!F1318)</f>
        <v/>
      </c>
      <c r="G1317" t="str">
        <f t="shared" si="220"/>
        <v/>
      </c>
      <c r="H1317">
        <f>IF(B1317&lt;&gt;"", SUMIFS(ポートフォリオ実績!$D$2:$D$2001, ポートフォリオ実績!$B$2:$B$2001, B1317, ポートフォリオ実績!$A$2:$A$2001, G1317), 0)</f>
        <v>0</v>
      </c>
      <c r="I1317">
        <f>IF(B1317&lt;&gt;"", SUMIFS(ポートフォリオ実績!$C$2:$C$2001, ポートフォリオ実績!$B$2:$B$2001, B1317, ポートフォリオ実績!$A$2:$A$2001, G1317), 0)</f>
        <v>0</v>
      </c>
      <c r="J1317">
        <f t="shared" si="221"/>
        <v>0</v>
      </c>
      <c r="K1317">
        <f t="shared" si="222"/>
        <v>0</v>
      </c>
      <c r="L1317">
        <f t="shared" si="223"/>
        <v>0</v>
      </c>
      <c r="M1317">
        <f t="shared" si="224"/>
        <v>0</v>
      </c>
      <c r="N1317">
        <f t="shared" si="225"/>
        <v>0</v>
      </c>
      <c r="O1317">
        <f t="shared" si="226"/>
        <v>0</v>
      </c>
      <c r="P1317" t="str">
        <f t="shared" si="227"/>
        <v/>
      </c>
      <c r="Q1317" t="str">
        <f>IF(B1317="","", IFERROR(VLOOKUP(B1317, '基準資産配分（設定）'!$A$2:$C$2001, 3, FALSE), ""))</f>
        <v/>
      </c>
      <c r="R1317" t="str">
        <f>IF(B1317="","", IFERROR(VLOOKUP(B1317, '基準資産配分（設定）'!$A$2:$C$2001, 2, FALSE)/100, 0))</f>
        <v/>
      </c>
      <c r="S1317" t="str">
        <f>IF(B1317="","", IFERROR(SUMIFS(ベンチマークリターン!$C$2:$C$2001, ベンチマークリターン!$A$2:$A$2001, A1317, ベンチマークリターン!$B$2:$B$2001, Q1317) / 100, 0))</f>
        <v/>
      </c>
      <c r="T1317" t="str">
        <f>IF(A1317="","", SUMIFS($H$2:$H$2000, $A$2:$A$2000, A1317))</f>
        <v/>
      </c>
      <c r="U1317" t="str">
        <f t="shared" si="228"/>
        <v/>
      </c>
      <c r="V1317" t="str">
        <f t="shared" si="229"/>
        <v/>
      </c>
      <c r="W1317" t="str">
        <f t="shared" si="230"/>
        <v/>
      </c>
    </row>
    <row r="1318" spans="1:23" x14ac:dyDescent="0.2">
      <c r="A1318" s="4" t="str">
        <f>IF(ポートフォリオ実績!A1319="","", ポートフォリオ実績!A1319)</f>
        <v/>
      </c>
      <c r="B1318" t="str">
        <f>IF(ポートフォリオ実績!B1319="","", ポートフォリオ実績!B1319)</f>
        <v/>
      </c>
      <c r="C1318" s="10" t="str">
        <f>IF(ポートフォリオ実績!C1319="","", ポートフォリオ実績!C1319)</f>
        <v/>
      </c>
      <c r="D1318" s="10" t="str">
        <f>IF(ポートフォリオ実績!D1319="","", ポートフォリオ実績!D1319)</f>
        <v/>
      </c>
      <c r="E1318" s="10" t="str">
        <f>IF(ポートフォリオ実績!E1319="","", ポートフォリオ実績!E1319)</f>
        <v/>
      </c>
      <c r="F1318" s="10" t="str">
        <f>IF(ポートフォリオ実績!F1319="","", ポートフォリオ実績!F1319)</f>
        <v/>
      </c>
      <c r="G1318" t="str">
        <f t="shared" si="220"/>
        <v/>
      </c>
      <c r="H1318">
        <f>IF(B1318&lt;&gt;"", SUMIFS(ポートフォリオ実績!$D$2:$D$2001, ポートフォリオ実績!$B$2:$B$2001, B1318, ポートフォリオ実績!$A$2:$A$2001, G1318), 0)</f>
        <v>0</v>
      </c>
      <c r="I1318">
        <f>IF(B1318&lt;&gt;"", SUMIFS(ポートフォリオ実績!$C$2:$C$2001, ポートフォリオ実績!$B$2:$B$2001, B1318, ポートフォリオ実績!$A$2:$A$2001, G1318), 0)</f>
        <v>0</v>
      </c>
      <c r="J1318">
        <f t="shared" si="221"/>
        <v>0</v>
      </c>
      <c r="K1318">
        <f t="shared" si="222"/>
        <v>0</v>
      </c>
      <c r="L1318">
        <f t="shared" si="223"/>
        <v>0</v>
      </c>
      <c r="M1318">
        <f t="shared" si="224"/>
        <v>0</v>
      </c>
      <c r="N1318">
        <f t="shared" si="225"/>
        <v>0</v>
      </c>
      <c r="O1318">
        <f t="shared" si="226"/>
        <v>0</v>
      </c>
      <c r="P1318" t="str">
        <f t="shared" si="227"/>
        <v/>
      </c>
      <c r="Q1318" t="str">
        <f>IF(B1318="","", IFERROR(VLOOKUP(B1318, '基準資産配分（設定）'!$A$2:$C$2001, 3, FALSE), ""))</f>
        <v/>
      </c>
      <c r="R1318" t="str">
        <f>IF(B1318="","", IFERROR(VLOOKUP(B1318, '基準資産配分（設定）'!$A$2:$C$2001, 2, FALSE)/100, 0))</f>
        <v/>
      </c>
      <c r="S1318" t="str">
        <f>IF(B1318="","", IFERROR(SUMIFS(ベンチマークリターン!$C$2:$C$2001, ベンチマークリターン!$A$2:$A$2001, A1318, ベンチマークリターン!$B$2:$B$2001, Q1318) / 100, 0))</f>
        <v/>
      </c>
      <c r="T1318" t="str">
        <f>IF(A1318="","", SUMIFS($H$2:$H$2000, $A$2:$A$2000, A1318))</f>
        <v/>
      </c>
      <c r="U1318" t="str">
        <f t="shared" si="228"/>
        <v/>
      </c>
      <c r="V1318" t="str">
        <f t="shared" si="229"/>
        <v/>
      </c>
      <c r="W1318" t="str">
        <f t="shared" si="230"/>
        <v/>
      </c>
    </row>
    <row r="1319" spans="1:23" x14ac:dyDescent="0.2">
      <c r="A1319" s="4" t="str">
        <f>IF(ポートフォリオ実績!A1320="","", ポートフォリオ実績!A1320)</f>
        <v/>
      </c>
      <c r="B1319" t="str">
        <f>IF(ポートフォリオ実績!B1320="","", ポートフォリオ実績!B1320)</f>
        <v/>
      </c>
      <c r="C1319" s="10" t="str">
        <f>IF(ポートフォリオ実績!C1320="","", ポートフォリオ実績!C1320)</f>
        <v/>
      </c>
      <c r="D1319" s="10" t="str">
        <f>IF(ポートフォリオ実績!D1320="","", ポートフォリオ実績!D1320)</f>
        <v/>
      </c>
      <c r="E1319" s="10" t="str">
        <f>IF(ポートフォリオ実績!E1320="","", ポートフォリオ実績!E1320)</f>
        <v/>
      </c>
      <c r="F1319" s="10" t="str">
        <f>IF(ポートフォリオ実績!F1320="","", ポートフォリオ実績!F1320)</f>
        <v/>
      </c>
      <c r="G1319" t="str">
        <f t="shared" si="220"/>
        <v/>
      </c>
      <c r="H1319">
        <f>IF(B1319&lt;&gt;"", SUMIFS(ポートフォリオ実績!$D$2:$D$2001, ポートフォリオ実績!$B$2:$B$2001, B1319, ポートフォリオ実績!$A$2:$A$2001, G1319), 0)</f>
        <v>0</v>
      </c>
      <c r="I1319">
        <f>IF(B1319&lt;&gt;"", SUMIFS(ポートフォリオ実績!$C$2:$C$2001, ポートフォリオ実績!$B$2:$B$2001, B1319, ポートフォリオ実績!$A$2:$A$2001, G1319), 0)</f>
        <v>0</v>
      </c>
      <c r="J1319">
        <f t="shared" si="221"/>
        <v>0</v>
      </c>
      <c r="K1319">
        <f t="shared" si="222"/>
        <v>0</v>
      </c>
      <c r="L1319">
        <f t="shared" si="223"/>
        <v>0</v>
      </c>
      <c r="M1319">
        <f t="shared" si="224"/>
        <v>0</v>
      </c>
      <c r="N1319">
        <f t="shared" si="225"/>
        <v>0</v>
      </c>
      <c r="O1319">
        <f t="shared" si="226"/>
        <v>0</v>
      </c>
      <c r="P1319" t="str">
        <f t="shared" si="227"/>
        <v/>
      </c>
      <c r="Q1319" t="str">
        <f>IF(B1319="","", IFERROR(VLOOKUP(B1319, '基準資産配分（設定）'!$A$2:$C$2001, 3, FALSE), ""))</f>
        <v/>
      </c>
      <c r="R1319" t="str">
        <f>IF(B1319="","", IFERROR(VLOOKUP(B1319, '基準資産配分（設定）'!$A$2:$C$2001, 2, FALSE)/100, 0))</f>
        <v/>
      </c>
      <c r="S1319" t="str">
        <f>IF(B1319="","", IFERROR(SUMIFS(ベンチマークリターン!$C$2:$C$2001, ベンチマークリターン!$A$2:$A$2001, A1319, ベンチマークリターン!$B$2:$B$2001, Q1319) / 100, 0))</f>
        <v/>
      </c>
      <c r="T1319" t="str">
        <f>IF(A1319="","", SUMIFS($H$2:$H$2000, $A$2:$A$2000, A1319))</f>
        <v/>
      </c>
      <c r="U1319" t="str">
        <f t="shared" si="228"/>
        <v/>
      </c>
      <c r="V1319" t="str">
        <f t="shared" si="229"/>
        <v/>
      </c>
      <c r="W1319" t="str">
        <f t="shared" si="230"/>
        <v/>
      </c>
    </row>
    <row r="1320" spans="1:23" x14ac:dyDescent="0.2">
      <c r="A1320" s="4" t="str">
        <f>IF(ポートフォリオ実績!A1321="","", ポートフォリオ実績!A1321)</f>
        <v/>
      </c>
      <c r="B1320" t="str">
        <f>IF(ポートフォリオ実績!B1321="","", ポートフォリオ実績!B1321)</f>
        <v/>
      </c>
      <c r="C1320" s="10" t="str">
        <f>IF(ポートフォリオ実績!C1321="","", ポートフォリオ実績!C1321)</f>
        <v/>
      </c>
      <c r="D1320" s="10" t="str">
        <f>IF(ポートフォリオ実績!D1321="","", ポートフォリオ実績!D1321)</f>
        <v/>
      </c>
      <c r="E1320" s="10" t="str">
        <f>IF(ポートフォリオ実績!E1321="","", ポートフォリオ実績!E1321)</f>
        <v/>
      </c>
      <c r="F1320" s="10" t="str">
        <f>IF(ポートフォリオ実績!F1321="","", ポートフォリオ実績!F1321)</f>
        <v/>
      </c>
      <c r="G1320" t="str">
        <f t="shared" si="220"/>
        <v/>
      </c>
      <c r="H1320">
        <f>IF(B1320&lt;&gt;"", SUMIFS(ポートフォリオ実績!$D$2:$D$2001, ポートフォリオ実績!$B$2:$B$2001, B1320, ポートフォリオ実績!$A$2:$A$2001, G1320), 0)</f>
        <v>0</v>
      </c>
      <c r="I1320">
        <f>IF(B1320&lt;&gt;"", SUMIFS(ポートフォリオ実績!$C$2:$C$2001, ポートフォリオ実績!$B$2:$B$2001, B1320, ポートフォリオ実績!$A$2:$A$2001, G1320), 0)</f>
        <v>0</v>
      </c>
      <c r="J1320">
        <f t="shared" si="221"/>
        <v>0</v>
      </c>
      <c r="K1320">
        <f t="shared" si="222"/>
        <v>0</v>
      </c>
      <c r="L1320">
        <f t="shared" si="223"/>
        <v>0</v>
      </c>
      <c r="M1320">
        <f t="shared" si="224"/>
        <v>0</v>
      </c>
      <c r="N1320">
        <f t="shared" si="225"/>
        <v>0</v>
      </c>
      <c r="O1320">
        <f t="shared" si="226"/>
        <v>0</v>
      </c>
      <c r="P1320" t="str">
        <f t="shared" si="227"/>
        <v/>
      </c>
      <c r="Q1320" t="str">
        <f>IF(B1320="","", IFERROR(VLOOKUP(B1320, '基準資産配分（設定）'!$A$2:$C$2001, 3, FALSE), ""))</f>
        <v/>
      </c>
      <c r="R1320" t="str">
        <f>IF(B1320="","", IFERROR(VLOOKUP(B1320, '基準資産配分（設定）'!$A$2:$C$2001, 2, FALSE)/100, 0))</f>
        <v/>
      </c>
      <c r="S1320" t="str">
        <f>IF(B1320="","", IFERROR(SUMIFS(ベンチマークリターン!$C$2:$C$2001, ベンチマークリターン!$A$2:$A$2001, A1320, ベンチマークリターン!$B$2:$B$2001, Q1320) / 100, 0))</f>
        <v/>
      </c>
      <c r="T1320" t="str">
        <f>IF(A1320="","", SUMIFS($H$2:$H$2000, $A$2:$A$2000, A1320))</f>
        <v/>
      </c>
      <c r="U1320" t="str">
        <f t="shared" si="228"/>
        <v/>
      </c>
      <c r="V1320" t="str">
        <f t="shared" si="229"/>
        <v/>
      </c>
      <c r="W1320" t="str">
        <f t="shared" si="230"/>
        <v/>
      </c>
    </row>
    <row r="1321" spans="1:23" x14ac:dyDescent="0.2">
      <c r="A1321" s="4" t="str">
        <f>IF(ポートフォリオ実績!A1322="","", ポートフォリオ実績!A1322)</f>
        <v/>
      </c>
      <c r="B1321" t="str">
        <f>IF(ポートフォリオ実績!B1322="","", ポートフォリオ実績!B1322)</f>
        <v/>
      </c>
      <c r="C1321" s="10" t="str">
        <f>IF(ポートフォリオ実績!C1322="","", ポートフォリオ実績!C1322)</f>
        <v/>
      </c>
      <c r="D1321" s="10" t="str">
        <f>IF(ポートフォリオ実績!D1322="","", ポートフォリオ実績!D1322)</f>
        <v/>
      </c>
      <c r="E1321" s="10" t="str">
        <f>IF(ポートフォリオ実績!E1322="","", ポートフォリオ実績!E1322)</f>
        <v/>
      </c>
      <c r="F1321" s="10" t="str">
        <f>IF(ポートフォリオ実績!F1322="","", ポートフォリオ実績!F1322)</f>
        <v/>
      </c>
      <c r="G1321" t="str">
        <f t="shared" si="220"/>
        <v/>
      </c>
      <c r="H1321">
        <f>IF(B1321&lt;&gt;"", SUMIFS(ポートフォリオ実績!$D$2:$D$2001, ポートフォリオ実績!$B$2:$B$2001, B1321, ポートフォリオ実績!$A$2:$A$2001, G1321), 0)</f>
        <v>0</v>
      </c>
      <c r="I1321">
        <f>IF(B1321&lt;&gt;"", SUMIFS(ポートフォリオ実績!$C$2:$C$2001, ポートフォリオ実績!$B$2:$B$2001, B1321, ポートフォリオ実績!$A$2:$A$2001, G1321), 0)</f>
        <v>0</v>
      </c>
      <c r="J1321">
        <f t="shared" si="221"/>
        <v>0</v>
      </c>
      <c r="K1321">
        <f t="shared" si="222"/>
        <v>0</v>
      </c>
      <c r="L1321">
        <f t="shared" si="223"/>
        <v>0</v>
      </c>
      <c r="M1321">
        <f t="shared" si="224"/>
        <v>0</v>
      </c>
      <c r="N1321">
        <f t="shared" si="225"/>
        <v>0</v>
      </c>
      <c r="O1321">
        <f t="shared" si="226"/>
        <v>0</v>
      </c>
      <c r="P1321" t="str">
        <f t="shared" si="227"/>
        <v/>
      </c>
      <c r="Q1321" t="str">
        <f>IF(B1321="","", IFERROR(VLOOKUP(B1321, '基準資産配分（設定）'!$A$2:$C$2001, 3, FALSE), ""))</f>
        <v/>
      </c>
      <c r="R1321" t="str">
        <f>IF(B1321="","", IFERROR(VLOOKUP(B1321, '基準資産配分（設定）'!$A$2:$C$2001, 2, FALSE)/100, 0))</f>
        <v/>
      </c>
      <c r="S1321" t="str">
        <f>IF(B1321="","", IFERROR(SUMIFS(ベンチマークリターン!$C$2:$C$2001, ベンチマークリターン!$A$2:$A$2001, A1321, ベンチマークリターン!$B$2:$B$2001, Q1321) / 100, 0))</f>
        <v/>
      </c>
      <c r="T1321" t="str">
        <f>IF(A1321="","", SUMIFS($H$2:$H$2000, $A$2:$A$2000, A1321))</f>
        <v/>
      </c>
      <c r="U1321" t="str">
        <f t="shared" si="228"/>
        <v/>
      </c>
      <c r="V1321" t="str">
        <f t="shared" si="229"/>
        <v/>
      </c>
      <c r="W1321" t="str">
        <f t="shared" si="230"/>
        <v/>
      </c>
    </row>
    <row r="1322" spans="1:23" x14ac:dyDescent="0.2">
      <c r="A1322" s="4" t="str">
        <f>IF(ポートフォリオ実績!A1323="","", ポートフォリオ実績!A1323)</f>
        <v/>
      </c>
      <c r="B1322" t="str">
        <f>IF(ポートフォリオ実績!B1323="","", ポートフォリオ実績!B1323)</f>
        <v/>
      </c>
      <c r="C1322" s="10" t="str">
        <f>IF(ポートフォリオ実績!C1323="","", ポートフォリオ実績!C1323)</f>
        <v/>
      </c>
      <c r="D1322" s="10" t="str">
        <f>IF(ポートフォリオ実績!D1323="","", ポートフォリオ実績!D1323)</f>
        <v/>
      </c>
      <c r="E1322" s="10" t="str">
        <f>IF(ポートフォリオ実績!E1323="","", ポートフォリオ実績!E1323)</f>
        <v/>
      </c>
      <c r="F1322" s="10" t="str">
        <f>IF(ポートフォリオ実績!F1323="","", ポートフォリオ実績!F1323)</f>
        <v/>
      </c>
      <c r="G1322" t="str">
        <f t="shared" si="220"/>
        <v/>
      </c>
      <c r="H1322">
        <f>IF(B1322&lt;&gt;"", SUMIFS(ポートフォリオ実績!$D$2:$D$2001, ポートフォリオ実績!$B$2:$B$2001, B1322, ポートフォリオ実績!$A$2:$A$2001, G1322), 0)</f>
        <v>0</v>
      </c>
      <c r="I1322">
        <f>IF(B1322&lt;&gt;"", SUMIFS(ポートフォリオ実績!$C$2:$C$2001, ポートフォリオ実績!$B$2:$B$2001, B1322, ポートフォリオ実績!$A$2:$A$2001, G1322), 0)</f>
        <v>0</v>
      </c>
      <c r="J1322">
        <f t="shared" si="221"/>
        <v>0</v>
      </c>
      <c r="K1322">
        <f t="shared" si="222"/>
        <v>0</v>
      </c>
      <c r="L1322">
        <f t="shared" si="223"/>
        <v>0</v>
      </c>
      <c r="M1322">
        <f t="shared" si="224"/>
        <v>0</v>
      </c>
      <c r="N1322">
        <f t="shared" si="225"/>
        <v>0</v>
      </c>
      <c r="O1322">
        <f t="shared" si="226"/>
        <v>0</v>
      </c>
      <c r="P1322" t="str">
        <f t="shared" si="227"/>
        <v/>
      </c>
      <c r="Q1322" t="str">
        <f>IF(B1322="","", IFERROR(VLOOKUP(B1322, '基準資産配分（設定）'!$A$2:$C$2001, 3, FALSE), ""))</f>
        <v/>
      </c>
      <c r="R1322" t="str">
        <f>IF(B1322="","", IFERROR(VLOOKUP(B1322, '基準資産配分（設定）'!$A$2:$C$2001, 2, FALSE)/100, 0))</f>
        <v/>
      </c>
      <c r="S1322" t="str">
        <f>IF(B1322="","", IFERROR(SUMIFS(ベンチマークリターン!$C$2:$C$2001, ベンチマークリターン!$A$2:$A$2001, A1322, ベンチマークリターン!$B$2:$B$2001, Q1322) / 100, 0))</f>
        <v/>
      </c>
      <c r="T1322" t="str">
        <f>IF(A1322="","", SUMIFS($H$2:$H$2000, $A$2:$A$2000, A1322))</f>
        <v/>
      </c>
      <c r="U1322" t="str">
        <f t="shared" si="228"/>
        <v/>
      </c>
      <c r="V1322" t="str">
        <f t="shared" si="229"/>
        <v/>
      </c>
      <c r="W1322" t="str">
        <f t="shared" si="230"/>
        <v/>
      </c>
    </row>
    <row r="1323" spans="1:23" x14ac:dyDescent="0.2">
      <c r="A1323" s="4" t="str">
        <f>IF(ポートフォリオ実績!A1324="","", ポートフォリオ実績!A1324)</f>
        <v/>
      </c>
      <c r="B1323" t="str">
        <f>IF(ポートフォリオ実績!B1324="","", ポートフォリオ実績!B1324)</f>
        <v/>
      </c>
      <c r="C1323" s="10" t="str">
        <f>IF(ポートフォリオ実績!C1324="","", ポートフォリオ実績!C1324)</f>
        <v/>
      </c>
      <c r="D1323" s="10" t="str">
        <f>IF(ポートフォリオ実績!D1324="","", ポートフォリオ実績!D1324)</f>
        <v/>
      </c>
      <c r="E1323" s="10" t="str">
        <f>IF(ポートフォリオ実績!E1324="","", ポートフォリオ実績!E1324)</f>
        <v/>
      </c>
      <c r="F1323" s="10" t="str">
        <f>IF(ポートフォリオ実績!F1324="","", ポートフォリオ実績!F1324)</f>
        <v/>
      </c>
      <c r="G1323" t="str">
        <f t="shared" si="220"/>
        <v/>
      </c>
      <c r="H1323">
        <f>IF(B1323&lt;&gt;"", SUMIFS(ポートフォリオ実績!$D$2:$D$2001, ポートフォリオ実績!$B$2:$B$2001, B1323, ポートフォリオ実績!$A$2:$A$2001, G1323), 0)</f>
        <v>0</v>
      </c>
      <c r="I1323">
        <f>IF(B1323&lt;&gt;"", SUMIFS(ポートフォリオ実績!$C$2:$C$2001, ポートフォリオ実績!$B$2:$B$2001, B1323, ポートフォリオ実績!$A$2:$A$2001, G1323), 0)</f>
        <v>0</v>
      </c>
      <c r="J1323">
        <f t="shared" si="221"/>
        <v>0</v>
      </c>
      <c r="K1323">
        <f t="shared" si="222"/>
        <v>0</v>
      </c>
      <c r="L1323">
        <f t="shared" si="223"/>
        <v>0</v>
      </c>
      <c r="M1323">
        <f t="shared" si="224"/>
        <v>0</v>
      </c>
      <c r="N1323">
        <f t="shared" si="225"/>
        <v>0</v>
      </c>
      <c r="O1323">
        <f t="shared" si="226"/>
        <v>0</v>
      </c>
      <c r="P1323" t="str">
        <f t="shared" si="227"/>
        <v/>
      </c>
      <c r="Q1323" t="str">
        <f>IF(B1323="","", IFERROR(VLOOKUP(B1323, '基準資産配分（設定）'!$A$2:$C$2001, 3, FALSE), ""))</f>
        <v/>
      </c>
      <c r="R1323" t="str">
        <f>IF(B1323="","", IFERROR(VLOOKUP(B1323, '基準資産配分（設定）'!$A$2:$C$2001, 2, FALSE)/100, 0))</f>
        <v/>
      </c>
      <c r="S1323" t="str">
        <f>IF(B1323="","", IFERROR(SUMIFS(ベンチマークリターン!$C$2:$C$2001, ベンチマークリターン!$A$2:$A$2001, A1323, ベンチマークリターン!$B$2:$B$2001, Q1323) / 100, 0))</f>
        <v/>
      </c>
      <c r="T1323" t="str">
        <f>IF(A1323="","", SUMIFS($H$2:$H$2000, $A$2:$A$2000, A1323))</f>
        <v/>
      </c>
      <c r="U1323" t="str">
        <f t="shared" si="228"/>
        <v/>
      </c>
      <c r="V1323" t="str">
        <f t="shared" si="229"/>
        <v/>
      </c>
      <c r="W1323" t="str">
        <f t="shared" si="230"/>
        <v/>
      </c>
    </row>
    <row r="1324" spans="1:23" x14ac:dyDescent="0.2">
      <c r="A1324" s="4" t="str">
        <f>IF(ポートフォリオ実績!A1325="","", ポートフォリオ実績!A1325)</f>
        <v/>
      </c>
      <c r="B1324" t="str">
        <f>IF(ポートフォリオ実績!B1325="","", ポートフォリオ実績!B1325)</f>
        <v/>
      </c>
      <c r="C1324" s="10" t="str">
        <f>IF(ポートフォリオ実績!C1325="","", ポートフォリオ実績!C1325)</f>
        <v/>
      </c>
      <c r="D1324" s="10" t="str">
        <f>IF(ポートフォリオ実績!D1325="","", ポートフォリオ実績!D1325)</f>
        <v/>
      </c>
      <c r="E1324" s="10" t="str">
        <f>IF(ポートフォリオ実績!E1325="","", ポートフォリオ実績!E1325)</f>
        <v/>
      </c>
      <c r="F1324" s="10" t="str">
        <f>IF(ポートフォリオ実績!F1325="","", ポートフォリオ実績!F1325)</f>
        <v/>
      </c>
      <c r="G1324" t="str">
        <f t="shared" si="220"/>
        <v/>
      </c>
      <c r="H1324">
        <f>IF(B1324&lt;&gt;"", SUMIFS(ポートフォリオ実績!$D$2:$D$2001, ポートフォリオ実績!$B$2:$B$2001, B1324, ポートフォリオ実績!$A$2:$A$2001, G1324), 0)</f>
        <v>0</v>
      </c>
      <c r="I1324">
        <f>IF(B1324&lt;&gt;"", SUMIFS(ポートフォリオ実績!$C$2:$C$2001, ポートフォリオ実績!$B$2:$B$2001, B1324, ポートフォリオ実績!$A$2:$A$2001, G1324), 0)</f>
        <v>0</v>
      </c>
      <c r="J1324">
        <f t="shared" si="221"/>
        <v>0</v>
      </c>
      <c r="K1324">
        <f t="shared" si="222"/>
        <v>0</v>
      </c>
      <c r="L1324">
        <f t="shared" si="223"/>
        <v>0</v>
      </c>
      <c r="M1324">
        <f t="shared" si="224"/>
        <v>0</v>
      </c>
      <c r="N1324">
        <f t="shared" si="225"/>
        <v>0</v>
      </c>
      <c r="O1324">
        <f t="shared" si="226"/>
        <v>0</v>
      </c>
      <c r="P1324" t="str">
        <f t="shared" si="227"/>
        <v/>
      </c>
      <c r="Q1324" t="str">
        <f>IF(B1324="","", IFERROR(VLOOKUP(B1324, '基準資産配分（設定）'!$A$2:$C$2001, 3, FALSE), ""))</f>
        <v/>
      </c>
      <c r="R1324" t="str">
        <f>IF(B1324="","", IFERROR(VLOOKUP(B1324, '基準資産配分（設定）'!$A$2:$C$2001, 2, FALSE)/100, 0))</f>
        <v/>
      </c>
      <c r="S1324" t="str">
        <f>IF(B1324="","", IFERROR(SUMIFS(ベンチマークリターン!$C$2:$C$2001, ベンチマークリターン!$A$2:$A$2001, A1324, ベンチマークリターン!$B$2:$B$2001, Q1324) / 100, 0))</f>
        <v/>
      </c>
      <c r="T1324" t="str">
        <f>IF(A1324="","", SUMIFS($H$2:$H$2000, $A$2:$A$2000, A1324))</f>
        <v/>
      </c>
      <c r="U1324" t="str">
        <f t="shared" si="228"/>
        <v/>
      </c>
      <c r="V1324" t="str">
        <f t="shared" si="229"/>
        <v/>
      </c>
      <c r="W1324" t="str">
        <f t="shared" si="230"/>
        <v/>
      </c>
    </row>
    <row r="1325" spans="1:23" x14ac:dyDescent="0.2">
      <c r="A1325" s="4" t="str">
        <f>IF(ポートフォリオ実績!A1326="","", ポートフォリオ実績!A1326)</f>
        <v/>
      </c>
      <c r="B1325" t="str">
        <f>IF(ポートフォリオ実績!B1326="","", ポートフォリオ実績!B1326)</f>
        <v/>
      </c>
      <c r="C1325" s="10" t="str">
        <f>IF(ポートフォリオ実績!C1326="","", ポートフォリオ実績!C1326)</f>
        <v/>
      </c>
      <c r="D1325" s="10" t="str">
        <f>IF(ポートフォリオ実績!D1326="","", ポートフォリオ実績!D1326)</f>
        <v/>
      </c>
      <c r="E1325" s="10" t="str">
        <f>IF(ポートフォリオ実績!E1326="","", ポートフォリオ実績!E1326)</f>
        <v/>
      </c>
      <c r="F1325" s="10" t="str">
        <f>IF(ポートフォリオ実績!F1326="","", ポートフォリオ実績!F1326)</f>
        <v/>
      </c>
      <c r="G1325" t="str">
        <f t="shared" si="220"/>
        <v/>
      </c>
      <c r="H1325">
        <f>IF(B1325&lt;&gt;"", SUMIFS(ポートフォリオ実績!$D$2:$D$2001, ポートフォリオ実績!$B$2:$B$2001, B1325, ポートフォリオ実績!$A$2:$A$2001, G1325), 0)</f>
        <v>0</v>
      </c>
      <c r="I1325">
        <f>IF(B1325&lt;&gt;"", SUMIFS(ポートフォリオ実績!$C$2:$C$2001, ポートフォリオ実績!$B$2:$B$2001, B1325, ポートフォリオ実績!$A$2:$A$2001, G1325), 0)</f>
        <v>0</v>
      </c>
      <c r="J1325">
        <f t="shared" si="221"/>
        <v>0</v>
      </c>
      <c r="K1325">
        <f t="shared" si="222"/>
        <v>0</v>
      </c>
      <c r="L1325">
        <f t="shared" si="223"/>
        <v>0</v>
      </c>
      <c r="M1325">
        <f t="shared" si="224"/>
        <v>0</v>
      </c>
      <c r="N1325">
        <f t="shared" si="225"/>
        <v>0</v>
      </c>
      <c r="O1325">
        <f t="shared" si="226"/>
        <v>0</v>
      </c>
      <c r="P1325" t="str">
        <f t="shared" si="227"/>
        <v/>
      </c>
      <c r="Q1325" t="str">
        <f>IF(B1325="","", IFERROR(VLOOKUP(B1325, '基準資産配分（設定）'!$A$2:$C$2001, 3, FALSE), ""))</f>
        <v/>
      </c>
      <c r="R1325" t="str">
        <f>IF(B1325="","", IFERROR(VLOOKUP(B1325, '基準資産配分（設定）'!$A$2:$C$2001, 2, FALSE)/100, 0))</f>
        <v/>
      </c>
      <c r="S1325" t="str">
        <f>IF(B1325="","", IFERROR(SUMIFS(ベンチマークリターン!$C$2:$C$2001, ベンチマークリターン!$A$2:$A$2001, A1325, ベンチマークリターン!$B$2:$B$2001, Q1325) / 100, 0))</f>
        <v/>
      </c>
      <c r="T1325" t="str">
        <f>IF(A1325="","", SUMIFS($H$2:$H$2000, $A$2:$A$2000, A1325))</f>
        <v/>
      </c>
      <c r="U1325" t="str">
        <f t="shared" si="228"/>
        <v/>
      </c>
      <c r="V1325" t="str">
        <f t="shared" si="229"/>
        <v/>
      </c>
      <c r="W1325" t="str">
        <f t="shared" si="230"/>
        <v/>
      </c>
    </row>
    <row r="1326" spans="1:23" x14ac:dyDescent="0.2">
      <c r="A1326" s="4" t="str">
        <f>IF(ポートフォリオ実績!A1327="","", ポートフォリオ実績!A1327)</f>
        <v/>
      </c>
      <c r="B1326" t="str">
        <f>IF(ポートフォリオ実績!B1327="","", ポートフォリオ実績!B1327)</f>
        <v/>
      </c>
      <c r="C1326" s="10" t="str">
        <f>IF(ポートフォリオ実績!C1327="","", ポートフォリオ実績!C1327)</f>
        <v/>
      </c>
      <c r="D1326" s="10" t="str">
        <f>IF(ポートフォリオ実績!D1327="","", ポートフォリオ実績!D1327)</f>
        <v/>
      </c>
      <c r="E1326" s="10" t="str">
        <f>IF(ポートフォリオ実績!E1327="","", ポートフォリオ実績!E1327)</f>
        <v/>
      </c>
      <c r="F1326" s="10" t="str">
        <f>IF(ポートフォリオ実績!F1327="","", ポートフォリオ実績!F1327)</f>
        <v/>
      </c>
      <c r="G1326" t="str">
        <f t="shared" si="220"/>
        <v/>
      </c>
      <c r="H1326">
        <f>IF(B1326&lt;&gt;"", SUMIFS(ポートフォリオ実績!$D$2:$D$2001, ポートフォリオ実績!$B$2:$B$2001, B1326, ポートフォリオ実績!$A$2:$A$2001, G1326), 0)</f>
        <v>0</v>
      </c>
      <c r="I1326">
        <f>IF(B1326&lt;&gt;"", SUMIFS(ポートフォリオ実績!$C$2:$C$2001, ポートフォリオ実績!$B$2:$B$2001, B1326, ポートフォリオ実績!$A$2:$A$2001, G1326), 0)</f>
        <v>0</v>
      </c>
      <c r="J1326">
        <f t="shared" si="221"/>
        <v>0</v>
      </c>
      <c r="K1326">
        <f t="shared" si="222"/>
        <v>0</v>
      </c>
      <c r="L1326">
        <f t="shared" si="223"/>
        <v>0</v>
      </c>
      <c r="M1326">
        <f t="shared" si="224"/>
        <v>0</v>
      </c>
      <c r="N1326">
        <f t="shared" si="225"/>
        <v>0</v>
      </c>
      <c r="O1326">
        <f t="shared" si="226"/>
        <v>0</v>
      </c>
      <c r="P1326" t="str">
        <f t="shared" si="227"/>
        <v/>
      </c>
      <c r="Q1326" t="str">
        <f>IF(B1326="","", IFERROR(VLOOKUP(B1326, '基準資産配分（設定）'!$A$2:$C$2001, 3, FALSE), ""))</f>
        <v/>
      </c>
      <c r="R1326" t="str">
        <f>IF(B1326="","", IFERROR(VLOOKUP(B1326, '基準資産配分（設定）'!$A$2:$C$2001, 2, FALSE)/100, 0))</f>
        <v/>
      </c>
      <c r="S1326" t="str">
        <f>IF(B1326="","", IFERROR(SUMIFS(ベンチマークリターン!$C$2:$C$2001, ベンチマークリターン!$A$2:$A$2001, A1326, ベンチマークリターン!$B$2:$B$2001, Q1326) / 100, 0))</f>
        <v/>
      </c>
      <c r="T1326" t="str">
        <f>IF(A1326="","", SUMIFS($H$2:$H$2000, $A$2:$A$2000, A1326))</f>
        <v/>
      </c>
      <c r="U1326" t="str">
        <f t="shared" si="228"/>
        <v/>
      </c>
      <c r="V1326" t="str">
        <f t="shared" si="229"/>
        <v/>
      </c>
      <c r="W1326" t="str">
        <f t="shared" si="230"/>
        <v/>
      </c>
    </row>
    <row r="1327" spans="1:23" x14ac:dyDescent="0.2">
      <c r="A1327" s="4" t="str">
        <f>IF(ポートフォリオ実績!A1328="","", ポートフォリオ実績!A1328)</f>
        <v/>
      </c>
      <c r="B1327" t="str">
        <f>IF(ポートフォリオ実績!B1328="","", ポートフォリオ実績!B1328)</f>
        <v/>
      </c>
      <c r="C1327" s="10" t="str">
        <f>IF(ポートフォリオ実績!C1328="","", ポートフォリオ実績!C1328)</f>
        <v/>
      </c>
      <c r="D1327" s="10" t="str">
        <f>IF(ポートフォリオ実績!D1328="","", ポートフォリオ実績!D1328)</f>
        <v/>
      </c>
      <c r="E1327" s="10" t="str">
        <f>IF(ポートフォリオ実績!E1328="","", ポートフォリオ実績!E1328)</f>
        <v/>
      </c>
      <c r="F1327" s="10" t="str">
        <f>IF(ポートフォリオ実績!F1328="","", ポートフォリオ実績!F1328)</f>
        <v/>
      </c>
      <c r="G1327" t="str">
        <f t="shared" si="220"/>
        <v/>
      </c>
      <c r="H1327">
        <f>IF(B1327&lt;&gt;"", SUMIFS(ポートフォリオ実績!$D$2:$D$2001, ポートフォリオ実績!$B$2:$B$2001, B1327, ポートフォリオ実績!$A$2:$A$2001, G1327), 0)</f>
        <v>0</v>
      </c>
      <c r="I1327">
        <f>IF(B1327&lt;&gt;"", SUMIFS(ポートフォリオ実績!$C$2:$C$2001, ポートフォリオ実績!$B$2:$B$2001, B1327, ポートフォリオ実績!$A$2:$A$2001, G1327), 0)</f>
        <v>0</v>
      </c>
      <c r="J1327">
        <f t="shared" si="221"/>
        <v>0</v>
      </c>
      <c r="K1327">
        <f t="shared" si="222"/>
        <v>0</v>
      </c>
      <c r="L1327">
        <f t="shared" si="223"/>
        <v>0</v>
      </c>
      <c r="M1327">
        <f t="shared" si="224"/>
        <v>0</v>
      </c>
      <c r="N1327">
        <f t="shared" si="225"/>
        <v>0</v>
      </c>
      <c r="O1327">
        <f t="shared" si="226"/>
        <v>0</v>
      </c>
      <c r="P1327" t="str">
        <f t="shared" si="227"/>
        <v/>
      </c>
      <c r="Q1327" t="str">
        <f>IF(B1327="","", IFERROR(VLOOKUP(B1327, '基準資産配分（設定）'!$A$2:$C$2001, 3, FALSE), ""))</f>
        <v/>
      </c>
      <c r="R1327" t="str">
        <f>IF(B1327="","", IFERROR(VLOOKUP(B1327, '基準資産配分（設定）'!$A$2:$C$2001, 2, FALSE)/100, 0))</f>
        <v/>
      </c>
      <c r="S1327" t="str">
        <f>IF(B1327="","", IFERROR(SUMIFS(ベンチマークリターン!$C$2:$C$2001, ベンチマークリターン!$A$2:$A$2001, A1327, ベンチマークリターン!$B$2:$B$2001, Q1327) / 100, 0))</f>
        <v/>
      </c>
      <c r="T1327" t="str">
        <f>IF(A1327="","", SUMIFS($H$2:$H$2000, $A$2:$A$2000, A1327))</f>
        <v/>
      </c>
      <c r="U1327" t="str">
        <f t="shared" si="228"/>
        <v/>
      </c>
      <c r="V1327" t="str">
        <f t="shared" si="229"/>
        <v/>
      </c>
      <c r="W1327" t="str">
        <f t="shared" si="230"/>
        <v/>
      </c>
    </row>
    <row r="1328" spans="1:23" x14ac:dyDescent="0.2">
      <c r="A1328" s="4" t="str">
        <f>IF(ポートフォリオ実績!A1329="","", ポートフォリオ実績!A1329)</f>
        <v/>
      </c>
      <c r="B1328" t="str">
        <f>IF(ポートフォリオ実績!B1329="","", ポートフォリオ実績!B1329)</f>
        <v/>
      </c>
      <c r="C1328" s="10" t="str">
        <f>IF(ポートフォリオ実績!C1329="","", ポートフォリオ実績!C1329)</f>
        <v/>
      </c>
      <c r="D1328" s="10" t="str">
        <f>IF(ポートフォリオ実績!D1329="","", ポートフォリオ実績!D1329)</f>
        <v/>
      </c>
      <c r="E1328" s="10" t="str">
        <f>IF(ポートフォリオ実績!E1329="","", ポートフォリオ実績!E1329)</f>
        <v/>
      </c>
      <c r="F1328" s="10" t="str">
        <f>IF(ポートフォリオ実績!F1329="","", ポートフォリオ実績!F1329)</f>
        <v/>
      </c>
      <c r="G1328" t="str">
        <f t="shared" si="220"/>
        <v/>
      </c>
      <c r="H1328">
        <f>IF(B1328&lt;&gt;"", SUMIFS(ポートフォリオ実績!$D$2:$D$2001, ポートフォリオ実績!$B$2:$B$2001, B1328, ポートフォリオ実績!$A$2:$A$2001, G1328), 0)</f>
        <v>0</v>
      </c>
      <c r="I1328">
        <f>IF(B1328&lt;&gt;"", SUMIFS(ポートフォリオ実績!$C$2:$C$2001, ポートフォリオ実績!$B$2:$B$2001, B1328, ポートフォリオ実績!$A$2:$A$2001, G1328), 0)</f>
        <v>0</v>
      </c>
      <c r="J1328">
        <f t="shared" si="221"/>
        <v>0</v>
      </c>
      <c r="K1328">
        <f t="shared" si="222"/>
        <v>0</v>
      </c>
      <c r="L1328">
        <f t="shared" si="223"/>
        <v>0</v>
      </c>
      <c r="M1328">
        <f t="shared" si="224"/>
        <v>0</v>
      </c>
      <c r="N1328">
        <f t="shared" si="225"/>
        <v>0</v>
      </c>
      <c r="O1328">
        <f t="shared" si="226"/>
        <v>0</v>
      </c>
      <c r="P1328" t="str">
        <f t="shared" si="227"/>
        <v/>
      </c>
      <c r="Q1328" t="str">
        <f>IF(B1328="","", IFERROR(VLOOKUP(B1328, '基準資産配分（設定）'!$A$2:$C$2001, 3, FALSE), ""))</f>
        <v/>
      </c>
      <c r="R1328" t="str">
        <f>IF(B1328="","", IFERROR(VLOOKUP(B1328, '基準資産配分（設定）'!$A$2:$C$2001, 2, FALSE)/100, 0))</f>
        <v/>
      </c>
      <c r="S1328" t="str">
        <f>IF(B1328="","", IFERROR(SUMIFS(ベンチマークリターン!$C$2:$C$2001, ベンチマークリターン!$A$2:$A$2001, A1328, ベンチマークリターン!$B$2:$B$2001, Q1328) / 100, 0))</f>
        <v/>
      </c>
      <c r="T1328" t="str">
        <f>IF(A1328="","", SUMIFS($H$2:$H$2000, $A$2:$A$2000, A1328))</f>
        <v/>
      </c>
      <c r="U1328" t="str">
        <f t="shared" si="228"/>
        <v/>
      </c>
      <c r="V1328" t="str">
        <f t="shared" si="229"/>
        <v/>
      </c>
      <c r="W1328" t="str">
        <f t="shared" si="230"/>
        <v/>
      </c>
    </row>
    <row r="1329" spans="1:23" x14ac:dyDescent="0.2">
      <c r="A1329" s="4" t="str">
        <f>IF(ポートフォリオ実績!A1330="","", ポートフォリオ実績!A1330)</f>
        <v/>
      </c>
      <c r="B1329" t="str">
        <f>IF(ポートフォリオ実績!B1330="","", ポートフォリオ実績!B1330)</f>
        <v/>
      </c>
      <c r="C1329" s="10" t="str">
        <f>IF(ポートフォリオ実績!C1330="","", ポートフォリオ実績!C1330)</f>
        <v/>
      </c>
      <c r="D1329" s="10" t="str">
        <f>IF(ポートフォリオ実績!D1330="","", ポートフォリオ実績!D1330)</f>
        <v/>
      </c>
      <c r="E1329" s="10" t="str">
        <f>IF(ポートフォリオ実績!E1330="","", ポートフォリオ実績!E1330)</f>
        <v/>
      </c>
      <c r="F1329" s="10" t="str">
        <f>IF(ポートフォリオ実績!F1330="","", ポートフォリオ実績!F1330)</f>
        <v/>
      </c>
      <c r="G1329" t="str">
        <f t="shared" si="220"/>
        <v/>
      </c>
      <c r="H1329">
        <f>IF(B1329&lt;&gt;"", SUMIFS(ポートフォリオ実績!$D$2:$D$2001, ポートフォリオ実績!$B$2:$B$2001, B1329, ポートフォリオ実績!$A$2:$A$2001, G1329), 0)</f>
        <v>0</v>
      </c>
      <c r="I1329">
        <f>IF(B1329&lt;&gt;"", SUMIFS(ポートフォリオ実績!$C$2:$C$2001, ポートフォリオ実績!$B$2:$B$2001, B1329, ポートフォリオ実績!$A$2:$A$2001, G1329), 0)</f>
        <v>0</v>
      </c>
      <c r="J1329">
        <f t="shared" si="221"/>
        <v>0</v>
      </c>
      <c r="K1329">
        <f t="shared" si="222"/>
        <v>0</v>
      </c>
      <c r="L1329">
        <f t="shared" si="223"/>
        <v>0</v>
      </c>
      <c r="M1329">
        <f t="shared" si="224"/>
        <v>0</v>
      </c>
      <c r="N1329">
        <f t="shared" si="225"/>
        <v>0</v>
      </c>
      <c r="O1329">
        <f t="shared" si="226"/>
        <v>0</v>
      </c>
      <c r="P1329" t="str">
        <f t="shared" si="227"/>
        <v/>
      </c>
      <c r="Q1329" t="str">
        <f>IF(B1329="","", IFERROR(VLOOKUP(B1329, '基準資産配分（設定）'!$A$2:$C$2001, 3, FALSE), ""))</f>
        <v/>
      </c>
      <c r="R1329" t="str">
        <f>IF(B1329="","", IFERROR(VLOOKUP(B1329, '基準資産配分（設定）'!$A$2:$C$2001, 2, FALSE)/100, 0))</f>
        <v/>
      </c>
      <c r="S1329" t="str">
        <f>IF(B1329="","", IFERROR(SUMIFS(ベンチマークリターン!$C$2:$C$2001, ベンチマークリターン!$A$2:$A$2001, A1329, ベンチマークリターン!$B$2:$B$2001, Q1329) / 100, 0))</f>
        <v/>
      </c>
      <c r="T1329" t="str">
        <f>IF(A1329="","", SUMIFS($H$2:$H$2000, $A$2:$A$2000, A1329))</f>
        <v/>
      </c>
      <c r="U1329" t="str">
        <f t="shared" si="228"/>
        <v/>
      </c>
      <c r="V1329" t="str">
        <f t="shared" si="229"/>
        <v/>
      </c>
      <c r="W1329" t="str">
        <f t="shared" si="230"/>
        <v/>
      </c>
    </row>
    <row r="1330" spans="1:23" x14ac:dyDescent="0.2">
      <c r="A1330" s="4" t="str">
        <f>IF(ポートフォリオ実績!A1331="","", ポートフォリオ実績!A1331)</f>
        <v/>
      </c>
      <c r="B1330" t="str">
        <f>IF(ポートフォリオ実績!B1331="","", ポートフォリオ実績!B1331)</f>
        <v/>
      </c>
      <c r="C1330" s="10" t="str">
        <f>IF(ポートフォリオ実績!C1331="","", ポートフォリオ実績!C1331)</f>
        <v/>
      </c>
      <c r="D1330" s="10" t="str">
        <f>IF(ポートフォリオ実績!D1331="","", ポートフォリオ実績!D1331)</f>
        <v/>
      </c>
      <c r="E1330" s="10" t="str">
        <f>IF(ポートフォリオ実績!E1331="","", ポートフォリオ実績!E1331)</f>
        <v/>
      </c>
      <c r="F1330" s="10" t="str">
        <f>IF(ポートフォリオ実績!F1331="","", ポートフォリオ実績!F1331)</f>
        <v/>
      </c>
      <c r="G1330" t="str">
        <f t="shared" si="220"/>
        <v/>
      </c>
      <c r="H1330">
        <f>IF(B1330&lt;&gt;"", SUMIFS(ポートフォリオ実績!$D$2:$D$2001, ポートフォリオ実績!$B$2:$B$2001, B1330, ポートフォリオ実績!$A$2:$A$2001, G1330), 0)</f>
        <v>0</v>
      </c>
      <c r="I1330">
        <f>IF(B1330&lt;&gt;"", SUMIFS(ポートフォリオ実績!$C$2:$C$2001, ポートフォリオ実績!$B$2:$B$2001, B1330, ポートフォリオ実績!$A$2:$A$2001, G1330), 0)</f>
        <v>0</v>
      </c>
      <c r="J1330">
        <f t="shared" si="221"/>
        <v>0</v>
      </c>
      <c r="K1330">
        <f t="shared" si="222"/>
        <v>0</v>
      </c>
      <c r="L1330">
        <f t="shared" si="223"/>
        <v>0</v>
      </c>
      <c r="M1330">
        <f t="shared" si="224"/>
        <v>0</v>
      </c>
      <c r="N1330">
        <f t="shared" si="225"/>
        <v>0</v>
      </c>
      <c r="O1330">
        <f t="shared" si="226"/>
        <v>0</v>
      </c>
      <c r="P1330" t="str">
        <f t="shared" si="227"/>
        <v/>
      </c>
      <c r="Q1330" t="str">
        <f>IF(B1330="","", IFERROR(VLOOKUP(B1330, '基準資産配分（設定）'!$A$2:$C$2001, 3, FALSE), ""))</f>
        <v/>
      </c>
      <c r="R1330" t="str">
        <f>IF(B1330="","", IFERROR(VLOOKUP(B1330, '基準資産配分（設定）'!$A$2:$C$2001, 2, FALSE)/100, 0))</f>
        <v/>
      </c>
      <c r="S1330" t="str">
        <f>IF(B1330="","", IFERROR(SUMIFS(ベンチマークリターン!$C$2:$C$2001, ベンチマークリターン!$A$2:$A$2001, A1330, ベンチマークリターン!$B$2:$B$2001, Q1330) / 100, 0))</f>
        <v/>
      </c>
      <c r="T1330" t="str">
        <f>IF(A1330="","", SUMIFS($H$2:$H$2000, $A$2:$A$2000, A1330))</f>
        <v/>
      </c>
      <c r="U1330" t="str">
        <f t="shared" si="228"/>
        <v/>
      </c>
      <c r="V1330" t="str">
        <f t="shared" si="229"/>
        <v/>
      </c>
      <c r="W1330" t="str">
        <f t="shared" si="230"/>
        <v/>
      </c>
    </row>
    <row r="1331" spans="1:23" x14ac:dyDescent="0.2">
      <c r="A1331" s="4" t="str">
        <f>IF(ポートフォリオ実績!A1332="","", ポートフォリオ実績!A1332)</f>
        <v/>
      </c>
      <c r="B1331" t="str">
        <f>IF(ポートフォリオ実績!B1332="","", ポートフォリオ実績!B1332)</f>
        <v/>
      </c>
      <c r="C1331" s="10" t="str">
        <f>IF(ポートフォリオ実績!C1332="","", ポートフォリオ実績!C1332)</f>
        <v/>
      </c>
      <c r="D1331" s="10" t="str">
        <f>IF(ポートフォリオ実績!D1332="","", ポートフォリオ実績!D1332)</f>
        <v/>
      </c>
      <c r="E1331" s="10" t="str">
        <f>IF(ポートフォリオ実績!E1332="","", ポートフォリオ実績!E1332)</f>
        <v/>
      </c>
      <c r="F1331" s="10" t="str">
        <f>IF(ポートフォリオ実績!F1332="","", ポートフォリオ実績!F1332)</f>
        <v/>
      </c>
      <c r="G1331" t="str">
        <f t="shared" si="220"/>
        <v/>
      </c>
      <c r="H1331">
        <f>IF(B1331&lt;&gt;"", SUMIFS(ポートフォリオ実績!$D$2:$D$2001, ポートフォリオ実績!$B$2:$B$2001, B1331, ポートフォリオ実績!$A$2:$A$2001, G1331), 0)</f>
        <v>0</v>
      </c>
      <c r="I1331">
        <f>IF(B1331&lt;&gt;"", SUMIFS(ポートフォリオ実績!$C$2:$C$2001, ポートフォリオ実績!$B$2:$B$2001, B1331, ポートフォリオ実績!$A$2:$A$2001, G1331), 0)</f>
        <v>0</v>
      </c>
      <c r="J1331">
        <f t="shared" si="221"/>
        <v>0</v>
      </c>
      <c r="K1331">
        <f t="shared" si="222"/>
        <v>0</v>
      </c>
      <c r="L1331">
        <f t="shared" si="223"/>
        <v>0</v>
      </c>
      <c r="M1331">
        <f t="shared" si="224"/>
        <v>0</v>
      </c>
      <c r="N1331">
        <f t="shared" si="225"/>
        <v>0</v>
      </c>
      <c r="O1331">
        <f t="shared" si="226"/>
        <v>0</v>
      </c>
      <c r="P1331" t="str">
        <f t="shared" si="227"/>
        <v/>
      </c>
      <c r="Q1331" t="str">
        <f>IF(B1331="","", IFERROR(VLOOKUP(B1331, '基準資産配分（設定）'!$A$2:$C$2001, 3, FALSE), ""))</f>
        <v/>
      </c>
      <c r="R1331" t="str">
        <f>IF(B1331="","", IFERROR(VLOOKUP(B1331, '基準資産配分（設定）'!$A$2:$C$2001, 2, FALSE)/100, 0))</f>
        <v/>
      </c>
      <c r="S1331" t="str">
        <f>IF(B1331="","", IFERROR(SUMIFS(ベンチマークリターン!$C$2:$C$2001, ベンチマークリターン!$A$2:$A$2001, A1331, ベンチマークリターン!$B$2:$B$2001, Q1331) / 100, 0))</f>
        <v/>
      </c>
      <c r="T1331" t="str">
        <f>IF(A1331="","", SUMIFS($H$2:$H$2000, $A$2:$A$2000, A1331))</f>
        <v/>
      </c>
      <c r="U1331" t="str">
        <f t="shared" si="228"/>
        <v/>
      </c>
      <c r="V1331" t="str">
        <f t="shared" si="229"/>
        <v/>
      </c>
      <c r="W1331" t="str">
        <f t="shared" si="230"/>
        <v/>
      </c>
    </row>
    <row r="1332" spans="1:23" x14ac:dyDescent="0.2">
      <c r="A1332" s="4" t="str">
        <f>IF(ポートフォリオ実績!A1333="","", ポートフォリオ実績!A1333)</f>
        <v/>
      </c>
      <c r="B1332" t="str">
        <f>IF(ポートフォリオ実績!B1333="","", ポートフォリオ実績!B1333)</f>
        <v/>
      </c>
      <c r="C1332" s="10" t="str">
        <f>IF(ポートフォリオ実績!C1333="","", ポートフォリオ実績!C1333)</f>
        <v/>
      </c>
      <c r="D1332" s="10" t="str">
        <f>IF(ポートフォリオ実績!D1333="","", ポートフォリオ実績!D1333)</f>
        <v/>
      </c>
      <c r="E1332" s="10" t="str">
        <f>IF(ポートフォリオ実績!E1333="","", ポートフォリオ実績!E1333)</f>
        <v/>
      </c>
      <c r="F1332" s="10" t="str">
        <f>IF(ポートフォリオ実績!F1333="","", ポートフォリオ実績!F1333)</f>
        <v/>
      </c>
      <c r="G1332" t="str">
        <f t="shared" si="220"/>
        <v/>
      </c>
      <c r="H1332">
        <f>IF(B1332&lt;&gt;"", SUMIFS(ポートフォリオ実績!$D$2:$D$2001, ポートフォリオ実績!$B$2:$B$2001, B1332, ポートフォリオ実績!$A$2:$A$2001, G1332), 0)</f>
        <v>0</v>
      </c>
      <c r="I1332">
        <f>IF(B1332&lt;&gt;"", SUMIFS(ポートフォリオ実績!$C$2:$C$2001, ポートフォリオ実績!$B$2:$B$2001, B1332, ポートフォリオ実績!$A$2:$A$2001, G1332), 0)</f>
        <v>0</v>
      </c>
      <c r="J1332">
        <f t="shared" si="221"/>
        <v>0</v>
      </c>
      <c r="K1332">
        <f t="shared" si="222"/>
        <v>0</v>
      </c>
      <c r="L1332">
        <f t="shared" si="223"/>
        <v>0</v>
      </c>
      <c r="M1332">
        <f t="shared" si="224"/>
        <v>0</v>
      </c>
      <c r="N1332">
        <f t="shared" si="225"/>
        <v>0</v>
      </c>
      <c r="O1332">
        <f t="shared" si="226"/>
        <v>0</v>
      </c>
      <c r="P1332" t="str">
        <f t="shared" si="227"/>
        <v/>
      </c>
      <c r="Q1332" t="str">
        <f>IF(B1332="","", IFERROR(VLOOKUP(B1332, '基準資産配分（設定）'!$A$2:$C$2001, 3, FALSE), ""))</f>
        <v/>
      </c>
      <c r="R1332" t="str">
        <f>IF(B1332="","", IFERROR(VLOOKUP(B1332, '基準資産配分（設定）'!$A$2:$C$2001, 2, FALSE)/100, 0))</f>
        <v/>
      </c>
      <c r="S1332" t="str">
        <f>IF(B1332="","", IFERROR(SUMIFS(ベンチマークリターン!$C$2:$C$2001, ベンチマークリターン!$A$2:$A$2001, A1332, ベンチマークリターン!$B$2:$B$2001, Q1332) / 100, 0))</f>
        <v/>
      </c>
      <c r="T1332" t="str">
        <f>IF(A1332="","", SUMIFS($H$2:$H$2000, $A$2:$A$2000, A1332))</f>
        <v/>
      </c>
      <c r="U1332" t="str">
        <f t="shared" si="228"/>
        <v/>
      </c>
      <c r="V1332" t="str">
        <f t="shared" si="229"/>
        <v/>
      </c>
      <c r="W1332" t="str">
        <f t="shared" si="230"/>
        <v/>
      </c>
    </row>
    <row r="1333" spans="1:23" x14ac:dyDescent="0.2">
      <c r="A1333" s="4" t="str">
        <f>IF(ポートフォリオ実績!A1334="","", ポートフォリオ実績!A1334)</f>
        <v/>
      </c>
      <c r="B1333" t="str">
        <f>IF(ポートフォリオ実績!B1334="","", ポートフォリオ実績!B1334)</f>
        <v/>
      </c>
      <c r="C1333" s="10" t="str">
        <f>IF(ポートフォリオ実績!C1334="","", ポートフォリオ実績!C1334)</f>
        <v/>
      </c>
      <c r="D1333" s="10" t="str">
        <f>IF(ポートフォリオ実績!D1334="","", ポートフォリオ実績!D1334)</f>
        <v/>
      </c>
      <c r="E1333" s="10" t="str">
        <f>IF(ポートフォリオ実績!E1334="","", ポートフォリオ実績!E1334)</f>
        <v/>
      </c>
      <c r="F1333" s="10" t="str">
        <f>IF(ポートフォリオ実績!F1334="","", ポートフォリオ実績!F1334)</f>
        <v/>
      </c>
      <c r="G1333" t="str">
        <f t="shared" si="220"/>
        <v/>
      </c>
      <c r="H1333">
        <f>IF(B1333&lt;&gt;"", SUMIFS(ポートフォリオ実績!$D$2:$D$2001, ポートフォリオ実績!$B$2:$B$2001, B1333, ポートフォリオ実績!$A$2:$A$2001, G1333), 0)</f>
        <v>0</v>
      </c>
      <c r="I1333">
        <f>IF(B1333&lt;&gt;"", SUMIFS(ポートフォリオ実績!$C$2:$C$2001, ポートフォリオ実績!$B$2:$B$2001, B1333, ポートフォリオ実績!$A$2:$A$2001, G1333), 0)</f>
        <v>0</v>
      </c>
      <c r="J1333">
        <f t="shared" si="221"/>
        <v>0</v>
      </c>
      <c r="K1333">
        <f t="shared" si="222"/>
        <v>0</v>
      </c>
      <c r="L1333">
        <f t="shared" si="223"/>
        <v>0</v>
      </c>
      <c r="M1333">
        <f t="shared" si="224"/>
        <v>0</v>
      </c>
      <c r="N1333">
        <f t="shared" si="225"/>
        <v>0</v>
      </c>
      <c r="O1333">
        <f t="shared" si="226"/>
        <v>0</v>
      </c>
      <c r="P1333" t="str">
        <f t="shared" si="227"/>
        <v/>
      </c>
      <c r="Q1333" t="str">
        <f>IF(B1333="","", IFERROR(VLOOKUP(B1333, '基準資産配分（設定）'!$A$2:$C$2001, 3, FALSE), ""))</f>
        <v/>
      </c>
      <c r="R1333" t="str">
        <f>IF(B1333="","", IFERROR(VLOOKUP(B1333, '基準資産配分（設定）'!$A$2:$C$2001, 2, FALSE)/100, 0))</f>
        <v/>
      </c>
      <c r="S1333" t="str">
        <f>IF(B1333="","", IFERROR(SUMIFS(ベンチマークリターン!$C$2:$C$2001, ベンチマークリターン!$A$2:$A$2001, A1333, ベンチマークリターン!$B$2:$B$2001, Q1333) / 100, 0))</f>
        <v/>
      </c>
      <c r="T1333" t="str">
        <f>IF(A1333="","", SUMIFS($H$2:$H$2000, $A$2:$A$2000, A1333))</f>
        <v/>
      </c>
      <c r="U1333" t="str">
        <f t="shared" si="228"/>
        <v/>
      </c>
      <c r="V1333" t="str">
        <f t="shared" si="229"/>
        <v/>
      </c>
      <c r="W1333" t="str">
        <f t="shared" si="230"/>
        <v/>
      </c>
    </row>
    <row r="1334" spans="1:23" x14ac:dyDescent="0.2">
      <c r="A1334" s="4" t="str">
        <f>IF(ポートフォリオ実績!A1335="","", ポートフォリオ実績!A1335)</f>
        <v/>
      </c>
      <c r="B1334" t="str">
        <f>IF(ポートフォリオ実績!B1335="","", ポートフォリオ実績!B1335)</f>
        <v/>
      </c>
      <c r="C1334" s="10" t="str">
        <f>IF(ポートフォリオ実績!C1335="","", ポートフォリオ実績!C1335)</f>
        <v/>
      </c>
      <c r="D1334" s="10" t="str">
        <f>IF(ポートフォリオ実績!D1335="","", ポートフォリオ実績!D1335)</f>
        <v/>
      </c>
      <c r="E1334" s="10" t="str">
        <f>IF(ポートフォリオ実績!E1335="","", ポートフォリオ実績!E1335)</f>
        <v/>
      </c>
      <c r="F1334" s="10" t="str">
        <f>IF(ポートフォリオ実績!F1335="","", ポートフォリオ実績!F1335)</f>
        <v/>
      </c>
      <c r="G1334" t="str">
        <f t="shared" si="220"/>
        <v/>
      </c>
      <c r="H1334">
        <f>IF(B1334&lt;&gt;"", SUMIFS(ポートフォリオ実績!$D$2:$D$2001, ポートフォリオ実績!$B$2:$B$2001, B1334, ポートフォリオ実績!$A$2:$A$2001, G1334), 0)</f>
        <v>0</v>
      </c>
      <c r="I1334">
        <f>IF(B1334&lt;&gt;"", SUMIFS(ポートフォリオ実績!$C$2:$C$2001, ポートフォリオ実績!$B$2:$B$2001, B1334, ポートフォリオ実績!$A$2:$A$2001, G1334), 0)</f>
        <v>0</v>
      </c>
      <c r="J1334">
        <f t="shared" si="221"/>
        <v>0</v>
      </c>
      <c r="K1334">
        <f t="shared" si="222"/>
        <v>0</v>
      </c>
      <c r="L1334">
        <f t="shared" si="223"/>
        <v>0</v>
      </c>
      <c r="M1334">
        <f t="shared" si="224"/>
        <v>0</v>
      </c>
      <c r="N1334">
        <f t="shared" si="225"/>
        <v>0</v>
      </c>
      <c r="O1334">
        <f t="shared" si="226"/>
        <v>0</v>
      </c>
      <c r="P1334" t="str">
        <f t="shared" si="227"/>
        <v/>
      </c>
      <c r="Q1334" t="str">
        <f>IF(B1334="","", IFERROR(VLOOKUP(B1334, '基準資産配分（設定）'!$A$2:$C$2001, 3, FALSE), ""))</f>
        <v/>
      </c>
      <c r="R1334" t="str">
        <f>IF(B1334="","", IFERROR(VLOOKUP(B1334, '基準資産配分（設定）'!$A$2:$C$2001, 2, FALSE)/100, 0))</f>
        <v/>
      </c>
      <c r="S1334" t="str">
        <f>IF(B1334="","", IFERROR(SUMIFS(ベンチマークリターン!$C$2:$C$2001, ベンチマークリターン!$A$2:$A$2001, A1334, ベンチマークリターン!$B$2:$B$2001, Q1334) / 100, 0))</f>
        <v/>
      </c>
      <c r="T1334" t="str">
        <f>IF(A1334="","", SUMIFS($H$2:$H$2000, $A$2:$A$2000, A1334))</f>
        <v/>
      </c>
      <c r="U1334" t="str">
        <f t="shared" si="228"/>
        <v/>
      </c>
      <c r="V1334" t="str">
        <f t="shared" si="229"/>
        <v/>
      </c>
      <c r="W1334" t="str">
        <f t="shared" si="230"/>
        <v/>
      </c>
    </row>
    <row r="1335" spans="1:23" x14ac:dyDescent="0.2">
      <c r="A1335" s="4" t="str">
        <f>IF(ポートフォリオ実績!A1336="","", ポートフォリオ実績!A1336)</f>
        <v/>
      </c>
      <c r="B1335" t="str">
        <f>IF(ポートフォリオ実績!B1336="","", ポートフォリオ実績!B1336)</f>
        <v/>
      </c>
      <c r="C1335" s="10" t="str">
        <f>IF(ポートフォリオ実績!C1336="","", ポートフォリオ実績!C1336)</f>
        <v/>
      </c>
      <c r="D1335" s="10" t="str">
        <f>IF(ポートフォリオ実績!D1336="","", ポートフォリオ実績!D1336)</f>
        <v/>
      </c>
      <c r="E1335" s="10" t="str">
        <f>IF(ポートフォリオ実績!E1336="","", ポートフォリオ実績!E1336)</f>
        <v/>
      </c>
      <c r="F1335" s="10" t="str">
        <f>IF(ポートフォリオ実績!F1336="","", ポートフォリオ実績!F1336)</f>
        <v/>
      </c>
      <c r="G1335" t="str">
        <f t="shared" si="220"/>
        <v/>
      </c>
      <c r="H1335">
        <f>IF(B1335&lt;&gt;"", SUMIFS(ポートフォリオ実績!$D$2:$D$2001, ポートフォリオ実績!$B$2:$B$2001, B1335, ポートフォリオ実績!$A$2:$A$2001, G1335), 0)</f>
        <v>0</v>
      </c>
      <c r="I1335">
        <f>IF(B1335&lt;&gt;"", SUMIFS(ポートフォリオ実績!$C$2:$C$2001, ポートフォリオ実績!$B$2:$B$2001, B1335, ポートフォリオ実績!$A$2:$A$2001, G1335), 0)</f>
        <v>0</v>
      </c>
      <c r="J1335">
        <f t="shared" si="221"/>
        <v>0</v>
      </c>
      <c r="K1335">
        <f t="shared" si="222"/>
        <v>0</v>
      </c>
      <c r="L1335">
        <f t="shared" si="223"/>
        <v>0</v>
      </c>
      <c r="M1335">
        <f t="shared" si="224"/>
        <v>0</v>
      </c>
      <c r="N1335">
        <f t="shared" si="225"/>
        <v>0</v>
      </c>
      <c r="O1335">
        <f t="shared" si="226"/>
        <v>0</v>
      </c>
      <c r="P1335" t="str">
        <f t="shared" si="227"/>
        <v/>
      </c>
      <c r="Q1335" t="str">
        <f>IF(B1335="","", IFERROR(VLOOKUP(B1335, '基準資産配分（設定）'!$A$2:$C$2001, 3, FALSE), ""))</f>
        <v/>
      </c>
      <c r="R1335" t="str">
        <f>IF(B1335="","", IFERROR(VLOOKUP(B1335, '基準資産配分（設定）'!$A$2:$C$2001, 2, FALSE)/100, 0))</f>
        <v/>
      </c>
      <c r="S1335" t="str">
        <f>IF(B1335="","", IFERROR(SUMIFS(ベンチマークリターン!$C$2:$C$2001, ベンチマークリターン!$A$2:$A$2001, A1335, ベンチマークリターン!$B$2:$B$2001, Q1335) / 100, 0))</f>
        <v/>
      </c>
      <c r="T1335" t="str">
        <f>IF(A1335="","", SUMIFS($H$2:$H$2000, $A$2:$A$2000, A1335))</f>
        <v/>
      </c>
      <c r="U1335" t="str">
        <f t="shared" si="228"/>
        <v/>
      </c>
      <c r="V1335" t="str">
        <f t="shared" si="229"/>
        <v/>
      </c>
      <c r="W1335" t="str">
        <f t="shared" si="230"/>
        <v/>
      </c>
    </row>
    <row r="1336" spans="1:23" x14ac:dyDescent="0.2">
      <c r="A1336" s="4" t="str">
        <f>IF(ポートフォリオ実績!A1337="","", ポートフォリオ実績!A1337)</f>
        <v/>
      </c>
      <c r="B1336" t="str">
        <f>IF(ポートフォリオ実績!B1337="","", ポートフォリオ実績!B1337)</f>
        <v/>
      </c>
      <c r="C1336" s="10" t="str">
        <f>IF(ポートフォリオ実績!C1337="","", ポートフォリオ実績!C1337)</f>
        <v/>
      </c>
      <c r="D1336" s="10" t="str">
        <f>IF(ポートフォリオ実績!D1337="","", ポートフォリオ実績!D1337)</f>
        <v/>
      </c>
      <c r="E1336" s="10" t="str">
        <f>IF(ポートフォリオ実績!E1337="","", ポートフォリオ実績!E1337)</f>
        <v/>
      </c>
      <c r="F1336" s="10" t="str">
        <f>IF(ポートフォリオ実績!F1337="","", ポートフォリオ実績!F1337)</f>
        <v/>
      </c>
      <c r="G1336" t="str">
        <f t="shared" si="220"/>
        <v/>
      </c>
      <c r="H1336">
        <f>IF(B1336&lt;&gt;"", SUMIFS(ポートフォリオ実績!$D$2:$D$2001, ポートフォリオ実績!$B$2:$B$2001, B1336, ポートフォリオ実績!$A$2:$A$2001, G1336), 0)</f>
        <v>0</v>
      </c>
      <c r="I1336">
        <f>IF(B1336&lt;&gt;"", SUMIFS(ポートフォリオ実績!$C$2:$C$2001, ポートフォリオ実績!$B$2:$B$2001, B1336, ポートフォリオ実績!$A$2:$A$2001, G1336), 0)</f>
        <v>0</v>
      </c>
      <c r="J1336">
        <f t="shared" si="221"/>
        <v>0</v>
      </c>
      <c r="K1336">
        <f t="shared" si="222"/>
        <v>0</v>
      </c>
      <c r="L1336">
        <f t="shared" si="223"/>
        <v>0</v>
      </c>
      <c r="M1336">
        <f t="shared" si="224"/>
        <v>0</v>
      </c>
      <c r="N1336">
        <f t="shared" si="225"/>
        <v>0</v>
      </c>
      <c r="O1336">
        <f t="shared" si="226"/>
        <v>0</v>
      </c>
      <c r="P1336" t="str">
        <f t="shared" si="227"/>
        <v/>
      </c>
      <c r="Q1336" t="str">
        <f>IF(B1336="","", IFERROR(VLOOKUP(B1336, '基準資産配分（設定）'!$A$2:$C$2001, 3, FALSE), ""))</f>
        <v/>
      </c>
      <c r="R1336" t="str">
        <f>IF(B1336="","", IFERROR(VLOOKUP(B1336, '基準資産配分（設定）'!$A$2:$C$2001, 2, FALSE)/100, 0))</f>
        <v/>
      </c>
      <c r="S1336" t="str">
        <f>IF(B1336="","", IFERROR(SUMIFS(ベンチマークリターン!$C$2:$C$2001, ベンチマークリターン!$A$2:$A$2001, A1336, ベンチマークリターン!$B$2:$B$2001, Q1336) / 100, 0))</f>
        <v/>
      </c>
      <c r="T1336" t="str">
        <f>IF(A1336="","", SUMIFS($H$2:$H$2000, $A$2:$A$2000, A1336))</f>
        <v/>
      </c>
      <c r="U1336" t="str">
        <f t="shared" si="228"/>
        <v/>
      </c>
      <c r="V1336" t="str">
        <f t="shared" si="229"/>
        <v/>
      </c>
      <c r="W1336" t="str">
        <f t="shared" si="230"/>
        <v/>
      </c>
    </row>
    <row r="1337" spans="1:23" x14ac:dyDescent="0.2">
      <c r="A1337" s="4" t="str">
        <f>IF(ポートフォリオ実績!A1338="","", ポートフォリオ実績!A1338)</f>
        <v/>
      </c>
      <c r="B1337" t="str">
        <f>IF(ポートフォリオ実績!B1338="","", ポートフォリオ実績!B1338)</f>
        <v/>
      </c>
      <c r="C1337" s="10" t="str">
        <f>IF(ポートフォリオ実績!C1338="","", ポートフォリオ実績!C1338)</f>
        <v/>
      </c>
      <c r="D1337" s="10" t="str">
        <f>IF(ポートフォリオ実績!D1338="","", ポートフォリオ実績!D1338)</f>
        <v/>
      </c>
      <c r="E1337" s="10" t="str">
        <f>IF(ポートフォリオ実績!E1338="","", ポートフォリオ実績!E1338)</f>
        <v/>
      </c>
      <c r="F1337" s="10" t="str">
        <f>IF(ポートフォリオ実績!F1338="","", ポートフォリオ実績!F1338)</f>
        <v/>
      </c>
      <c r="G1337" t="str">
        <f t="shared" si="220"/>
        <v/>
      </c>
      <c r="H1337">
        <f>IF(B1337&lt;&gt;"", SUMIFS(ポートフォリオ実績!$D$2:$D$2001, ポートフォリオ実績!$B$2:$B$2001, B1337, ポートフォリオ実績!$A$2:$A$2001, G1337), 0)</f>
        <v>0</v>
      </c>
      <c r="I1337">
        <f>IF(B1337&lt;&gt;"", SUMIFS(ポートフォリオ実績!$C$2:$C$2001, ポートフォリオ実績!$B$2:$B$2001, B1337, ポートフォリオ実績!$A$2:$A$2001, G1337), 0)</f>
        <v>0</v>
      </c>
      <c r="J1337">
        <f t="shared" si="221"/>
        <v>0</v>
      </c>
      <c r="K1337">
        <f t="shared" si="222"/>
        <v>0</v>
      </c>
      <c r="L1337">
        <f t="shared" si="223"/>
        <v>0</v>
      </c>
      <c r="M1337">
        <f t="shared" si="224"/>
        <v>0</v>
      </c>
      <c r="N1337">
        <f t="shared" si="225"/>
        <v>0</v>
      </c>
      <c r="O1337">
        <f t="shared" si="226"/>
        <v>0</v>
      </c>
      <c r="P1337" t="str">
        <f t="shared" si="227"/>
        <v/>
      </c>
      <c r="Q1337" t="str">
        <f>IF(B1337="","", IFERROR(VLOOKUP(B1337, '基準資産配分（設定）'!$A$2:$C$2001, 3, FALSE), ""))</f>
        <v/>
      </c>
      <c r="R1337" t="str">
        <f>IF(B1337="","", IFERROR(VLOOKUP(B1337, '基準資産配分（設定）'!$A$2:$C$2001, 2, FALSE)/100, 0))</f>
        <v/>
      </c>
      <c r="S1337" t="str">
        <f>IF(B1337="","", IFERROR(SUMIFS(ベンチマークリターン!$C$2:$C$2001, ベンチマークリターン!$A$2:$A$2001, A1337, ベンチマークリターン!$B$2:$B$2001, Q1337) / 100, 0))</f>
        <v/>
      </c>
      <c r="T1337" t="str">
        <f>IF(A1337="","", SUMIFS($H$2:$H$2000, $A$2:$A$2000, A1337))</f>
        <v/>
      </c>
      <c r="U1337" t="str">
        <f t="shared" si="228"/>
        <v/>
      </c>
      <c r="V1337" t="str">
        <f t="shared" si="229"/>
        <v/>
      </c>
      <c r="W1337" t="str">
        <f t="shared" si="230"/>
        <v/>
      </c>
    </row>
    <row r="1338" spans="1:23" x14ac:dyDescent="0.2">
      <c r="A1338" s="4" t="str">
        <f>IF(ポートフォリオ実績!A1339="","", ポートフォリオ実績!A1339)</f>
        <v/>
      </c>
      <c r="B1338" t="str">
        <f>IF(ポートフォリオ実績!B1339="","", ポートフォリオ実績!B1339)</f>
        <v/>
      </c>
      <c r="C1338" s="10" t="str">
        <f>IF(ポートフォリオ実績!C1339="","", ポートフォリオ実績!C1339)</f>
        <v/>
      </c>
      <c r="D1338" s="10" t="str">
        <f>IF(ポートフォリオ実績!D1339="","", ポートフォリオ実績!D1339)</f>
        <v/>
      </c>
      <c r="E1338" s="10" t="str">
        <f>IF(ポートフォリオ実績!E1339="","", ポートフォリオ実績!E1339)</f>
        <v/>
      </c>
      <c r="F1338" s="10" t="str">
        <f>IF(ポートフォリオ実績!F1339="","", ポートフォリオ実績!F1339)</f>
        <v/>
      </c>
      <c r="G1338" t="str">
        <f t="shared" si="220"/>
        <v/>
      </c>
      <c r="H1338">
        <f>IF(B1338&lt;&gt;"", SUMIFS(ポートフォリオ実績!$D$2:$D$2001, ポートフォリオ実績!$B$2:$B$2001, B1338, ポートフォリオ実績!$A$2:$A$2001, G1338), 0)</f>
        <v>0</v>
      </c>
      <c r="I1338">
        <f>IF(B1338&lt;&gt;"", SUMIFS(ポートフォリオ実績!$C$2:$C$2001, ポートフォリオ実績!$B$2:$B$2001, B1338, ポートフォリオ実績!$A$2:$A$2001, G1338), 0)</f>
        <v>0</v>
      </c>
      <c r="J1338">
        <f t="shared" si="221"/>
        <v>0</v>
      </c>
      <c r="K1338">
        <f t="shared" si="222"/>
        <v>0</v>
      </c>
      <c r="L1338">
        <f t="shared" si="223"/>
        <v>0</v>
      </c>
      <c r="M1338">
        <f t="shared" si="224"/>
        <v>0</v>
      </c>
      <c r="N1338">
        <f t="shared" si="225"/>
        <v>0</v>
      </c>
      <c r="O1338">
        <f t="shared" si="226"/>
        <v>0</v>
      </c>
      <c r="P1338" t="str">
        <f t="shared" si="227"/>
        <v/>
      </c>
      <c r="Q1338" t="str">
        <f>IF(B1338="","", IFERROR(VLOOKUP(B1338, '基準資産配分（設定）'!$A$2:$C$2001, 3, FALSE), ""))</f>
        <v/>
      </c>
      <c r="R1338" t="str">
        <f>IF(B1338="","", IFERROR(VLOOKUP(B1338, '基準資産配分（設定）'!$A$2:$C$2001, 2, FALSE)/100, 0))</f>
        <v/>
      </c>
      <c r="S1338" t="str">
        <f>IF(B1338="","", IFERROR(SUMIFS(ベンチマークリターン!$C$2:$C$2001, ベンチマークリターン!$A$2:$A$2001, A1338, ベンチマークリターン!$B$2:$B$2001, Q1338) / 100, 0))</f>
        <v/>
      </c>
      <c r="T1338" t="str">
        <f>IF(A1338="","", SUMIFS($H$2:$H$2000, $A$2:$A$2000, A1338))</f>
        <v/>
      </c>
      <c r="U1338" t="str">
        <f t="shared" si="228"/>
        <v/>
      </c>
      <c r="V1338" t="str">
        <f t="shared" si="229"/>
        <v/>
      </c>
      <c r="W1338" t="str">
        <f t="shared" si="230"/>
        <v/>
      </c>
    </row>
    <row r="1339" spans="1:23" x14ac:dyDescent="0.2">
      <c r="A1339" s="4" t="str">
        <f>IF(ポートフォリオ実績!A1340="","", ポートフォリオ実績!A1340)</f>
        <v/>
      </c>
      <c r="B1339" t="str">
        <f>IF(ポートフォリオ実績!B1340="","", ポートフォリオ実績!B1340)</f>
        <v/>
      </c>
      <c r="C1339" s="10" t="str">
        <f>IF(ポートフォリオ実績!C1340="","", ポートフォリオ実績!C1340)</f>
        <v/>
      </c>
      <c r="D1339" s="10" t="str">
        <f>IF(ポートフォリオ実績!D1340="","", ポートフォリオ実績!D1340)</f>
        <v/>
      </c>
      <c r="E1339" s="10" t="str">
        <f>IF(ポートフォリオ実績!E1340="","", ポートフォリオ実績!E1340)</f>
        <v/>
      </c>
      <c r="F1339" s="10" t="str">
        <f>IF(ポートフォリオ実績!F1340="","", ポートフォリオ実績!F1340)</f>
        <v/>
      </c>
      <c r="G1339" t="str">
        <f t="shared" si="220"/>
        <v/>
      </c>
      <c r="H1339">
        <f>IF(B1339&lt;&gt;"", SUMIFS(ポートフォリオ実績!$D$2:$D$2001, ポートフォリオ実績!$B$2:$B$2001, B1339, ポートフォリオ実績!$A$2:$A$2001, G1339), 0)</f>
        <v>0</v>
      </c>
      <c r="I1339">
        <f>IF(B1339&lt;&gt;"", SUMIFS(ポートフォリオ実績!$C$2:$C$2001, ポートフォリオ実績!$B$2:$B$2001, B1339, ポートフォリオ実績!$A$2:$A$2001, G1339), 0)</f>
        <v>0</v>
      </c>
      <c r="J1339">
        <f t="shared" si="221"/>
        <v>0</v>
      </c>
      <c r="K1339">
        <f t="shared" si="222"/>
        <v>0</v>
      </c>
      <c r="L1339">
        <f t="shared" si="223"/>
        <v>0</v>
      </c>
      <c r="M1339">
        <f t="shared" si="224"/>
        <v>0</v>
      </c>
      <c r="N1339">
        <f t="shared" si="225"/>
        <v>0</v>
      </c>
      <c r="O1339">
        <f t="shared" si="226"/>
        <v>0</v>
      </c>
      <c r="P1339" t="str">
        <f t="shared" si="227"/>
        <v/>
      </c>
      <c r="Q1339" t="str">
        <f>IF(B1339="","", IFERROR(VLOOKUP(B1339, '基準資産配分（設定）'!$A$2:$C$2001, 3, FALSE), ""))</f>
        <v/>
      </c>
      <c r="R1339" t="str">
        <f>IF(B1339="","", IFERROR(VLOOKUP(B1339, '基準資産配分（設定）'!$A$2:$C$2001, 2, FALSE)/100, 0))</f>
        <v/>
      </c>
      <c r="S1339" t="str">
        <f>IF(B1339="","", IFERROR(SUMIFS(ベンチマークリターン!$C$2:$C$2001, ベンチマークリターン!$A$2:$A$2001, A1339, ベンチマークリターン!$B$2:$B$2001, Q1339) / 100, 0))</f>
        <v/>
      </c>
      <c r="T1339" t="str">
        <f>IF(A1339="","", SUMIFS($H$2:$H$2000, $A$2:$A$2000, A1339))</f>
        <v/>
      </c>
      <c r="U1339" t="str">
        <f t="shared" si="228"/>
        <v/>
      </c>
      <c r="V1339" t="str">
        <f t="shared" si="229"/>
        <v/>
      </c>
      <c r="W1339" t="str">
        <f t="shared" si="230"/>
        <v/>
      </c>
    </row>
    <row r="1340" spans="1:23" x14ac:dyDescent="0.2">
      <c r="A1340" s="4" t="str">
        <f>IF(ポートフォリオ実績!A1341="","", ポートフォリオ実績!A1341)</f>
        <v/>
      </c>
      <c r="B1340" t="str">
        <f>IF(ポートフォリオ実績!B1341="","", ポートフォリオ実績!B1341)</f>
        <v/>
      </c>
      <c r="C1340" s="10" t="str">
        <f>IF(ポートフォリオ実績!C1341="","", ポートフォリオ実績!C1341)</f>
        <v/>
      </c>
      <c r="D1340" s="10" t="str">
        <f>IF(ポートフォリオ実績!D1341="","", ポートフォリオ実績!D1341)</f>
        <v/>
      </c>
      <c r="E1340" s="10" t="str">
        <f>IF(ポートフォリオ実績!E1341="","", ポートフォリオ実績!E1341)</f>
        <v/>
      </c>
      <c r="F1340" s="10" t="str">
        <f>IF(ポートフォリオ実績!F1341="","", ポートフォリオ実績!F1341)</f>
        <v/>
      </c>
      <c r="G1340" t="str">
        <f t="shared" si="220"/>
        <v/>
      </c>
      <c r="H1340">
        <f>IF(B1340&lt;&gt;"", SUMIFS(ポートフォリオ実績!$D$2:$D$2001, ポートフォリオ実績!$B$2:$B$2001, B1340, ポートフォリオ実績!$A$2:$A$2001, G1340), 0)</f>
        <v>0</v>
      </c>
      <c r="I1340">
        <f>IF(B1340&lt;&gt;"", SUMIFS(ポートフォリオ実績!$C$2:$C$2001, ポートフォリオ実績!$B$2:$B$2001, B1340, ポートフォリオ実績!$A$2:$A$2001, G1340), 0)</f>
        <v>0</v>
      </c>
      <c r="J1340">
        <f t="shared" si="221"/>
        <v>0</v>
      </c>
      <c r="K1340">
        <f t="shared" si="222"/>
        <v>0</v>
      </c>
      <c r="L1340">
        <f t="shared" si="223"/>
        <v>0</v>
      </c>
      <c r="M1340">
        <f t="shared" si="224"/>
        <v>0</v>
      </c>
      <c r="N1340">
        <f t="shared" si="225"/>
        <v>0</v>
      </c>
      <c r="O1340">
        <f t="shared" si="226"/>
        <v>0</v>
      </c>
      <c r="P1340" t="str">
        <f t="shared" si="227"/>
        <v/>
      </c>
      <c r="Q1340" t="str">
        <f>IF(B1340="","", IFERROR(VLOOKUP(B1340, '基準資産配分（設定）'!$A$2:$C$2001, 3, FALSE), ""))</f>
        <v/>
      </c>
      <c r="R1340" t="str">
        <f>IF(B1340="","", IFERROR(VLOOKUP(B1340, '基準資産配分（設定）'!$A$2:$C$2001, 2, FALSE)/100, 0))</f>
        <v/>
      </c>
      <c r="S1340" t="str">
        <f>IF(B1340="","", IFERROR(SUMIFS(ベンチマークリターン!$C$2:$C$2001, ベンチマークリターン!$A$2:$A$2001, A1340, ベンチマークリターン!$B$2:$B$2001, Q1340) / 100, 0))</f>
        <v/>
      </c>
      <c r="T1340" t="str">
        <f>IF(A1340="","", SUMIFS($H$2:$H$2000, $A$2:$A$2000, A1340))</f>
        <v/>
      </c>
      <c r="U1340" t="str">
        <f t="shared" si="228"/>
        <v/>
      </c>
      <c r="V1340" t="str">
        <f t="shared" si="229"/>
        <v/>
      </c>
      <c r="W1340" t="str">
        <f t="shared" si="230"/>
        <v/>
      </c>
    </row>
    <row r="1341" spans="1:23" x14ac:dyDescent="0.2">
      <c r="A1341" s="4" t="str">
        <f>IF(ポートフォリオ実績!A1342="","", ポートフォリオ実績!A1342)</f>
        <v/>
      </c>
      <c r="B1341" t="str">
        <f>IF(ポートフォリオ実績!B1342="","", ポートフォリオ実績!B1342)</f>
        <v/>
      </c>
      <c r="C1341" s="10" t="str">
        <f>IF(ポートフォリオ実績!C1342="","", ポートフォリオ実績!C1342)</f>
        <v/>
      </c>
      <c r="D1341" s="10" t="str">
        <f>IF(ポートフォリオ実績!D1342="","", ポートフォリオ実績!D1342)</f>
        <v/>
      </c>
      <c r="E1341" s="10" t="str">
        <f>IF(ポートフォリオ実績!E1342="","", ポートフォリオ実績!E1342)</f>
        <v/>
      </c>
      <c r="F1341" s="10" t="str">
        <f>IF(ポートフォリオ実績!F1342="","", ポートフォリオ実績!F1342)</f>
        <v/>
      </c>
      <c r="G1341" t="str">
        <f t="shared" si="220"/>
        <v/>
      </c>
      <c r="H1341">
        <f>IF(B1341&lt;&gt;"", SUMIFS(ポートフォリオ実績!$D$2:$D$2001, ポートフォリオ実績!$B$2:$B$2001, B1341, ポートフォリオ実績!$A$2:$A$2001, G1341), 0)</f>
        <v>0</v>
      </c>
      <c r="I1341">
        <f>IF(B1341&lt;&gt;"", SUMIFS(ポートフォリオ実績!$C$2:$C$2001, ポートフォリオ実績!$B$2:$B$2001, B1341, ポートフォリオ実績!$A$2:$A$2001, G1341), 0)</f>
        <v>0</v>
      </c>
      <c r="J1341">
        <f t="shared" si="221"/>
        <v>0</v>
      </c>
      <c r="K1341">
        <f t="shared" si="222"/>
        <v>0</v>
      </c>
      <c r="L1341">
        <f t="shared" si="223"/>
        <v>0</v>
      </c>
      <c r="M1341">
        <f t="shared" si="224"/>
        <v>0</v>
      </c>
      <c r="N1341">
        <f t="shared" si="225"/>
        <v>0</v>
      </c>
      <c r="O1341">
        <f t="shared" si="226"/>
        <v>0</v>
      </c>
      <c r="P1341" t="str">
        <f t="shared" si="227"/>
        <v/>
      </c>
      <c r="Q1341" t="str">
        <f>IF(B1341="","", IFERROR(VLOOKUP(B1341, '基準資産配分（設定）'!$A$2:$C$2001, 3, FALSE), ""))</f>
        <v/>
      </c>
      <c r="R1341" t="str">
        <f>IF(B1341="","", IFERROR(VLOOKUP(B1341, '基準資産配分（設定）'!$A$2:$C$2001, 2, FALSE)/100, 0))</f>
        <v/>
      </c>
      <c r="S1341" t="str">
        <f>IF(B1341="","", IFERROR(SUMIFS(ベンチマークリターン!$C$2:$C$2001, ベンチマークリターン!$A$2:$A$2001, A1341, ベンチマークリターン!$B$2:$B$2001, Q1341) / 100, 0))</f>
        <v/>
      </c>
      <c r="T1341" t="str">
        <f>IF(A1341="","", SUMIFS($H$2:$H$2000, $A$2:$A$2000, A1341))</f>
        <v/>
      </c>
      <c r="U1341" t="str">
        <f t="shared" si="228"/>
        <v/>
      </c>
      <c r="V1341" t="str">
        <f t="shared" si="229"/>
        <v/>
      </c>
      <c r="W1341" t="str">
        <f t="shared" si="230"/>
        <v/>
      </c>
    </row>
    <row r="1342" spans="1:23" x14ac:dyDescent="0.2">
      <c r="A1342" s="4" t="str">
        <f>IF(ポートフォリオ実績!A1343="","", ポートフォリオ実績!A1343)</f>
        <v/>
      </c>
      <c r="B1342" t="str">
        <f>IF(ポートフォリオ実績!B1343="","", ポートフォリオ実績!B1343)</f>
        <v/>
      </c>
      <c r="C1342" s="10" t="str">
        <f>IF(ポートフォリオ実績!C1343="","", ポートフォリオ実績!C1343)</f>
        <v/>
      </c>
      <c r="D1342" s="10" t="str">
        <f>IF(ポートフォリオ実績!D1343="","", ポートフォリオ実績!D1343)</f>
        <v/>
      </c>
      <c r="E1342" s="10" t="str">
        <f>IF(ポートフォリオ実績!E1343="","", ポートフォリオ実績!E1343)</f>
        <v/>
      </c>
      <c r="F1342" s="10" t="str">
        <f>IF(ポートフォリオ実績!F1343="","", ポートフォリオ実績!F1343)</f>
        <v/>
      </c>
      <c r="G1342" t="str">
        <f t="shared" si="220"/>
        <v/>
      </c>
      <c r="H1342">
        <f>IF(B1342&lt;&gt;"", SUMIFS(ポートフォリオ実績!$D$2:$D$2001, ポートフォリオ実績!$B$2:$B$2001, B1342, ポートフォリオ実績!$A$2:$A$2001, G1342), 0)</f>
        <v>0</v>
      </c>
      <c r="I1342">
        <f>IF(B1342&lt;&gt;"", SUMIFS(ポートフォリオ実績!$C$2:$C$2001, ポートフォリオ実績!$B$2:$B$2001, B1342, ポートフォリオ実績!$A$2:$A$2001, G1342), 0)</f>
        <v>0</v>
      </c>
      <c r="J1342">
        <f t="shared" si="221"/>
        <v>0</v>
      </c>
      <c r="K1342">
        <f t="shared" si="222"/>
        <v>0</v>
      </c>
      <c r="L1342">
        <f t="shared" si="223"/>
        <v>0</v>
      </c>
      <c r="M1342">
        <f t="shared" si="224"/>
        <v>0</v>
      </c>
      <c r="N1342">
        <f t="shared" si="225"/>
        <v>0</v>
      </c>
      <c r="O1342">
        <f t="shared" si="226"/>
        <v>0</v>
      </c>
      <c r="P1342" t="str">
        <f t="shared" si="227"/>
        <v/>
      </c>
      <c r="Q1342" t="str">
        <f>IF(B1342="","", IFERROR(VLOOKUP(B1342, '基準資産配分（設定）'!$A$2:$C$2001, 3, FALSE), ""))</f>
        <v/>
      </c>
      <c r="R1342" t="str">
        <f>IF(B1342="","", IFERROR(VLOOKUP(B1342, '基準資産配分（設定）'!$A$2:$C$2001, 2, FALSE)/100, 0))</f>
        <v/>
      </c>
      <c r="S1342" t="str">
        <f>IF(B1342="","", IFERROR(SUMIFS(ベンチマークリターン!$C$2:$C$2001, ベンチマークリターン!$A$2:$A$2001, A1342, ベンチマークリターン!$B$2:$B$2001, Q1342) / 100, 0))</f>
        <v/>
      </c>
      <c r="T1342" t="str">
        <f>IF(A1342="","", SUMIFS($H$2:$H$2000, $A$2:$A$2000, A1342))</f>
        <v/>
      </c>
      <c r="U1342" t="str">
        <f t="shared" si="228"/>
        <v/>
      </c>
      <c r="V1342" t="str">
        <f t="shared" si="229"/>
        <v/>
      </c>
      <c r="W1342" t="str">
        <f t="shared" si="230"/>
        <v/>
      </c>
    </row>
    <row r="1343" spans="1:23" x14ac:dyDescent="0.2">
      <c r="A1343" s="4" t="str">
        <f>IF(ポートフォリオ実績!A1344="","", ポートフォリオ実績!A1344)</f>
        <v/>
      </c>
      <c r="B1343" t="str">
        <f>IF(ポートフォリオ実績!B1344="","", ポートフォリオ実績!B1344)</f>
        <v/>
      </c>
      <c r="C1343" s="10" t="str">
        <f>IF(ポートフォリオ実績!C1344="","", ポートフォリオ実績!C1344)</f>
        <v/>
      </c>
      <c r="D1343" s="10" t="str">
        <f>IF(ポートフォリオ実績!D1344="","", ポートフォリオ実績!D1344)</f>
        <v/>
      </c>
      <c r="E1343" s="10" t="str">
        <f>IF(ポートフォリオ実績!E1344="","", ポートフォリオ実績!E1344)</f>
        <v/>
      </c>
      <c r="F1343" s="10" t="str">
        <f>IF(ポートフォリオ実績!F1344="","", ポートフォリオ実績!F1344)</f>
        <v/>
      </c>
      <c r="G1343" t="str">
        <f t="shared" si="220"/>
        <v/>
      </c>
      <c r="H1343">
        <f>IF(B1343&lt;&gt;"", SUMIFS(ポートフォリオ実績!$D$2:$D$2001, ポートフォリオ実績!$B$2:$B$2001, B1343, ポートフォリオ実績!$A$2:$A$2001, G1343), 0)</f>
        <v>0</v>
      </c>
      <c r="I1343">
        <f>IF(B1343&lt;&gt;"", SUMIFS(ポートフォリオ実績!$C$2:$C$2001, ポートフォリオ実績!$B$2:$B$2001, B1343, ポートフォリオ実績!$A$2:$A$2001, G1343), 0)</f>
        <v>0</v>
      </c>
      <c r="J1343">
        <f t="shared" si="221"/>
        <v>0</v>
      </c>
      <c r="K1343">
        <f t="shared" si="222"/>
        <v>0</v>
      </c>
      <c r="L1343">
        <f t="shared" si="223"/>
        <v>0</v>
      </c>
      <c r="M1343">
        <f t="shared" si="224"/>
        <v>0</v>
      </c>
      <c r="N1343">
        <f t="shared" si="225"/>
        <v>0</v>
      </c>
      <c r="O1343">
        <f t="shared" si="226"/>
        <v>0</v>
      </c>
      <c r="P1343" t="str">
        <f t="shared" si="227"/>
        <v/>
      </c>
      <c r="Q1343" t="str">
        <f>IF(B1343="","", IFERROR(VLOOKUP(B1343, '基準資産配分（設定）'!$A$2:$C$2001, 3, FALSE), ""))</f>
        <v/>
      </c>
      <c r="R1343" t="str">
        <f>IF(B1343="","", IFERROR(VLOOKUP(B1343, '基準資産配分（設定）'!$A$2:$C$2001, 2, FALSE)/100, 0))</f>
        <v/>
      </c>
      <c r="S1343" t="str">
        <f>IF(B1343="","", IFERROR(SUMIFS(ベンチマークリターン!$C$2:$C$2001, ベンチマークリターン!$A$2:$A$2001, A1343, ベンチマークリターン!$B$2:$B$2001, Q1343) / 100, 0))</f>
        <v/>
      </c>
      <c r="T1343" t="str">
        <f>IF(A1343="","", SUMIFS($H$2:$H$2000, $A$2:$A$2000, A1343))</f>
        <v/>
      </c>
      <c r="U1343" t="str">
        <f t="shared" si="228"/>
        <v/>
      </c>
      <c r="V1343" t="str">
        <f t="shared" si="229"/>
        <v/>
      </c>
      <c r="W1343" t="str">
        <f t="shared" si="230"/>
        <v/>
      </c>
    </row>
    <row r="1344" spans="1:23" x14ac:dyDescent="0.2">
      <c r="A1344" s="4" t="str">
        <f>IF(ポートフォリオ実績!A1345="","", ポートフォリオ実績!A1345)</f>
        <v/>
      </c>
      <c r="B1344" t="str">
        <f>IF(ポートフォリオ実績!B1345="","", ポートフォリオ実績!B1345)</f>
        <v/>
      </c>
      <c r="C1344" s="10" t="str">
        <f>IF(ポートフォリオ実績!C1345="","", ポートフォリオ実績!C1345)</f>
        <v/>
      </c>
      <c r="D1344" s="10" t="str">
        <f>IF(ポートフォリオ実績!D1345="","", ポートフォリオ実績!D1345)</f>
        <v/>
      </c>
      <c r="E1344" s="10" t="str">
        <f>IF(ポートフォリオ実績!E1345="","", ポートフォリオ実績!E1345)</f>
        <v/>
      </c>
      <c r="F1344" s="10" t="str">
        <f>IF(ポートフォリオ実績!F1345="","", ポートフォリオ実績!F1345)</f>
        <v/>
      </c>
      <c r="G1344" t="str">
        <f t="shared" si="220"/>
        <v/>
      </c>
      <c r="H1344">
        <f>IF(B1344&lt;&gt;"", SUMIFS(ポートフォリオ実績!$D$2:$D$2001, ポートフォリオ実績!$B$2:$B$2001, B1344, ポートフォリオ実績!$A$2:$A$2001, G1344), 0)</f>
        <v>0</v>
      </c>
      <c r="I1344">
        <f>IF(B1344&lt;&gt;"", SUMIFS(ポートフォリオ実績!$C$2:$C$2001, ポートフォリオ実績!$B$2:$B$2001, B1344, ポートフォリオ実績!$A$2:$A$2001, G1344), 0)</f>
        <v>0</v>
      </c>
      <c r="J1344">
        <f t="shared" si="221"/>
        <v>0</v>
      </c>
      <c r="K1344">
        <f t="shared" si="222"/>
        <v>0</v>
      </c>
      <c r="L1344">
        <f t="shared" si="223"/>
        <v>0</v>
      </c>
      <c r="M1344">
        <f t="shared" si="224"/>
        <v>0</v>
      </c>
      <c r="N1344">
        <f t="shared" si="225"/>
        <v>0</v>
      </c>
      <c r="O1344">
        <f t="shared" si="226"/>
        <v>0</v>
      </c>
      <c r="P1344" t="str">
        <f t="shared" si="227"/>
        <v/>
      </c>
      <c r="Q1344" t="str">
        <f>IF(B1344="","", IFERROR(VLOOKUP(B1344, '基準資産配分（設定）'!$A$2:$C$2001, 3, FALSE), ""))</f>
        <v/>
      </c>
      <c r="R1344" t="str">
        <f>IF(B1344="","", IFERROR(VLOOKUP(B1344, '基準資産配分（設定）'!$A$2:$C$2001, 2, FALSE)/100, 0))</f>
        <v/>
      </c>
      <c r="S1344" t="str">
        <f>IF(B1344="","", IFERROR(SUMIFS(ベンチマークリターン!$C$2:$C$2001, ベンチマークリターン!$A$2:$A$2001, A1344, ベンチマークリターン!$B$2:$B$2001, Q1344) / 100, 0))</f>
        <v/>
      </c>
      <c r="T1344" t="str">
        <f>IF(A1344="","", SUMIFS($H$2:$H$2000, $A$2:$A$2000, A1344))</f>
        <v/>
      </c>
      <c r="U1344" t="str">
        <f t="shared" si="228"/>
        <v/>
      </c>
      <c r="V1344" t="str">
        <f t="shared" si="229"/>
        <v/>
      </c>
      <c r="W1344" t="str">
        <f t="shared" si="230"/>
        <v/>
      </c>
    </row>
    <row r="1345" spans="1:23" x14ac:dyDescent="0.2">
      <c r="A1345" s="4" t="str">
        <f>IF(ポートフォリオ実績!A1346="","", ポートフォリオ実績!A1346)</f>
        <v/>
      </c>
      <c r="B1345" t="str">
        <f>IF(ポートフォリオ実績!B1346="","", ポートフォリオ実績!B1346)</f>
        <v/>
      </c>
      <c r="C1345" s="10" t="str">
        <f>IF(ポートフォリオ実績!C1346="","", ポートフォリオ実績!C1346)</f>
        <v/>
      </c>
      <c r="D1345" s="10" t="str">
        <f>IF(ポートフォリオ実績!D1346="","", ポートフォリオ実績!D1346)</f>
        <v/>
      </c>
      <c r="E1345" s="10" t="str">
        <f>IF(ポートフォリオ実績!E1346="","", ポートフォリオ実績!E1346)</f>
        <v/>
      </c>
      <c r="F1345" s="10" t="str">
        <f>IF(ポートフォリオ実績!F1346="","", ポートフォリオ実績!F1346)</f>
        <v/>
      </c>
      <c r="G1345" t="str">
        <f t="shared" ref="G1345:G1408" si="231">IF(A1345&lt;&gt;"", EOMONTH(A1345, -1), "")</f>
        <v/>
      </c>
      <c r="H1345">
        <f>IF(B1345&lt;&gt;"", SUMIFS(ポートフォリオ実績!$D$2:$D$2001, ポートフォリオ実績!$B$2:$B$2001, B1345, ポートフォリオ実績!$A$2:$A$2001, G1345), 0)</f>
        <v>0</v>
      </c>
      <c r="I1345">
        <f>IF(B1345&lt;&gt;"", SUMIFS(ポートフォリオ実績!$C$2:$C$2001, ポートフォリオ実績!$B$2:$B$2001, B1345, ポートフォリオ実績!$A$2:$A$2001, G1345), 0)</f>
        <v>0</v>
      </c>
      <c r="J1345">
        <f t="shared" ref="J1345:J1408" si="232">IF(A1345&lt;&gt;"", D1345-C1345, 0)</f>
        <v>0</v>
      </c>
      <c r="K1345">
        <f t="shared" ref="K1345:K1408" si="233">IF(A1345&lt;&gt;"", H1345-I1345, 0)</f>
        <v>0</v>
      </c>
      <c r="L1345">
        <f t="shared" ref="L1345:L1408" si="234">IF(H1345=0, 0, J1345-K1345)</f>
        <v>0</v>
      </c>
      <c r="M1345">
        <f t="shared" ref="M1345:M1408" si="235">IF(A1345&lt;&gt;"", E1345+F1345+L1345, 0)</f>
        <v>0</v>
      </c>
      <c r="N1345">
        <f t="shared" ref="N1345:N1408" si="236">IF(H1345=0, 0, (D1345-H1345)-M1345)</f>
        <v>0</v>
      </c>
      <c r="O1345">
        <f t="shared" ref="O1345:O1408" si="237">IF(A1345&lt;&gt;"", H1345+N1345*0.5, 0)</f>
        <v>0</v>
      </c>
      <c r="P1345" t="str">
        <f t="shared" ref="P1345:P1408" si="238">IF(A1345="","", IF(O1345&gt;0.000001, M1345/O1345, IF(ABS(M1345)&lt;0.000001, 0, 0)))</f>
        <v/>
      </c>
      <c r="Q1345" t="str">
        <f>IF(B1345="","", IFERROR(VLOOKUP(B1345, '基準資産配分（設定）'!$A$2:$C$2001, 3, FALSE), ""))</f>
        <v/>
      </c>
      <c r="R1345" t="str">
        <f>IF(B1345="","", IFERROR(VLOOKUP(B1345, '基準資産配分（設定）'!$A$2:$C$2001, 2, FALSE)/100, 0))</f>
        <v/>
      </c>
      <c r="S1345" t="str">
        <f>IF(B1345="","", IFERROR(SUMIFS(ベンチマークリターン!$C$2:$C$2001, ベンチマークリターン!$A$2:$A$2001, A1345, ベンチマークリターン!$B$2:$B$2001, Q1345) / 100, 0))</f>
        <v/>
      </c>
      <c r="T1345" t="str">
        <f>IF(A1345="","", SUMIFS($H$2:$H$2000, $A$2:$A$2000, A1345))</f>
        <v/>
      </c>
      <c r="U1345" t="str">
        <f t="shared" ref="U1345:U1408" si="239">IF(A1345="","", IFERROR(H1345/T1345, 0))</f>
        <v/>
      </c>
      <c r="V1345" t="str">
        <f t="shared" ref="V1345:V1408" si="240">IF(A1345="","", U1345*P1345)</f>
        <v/>
      </c>
      <c r="W1345" t="str">
        <f t="shared" ref="W1345:W1408" si="241">IF(A1345="","", R1345*S1345)</f>
        <v/>
      </c>
    </row>
    <row r="1346" spans="1:23" x14ac:dyDescent="0.2">
      <c r="A1346" s="4" t="str">
        <f>IF(ポートフォリオ実績!A1347="","", ポートフォリオ実績!A1347)</f>
        <v/>
      </c>
      <c r="B1346" t="str">
        <f>IF(ポートフォリオ実績!B1347="","", ポートフォリオ実績!B1347)</f>
        <v/>
      </c>
      <c r="C1346" s="10" t="str">
        <f>IF(ポートフォリオ実績!C1347="","", ポートフォリオ実績!C1347)</f>
        <v/>
      </c>
      <c r="D1346" s="10" t="str">
        <f>IF(ポートフォリオ実績!D1347="","", ポートフォリオ実績!D1347)</f>
        <v/>
      </c>
      <c r="E1346" s="10" t="str">
        <f>IF(ポートフォリオ実績!E1347="","", ポートフォリオ実績!E1347)</f>
        <v/>
      </c>
      <c r="F1346" s="10" t="str">
        <f>IF(ポートフォリオ実績!F1347="","", ポートフォリオ実績!F1347)</f>
        <v/>
      </c>
      <c r="G1346" t="str">
        <f t="shared" si="231"/>
        <v/>
      </c>
      <c r="H1346">
        <f>IF(B1346&lt;&gt;"", SUMIFS(ポートフォリオ実績!$D$2:$D$2001, ポートフォリオ実績!$B$2:$B$2001, B1346, ポートフォリオ実績!$A$2:$A$2001, G1346), 0)</f>
        <v>0</v>
      </c>
      <c r="I1346">
        <f>IF(B1346&lt;&gt;"", SUMIFS(ポートフォリオ実績!$C$2:$C$2001, ポートフォリオ実績!$B$2:$B$2001, B1346, ポートフォリオ実績!$A$2:$A$2001, G1346), 0)</f>
        <v>0</v>
      </c>
      <c r="J1346">
        <f t="shared" si="232"/>
        <v>0</v>
      </c>
      <c r="K1346">
        <f t="shared" si="233"/>
        <v>0</v>
      </c>
      <c r="L1346">
        <f t="shared" si="234"/>
        <v>0</v>
      </c>
      <c r="M1346">
        <f t="shared" si="235"/>
        <v>0</v>
      </c>
      <c r="N1346">
        <f t="shared" si="236"/>
        <v>0</v>
      </c>
      <c r="O1346">
        <f t="shared" si="237"/>
        <v>0</v>
      </c>
      <c r="P1346" t="str">
        <f t="shared" si="238"/>
        <v/>
      </c>
      <c r="Q1346" t="str">
        <f>IF(B1346="","", IFERROR(VLOOKUP(B1346, '基準資産配分（設定）'!$A$2:$C$2001, 3, FALSE), ""))</f>
        <v/>
      </c>
      <c r="R1346" t="str">
        <f>IF(B1346="","", IFERROR(VLOOKUP(B1346, '基準資産配分（設定）'!$A$2:$C$2001, 2, FALSE)/100, 0))</f>
        <v/>
      </c>
      <c r="S1346" t="str">
        <f>IF(B1346="","", IFERROR(SUMIFS(ベンチマークリターン!$C$2:$C$2001, ベンチマークリターン!$A$2:$A$2001, A1346, ベンチマークリターン!$B$2:$B$2001, Q1346) / 100, 0))</f>
        <v/>
      </c>
      <c r="T1346" t="str">
        <f>IF(A1346="","", SUMIFS($H$2:$H$2000, $A$2:$A$2000, A1346))</f>
        <v/>
      </c>
      <c r="U1346" t="str">
        <f t="shared" si="239"/>
        <v/>
      </c>
      <c r="V1346" t="str">
        <f t="shared" si="240"/>
        <v/>
      </c>
      <c r="W1346" t="str">
        <f t="shared" si="241"/>
        <v/>
      </c>
    </row>
    <row r="1347" spans="1:23" x14ac:dyDescent="0.2">
      <c r="A1347" s="4" t="str">
        <f>IF(ポートフォリオ実績!A1348="","", ポートフォリオ実績!A1348)</f>
        <v/>
      </c>
      <c r="B1347" t="str">
        <f>IF(ポートフォリオ実績!B1348="","", ポートフォリオ実績!B1348)</f>
        <v/>
      </c>
      <c r="C1347" s="10" t="str">
        <f>IF(ポートフォリオ実績!C1348="","", ポートフォリオ実績!C1348)</f>
        <v/>
      </c>
      <c r="D1347" s="10" t="str">
        <f>IF(ポートフォリオ実績!D1348="","", ポートフォリオ実績!D1348)</f>
        <v/>
      </c>
      <c r="E1347" s="10" t="str">
        <f>IF(ポートフォリオ実績!E1348="","", ポートフォリオ実績!E1348)</f>
        <v/>
      </c>
      <c r="F1347" s="10" t="str">
        <f>IF(ポートフォリオ実績!F1348="","", ポートフォリオ実績!F1348)</f>
        <v/>
      </c>
      <c r="G1347" t="str">
        <f t="shared" si="231"/>
        <v/>
      </c>
      <c r="H1347">
        <f>IF(B1347&lt;&gt;"", SUMIFS(ポートフォリオ実績!$D$2:$D$2001, ポートフォリオ実績!$B$2:$B$2001, B1347, ポートフォリオ実績!$A$2:$A$2001, G1347), 0)</f>
        <v>0</v>
      </c>
      <c r="I1347">
        <f>IF(B1347&lt;&gt;"", SUMIFS(ポートフォリオ実績!$C$2:$C$2001, ポートフォリオ実績!$B$2:$B$2001, B1347, ポートフォリオ実績!$A$2:$A$2001, G1347), 0)</f>
        <v>0</v>
      </c>
      <c r="J1347">
        <f t="shared" si="232"/>
        <v>0</v>
      </c>
      <c r="K1347">
        <f t="shared" si="233"/>
        <v>0</v>
      </c>
      <c r="L1347">
        <f t="shared" si="234"/>
        <v>0</v>
      </c>
      <c r="M1347">
        <f t="shared" si="235"/>
        <v>0</v>
      </c>
      <c r="N1347">
        <f t="shared" si="236"/>
        <v>0</v>
      </c>
      <c r="O1347">
        <f t="shared" si="237"/>
        <v>0</v>
      </c>
      <c r="P1347" t="str">
        <f t="shared" si="238"/>
        <v/>
      </c>
      <c r="Q1347" t="str">
        <f>IF(B1347="","", IFERROR(VLOOKUP(B1347, '基準資産配分（設定）'!$A$2:$C$2001, 3, FALSE), ""))</f>
        <v/>
      </c>
      <c r="R1347" t="str">
        <f>IF(B1347="","", IFERROR(VLOOKUP(B1347, '基準資産配分（設定）'!$A$2:$C$2001, 2, FALSE)/100, 0))</f>
        <v/>
      </c>
      <c r="S1347" t="str">
        <f>IF(B1347="","", IFERROR(SUMIFS(ベンチマークリターン!$C$2:$C$2001, ベンチマークリターン!$A$2:$A$2001, A1347, ベンチマークリターン!$B$2:$B$2001, Q1347) / 100, 0))</f>
        <v/>
      </c>
      <c r="T1347" t="str">
        <f>IF(A1347="","", SUMIFS($H$2:$H$2000, $A$2:$A$2000, A1347))</f>
        <v/>
      </c>
      <c r="U1347" t="str">
        <f t="shared" si="239"/>
        <v/>
      </c>
      <c r="V1347" t="str">
        <f t="shared" si="240"/>
        <v/>
      </c>
      <c r="W1347" t="str">
        <f t="shared" si="241"/>
        <v/>
      </c>
    </row>
    <row r="1348" spans="1:23" x14ac:dyDescent="0.2">
      <c r="A1348" s="4" t="str">
        <f>IF(ポートフォリオ実績!A1349="","", ポートフォリオ実績!A1349)</f>
        <v/>
      </c>
      <c r="B1348" t="str">
        <f>IF(ポートフォリオ実績!B1349="","", ポートフォリオ実績!B1349)</f>
        <v/>
      </c>
      <c r="C1348" s="10" t="str">
        <f>IF(ポートフォリオ実績!C1349="","", ポートフォリオ実績!C1349)</f>
        <v/>
      </c>
      <c r="D1348" s="10" t="str">
        <f>IF(ポートフォリオ実績!D1349="","", ポートフォリオ実績!D1349)</f>
        <v/>
      </c>
      <c r="E1348" s="10" t="str">
        <f>IF(ポートフォリオ実績!E1349="","", ポートフォリオ実績!E1349)</f>
        <v/>
      </c>
      <c r="F1348" s="10" t="str">
        <f>IF(ポートフォリオ実績!F1349="","", ポートフォリオ実績!F1349)</f>
        <v/>
      </c>
      <c r="G1348" t="str">
        <f t="shared" si="231"/>
        <v/>
      </c>
      <c r="H1348">
        <f>IF(B1348&lt;&gt;"", SUMIFS(ポートフォリオ実績!$D$2:$D$2001, ポートフォリオ実績!$B$2:$B$2001, B1348, ポートフォリオ実績!$A$2:$A$2001, G1348), 0)</f>
        <v>0</v>
      </c>
      <c r="I1348">
        <f>IF(B1348&lt;&gt;"", SUMIFS(ポートフォリオ実績!$C$2:$C$2001, ポートフォリオ実績!$B$2:$B$2001, B1348, ポートフォリオ実績!$A$2:$A$2001, G1348), 0)</f>
        <v>0</v>
      </c>
      <c r="J1348">
        <f t="shared" si="232"/>
        <v>0</v>
      </c>
      <c r="K1348">
        <f t="shared" si="233"/>
        <v>0</v>
      </c>
      <c r="L1348">
        <f t="shared" si="234"/>
        <v>0</v>
      </c>
      <c r="M1348">
        <f t="shared" si="235"/>
        <v>0</v>
      </c>
      <c r="N1348">
        <f t="shared" si="236"/>
        <v>0</v>
      </c>
      <c r="O1348">
        <f t="shared" si="237"/>
        <v>0</v>
      </c>
      <c r="P1348" t="str">
        <f t="shared" si="238"/>
        <v/>
      </c>
      <c r="Q1348" t="str">
        <f>IF(B1348="","", IFERROR(VLOOKUP(B1348, '基準資産配分（設定）'!$A$2:$C$2001, 3, FALSE), ""))</f>
        <v/>
      </c>
      <c r="R1348" t="str">
        <f>IF(B1348="","", IFERROR(VLOOKUP(B1348, '基準資産配分（設定）'!$A$2:$C$2001, 2, FALSE)/100, 0))</f>
        <v/>
      </c>
      <c r="S1348" t="str">
        <f>IF(B1348="","", IFERROR(SUMIFS(ベンチマークリターン!$C$2:$C$2001, ベンチマークリターン!$A$2:$A$2001, A1348, ベンチマークリターン!$B$2:$B$2001, Q1348) / 100, 0))</f>
        <v/>
      </c>
      <c r="T1348" t="str">
        <f>IF(A1348="","", SUMIFS($H$2:$H$2000, $A$2:$A$2000, A1348))</f>
        <v/>
      </c>
      <c r="U1348" t="str">
        <f t="shared" si="239"/>
        <v/>
      </c>
      <c r="V1348" t="str">
        <f t="shared" si="240"/>
        <v/>
      </c>
      <c r="W1348" t="str">
        <f t="shared" si="241"/>
        <v/>
      </c>
    </row>
    <row r="1349" spans="1:23" x14ac:dyDescent="0.2">
      <c r="A1349" s="4" t="str">
        <f>IF(ポートフォリオ実績!A1350="","", ポートフォリオ実績!A1350)</f>
        <v/>
      </c>
      <c r="B1349" t="str">
        <f>IF(ポートフォリオ実績!B1350="","", ポートフォリオ実績!B1350)</f>
        <v/>
      </c>
      <c r="C1349" s="10" t="str">
        <f>IF(ポートフォリオ実績!C1350="","", ポートフォリオ実績!C1350)</f>
        <v/>
      </c>
      <c r="D1349" s="10" t="str">
        <f>IF(ポートフォリオ実績!D1350="","", ポートフォリオ実績!D1350)</f>
        <v/>
      </c>
      <c r="E1349" s="10" t="str">
        <f>IF(ポートフォリオ実績!E1350="","", ポートフォリオ実績!E1350)</f>
        <v/>
      </c>
      <c r="F1349" s="10" t="str">
        <f>IF(ポートフォリオ実績!F1350="","", ポートフォリオ実績!F1350)</f>
        <v/>
      </c>
      <c r="G1349" t="str">
        <f t="shared" si="231"/>
        <v/>
      </c>
      <c r="H1349">
        <f>IF(B1349&lt;&gt;"", SUMIFS(ポートフォリオ実績!$D$2:$D$2001, ポートフォリオ実績!$B$2:$B$2001, B1349, ポートフォリオ実績!$A$2:$A$2001, G1349), 0)</f>
        <v>0</v>
      </c>
      <c r="I1349">
        <f>IF(B1349&lt;&gt;"", SUMIFS(ポートフォリオ実績!$C$2:$C$2001, ポートフォリオ実績!$B$2:$B$2001, B1349, ポートフォリオ実績!$A$2:$A$2001, G1349), 0)</f>
        <v>0</v>
      </c>
      <c r="J1349">
        <f t="shared" si="232"/>
        <v>0</v>
      </c>
      <c r="K1349">
        <f t="shared" si="233"/>
        <v>0</v>
      </c>
      <c r="L1349">
        <f t="shared" si="234"/>
        <v>0</v>
      </c>
      <c r="M1349">
        <f t="shared" si="235"/>
        <v>0</v>
      </c>
      <c r="N1349">
        <f t="shared" si="236"/>
        <v>0</v>
      </c>
      <c r="O1349">
        <f t="shared" si="237"/>
        <v>0</v>
      </c>
      <c r="P1349" t="str">
        <f t="shared" si="238"/>
        <v/>
      </c>
      <c r="Q1349" t="str">
        <f>IF(B1349="","", IFERROR(VLOOKUP(B1349, '基準資産配分（設定）'!$A$2:$C$2001, 3, FALSE), ""))</f>
        <v/>
      </c>
      <c r="R1349" t="str">
        <f>IF(B1349="","", IFERROR(VLOOKUP(B1349, '基準資産配分（設定）'!$A$2:$C$2001, 2, FALSE)/100, 0))</f>
        <v/>
      </c>
      <c r="S1349" t="str">
        <f>IF(B1349="","", IFERROR(SUMIFS(ベンチマークリターン!$C$2:$C$2001, ベンチマークリターン!$A$2:$A$2001, A1349, ベンチマークリターン!$B$2:$B$2001, Q1349) / 100, 0))</f>
        <v/>
      </c>
      <c r="T1349" t="str">
        <f>IF(A1349="","", SUMIFS($H$2:$H$2000, $A$2:$A$2000, A1349))</f>
        <v/>
      </c>
      <c r="U1349" t="str">
        <f t="shared" si="239"/>
        <v/>
      </c>
      <c r="V1349" t="str">
        <f t="shared" si="240"/>
        <v/>
      </c>
      <c r="W1349" t="str">
        <f t="shared" si="241"/>
        <v/>
      </c>
    </row>
    <row r="1350" spans="1:23" x14ac:dyDescent="0.2">
      <c r="A1350" s="4" t="str">
        <f>IF(ポートフォリオ実績!A1351="","", ポートフォリオ実績!A1351)</f>
        <v/>
      </c>
      <c r="B1350" t="str">
        <f>IF(ポートフォリオ実績!B1351="","", ポートフォリオ実績!B1351)</f>
        <v/>
      </c>
      <c r="C1350" s="10" t="str">
        <f>IF(ポートフォリオ実績!C1351="","", ポートフォリオ実績!C1351)</f>
        <v/>
      </c>
      <c r="D1350" s="10" t="str">
        <f>IF(ポートフォリオ実績!D1351="","", ポートフォリオ実績!D1351)</f>
        <v/>
      </c>
      <c r="E1350" s="10" t="str">
        <f>IF(ポートフォリオ実績!E1351="","", ポートフォリオ実績!E1351)</f>
        <v/>
      </c>
      <c r="F1350" s="10" t="str">
        <f>IF(ポートフォリオ実績!F1351="","", ポートフォリオ実績!F1351)</f>
        <v/>
      </c>
      <c r="G1350" t="str">
        <f t="shared" si="231"/>
        <v/>
      </c>
      <c r="H1350">
        <f>IF(B1350&lt;&gt;"", SUMIFS(ポートフォリオ実績!$D$2:$D$2001, ポートフォリオ実績!$B$2:$B$2001, B1350, ポートフォリオ実績!$A$2:$A$2001, G1350), 0)</f>
        <v>0</v>
      </c>
      <c r="I1350">
        <f>IF(B1350&lt;&gt;"", SUMIFS(ポートフォリオ実績!$C$2:$C$2001, ポートフォリオ実績!$B$2:$B$2001, B1350, ポートフォリオ実績!$A$2:$A$2001, G1350), 0)</f>
        <v>0</v>
      </c>
      <c r="J1350">
        <f t="shared" si="232"/>
        <v>0</v>
      </c>
      <c r="K1350">
        <f t="shared" si="233"/>
        <v>0</v>
      </c>
      <c r="L1350">
        <f t="shared" si="234"/>
        <v>0</v>
      </c>
      <c r="M1350">
        <f t="shared" si="235"/>
        <v>0</v>
      </c>
      <c r="N1350">
        <f t="shared" si="236"/>
        <v>0</v>
      </c>
      <c r="O1350">
        <f t="shared" si="237"/>
        <v>0</v>
      </c>
      <c r="P1350" t="str">
        <f t="shared" si="238"/>
        <v/>
      </c>
      <c r="Q1350" t="str">
        <f>IF(B1350="","", IFERROR(VLOOKUP(B1350, '基準資産配分（設定）'!$A$2:$C$2001, 3, FALSE), ""))</f>
        <v/>
      </c>
      <c r="R1350" t="str">
        <f>IF(B1350="","", IFERROR(VLOOKUP(B1350, '基準資産配分（設定）'!$A$2:$C$2001, 2, FALSE)/100, 0))</f>
        <v/>
      </c>
      <c r="S1350" t="str">
        <f>IF(B1350="","", IFERROR(SUMIFS(ベンチマークリターン!$C$2:$C$2001, ベンチマークリターン!$A$2:$A$2001, A1350, ベンチマークリターン!$B$2:$B$2001, Q1350) / 100, 0))</f>
        <v/>
      </c>
      <c r="T1350" t="str">
        <f>IF(A1350="","", SUMIFS($H$2:$H$2000, $A$2:$A$2000, A1350))</f>
        <v/>
      </c>
      <c r="U1350" t="str">
        <f t="shared" si="239"/>
        <v/>
      </c>
      <c r="V1350" t="str">
        <f t="shared" si="240"/>
        <v/>
      </c>
      <c r="W1350" t="str">
        <f t="shared" si="241"/>
        <v/>
      </c>
    </row>
    <row r="1351" spans="1:23" x14ac:dyDescent="0.2">
      <c r="A1351" s="4" t="str">
        <f>IF(ポートフォリオ実績!A1352="","", ポートフォリオ実績!A1352)</f>
        <v/>
      </c>
      <c r="B1351" t="str">
        <f>IF(ポートフォリオ実績!B1352="","", ポートフォリオ実績!B1352)</f>
        <v/>
      </c>
      <c r="C1351" s="10" t="str">
        <f>IF(ポートフォリオ実績!C1352="","", ポートフォリオ実績!C1352)</f>
        <v/>
      </c>
      <c r="D1351" s="10" t="str">
        <f>IF(ポートフォリオ実績!D1352="","", ポートフォリオ実績!D1352)</f>
        <v/>
      </c>
      <c r="E1351" s="10" t="str">
        <f>IF(ポートフォリオ実績!E1352="","", ポートフォリオ実績!E1352)</f>
        <v/>
      </c>
      <c r="F1351" s="10" t="str">
        <f>IF(ポートフォリオ実績!F1352="","", ポートフォリオ実績!F1352)</f>
        <v/>
      </c>
      <c r="G1351" t="str">
        <f t="shared" si="231"/>
        <v/>
      </c>
      <c r="H1351">
        <f>IF(B1351&lt;&gt;"", SUMIFS(ポートフォリオ実績!$D$2:$D$2001, ポートフォリオ実績!$B$2:$B$2001, B1351, ポートフォリオ実績!$A$2:$A$2001, G1351), 0)</f>
        <v>0</v>
      </c>
      <c r="I1351">
        <f>IF(B1351&lt;&gt;"", SUMIFS(ポートフォリオ実績!$C$2:$C$2001, ポートフォリオ実績!$B$2:$B$2001, B1351, ポートフォリオ実績!$A$2:$A$2001, G1351), 0)</f>
        <v>0</v>
      </c>
      <c r="J1351">
        <f t="shared" si="232"/>
        <v>0</v>
      </c>
      <c r="K1351">
        <f t="shared" si="233"/>
        <v>0</v>
      </c>
      <c r="L1351">
        <f t="shared" si="234"/>
        <v>0</v>
      </c>
      <c r="M1351">
        <f t="shared" si="235"/>
        <v>0</v>
      </c>
      <c r="N1351">
        <f t="shared" si="236"/>
        <v>0</v>
      </c>
      <c r="O1351">
        <f t="shared" si="237"/>
        <v>0</v>
      </c>
      <c r="P1351" t="str">
        <f t="shared" si="238"/>
        <v/>
      </c>
      <c r="Q1351" t="str">
        <f>IF(B1351="","", IFERROR(VLOOKUP(B1351, '基準資産配分（設定）'!$A$2:$C$2001, 3, FALSE), ""))</f>
        <v/>
      </c>
      <c r="R1351" t="str">
        <f>IF(B1351="","", IFERROR(VLOOKUP(B1351, '基準資産配分（設定）'!$A$2:$C$2001, 2, FALSE)/100, 0))</f>
        <v/>
      </c>
      <c r="S1351" t="str">
        <f>IF(B1351="","", IFERROR(SUMIFS(ベンチマークリターン!$C$2:$C$2001, ベンチマークリターン!$A$2:$A$2001, A1351, ベンチマークリターン!$B$2:$B$2001, Q1351) / 100, 0))</f>
        <v/>
      </c>
      <c r="T1351" t="str">
        <f>IF(A1351="","", SUMIFS($H$2:$H$2000, $A$2:$A$2000, A1351))</f>
        <v/>
      </c>
      <c r="U1351" t="str">
        <f t="shared" si="239"/>
        <v/>
      </c>
      <c r="V1351" t="str">
        <f t="shared" si="240"/>
        <v/>
      </c>
      <c r="W1351" t="str">
        <f t="shared" si="241"/>
        <v/>
      </c>
    </row>
    <row r="1352" spans="1:23" x14ac:dyDescent="0.2">
      <c r="A1352" s="4" t="str">
        <f>IF(ポートフォリオ実績!A1353="","", ポートフォリオ実績!A1353)</f>
        <v/>
      </c>
      <c r="B1352" t="str">
        <f>IF(ポートフォリオ実績!B1353="","", ポートフォリオ実績!B1353)</f>
        <v/>
      </c>
      <c r="C1352" s="10" t="str">
        <f>IF(ポートフォリオ実績!C1353="","", ポートフォリオ実績!C1353)</f>
        <v/>
      </c>
      <c r="D1352" s="10" t="str">
        <f>IF(ポートフォリオ実績!D1353="","", ポートフォリオ実績!D1353)</f>
        <v/>
      </c>
      <c r="E1352" s="10" t="str">
        <f>IF(ポートフォリオ実績!E1353="","", ポートフォリオ実績!E1353)</f>
        <v/>
      </c>
      <c r="F1352" s="10" t="str">
        <f>IF(ポートフォリオ実績!F1353="","", ポートフォリオ実績!F1353)</f>
        <v/>
      </c>
      <c r="G1352" t="str">
        <f t="shared" si="231"/>
        <v/>
      </c>
      <c r="H1352">
        <f>IF(B1352&lt;&gt;"", SUMIFS(ポートフォリオ実績!$D$2:$D$2001, ポートフォリオ実績!$B$2:$B$2001, B1352, ポートフォリオ実績!$A$2:$A$2001, G1352), 0)</f>
        <v>0</v>
      </c>
      <c r="I1352">
        <f>IF(B1352&lt;&gt;"", SUMIFS(ポートフォリオ実績!$C$2:$C$2001, ポートフォリオ実績!$B$2:$B$2001, B1352, ポートフォリオ実績!$A$2:$A$2001, G1352), 0)</f>
        <v>0</v>
      </c>
      <c r="J1352">
        <f t="shared" si="232"/>
        <v>0</v>
      </c>
      <c r="K1352">
        <f t="shared" si="233"/>
        <v>0</v>
      </c>
      <c r="L1352">
        <f t="shared" si="234"/>
        <v>0</v>
      </c>
      <c r="M1352">
        <f t="shared" si="235"/>
        <v>0</v>
      </c>
      <c r="N1352">
        <f t="shared" si="236"/>
        <v>0</v>
      </c>
      <c r="O1352">
        <f t="shared" si="237"/>
        <v>0</v>
      </c>
      <c r="P1352" t="str">
        <f t="shared" si="238"/>
        <v/>
      </c>
      <c r="Q1352" t="str">
        <f>IF(B1352="","", IFERROR(VLOOKUP(B1352, '基準資産配分（設定）'!$A$2:$C$2001, 3, FALSE), ""))</f>
        <v/>
      </c>
      <c r="R1352" t="str">
        <f>IF(B1352="","", IFERROR(VLOOKUP(B1352, '基準資産配分（設定）'!$A$2:$C$2001, 2, FALSE)/100, 0))</f>
        <v/>
      </c>
      <c r="S1352" t="str">
        <f>IF(B1352="","", IFERROR(SUMIFS(ベンチマークリターン!$C$2:$C$2001, ベンチマークリターン!$A$2:$A$2001, A1352, ベンチマークリターン!$B$2:$B$2001, Q1352) / 100, 0))</f>
        <v/>
      </c>
      <c r="T1352" t="str">
        <f>IF(A1352="","", SUMIFS($H$2:$H$2000, $A$2:$A$2000, A1352))</f>
        <v/>
      </c>
      <c r="U1352" t="str">
        <f t="shared" si="239"/>
        <v/>
      </c>
      <c r="V1352" t="str">
        <f t="shared" si="240"/>
        <v/>
      </c>
      <c r="W1352" t="str">
        <f t="shared" si="241"/>
        <v/>
      </c>
    </row>
    <row r="1353" spans="1:23" x14ac:dyDescent="0.2">
      <c r="A1353" s="4" t="str">
        <f>IF(ポートフォリオ実績!A1354="","", ポートフォリオ実績!A1354)</f>
        <v/>
      </c>
      <c r="B1353" t="str">
        <f>IF(ポートフォリオ実績!B1354="","", ポートフォリオ実績!B1354)</f>
        <v/>
      </c>
      <c r="C1353" s="10" t="str">
        <f>IF(ポートフォリオ実績!C1354="","", ポートフォリオ実績!C1354)</f>
        <v/>
      </c>
      <c r="D1353" s="10" t="str">
        <f>IF(ポートフォリオ実績!D1354="","", ポートフォリオ実績!D1354)</f>
        <v/>
      </c>
      <c r="E1353" s="10" t="str">
        <f>IF(ポートフォリオ実績!E1354="","", ポートフォリオ実績!E1354)</f>
        <v/>
      </c>
      <c r="F1353" s="10" t="str">
        <f>IF(ポートフォリオ実績!F1354="","", ポートフォリオ実績!F1354)</f>
        <v/>
      </c>
      <c r="G1353" t="str">
        <f t="shared" si="231"/>
        <v/>
      </c>
      <c r="H1353">
        <f>IF(B1353&lt;&gt;"", SUMIFS(ポートフォリオ実績!$D$2:$D$2001, ポートフォリオ実績!$B$2:$B$2001, B1353, ポートフォリオ実績!$A$2:$A$2001, G1353), 0)</f>
        <v>0</v>
      </c>
      <c r="I1353">
        <f>IF(B1353&lt;&gt;"", SUMIFS(ポートフォリオ実績!$C$2:$C$2001, ポートフォリオ実績!$B$2:$B$2001, B1353, ポートフォリオ実績!$A$2:$A$2001, G1353), 0)</f>
        <v>0</v>
      </c>
      <c r="J1353">
        <f t="shared" si="232"/>
        <v>0</v>
      </c>
      <c r="K1353">
        <f t="shared" si="233"/>
        <v>0</v>
      </c>
      <c r="L1353">
        <f t="shared" si="234"/>
        <v>0</v>
      </c>
      <c r="M1353">
        <f t="shared" si="235"/>
        <v>0</v>
      </c>
      <c r="N1353">
        <f t="shared" si="236"/>
        <v>0</v>
      </c>
      <c r="O1353">
        <f t="shared" si="237"/>
        <v>0</v>
      </c>
      <c r="P1353" t="str">
        <f t="shared" si="238"/>
        <v/>
      </c>
      <c r="Q1353" t="str">
        <f>IF(B1353="","", IFERROR(VLOOKUP(B1353, '基準資産配分（設定）'!$A$2:$C$2001, 3, FALSE), ""))</f>
        <v/>
      </c>
      <c r="R1353" t="str">
        <f>IF(B1353="","", IFERROR(VLOOKUP(B1353, '基準資産配分（設定）'!$A$2:$C$2001, 2, FALSE)/100, 0))</f>
        <v/>
      </c>
      <c r="S1353" t="str">
        <f>IF(B1353="","", IFERROR(SUMIFS(ベンチマークリターン!$C$2:$C$2001, ベンチマークリターン!$A$2:$A$2001, A1353, ベンチマークリターン!$B$2:$B$2001, Q1353) / 100, 0))</f>
        <v/>
      </c>
      <c r="T1353" t="str">
        <f>IF(A1353="","", SUMIFS($H$2:$H$2000, $A$2:$A$2000, A1353))</f>
        <v/>
      </c>
      <c r="U1353" t="str">
        <f t="shared" si="239"/>
        <v/>
      </c>
      <c r="V1353" t="str">
        <f t="shared" si="240"/>
        <v/>
      </c>
      <c r="W1353" t="str">
        <f t="shared" si="241"/>
        <v/>
      </c>
    </row>
    <row r="1354" spans="1:23" x14ac:dyDescent="0.2">
      <c r="A1354" s="4" t="str">
        <f>IF(ポートフォリオ実績!A1355="","", ポートフォリオ実績!A1355)</f>
        <v/>
      </c>
      <c r="B1354" t="str">
        <f>IF(ポートフォリオ実績!B1355="","", ポートフォリオ実績!B1355)</f>
        <v/>
      </c>
      <c r="C1354" s="10" t="str">
        <f>IF(ポートフォリオ実績!C1355="","", ポートフォリオ実績!C1355)</f>
        <v/>
      </c>
      <c r="D1354" s="10" t="str">
        <f>IF(ポートフォリオ実績!D1355="","", ポートフォリオ実績!D1355)</f>
        <v/>
      </c>
      <c r="E1354" s="10" t="str">
        <f>IF(ポートフォリオ実績!E1355="","", ポートフォリオ実績!E1355)</f>
        <v/>
      </c>
      <c r="F1354" s="10" t="str">
        <f>IF(ポートフォリオ実績!F1355="","", ポートフォリオ実績!F1355)</f>
        <v/>
      </c>
      <c r="G1354" t="str">
        <f t="shared" si="231"/>
        <v/>
      </c>
      <c r="H1354">
        <f>IF(B1354&lt;&gt;"", SUMIFS(ポートフォリオ実績!$D$2:$D$2001, ポートフォリオ実績!$B$2:$B$2001, B1354, ポートフォリオ実績!$A$2:$A$2001, G1354), 0)</f>
        <v>0</v>
      </c>
      <c r="I1354">
        <f>IF(B1354&lt;&gt;"", SUMIFS(ポートフォリオ実績!$C$2:$C$2001, ポートフォリオ実績!$B$2:$B$2001, B1354, ポートフォリオ実績!$A$2:$A$2001, G1354), 0)</f>
        <v>0</v>
      </c>
      <c r="J1354">
        <f t="shared" si="232"/>
        <v>0</v>
      </c>
      <c r="K1354">
        <f t="shared" si="233"/>
        <v>0</v>
      </c>
      <c r="L1354">
        <f t="shared" si="234"/>
        <v>0</v>
      </c>
      <c r="M1354">
        <f t="shared" si="235"/>
        <v>0</v>
      </c>
      <c r="N1354">
        <f t="shared" si="236"/>
        <v>0</v>
      </c>
      <c r="O1354">
        <f t="shared" si="237"/>
        <v>0</v>
      </c>
      <c r="P1354" t="str">
        <f t="shared" si="238"/>
        <v/>
      </c>
      <c r="Q1354" t="str">
        <f>IF(B1354="","", IFERROR(VLOOKUP(B1354, '基準資産配分（設定）'!$A$2:$C$2001, 3, FALSE), ""))</f>
        <v/>
      </c>
      <c r="R1354" t="str">
        <f>IF(B1354="","", IFERROR(VLOOKUP(B1354, '基準資産配分（設定）'!$A$2:$C$2001, 2, FALSE)/100, 0))</f>
        <v/>
      </c>
      <c r="S1354" t="str">
        <f>IF(B1354="","", IFERROR(SUMIFS(ベンチマークリターン!$C$2:$C$2001, ベンチマークリターン!$A$2:$A$2001, A1354, ベンチマークリターン!$B$2:$B$2001, Q1354) / 100, 0))</f>
        <v/>
      </c>
      <c r="T1354" t="str">
        <f>IF(A1354="","", SUMIFS($H$2:$H$2000, $A$2:$A$2000, A1354))</f>
        <v/>
      </c>
      <c r="U1354" t="str">
        <f t="shared" si="239"/>
        <v/>
      </c>
      <c r="V1354" t="str">
        <f t="shared" si="240"/>
        <v/>
      </c>
      <c r="W1354" t="str">
        <f t="shared" si="241"/>
        <v/>
      </c>
    </row>
    <row r="1355" spans="1:23" x14ac:dyDescent="0.2">
      <c r="A1355" s="4" t="str">
        <f>IF(ポートフォリオ実績!A1356="","", ポートフォリオ実績!A1356)</f>
        <v/>
      </c>
      <c r="B1355" t="str">
        <f>IF(ポートフォリオ実績!B1356="","", ポートフォリオ実績!B1356)</f>
        <v/>
      </c>
      <c r="C1355" s="10" t="str">
        <f>IF(ポートフォリオ実績!C1356="","", ポートフォリオ実績!C1356)</f>
        <v/>
      </c>
      <c r="D1355" s="10" t="str">
        <f>IF(ポートフォリオ実績!D1356="","", ポートフォリオ実績!D1356)</f>
        <v/>
      </c>
      <c r="E1355" s="10" t="str">
        <f>IF(ポートフォリオ実績!E1356="","", ポートフォリオ実績!E1356)</f>
        <v/>
      </c>
      <c r="F1355" s="10" t="str">
        <f>IF(ポートフォリオ実績!F1356="","", ポートフォリオ実績!F1356)</f>
        <v/>
      </c>
      <c r="G1355" t="str">
        <f t="shared" si="231"/>
        <v/>
      </c>
      <c r="H1355">
        <f>IF(B1355&lt;&gt;"", SUMIFS(ポートフォリオ実績!$D$2:$D$2001, ポートフォリオ実績!$B$2:$B$2001, B1355, ポートフォリオ実績!$A$2:$A$2001, G1355), 0)</f>
        <v>0</v>
      </c>
      <c r="I1355">
        <f>IF(B1355&lt;&gt;"", SUMIFS(ポートフォリオ実績!$C$2:$C$2001, ポートフォリオ実績!$B$2:$B$2001, B1355, ポートフォリオ実績!$A$2:$A$2001, G1355), 0)</f>
        <v>0</v>
      </c>
      <c r="J1355">
        <f t="shared" si="232"/>
        <v>0</v>
      </c>
      <c r="K1355">
        <f t="shared" si="233"/>
        <v>0</v>
      </c>
      <c r="L1355">
        <f t="shared" si="234"/>
        <v>0</v>
      </c>
      <c r="M1355">
        <f t="shared" si="235"/>
        <v>0</v>
      </c>
      <c r="N1355">
        <f t="shared" si="236"/>
        <v>0</v>
      </c>
      <c r="O1355">
        <f t="shared" si="237"/>
        <v>0</v>
      </c>
      <c r="P1355" t="str">
        <f t="shared" si="238"/>
        <v/>
      </c>
      <c r="Q1355" t="str">
        <f>IF(B1355="","", IFERROR(VLOOKUP(B1355, '基準資産配分（設定）'!$A$2:$C$2001, 3, FALSE), ""))</f>
        <v/>
      </c>
      <c r="R1355" t="str">
        <f>IF(B1355="","", IFERROR(VLOOKUP(B1355, '基準資産配分（設定）'!$A$2:$C$2001, 2, FALSE)/100, 0))</f>
        <v/>
      </c>
      <c r="S1355" t="str">
        <f>IF(B1355="","", IFERROR(SUMIFS(ベンチマークリターン!$C$2:$C$2001, ベンチマークリターン!$A$2:$A$2001, A1355, ベンチマークリターン!$B$2:$B$2001, Q1355) / 100, 0))</f>
        <v/>
      </c>
      <c r="T1355" t="str">
        <f>IF(A1355="","", SUMIFS($H$2:$H$2000, $A$2:$A$2000, A1355))</f>
        <v/>
      </c>
      <c r="U1355" t="str">
        <f t="shared" si="239"/>
        <v/>
      </c>
      <c r="V1355" t="str">
        <f t="shared" si="240"/>
        <v/>
      </c>
      <c r="W1355" t="str">
        <f t="shared" si="241"/>
        <v/>
      </c>
    </row>
    <row r="1356" spans="1:23" x14ac:dyDescent="0.2">
      <c r="A1356" s="4" t="str">
        <f>IF(ポートフォリオ実績!A1357="","", ポートフォリオ実績!A1357)</f>
        <v/>
      </c>
      <c r="B1356" t="str">
        <f>IF(ポートフォリオ実績!B1357="","", ポートフォリオ実績!B1357)</f>
        <v/>
      </c>
      <c r="C1356" s="10" t="str">
        <f>IF(ポートフォリオ実績!C1357="","", ポートフォリオ実績!C1357)</f>
        <v/>
      </c>
      <c r="D1356" s="10" t="str">
        <f>IF(ポートフォリオ実績!D1357="","", ポートフォリオ実績!D1357)</f>
        <v/>
      </c>
      <c r="E1356" s="10" t="str">
        <f>IF(ポートフォリオ実績!E1357="","", ポートフォリオ実績!E1357)</f>
        <v/>
      </c>
      <c r="F1356" s="10" t="str">
        <f>IF(ポートフォリオ実績!F1357="","", ポートフォリオ実績!F1357)</f>
        <v/>
      </c>
      <c r="G1356" t="str">
        <f t="shared" si="231"/>
        <v/>
      </c>
      <c r="H1356">
        <f>IF(B1356&lt;&gt;"", SUMIFS(ポートフォリオ実績!$D$2:$D$2001, ポートフォリオ実績!$B$2:$B$2001, B1356, ポートフォリオ実績!$A$2:$A$2001, G1356), 0)</f>
        <v>0</v>
      </c>
      <c r="I1356">
        <f>IF(B1356&lt;&gt;"", SUMIFS(ポートフォリオ実績!$C$2:$C$2001, ポートフォリオ実績!$B$2:$B$2001, B1356, ポートフォリオ実績!$A$2:$A$2001, G1356), 0)</f>
        <v>0</v>
      </c>
      <c r="J1356">
        <f t="shared" si="232"/>
        <v>0</v>
      </c>
      <c r="K1356">
        <f t="shared" si="233"/>
        <v>0</v>
      </c>
      <c r="L1356">
        <f t="shared" si="234"/>
        <v>0</v>
      </c>
      <c r="M1356">
        <f t="shared" si="235"/>
        <v>0</v>
      </c>
      <c r="N1356">
        <f t="shared" si="236"/>
        <v>0</v>
      </c>
      <c r="O1356">
        <f t="shared" si="237"/>
        <v>0</v>
      </c>
      <c r="P1356" t="str">
        <f t="shared" si="238"/>
        <v/>
      </c>
      <c r="Q1356" t="str">
        <f>IF(B1356="","", IFERROR(VLOOKUP(B1356, '基準資産配分（設定）'!$A$2:$C$2001, 3, FALSE), ""))</f>
        <v/>
      </c>
      <c r="R1356" t="str">
        <f>IF(B1356="","", IFERROR(VLOOKUP(B1356, '基準資産配分（設定）'!$A$2:$C$2001, 2, FALSE)/100, 0))</f>
        <v/>
      </c>
      <c r="S1356" t="str">
        <f>IF(B1356="","", IFERROR(SUMIFS(ベンチマークリターン!$C$2:$C$2001, ベンチマークリターン!$A$2:$A$2001, A1356, ベンチマークリターン!$B$2:$B$2001, Q1356) / 100, 0))</f>
        <v/>
      </c>
      <c r="T1356" t="str">
        <f>IF(A1356="","", SUMIFS($H$2:$H$2000, $A$2:$A$2000, A1356))</f>
        <v/>
      </c>
      <c r="U1356" t="str">
        <f t="shared" si="239"/>
        <v/>
      </c>
      <c r="V1356" t="str">
        <f t="shared" si="240"/>
        <v/>
      </c>
      <c r="W1356" t="str">
        <f t="shared" si="241"/>
        <v/>
      </c>
    </row>
    <row r="1357" spans="1:23" x14ac:dyDescent="0.2">
      <c r="A1357" s="4" t="str">
        <f>IF(ポートフォリオ実績!A1358="","", ポートフォリオ実績!A1358)</f>
        <v/>
      </c>
      <c r="B1357" t="str">
        <f>IF(ポートフォリオ実績!B1358="","", ポートフォリオ実績!B1358)</f>
        <v/>
      </c>
      <c r="C1357" s="10" t="str">
        <f>IF(ポートフォリオ実績!C1358="","", ポートフォリオ実績!C1358)</f>
        <v/>
      </c>
      <c r="D1357" s="10" t="str">
        <f>IF(ポートフォリオ実績!D1358="","", ポートフォリオ実績!D1358)</f>
        <v/>
      </c>
      <c r="E1357" s="10" t="str">
        <f>IF(ポートフォリオ実績!E1358="","", ポートフォリオ実績!E1358)</f>
        <v/>
      </c>
      <c r="F1357" s="10" t="str">
        <f>IF(ポートフォリオ実績!F1358="","", ポートフォリオ実績!F1358)</f>
        <v/>
      </c>
      <c r="G1357" t="str">
        <f t="shared" si="231"/>
        <v/>
      </c>
      <c r="H1357">
        <f>IF(B1357&lt;&gt;"", SUMIFS(ポートフォリオ実績!$D$2:$D$2001, ポートフォリオ実績!$B$2:$B$2001, B1357, ポートフォリオ実績!$A$2:$A$2001, G1357), 0)</f>
        <v>0</v>
      </c>
      <c r="I1357">
        <f>IF(B1357&lt;&gt;"", SUMIFS(ポートフォリオ実績!$C$2:$C$2001, ポートフォリオ実績!$B$2:$B$2001, B1357, ポートフォリオ実績!$A$2:$A$2001, G1357), 0)</f>
        <v>0</v>
      </c>
      <c r="J1357">
        <f t="shared" si="232"/>
        <v>0</v>
      </c>
      <c r="K1357">
        <f t="shared" si="233"/>
        <v>0</v>
      </c>
      <c r="L1357">
        <f t="shared" si="234"/>
        <v>0</v>
      </c>
      <c r="M1357">
        <f t="shared" si="235"/>
        <v>0</v>
      </c>
      <c r="N1357">
        <f t="shared" si="236"/>
        <v>0</v>
      </c>
      <c r="O1357">
        <f t="shared" si="237"/>
        <v>0</v>
      </c>
      <c r="P1357" t="str">
        <f t="shared" si="238"/>
        <v/>
      </c>
      <c r="Q1357" t="str">
        <f>IF(B1357="","", IFERROR(VLOOKUP(B1357, '基準資産配分（設定）'!$A$2:$C$2001, 3, FALSE), ""))</f>
        <v/>
      </c>
      <c r="R1357" t="str">
        <f>IF(B1357="","", IFERROR(VLOOKUP(B1357, '基準資産配分（設定）'!$A$2:$C$2001, 2, FALSE)/100, 0))</f>
        <v/>
      </c>
      <c r="S1357" t="str">
        <f>IF(B1357="","", IFERROR(SUMIFS(ベンチマークリターン!$C$2:$C$2001, ベンチマークリターン!$A$2:$A$2001, A1357, ベンチマークリターン!$B$2:$B$2001, Q1357) / 100, 0))</f>
        <v/>
      </c>
      <c r="T1357" t="str">
        <f>IF(A1357="","", SUMIFS($H$2:$H$2000, $A$2:$A$2000, A1357))</f>
        <v/>
      </c>
      <c r="U1357" t="str">
        <f t="shared" si="239"/>
        <v/>
      </c>
      <c r="V1357" t="str">
        <f t="shared" si="240"/>
        <v/>
      </c>
      <c r="W1357" t="str">
        <f t="shared" si="241"/>
        <v/>
      </c>
    </row>
    <row r="1358" spans="1:23" x14ac:dyDescent="0.2">
      <c r="A1358" s="4" t="str">
        <f>IF(ポートフォリオ実績!A1359="","", ポートフォリオ実績!A1359)</f>
        <v/>
      </c>
      <c r="B1358" t="str">
        <f>IF(ポートフォリオ実績!B1359="","", ポートフォリオ実績!B1359)</f>
        <v/>
      </c>
      <c r="C1358" s="10" t="str">
        <f>IF(ポートフォリオ実績!C1359="","", ポートフォリオ実績!C1359)</f>
        <v/>
      </c>
      <c r="D1358" s="10" t="str">
        <f>IF(ポートフォリオ実績!D1359="","", ポートフォリオ実績!D1359)</f>
        <v/>
      </c>
      <c r="E1358" s="10" t="str">
        <f>IF(ポートフォリオ実績!E1359="","", ポートフォリオ実績!E1359)</f>
        <v/>
      </c>
      <c r="F1358" s="10" t="str">
        <f>IF(ポートフォリオ実績!F1359="","", ポートフォリオ実績!F1359)</f>
        <v/>
      </c>
      <c r="G1358" t="str">
        <f t="shared" si="231"/>
        <v/>
      </c>
      <c r="H1358">
        <f>IF(B1358&lt;&gt;"", SUMIFS(ポートフォリオ実績!$D$2:$D$2001, ポートフォリオ実績!$B$2:$B$2001, B1358, ポートフォリオ実績!$A$2:$A$2001, G1358), 0)</f>
        <v>0</v>
      </c>
      <c r="I1358">
        <f>IF(B1358&lt;&gt;"", SUMIFS(ポートフォリオ実績!$C$2:$C$2001, ポートフォリオ実績!$B$2:$B$2001, B1358, ポートフォリオ実績!$A$2:$A$2001, G1358), 0)</f>
        <v>0</v>
      </c>
      <c r="J1358">
        <f t="shared" si="232"/>
        <v>0</v>
      </c>
      <c r="K1358">
        <f t="shared" si="233"/>
        <v>0</v>
      </c>
      <c r="L1358">
        <f t="shared" si="234"/>
        <v>0</v>
      </c>
      <c r="M1358">
        <f t="shared" si="235"/>
        <v>0</v>
      </c>
      <c r="N1358">
        <f t="shared" si="236"/>
        <v>0</v>
      </c>
      <c r="O1358">
        <f t="shared" si="237"/>
        <v>0</v>
      </c>
      <c r="P1358" t="str">
        <f t="shared" si="238"/>
        <v/>
      </c>
      <c r="Q1358" t="str">
        <f>IF(B1358="","", IFERROR(VLOOKUP(B1358, '基準資産配分（設定）'!$A$2:$C$2001, 3, FALSE), ""))</f>
        <v/>
      </c>
      <c r="R1358" t="str">
        <f>IF(B1358="","", IFERROR(VLOOKUP(B1358, '基準資産配分（設定）'!$A$2:$C$2001, 2, FALSE)/100, 0))</f>
        <v/>
      </c>
      <c r="S1358" t="str">
        <f>IF(B1358="","", IFERROR(SUMIFS(ベンチマークリターン!$C$2:$C$2001, ベンチマークリターン!$A$2:$A$2001, A1358, ベンチマークリターン!$B$2:$B$2001, Q1358) / 100, 0))</f>
        <v/>
      </c>
      <c r="T1358" t="str">
        <f>IF(A1358="","", SUMIFS($H$2:$H$2000, $A$2:$A$2000, A1358))</f>
        <v/>
      </c>
      <c r="U1358" t="str">
        <f t="shared" si="239"/>
        <v/>
      </c>
      <c r="V1358" t="str">
        <f t="shared" si="240"/>
        <v/>
      </c>
      <c r="W1358" t="str">
        <f t="shared" si="241"/>
        <v/>
      </c>
    </row>
    <row r="1359" spans="1:23" x14ac:dyDescent="0.2">
      <c r="A1359" s="4" t="str">
        <f>IF(ポートフォリオ実績!A1360="","", ポートフォリオ実績!A1360)</f>
        <v/>
      </c>
      <c r="B1359" t="str">
        <f>IF(ポートフォリオ実績!B1360="","", ポートフォリオ実績!B1360)</f>
        <v/>
      </c>
      <c r="C1359" s="10" t="str">
        <f>IF(ポートフォリオ実績!C1360="","", ポートフォリオ実績!C1360)</f>
        <v/>
      </c>
      <c r="D1359" s="10" t="str">
        <f>IF(ポートフォリオ実績!D1360="","", ポートフォリオ実績!D1360)</f>
        <v/>
      </c>
      <c r="E1359" s="10" t="str">
        <f>IF(ポートフォリオ実績!E1360="","", ポートフォリオ実績!E1360)</f>
        <v/>
      </c>
      <c r="F1359" s="10" t="str">
        <f>IF(ポートフォリオ実績!F1360="","", ポートフォリオ実績!F1360)</f>
        <v/>
      </c>
      <c r="G1359" t="str">
        <f t="shared" si="231"/>
        <v/>
      </c>
      <c r="H1359">
        <f>IF(B1359&lt;&gt;"", SUMIFS(ポートフォリオ実績!$D$2:$D$2001, ポートフォリオ実績!$B$2:$B$2001, B1359, ポートフォリオ実績!$A$2:$A$2001, G1359), 0)</f>
        <v>0</v>
      </c>
      <c r="I1359">
        <f>IF(B1359&lt;&gt;"", SUMIFS(ポートフォリオ実績!$C$2:$C$2001, ポートフォリオ実績!$B$2:$B$2001, B1359, ポートフォリオ実績!$A$2:$A$2001, G1359), 0)</f>
        <v>0</v>
      </c>
      <c r="J1359">
        <f t="shared" si="232"/>
        <v>0</v>
      </c>
      <c r="K1359">
        <f t="shared" si="233"/>
        <v>0</v>
      </c>
      <c r="L1359">
        <f t="shared" si="234"/>
        <v>0</v>
      </c>
      <c r="M1359">
        <f t="shared" si="235"/>
        <v>0</v>
      </c>
      <c r="N1359">
        <f t="shared" si="236"/>
        <v>0</v>
      </c>
      <c r="O1359">
        <f t="shared" si="237"/>
        <v>0</v>
      </c>
      <c r="P1359" t="str">
        <f t="shared" si="238"/>
        <v/>
      </c>
      <c r="Q1359" t="str">
        <f>IF(B1359="","", IFERROR(VLOOKUP(B1359, '基準資産配分（設定）'!$A$2:$C$2001, 3, FALSE), ""))</f>
        <v/>
      </c>
      <c r="R1359" t="str">
        <f>IF(B1359="","", IFERROR(VLOOKUP(B1359, '基準資産配分（設定）'!$A$2:$C$2001, 2, FALSE)/100, 0))</f>
        <v/>
      </c>
      <c r="S1359" t="str">
        <f>IF(B1359="","", IFERROR(SUMIFS(ベンチマークリターン!$C$2:$C$2001, ベンチマークリターン!$A$2:$A$2001, A1359, ベンチマークリターン!$B$2:$B$2001, Q1359) / 100, 0))</f>
        <v/>
      </c>
      <c r="T1359" t="str">
        <f>IF(A1359="","", SUMIFS($H$2:$H$2000, $A$2:$A$2000, A1359))</f>
        <v/>
      </c>
      <c r="U1359" t="str">
        <f t="shared" si="239"/>
        <v/>
      </c>
      <c r="V1359" t="str">
        <f t="shared" si="240"/>
        <v/>
      </c>
      <c r="W1359" t="str">
        <f t="shared" si="241"/>
        <v/>
      </c>
    </row>
    <row r="1360" spans="1:23" x14ac:dyDescent="0.2">
      <c r="A1360" s="4" t="str">
        <f>IF(ポートフォリオ実績!A1361="","", ポートフォリオ実績!A1361)</f>
        <v/>
      </c>
      <c r="B1360" t="str">
        <f>IF(ポートフォリオ実績!B1361="","", ポートフォリオ実績!B1361)</f>
        <v/>
      </c>
      <c r="C1360" s="10" t="str">
        <f>IF(ポートフォリオ実績!C1361="","", ポートフォリオ実績!C1361)</f>
        <v/>
      </c>
      <c r="D1360" s="10" t="str">
        <f>IF(ポートフォリオ実績!D1361="","", ポートフォリオ実績!D1361)</f>
        <v/>
      </c>
      <c r="E1360" s="10" t="str">
        <f>IF(ポートフォリオ実績!E1361="","", ポートフォリオ実績!E1361)</f>
        <v/>
      </c>
      <c r="F1360" s="10" t="str">
        <f>IF(ポートフォリオ実績!F1361="","", ポートフォリオ実績!F1361)</f>
        <v/>
      </c>
      <c r="G1360" t="str">
        <f t="shared" si="231"/>
        <v/>
      </c>
      <c r="H1360">
        <f>IF(B1360&lt;&gt;"", SUMIFS(ポートフォリオ実績!$D$2:$D$2001, ポートフォリオ実績!$B$2:$B$2001, B1360, ポートフォリオ実績!$A$2:$A$2001, G1360), 0)</f>
        <v>0</v>
      </c>
      <c r="I1360">
        <f>IF(B1360&lt;&gt;"", SUMIFS(ポートフォリオ実績!$C$2:$C$2001, ポートフォリオ実績!$B$2:$B$2001, B1360, ポートフォリオ実績!$A$2:$A$2001, G1360), 0)</f>
        <v>0</v>
      </c>
      <c r="J1360">
        <f t="shared" si="232"/>
        <v>0</v>
      </c>
      <c r="K1360">
        <f t="shared" si="233"/>
        <v>0</v>
      </c>
      <c r="L1360">
        <f t="shared" si="234"/>
        <v>0</v>
      </c>
      <c r="M1360">
        <f t="shared" si="235"/>
        <v>0</v>
      </c>
      <c r="N1360">
        <f t="shared" si="236"/>
        <v>0</v>
      </c>
      <c r="O1360">
        <f t="shared" si="237"/>
        <v>0</v>
      </c>
      <c r="P1360" t="str">
        <f t="shared" si="238"/>
        <v/>
      </c>
      <c r="Q1360" t="str">
        <f>IF(B1360="","", IFERROR(VLOOKUP(B1360, '基準資産配分（設定）'!$A$2:$C$2001, 3, FALSE), ""))</f>
        <v/>
      </c>
      <c r="R1360" t="str">
        <f>IF(B1360="","", IFERROR(VLOOKUP(B1360, '基準資産配分（設定）'!$A$2:$C$2001, 2, FALSE)/100, 0))</f>
        <v/>
      </c>
      <c r="S1360" t="str">
        <f>IF(B1360="","", IFERROR(SUMIFS(ベンチマークリターン!$C$2:$C$2001, ベンチマークリターン!$A$2:$A$2001, A1360, ベンチマークリターン!$B$2:$B$2001, Q1360) / 100, 0))</f>
        <v/>
      </c>
      <c r="T1360" t="str">
        <f>IF(A1360="","", SUMIFS($H$2:$H$2000, $A$2:$A$2000, A1360))</f>
        <v/>
      </c>
      <c r="U1360" t="str">
        <f t="shared" si="239"/>
        <v/>
      </c>
      <c r="V1360" t="str">
        <f t="shared" si="240"/>
        <v/>
      </c>
      <c r="W1360" t="str">
        <f t="shared" si="241"/>
        <v/>
      </c>
    </row>
    <row r="1361" spans="1:23" x14ac:dyDescent="0.2">
      <c r="A1361" s="4" t="str">
        <f>IF(ポートフォリオ実績!A1362="","", ポートフォリオ実績!A1362)</f>
        <v/>
      </c>
      <c r="B1361" t="str">
        <f>IF(ポートフォリオ実績!B1362="","", ポートフォリオ実績!B1362)</f>
        <v/>
      </c>
      <c r="C1361" s="10" t="str">
        <f>IF(ポートフォリオ実績!C1362="","", ポートフォリオ実績!C1362)</f>
        <v/>
      </c>
      <c r="D1361" s="10" t="str">
        <f>IF(ポートフォリオ実績!D1362="","", ポートフォリオ実績!D1362)</f>
        <v/>
      </c>
      <c r="E1361" s="10" t="str">
        <f>IF(ポートフォリオ実績!E1362="","", ポートフォリオ実績!E1362)</f>
        <v/>
      </c>
      <c r="F1361" s="10" t="str">
        <f>IF(ポートフォリオ実績!F1362="","", ポートフォリオ実績!F1362)</f>
        <v/>
      </c>
      <c r="G1361" t="str">
        <f t="shared" si="231"/>
        <v/>
      </c>
      <c r="H1361">
        <f>IF(B1361&lt;&gt;"", SUMIFS(ポートフォリオ実績!$D$2:$D$2001, ポートフォリオ実績!$B$2:$B$2001, B1361, ポートフォリオ実績!$A$2:$A$2001, G1361), 0)</f>
        <v>0</v>
      </c>
      <c r="I1361">
        <f>IF(B1361&lt;&gt;"", SUMIFS(ポートフォリオ実績!$C$2:$C$2001, ポートフォリオ実績!$B$2:$B$2001, B1361, ポートフォリオ実績!$A$2:$A$2001, G1361), 0)</f>
        <v>0</v>
      </c>
      <c r="J1361">
        <f t="shared" si="232"/>
        <v>0</v>
      </c>
      <c r="K1361">
        <f t="shared" si="233"/>
        <v>0</v>
      </c>
      <c r="L1361">
        <f t="shared" si="234"/>
        <v>0</v>
      </c>
      <c r="M1361">
        <f t="shared" si="235"/>
        <v>0</v>
      </c>
      <c r="N1361">
        <f t="shared" si="236"/>
        <v>0</v>
      </c>
      <c r="O1361">
        <f t="shared" si="237"/>
        <v>0</v>
      </c>
      <c r="P1361" t="str">
        <f t="shared" si="238"/>
        <v/>
      </c>
      <c r="Q1361" t="str">
        <f>IF(B1361="","", IFERROR(VLOOKUP(B1361, '基準資産配分（設定）'!$A$2:$C$2001, 3, FALSE), ""))</f>
        <v/>
      </c>
      <c r="R1361" t="str">
        <f>IF(B1361="","", IFERROR(VLOOKUP(B1361, '基準資産配分（設定）'!$A$2:$C$2001, 2, FALSE)/100, 0))</f>
        <v/>
      </c>
      <c r="S1361" t="str">
        <f>IF(B1361="","", IFERROR(SUMIFS(ベンチマークリターン!$C$2:$C$2001, ベンチマークリターン!$A$2:$A$2001, A1361, ベンチマークリターン!$B$2:$B$2001, Q1361) / 100, 0))</f>
        <v/>
      </c>
      <c r="T1361" t="str">
        <f>IF(A1361="","", SUMIFS($H$2:$H$2000, $A$2:$A$2000, A1361))</f>
        <v/>
      </c>
      <c r="U1361" t="str">
        <f t="shared" si="239"/>
        <v/>
      </c>
      <c r="V1361" t="str">
        <f t="shared" si="240"/>
        <v/>
      </c>
      <c r="W1361" t="str">
        <f t="shared" si="241"/>
        <v/>
      </c>
    </row>
    <row r="1362" spans="1:23" x14ac:dyDescent="0.2">
      <c r="A1362" s="4" t="str">
        <f>IF(ポートフォリオ実績!A1363="","", ポートフォリオ実績!A1363)</f>
        <v/>
      </c>
      <c r="B1362" t="str">
        <f>IF(ポートフォリオ実績!B1363="","", ポートフォリオ実績!B1363)</f>
        <v/>
      </c>
      <c r="C1362" s="10" t="str">
        <f>IF(ポートフォリオ実績!C1363="","", ポートフォリオ実績!C1363)</f>
        <v/>
      </c>
      <c r="D1362" s="10" t="str">
        <f>IF(ポートフォリオ実績!D1363="","", ポートフォリオ実績!D1363)</f>
        <v/>
      </c>
      <c r="E1362" s="10" t="str">
        <f>IF(ポートフォリオ実績!E1363="","", ポートフォリオ実績!E1363)</f>
        <v/>
      </c>
      <c r="F1362" s="10" t="str">
        <f>IF(ポートフォリオ実績!F1363="","", ポートフォリオ実績!F1363)</f>
        <v/>
      </c>
      <c r="G1362" t="str">
        <f t="shared" si="231"/>
        <v/>
      </c>
      <c r="H1362">
        <f>IF(B1362&lt;&gt;"", SUMIFS(ポートフォリオ実績!$D$2:$D$2001, ポートフォリオ実績!$B$2:$B$2001, B1362, ポートフォリオ実績!$A$2:$A$2001, G1362), 0)</f>
        <v>0</v>
      </c>
      <c r="I1362">
        <f>IF(B1362&lt;&gt;"", SUMIFS(ポートフォリオ実績!$C$2:$C$2001, ポートフォリオ実績!$B$2:$B$2001, B1362, ポートフォリオ実績!$A$2:$A$2001, G1362), 0)</f>
        <v>0</v>
      </c>
      <c r="J1362">
        <f t="shared" si="232"/>
        <v>0</v>
      </c>
      <c r="K1362">
        <f t="shared" si="233"/>
        <v>0</v>
      </c>
      <c r="L1362">
        <f t="shared" si="234"/>
        <v>0</v>
      </c>
      <c r="M1362">
        <f t="shared" si="235"/>
        <v>0</v>
      </c>
      <c r="N1362">
        <f t="shared" si="236"/>
        <v>0</v>
      </c>
      <c r="O1362">
        <f t="shared" si="237"/>
        <v>0</v>
      </c>
      <c r="P1362" t="str">
        <f t="shared" si="238"/>
        <v/>
      </c>
      <c r="Q1362" t="str">
        <f>IF(B1362="","", IFERROR(VLOOKUP(B1362, '基準資産配分（設定）'!$A$2:$C$2001, 3, FALSE), ""))</f>
        <v/>
      </c>
      <c r="R1362" t="str">
        <f>IF(B1362="","", IFERROR(VLOOKUP(B1362, '基準資産配分（設定）'!$A$2:$C$2001, 2, FALSE)/100, 0))</f>
        <v/>
      </c>
      <c r="S1362" t="str">
        <f>IF(B1362="","", IFERROR(SUMIFS(ベンチマークリターン!$C$2:$C$2001, ベンチマークリターン!$A$2:$A$2001, A1362, ベンチマークリターン!$B$2:$B$2001, Q1362) / 100, 0))</f>
        <v/>
      </c>
      <c r="T1362" t="str">
        <f>IF(A1362="","", SUMIFS($H$2:$H$2000, $A$2:$A$2000, A1362))</f>
        <v/>
      </c>
      <c r="U1362" t="str">
        <f t="shared" si="239"/>
        <v/>
      </c>
      <c r="V1362" t="str">
        <f t="shared" si="240"/>
        <v/>
      </c>
      <c r="W1362" t="str">
        <f t="shared" si="241"/>
        <v/>
      </c>
    </row>
    <row r="1363" spans="1:23" x14ac:dyDescent="0.2">
      <c r="A1363" s="4" t="str">
        <f>IF(ポートフォリオ実績!A1364="","", ポートフォリオ実績!A1364)</f>
        <v/>
      </c>
      <c r="B1363" t="str">
        <f>IF(ポートフォリオ実績!B1364="","", ポートフォリオ実績!B1364)</f>
        <v/>
      </c>
      <c r="C1363" s="10" t="str">
        <f>IF(ポートフォリオ実績!C1364="","", ポートフォリオ実績!C1364)</f>
        <v/>
      </c>
      <c r="D1363" s="10" t="str">
        <f>IF(ポートフォリオ実績!D1364="","", ポートフォリオ実績!D1364)</f>
        <v/>
      </c>
      <c r="E1363" s="10" t="str">
        <f>IF(ポートフォリオ実績!E1364="","", ポートフォリオ実績!E1364)</f>
        <v/>
      </c>
      <c r="F1363" s="10" t="str">
        <f>IF(ポートフォリオ実績!F1364="","", ポートフォリオ実績!F1364)</f>
        <v/>
      </c>
      <c r="G1363" t="str">
        <f t="shared" si="231"/>
        <v/>
      </c>
      <c r="H1363">
        <f>IF(B1363&lt;&gt;"", SUMIFS(ポートフォリオ実績!$D$2:$D$2001, ポートフォリオ実績!$B$2:$B$2001, B1363, ポートフォリオ実績!$A$2:$A$2001, G1363), 0)</f>
        <v>0</v>
      </c>
      <c r="I1363">
        <f>IF(B1363&lt;&gt;"", SUMIFS(ポートフォリオ実績!$C$2:$C$2001, ポートフォリオ実績!$B$2:$B$2001, B1363, ポートフォリオ実績!$A$2:$A$2001, G1363), 0)</f>
        <v>0</v>
      </c>
      <c r="J1363">
        <f t="shared" si="232"/>
        <v>0</v>
      </c>
      <c r="K1363">
        <f t="shared" si="233"/>
        <v>0</v>
      </c>
      <c r="L1363">
        <f t="shared" si="234"/>
        <v>0</v>
      </c>
      <c r="M1363">
        <f t="shared" si="235"/>
        <v>0</v>
      </c>
      <c r="N1363">
        <f t="shared" si="236"/>
        <v>0</v>
      </c>
      <c r="O1363">
        <f t="shared" si="237"/>
        <v>0</v>
      </c>
      <c r="P1363" t="str">
        <f t="shared" si="238"/>
        <v/>
      </c>
      <c r="Q1363" t="str">
        <f>IF(B1363="","", IFERROR(VLOOKUP(B1363, '基準資産配分（設定）'!$A$2:$C$2001, 3, FALSE), ""))</f>
        <v/>
      </c>
      <c r="R1363" t="str">
        <f>IF(B1363="","", IFERROR(VLOOKUP(B1363, '基準資産配分（設定）'!$A$2:$C$2001, 2, FALSE)/100, 0))</f>
        <v/>
      </c>
      <c r="S1363" t="str">
        <f>IF(B1363="","", IFERROR(SUMIFS(ベンチマークリターン!$C$2:$C$2001, ベンチマークリターン!$A$2:$A$2001, A1363, ベンチマークリターン!$B$2:$B$2001, Q1363) / 100, 0))</f>
        <v/>
      </c>
      <c r="T1363" t="str">
        <f>IF(A1363="","", SUMIFS($H$2:$H$2000, $A$2:$A$2000, A1363))</f>
        <v/>
      </c>
      <c r="U1363" t="str">
        <f t="shared" si="239"/>
        <v/>
      </c>
      <c r="V1363" t="str">
        <f t="shared" si="240"/>
        <v/>
      </c>
      <c r="W1363" t="str">
        <f t="shared" si="241"/>
        <v/>
      </c>
    </row>
    <row r="1364" spans="1:23" x14ac:dyDescent="0.2">
      <c r="A1364" s="4" t="str">
        <f>IF(ポートフォリオ実績!A1365="","", ポートフォリオ実績!A1365)</f>
        <v/>
      </c>
      <c r="B1364" t="str">
        <f>IF(ポートフォリオ実績!B1365="","", ポートフォリオ実績!B1365)</f>
        <v/>
      </c>
      <c r="C1364" s="10" t="str">
        <f>IF(ポートフォリオ実績!C1365="","", ポートフォリオ実績!C1365)</f>
        <v/>
      </c>
      <c r="D1364" s="10" t="str">
        <f>IF(ポートフォリオ実績!D1365="","", ポートフォリオ実績!D1365)</f>
        <v/>
      </c>
      <c r="E1364" s="10" t="str">
        <f>IF(ポートフォリオ実績!E1365="","", ポートフォリオ実績!E1365)</f>
        <v/>
      </c>
      <c r="F1364" s="10" t="str">
        <f>IF(ポートフォリオ実績!F1365="","", ポートフォリオ実績!F1365)</f>
        <v/>
      </c>
      <c r="G1364" t="str">
        <f t="shared" si="231"/>
        <v/>
      </c>
      <c r="H1364">
        <f>IF(B1364&lt;&gt;"", SUMIFS(ポートフォリオ実績!$D$2:$D$2001, ポートフォリオ実績!$B$2:$B$2001, B1364, ポートフォリオ実績!$A$2:$A$2001, G1364), 0)</f>
        <v>0</v>
      </c>
      <c r="I1364">
        <f>IF(B1364&lt;&gt;"", SUMIFS(ポートフォリオ実績!$C$2:$C$2001, ポートフォリオ実績!$B$2:$B$2001, B1364, ポートフォリオ実績!$A$2:$A$2001, G1364), 0)</f>
        <v>0</v>
      </c>
      <c r="J1364">
        <f t="shared" si="232"/>
        <v>0</v>
      </c>
      <c r="K1364">
        <f t="shared" si="233"/>
        <v>0</v>
      </c>
      <c r="L1364">
        <f t="shared" si="234"/>
        <v>0</v>
      </c>
      <c r="M1364">
        <f t="shared" si="235"/>
        <v>0</v>
      </c>
      <c r="N1364">
        <f t="shared" si="236"/>
        <v>0</v>
      </c>
      <c r="O1364">
        <f t="shared" si="237"/>
        <v>0</v>
      </c>
      <c r="P1364" t="str">
        <f t="shared" si="238"/>
        <v/>
      </c>
      <c r="Q1364" t="str">
        <f>IF(B1364="","", IFERROR(VLOOKUP(B1364, '基準資産配分（設定）'!$A$2:$C$2001, 3, FALSE), ""))</f>
        <v/>
      </c>
      <c r="R1364" t="str">
        <f>IF(B1364="","", IFERROR(VLOOKUP(B1364, '基準資産配分（設定）'!$A$2:$C$2001, 2, FALSE)/100, 0))</f>
        <v/>
      </c>
      <c r="S1364" t="str">
        <f>IF(B1364="","", IFERROR(SUMIFS(ベンチマークリターン!$C$2:$C$2001, ベンチマークリターン!$A$2:$A$2001, A1364, ベンチマークリターン!$B$2:$B$2001, Q1364) / 100, 0))</f>
        <v/>
      </c>
      <c r="T1364" t="str">
        <f>IF(A1364="","", SUMIFS($H$2:$H$2000, $A$2:$A$2000, A1364))</f>
        <v/>
      </c>
      <c r="U1364" t="str">
        <f t="shared" si="239"/>
        <v/>
      </c>
      <c r="V1364" t="str">
        <f t="shared" si="240"/>
        <v/>
      </c>
      <c r="W1364" t="str">
        <f t="shared" si="241"/>
        <v/>
      </c>
    </row>
    <row r="1365" spans="1:23" x14ac:dyDescent="0.2">
      <c r="A1365" s="4" t="str">
        <f>IF(ポートフォリオ実績!A1366="","", ポートフォリオ実績!A1366)</f>
        <v/>
      </c>
      <c r="B1365" t="str">
        <f>IF(ポートフォリオ実績!B1366="","", ポートフォリオ実績!B1366)</f>
        <v/>
      </c>
      <c r="C1365" s="10" t="str">
        <f>IF(ポートフォリオ実績!C1366="","", ポートフォリオ実績!C1366)</f>
        <v/>
      </c>
      <c r="D1365" s="10" t="str">
        <f>IF(ポートフォリオ実績!D1366="","", ポートフォリオ実績!D1366)</f>
        <v/>
      </c>
      <c r="E1365" s="10" t="str">
        <f>IF(ポートフォリオ実績!E1366="","", ポートフォリオ実績!E1366)</f>
        <v/>
      </c>
      <c r="F1365" s="10" t="str">
        <f>IF(ポートフォリオ実績!F1366="","", ポートフォリオ実績!F1366)</f>
        <v/>
      </c>
      <c r="G1365" t="str">
        <f t="shared" si="231"/>
        <v/>
      </c>
      <c r="H1365">
        <f>IF(B1365&lt;&gt;"", SUMIFS(ポートフォリオ実績!$D$2:$D$2001, ポートフォリオ実績!$B$2:$B$2001, B1365, ポートフォリオ実績!$A$2:$A$2001, G1365), 0)</f>
        <v>0</v>
      </c>
      <c r="I1365">
        <f>IF(B1365&lt;&gt;"", SUMIFS(ポートフォリオ実績!$C$2:$C$2001, ポートフォリオ実績!$B$2:$B$2001, B1365, ポートフォリオ実績!$A$2:$A$2001, G1365), 0)</f>
        <v>0</v>
      </c>
      <c r="J1365">
        <f t="shared" si="232"/>
        <v>0</v>
      </c>
      <c r="K1365">
        <f t="shared" si="233"/>
        <v>0</v>
      </c>
      <c r="L1365">
        <f t="shared" si="234"/>
        <v>0</v>
      </c>
      <c r="M1365">
        <f t="shared" si="235"/>
        <v>0</v>
      </c>
      <c r="N1365">
        <f t="shared" si="236"/>
        <v>0</v>
      </c>
      <c r="O1365">
        <f t="shared" si="237"/>
        <v>0</v>
      </c>
      <c r="P1365" t="str">
        <f t="shared" si="238"/>
        <v/>
      </c>
      <c r="Q1365" t="str">
        <f>IF(B1365="","", IFERROR(VLOOKUP(B1365, '基準資産配分（設定）'!$A$2:$C$2001, 3, FALSE), ""))</f>
        <v/>
      </c>
      <c r="R1365" t="str">
        <f>IF(B1365="","", IFERROR(VLOOKUP(B1365, '基準資産配分（設定）'!$A$2:$C$2001, 2, FALSE)/100, 0))</f>
        <v/>
      </c>
      <c r="S1365" t="str">
        <f>IF(B1365="","", IFERROR(SUMIFS(ベンチマークリターン!$C$2:$C$2001, ベンチマークリターン!$A$2:$A$2001, A1365, ベンチマークリターン!$B$2:$B$2001, Q1365) / 100, 0))</f>
        <v/>
      </c>
      <c r="T1365" t="str">
        <f>IF(A1365="","", SUMIFS($H$2:$H$2000, $A$2:$A$2000, A1365))</f>
        <v/>
      </c>
      <c r="U1365" t="str">
        <f t="shared" si="239"/>
        <v/>
      </c>
      <c r="V1365" t="str">
        <f t="shared" si="240"/>
        <v/>
      </c>
      <c r="W1365" t="str">
        <f t="shared" si="241"/>
        <v/>
      </c>
    </row>
    <row r="1366" spans="1:23" x14ac:dyDescent="0.2">
      <c r="A1366" s="4" t="str">
        <f>IF(ポートフォリオ実績!A1367="","", ポートフォリオ実績!A1367)</f>
        <v/>
      </c>
      <c r="B1366" t="str">
        <f>IF(ポートフォリオ実績!B1367="","", ポートフォリオ実績!B1367)</f>
        <v/>
      </c>
      <c r="C1366" s="10" t="str">
        <f>IF(ポートフォリオ実績!C1367="","", ポートフォリオ実績!C1367)</f>
        <v/>
      </c>
      <c r="D1366" s="10" t="str">
        <f>IF(ポートフォリオ実績!D1367="","", ポートフォリオ実績!D1367)</f>
        <v/>
      </c>
      <c r="E1366" s="10" t="str">
        <f>IF(ポートフォリオ実績!E1367="","", ポートフォリオ実績!E1367)</f>
        <v/>
      </c>
      <c r="F1366" s="10" t="str">
        <f>IF(ポートフォリオ実績!F1367="","", ポートフォリオ実績!F1367)</f>
        <v/>
      </c>
      <c r="G1366" t="str">
        <f t="shared" si="231"/>
        <v/>
      </c>
      <c r="H1366">
        <f>IF(B1366&lt;&gt;"", SUMIFS(ポートフォリオ実績!$D$2:$D$2001, ポートフォリオ実績!$B$2:$B$2001, B1366, ポートフォリオ実績!$A$2:$A$2001, G1366), 0)</f>
        <v>0</v>
      </c>
      <c r="I1366">
        <f>IF(B1366&lt;&gt;"", SUMIFS(ポートフォリオ実績!$C$2:$C$2001, ポートフォリオ実績!$B$2:$B$2001, B1366, ポートフォリオ実績!$A$2:$A$2001, G1366), 0)</f>
        <v>0</v>
      </c>
      <c r="J1366">
        <f t="shared" si="232"/>
        <v>0</v>
      </c>
      <c r="K1366">
        <f t="shared" si="233"/>
        <v>0</v>
      </c>
      <c r="L1366">
        <f t="shared" si="234"/>
        <v>0</v>
      </c>
      <c r="M1366">
        <f t="shared" si="235"/>
        <v>0</v>
      </c>
      <c r="N1366">
        <f t="shared" si="236"/>
        <v>0</v>
      </c>
      <c r="O1366">
        <f t="shared" si="237"/>
        <v>0</v>
      </c>
      <c r="P1366" t="str">
        <f t="shared" si="238"/>
        <v/>
      </c>
      <c r="Q1366" t="str">
        <f>IF(B1366="","", IFERROR(VLOOKUP(B1366, '基準資産配分（設定）'!$A$2:$C$2001, 3, FALSE), ""))</f>
        <v/>
      </c>
      <c r="R1366" t="str">
        <f>IF(B1366="","", IFERROR(VLOOKUP(B1366, '基準資産配分（設定）'!$A$2:$C$2001, 2, FALSE)/100, 0))</f>
        <v/>
      </c>
      <c r="S1366" t="str">
        <f>IF(B1366="","", IFERROR(SUMIFS(ベンチマークリターン!$C$2:$C$2001, ベンチマークリターン!$A$2:$A$2001, A1366, ベンチマークリターン!$B$2:$B$2001, Q1366) / 100, 0))</f>
        <v/>
      </c>
      <c r="T1366" t="str">
        <f>IF(A1366="","", SUMIFS($H$2:$H$2000, $A$2:$A$2000, A1366))</f>
        <v/>
      </c>
      <c r="U1366" t="str">
        <f t="shared" si="239"/>
        <v/>
      </c>
      <c r="V1366" t="str">
        <f t="shared" si="240"/>
        <v/>
      </c>
      <c r="W1366" t="str">
        <f t="shared" si="241"/>
        <v/>
      </c>
    </row>
    <row r="1367" spans="1:23" x14ac:dyDescent="0.2">
      <c r="A1367" s="4" t="str">
        <f>IF(ポートフォリオ実績!A1368="","", ポートフォリオ実績!A1368)</f>
        <v/>
      </c>
      <c r="B1367" t="str">
        <f>IF(ポートフォリオ実績!B1368="","", ポートフォリオ実績!B1368)</f>
        <v/>
      </c>
      <c r="C1367" s="10" t="str">
        <f>IF(ポートフォリオ実績!C1368="","", ポートフォリオ実績!C1368)</f>
        <v/>
      </c>
      <c r="D1367" s="10" t="str">
        <f>IF(ポートフォリオ実績!D1368="","", ポートフォリオ実績!D1368)</f>
        <v/>
      </c>
      <c r="E1367" s="10" t="str">
        <f>IF(ポートフォリオ実績!E1368="","", ポートフォリオ実績!E1368)</f>
        <v/>
      </c>
      <c r="F1367" s="10" t="str">
        <f>IF(ポートフォリオ実績!F1368="","", ポートフォリオ実績!F1368)</f>
        <v/>
      </c>
      <c r="G1367" t="str">
        <f t="shared" si="231"/>
        <v/>
      </c>
      <c r="H1367">
        <f>IF(B1367&lt;&gt;"", SUMIFS(ポートフォリオ実績!$D$2:$D$2001, ポートフォリオ実績!$B$2:$B$2001, B1367, ポートフォリオ実績!$A$2:$A$2001, G1367), 0)</f>
        <v>0</v>
      </c>
      <c r="I1367">
        <f>IF(B1367&lt;&gt;"", SUMIFS(ポートフォリオ実績!$C$2:$C$2001, ポートフォリオ実績!$B$2:$B$2001, B1367, ポートフォリオ実績!$A$2:$A$2001, G1367), 0)</f>
        <v>0</v>
      </c>
      <c r="J1367">
        <f t="shared" si="232"/>
        <v>0</v>
      </c>
      <c r="K1367">
        <f t="shared" si="233"/>
        <v>0</v>
      </c>
      <c r="L1367">
        <f t="shared" si="234"/>
        <v>0</v>
      </c>
      <c r="M1367">
        <f t="shared" si="235"/>
        <v>0</v>
      </c>
      <c r="N1367">
        <f t="shared" si="236"/>
        <v>0</v>
      </c>
      <c r="O1367">
        <f t="shared" si="237"/>
        <v>0</v>
      </c>
      <c r="P1367" t="str">
        <f t="shared" si="238"/>
        <v/>
      </c>
      <c r="Q1367" t="str">
        <f>IF(B1367="","", IFERROR(VLOOKUP(B1367, '基準資産配分（設定）'!$A$2:$C$2001, 3, FALSE), ""))</f>
        <v/>
      </c>
      <c r="R1367" t="str">
        <f>IF(B1367="","", IFERROR(VLOOKUP(B1367, '基準資産配分（設定）'!$A$2:$C$2001, 2, FALSE)/100, 0))</f>
        <v/>
      </c>
      <c r="S1367" t="str">
        <f>IF(B1367="","", IFERROR(SUMIFS(ベンチマークリターン!$C$2:$C$2001, ベンチマークリターン!$A$2:$A$2001, A1367, ベンチマークリターン!$B$2:$B$2001, Q1367) / 100, 0))</f>
        <v/>
      </c>
      <c r="T1367" t="str">
        <f>IF(A1367="","", SUMIFS($H$2:$H$2000, $A$2:$A$2000, A1367))</f>
        <v/>
      </c>
      <c r="U1367" t="str">
        <f t="shared" si="239"/>
        <v/>
      </c>
      <c r="V1367" t="str">
        <f t="shared" si="240"/>
        <v/>
      </c>
      <c r="W1367" t="str">
        <f t="shared" si="241"/>
        <v/>
      </c>
    </row>
    <row r="1368" spans="1:23" x14ac:dyDescent="0.2">
      <c r="A1368" s="4" t="str">
        <f>IF(ポートフォリオ実績!A1369="","", ポートフォリオ実績!A1369)</f>
        <v/>
      </c>
      <c r="B1368" t="str">
        <f>IF(ポートフォリオ実績!B1369="","", ポートフォリオ実績!B1369)</f>
        <v/>
      </c>
      <c r="C1368" s="10" t="str">
        <f>IF(ポートフォリオ実績!C1369="","", ポートフォリオ実績!C1369)</f>
        <v/>
      </c>
      <c r="D1368" s="10" t="str">
        <f>IF(ポートフォリオ実績!D1369="","", ポートフォリオ実績!D1369)</f>
        <v/>
      </c>
      <c r="E1368" s="10" t="str">
        <f>IF(ポートフォリオ実績!E1369="","", ポートフォリオ実績!E1369)</f>
        <v/>
      </c>
      <c r="F1368" s="10" t="str">
        <f>IF(ポートフォリオ実績!F1369="","", ポートフォリオ実績!F1369)</f>
        <v/>
      </c>
      <c r="G1368" t="str">
        <f t="shared" si="231"/>
        <v/>
      </c>
      <c r="H1368">
        <f>IF(B1368&lt;&gt;"", SUMIFS(ポートフォリオ実績!$D$2:$D$2001, ポートフォリオ実績!$B$2:$B$2001, B1368, ポートフォリオ実績!$A$2:$A$2001, G1368), 0)</f>
        <v>0</v>
      </c>
      <c r="I1368">
        <f>IF(B1368&lt;&gt;"", SUMIFS(ポートフォリオ実績!$C$2:$C$2001, ポートフォリオ実績!$B$2:$B$2001, B1368, ポートフォリオ実績!$A$2:$A$2001, G1368), 0)</f>
        <v>0</v>
      </c>
      <c r="J1368">
        <f t="shared" si="232"/>
        <v>0</v>
      </c>
      <c r="K1368">
        <f t="shared" si="233"/>
        <v>0</v>
      </c>
      <c r="L1368">
        <f t="shared" si="234"/>
        <v>0</v>
      </c>
      <c r="M1368">
        <f t="shared" si="235"/>
        <v>0</v>
      </c>
      <c r="N1368">
        <f t="shared" si="236"/>
        <v>0</v>
      </c>
      <c r="O1368">
        <f t="shared" si="237"/>
        <v>0</v>
      </c>
      <c r="P1368" t="str">
        <f t="shared" si="238"/>
        <v/>
      </c>
      <c r="Q1368" t="str">
        <f>IF(B1368="","", IFERROR(VLOOKUP(B1368, '基準資産配分（設定）'!$A$2:$C$2001, 3, FALSE), ""))</f>
        <v/>
      </c>
      <c r="R1368" t="str">
        <f>IF(B1368="","", IFERROR(VLOOKUP(B1368, '基準資産配分（設定）'!$A$2:$C$2001, 2, FALSE)/100, 0))</f>
        <v/>
      </c>
      <c r="S1368" t="str">
        <f>IF(B1368="","", IFERROR(SUMIFS(ベンチマークリターン!$C$2:$C$2001, ベンチマークリターン!$A$2:$A$2001, A1368, ベンチマークリターン!$B$2:$B$2001, Q1368) / 100, 0))</f>
        <v/>
      </c>
      <c r="T1368" t="str">
        <f>IF(A1368="","", SUMIFS($H$2:$H$2000, $A$2:$A$2000, A1368))</f>
        <v/>
      </c>
      <c r="U1368" t="str">
        <f t="shared" si="239"/>
        <v/>
      </c>
      <c r="V1368" t="str">
        <f t="shared" si="240"/>
        <v/>
      </c>
      <c r="W1368" t="str">
        <f t="shared" si="241"/>
        <v/>
      </c>
    </row>
    <row r="1369" spans="1:23" x14ac:dyDescent="0.2">
      <c r="A1369" s="4" t="str">
        <f>IF(ポートフォリオ実績!A1370="","", ポートフォリオ実績!A1370)</f>
        <v/>
      </c>
      <c r="B1369" t="str">
        <f>IF(ポートフォリオ実績!B1370="","", ポートフォリオ実績!B1370)</f>
        <v/>
      </c>
      <c r="C1369" s="10" t="str">
        <f>IF(ポートフォリオ実績!C1370="","", ポートフォリオ実績!C1370)</f>
        <v/>
      </c>
      <c r="D1369" s="10" t="str">
        <f>IF(ポートフォリオ実績!D1370="","", ポートフォリオ実績!D1370)</f>
        <v/>
      </c>
      <c r="E1369" s="10" t="str">
        <f>IF(ポートフォリオ実績!E1370="","", ポートフォリオ実績!E1370)</f>
        <v/>
      </c>
      <c r="F1369" s="10" t="str">
        <f>IF(ポートフォリオ実績!F1370="","", ポートフォリオ実績!F1370)</f>
        <v/>
      </c>
      <c r="G1369" t="str">
        <f t="shared" si="231"/>
        <v/>
      </c>
      <c r="H1369">
        <f>IF(B1369&lt;&gt;"", SUMIFS(ポートフォリオ実績!$D$2:$D$2001, ポートフォリオ実績!$B$2:$B$2001, B1369, ポートフォリオ実績!$A$2:$A$2001, G1369), 0)</f>
        <v>0</v>
      </c>
      <c r="I1369">
        <f>IF(B1369&lt;&gt;"", SUMIFS(ポートフォリオ実績!$C$2:$C$2001, ポートフォリオ実績!$B$2:$B$2001, B1369, ポートフォリオ実績!$A$2:$A$2001, G1369), 0)</f>
        <v>0</v>
      </c>
      <c r="J1369">
        <f t="shared" si="232"/>
        <v>0</v>
      </c>
      <c r="K1369">
        <f t="shared" si="233"/>
        <v>0</v>
      </c>
      <c r="L1369">
        <f t="shared" si="234"/>
        <v>0</v>
      </c>
      <c r="M1369">
        <f t="shared" si="235"/>
        <v>0</v>
      </c>
      <c r="N1369">
        <f t="shared" si="236"/>
        <v>0</v>
      </c>
      <c r="O1369">
        <f t="shared" si="237"/>
        <v>0</v>
      </c>
      <c r="P1369" t="str">
        <f t="shared" si="238"/>
        <v/>
      </c>
      <c r="Q1369" t="str">
        <f>IF(B1369="","", IFERROR(VLOOKUP(B1369, '基準資産配分（設定）'!$A$2:$C$2001, 3, FALSE), ""))</f>
        <v/>
      </c>
      <c r="R1369" t="str">
        <f>IF(B1369="","", IFERROR(VLOOKUP(B1369, '基準資産配分（設定）'!$A$2:$C$2001, 2, FALSE)/100, 0))</f>
        <v/>
      </c>
      <c r="S1369" t="str">
        <f>IF(B1369="","", IFERROR(SUMIFS(ベンチマークリターン!$C$2:$C$2001, ベンチマークリターン!$A$2:$A$2001, A1369, ベンチマークリターン!$B$2:$B$2001, Q1369) / 100, 0))</f>
        <v/>
      </c>
      <c r="T1369" t="str">
        <f>IF(A1369="","", SUMIFS($H$2:$H$2000, $A$2:$A$2000, A1369))</f>
        <v/>
      </c>
      <c r="U1369" t="str">
        <f t="shared" si="239"/>
        <v/>
      </c>
      <c r="V1369" t="str">
        <f t="shared" si="240"/>
        <v/>
      </c>
      <c r="W1369" t="str">
        <f t="shared" si="241"/>
        <v/>
      </c>
    </row>
    <row r="1370" spans="1:23" x14ac:dyDescent="0.2">
      <c r="A1370" s="4" t="str">
        <f>IF(ポートフォリオ実績!A1371="","", ポートフォリオ実績!A1371)</f>
        <v/>
      </c>
      <c r="B1370" t="str">
        <f>IF(ポートフォリオ実績!B1371="","", ポートフォリオ実績!B1371)</f>
        <v/>
      </c>
      <c r="C1370" s="10" t="str">
        <f>IF(ポートフォリオ実績!C1371="","", ポートフォリオ実績!C1371)</f>
        <v/>
      </c>
      <c r="D1370" s="10" t="str">
        <f>IF(ポートフォリオ実績!D1371="","", ポートフォリオ実績!D1371)</f>
        <v/>
      </c>
      <c r="E1370" s="10" t="str">
        <f>IF(ポートフォリオ実績!E1371="","", ポートフォリオ実績!E1371)</f>
        <v/>
      </c>
      <c r="F1370" s="10" t="str">
        <f>IF(ポートフォリオ実績!F1371="","", ポートフォリオ実績!F1371)</f>
        <v/>
      </c>
      <c r="G1370" t="str">
        <f t="shared" si="231"/>
        <v/>
      </c>
      <c r="H1370">
        <f>IF(B1370&lt;&gt;"", SUMIFS(ポートフォリオ実績!$D$2:$D$2001, ポートフォリオ実績!$B$2:$B$2001, B1370, ポートフォリオ実績!$A$2:$A$2001, G1370), 0)</f>
        <v>0</v>
      </c>
      <c r="I1370">
        <f>IF(B1370&lt;&gt;"", SUMIFS(ポートフォリオ実績!$C$2:$C$2001, ポートフォリオ実績!$B$2:$B$2001, B1370, ポートフォリオ実績!$A$2:$A$2001, G1370), 0)</f>
        <v>0</v>
      </c>
      <c r="J1370">
        <f t="shared" si="232"/>
        <v>0</v>
      </c>
      <c r="K1370">
        <f t="shared" si="233"/>
        <v>0</v>
      </c>
      <c r="L1370">
        <f t="shared" si="234"/>
        <v>0</v>
      </c>
      <c r="M1370">
        <f t="shared" si="235"/>
        <v>0</v>
      </c>
      <c r="N1370">
        <f t="shared" si="236"/>
        <v>0</v>
      </c>
      <c r="O1370">
        <f t="shared" si="237"/>
        <v>0</v>
      </c>
      <c r="P1370" t="str">
        <f t="shared" si="238"/>
        <v/>
      </c>
      <c r="Q1370" t="str">
        <f>IF(B1370="","", IFERROR(VLOOKUP(B1370, '基準資産配分（設定）'!$A$2:$C$2001, 3, FALSE), ""))</f>
        <v/>
      </c>
      <c r="R1370" t="str">
        <f>IF(B1370="","", IFERROR(VLOOKUP(B1370, '基準資産配分（設定）'!$A$2:$C$2001, 2, FALSE)/100, 0))</f>
        <v/>
      </c>
      <c r="S1370" t="str">
        <f>IF(B1370="","", IFERROR(SUMIFS(ベンチマークリターン!$C$2:$C$2001, ベンチマークリターン!$A$2:$A$2001, A1370, ベンチマークリターン!$B$2:$B$2001, Q1370) / 100, 0))</f>
        <v/>
      </c>
      <c r="T1370" t="str">
        <f>IF(A1370="","", SUMIFS($H$2:$H$2000, $A$2:$A$2000, A1370))</f>
        <v/>
      </c>
      <c r="U1370" t="str">
        <f t="shared" si="239"/>
        <v/>
      </c>
      <c r="V1370" t="str">
        <f t="shared" si="240"/>
        <v/>
      </c>
      <c r="W1370" t="str">
        <f t="shared" si="241"/>
        <v/>
      </c>
    </row>
    <row r="1371" spans="1:23" x14ac:dyDescent="0.2">
      <c r="A1371" s="4" t="str">
        <f>IF(ポートフォリオ実績!A1372="","", ポートフォリオ実績!A1372)</f>
        <v/>
      </c>
      <c r="B1371" t="str">
        <f>IF(ポートフォリオ実績!B1372="","", ポートフォリオ実績!B1372)</f>
        <v/>
      </c>
      <c r="C1371" s="10" t="str">
        <f>IF(ポートフォリオ実績!C1372="","", ポートフォリオ実績!C1372)</f>
        <v/>
      </c>
      <c r="D1371" s="10" t="str">
        <f>IF(ポートフォリオ実績!D1372="","", ポートフォリオ実績!D1372)</f>
        <v/>
      </c>
      <c r="E1371" s="10" t="str">
        <f>IF(ポートフォリオ実績!E1372="","", ポートフォリオ実績!E1372)</f>
        <v/>
      </c>
      <c r="F1371" s="10" t="str">
        <f>IF(ポートフォリオ実績!F1372="","", ポートフォリオ実績!F1372)</f>
        <v/>
      </c>
      <c r="G1371" t="str">
        <f t="shared" si="231"/>
        <v/>
      </c>
      <c r="H1371">
        <f>IF(B1371&lt;&gt;"", SUMIFS(ポートフォリオ実績!$D$2:$D$2001, ポートフォリオ実績!$B$2:$B$2001, B1371, ポートフォリオ実績!$A$2:$A$2001, G1371), 0)</f>
        <v>0</v>
      </c>
      <c r="I1371">
        <f>IF(B1371&lt;&gt;"", SUMIFS(ポートフォリオ実績!$C$2:$C$2001, ポートフォリオ実績!$B$2:$B$2001, B1371, ポートフォリオ実績!$A$2:$A$2001, G1371), 0)</f>
        <v>0</v>
      </c>
      <c r="J1371">
        <f t="shared" si="232"/>
        <v>0</v>
      </c>
      <c r="K1371">
        <f t="shared" si="233"/>
        <v>0</v>
      </c>
      <c r="L1371">
        <f t="shared" si="234"/>
        <v>0</v>
      </c>
      <c r="M1371">
        <f t="shared" si="235"/>
        <v>0</v>
      </c>
      <c r="N1371">
        <f t="shared" si="236"/>
        <v>0</v>
      </c>
      <c r="O1371">
        <f t="shared" si="237"/>
        <v>0</v>
      </c>
      <c r="P1371" t="str">
        <f t="shared" si="238"/>
        <v/>
      </c>
      <c r="Q1371" t="str">
        <f>IF(B1371="","", IFERROR(VLOOKUP(B1371, '基準資産配分（設定）'!$A$2:$C$2001, 3, FALSE), ""))</f>
        <v/>
      </c>
      <c r="R1371" t="str">
        <f>IF(B1371="","", IFERROR(VLOOKUP(B1371, '基準資産配分（設定）'!$A$2:$C$2001, 2, FALSE)/100, 0))</f>
        <v/>
      </c>
      <c r="S1371" t="str">
        <f>IF(B1371="","", IFERROR(SUMIFS(ベンチマークリターン!$C$2:$C$2001, ベンチマークリターン!$A$2:$A$2001, A1371, ベンチマークリターン!$B$2:$B$2001, Q1371) / 100, 0))</f>
        <v/>
      </c>
      <c r="T1371" t="str">
        <f>IF(A1371="","", SUMIFS($H$2:$H$2000, $A$2:$A$2000, A1371))</f>
        <v/>
      </c>
      <c r="U1371" t="str">
        <f t="shared" si="239"/>
        <v/>
      </c>
      <c r="V1371" t="str">
        <f t="shared" si="240"/>
        <v/>
      </c>
      <c r="W1371" t="str">
        <f t="shared" si="241"/>
        <v/>
      </c>
    </row>
    <row r="1372" spans="1:23" x14ac:dyDescent="0.2">
      <c r="A1372" s="4" t="str">
        <f>IF(ポートフォリオ実績!A1373="","", ポートフォリオ実績!A1373)</f>
        <v/>
      </c>
      <c r="B1372" t="str">
        <f>IF(ポートフォリオ実績!B1373="","", ポートフォリオ実績!B1373)</f>
        <v/>
      </c>
      <c r="C1372" s="10" t="str">
        <f>IF(ポートフォリオ実績!C1373="","", ポートフォリオ実績!C1373)</f>
        <v/>
      </c>
      <c r="D1372" s="10" t="str">
        <f>IF(ポートフォリオ実績!D1373="","", ポートフォリオ実績!D1373)</f>
        <v/>
      </c>
      <c r="E1372" s="10" t="str">
        <f>IF(ポートフォリオ実績!E1373="","", ポートフォリオ実績!E1373)</f>
        <v/>
      </c>
      <c r="F1372" s="10" t="str">
        <f>IF(ポートフォリオ実績!F1373="","", ポートフォリオ実績!F1373)</f>
        <v/>
      </c>
      <c r="G1372" t="str">
        <f t="shared" si="231"/>
        <v/>
      </c>
      <c r="H1372">
        <f>IF(B1372&lt;&gt;"", SUMIFS(ポートフォリオ実績!$D$2:$D$2001, ポートフォリオ実績!$B$2:$B$2001, B1372, ポートフォリオ実績!$A$2:$A$2001, G1372), 0)</f>
        <v>0</v>
      </c>
      <c r="I1372">
        <f>IF(B1372&lt;&gt;"", SUMIFS(ポートフォリオ実績!$C$2:$C$2001, ポートフォリオ実績!$B$2:$B$2001, B1372, ポートフォリオ実績!$A$2:$A$2001, G1372), 0)</f>
        <v>0</v>
      </c>
      <c r="J1372">
        <f t="shared" si="232"/>
        <v>0</v>
      </c>
      <c r="K1372">
        <f t="shared" si="233"/>
        <v>0</v>
      </c>
      <c r="L1372">
        <f t="shared" si="234"/>
        <v>0</v>
      </c>
      <c r="M1372">
        <f t="shared" si="235"/>
        <v>0</v>
      </c>
      <c r="N1372">
        <f t="shared" si="236"/>
        <v>0</v>
      </c>
      <c r="O1372">
        <f t="shared" si="237"/>
        <v>0</v>
      </c>
      <c r="P1372" t="str">
        <f t="shared" si="238"/>
        <v/>
      </c>
      <c r="Q1372" t="str">
        <f>IF(B1372="","", IFERROR(VLOOKUP(B1372, '基準資産配分（設定）'!$A$2:$C$2001, 3, FALSE), ""))</f>
        <v/>
      </c>
      <c r="R1372" t="str">
        <f>IF(B1372="","", IFERROR(VLOOKUP(B1372, '基準資産配分（設定）'!$A$2:$C$2001, 2, FALSE)/100, 0))</f>
        <v/>
      </c>
      <c r="S1372" t="str">
        <f>IF(B1372="","", IFERROR(SUMIFS(ベンチマークリターン!$C$2:$C$2001, ベンチマークリターン!$A$2:$A$2001, A1372, ベンチマークリターン!$B$2:$B$2001, Q1372) / 100, 0))</f>
        <v/>
      </c>
      <c r="T1372" t="str">
        <f>IF(A1372="","", SUMIFS($H$2:$H$2000, $A$2:$A$2000, A1372))</f>
        <v/>
      </c>
      <c r="U1372" t="str">
        <f t="shared" si="239"/>
        <v/>
      </c>
      <c r="V1372" t="str">
        <f t="shared" si="240"/>
        <v/>
      </c>
      <c r="W1372" t="str">
        <f t="shared" si="241"/>
        <v/>
      </c>
    </row>
    <row r="1373" spans="1:23" x14ac:dyDescent="0.2">
      <c r="A1373" s="4" t="str">
        <f>IF(ポートフォリオ実績!A1374="","", ポートフォリオ実績!A1374)</f>
        <v/>
      </c>
      <c r="B1373" t="str">
        <f>IF(ポートフォリオ実績!B1374="","", ポートフォリオ実績!B1374)</f>
        <v/>
      </c>
      <c r="C1373" s="10" t="str">
        <f>IF(ポートフォリオ実績!C1374="","", ポートフォリオ実績!C1374)</f>
        <v/>
      </c>
      <c r="D1373" s="10" t="str">
        <f>IF(ポートフォリオ実績!D1374="","", ポートフォリオ実績!D1374)</f>
        <v/>
      </c>
      <c r="E1373" s="10" t="str">
        <f>IF(ポートフォリオ実績!E1374="","", ポートフォリオ実績!E1374)</f>
        <v/>
      </c>
      <c r="F1373" s="10" t="str">
        <f>IF(ポートフォリオ実績!F1374="","", ポートフォリオ実績!F1374)</f>
        <v/>
      </c>
      <c r="G1373" t="str">
        <f t="shared" si="231"/>
        <v/>
      </c>
      <c r="H1373">
        <f>IF(B1373&lt;&gt;"", SUMIFS(ポートフォリオ実績!$D$2:$D$2001, ポートフォリオ実績!$B$2:$B$2001, B1373, ポートフォリオ実績!$A$2:$A$2001, G1373), 0)</f>
        <v>0</v>
      </c>
      <c r="I1373">
        <f>IF(B1373&lt;&gt;"", SUMIFS(ポートフォリオ実績!$C$2:$C$2001, ポートフォリオ実績!$B$2:$B$2001, B1373, ポートフォリオ実績!$A$2:$A$2001, G1373), 0)</f>
        <v>0</v>
      </c>
      <c r="J1373">
        <f t="shared" si="232"/>
        <v>0</v>
      </c>
      <c r="K1373">
        <f t="shared" si="233"/>
        <v>0</v>
      </c>
      <c r="L1373">
        <f t="shared" si="234"/>
        <v>0</v>
      </c>
      <c r="M1373">
        <f t="shared" si="235"/>
        <v>0</v>
      </c>
      <c r="N1373">
        <f t="shared" si="236"/>
        <v>0</v>
      </c>
      <c r="O1373">
        <f t="shared" si="237"/>
        <v>0</v>
      </c>
      <c r="P1373" t="str">
        <f t="shared" si="238"/>
        <v/>
      </c>
      <c r="Q1373" t="str">
        <f>IF(B1373="","", IFERROR(VLOOKUP(B1373, '基準資産配分（設定）'!$A$2:$C$2001, 3, FALSE), ""))</f>
        <v/>
      </c>
      <c r="R1373" t="str">
        <f>IF(B1373="","", IFERROR(VLOOKUP(B1373, '基準資産配分（設定）'!$A$2:$C$2001, 2, FALSE)/100, 0))</f>
        <v/>
      </c>
      <c r="S1373" t="str">
        <f>IF(B1373="","", IFERROR(SUMIFS(ベンチマークリターン!$C$2:$C$2001, ベンチマークリターン!$A$2:$A$2001, A1373, ベンチマークリターン!$B$2:$B$2001, Q1373) / 100, 0))</f>
        <v/>
      </c>
      <c r="T1373" t="str">
        <f>IF(A1373="","", SUMIFS($H$2:$H$2000, $A$2:$A$2000, A1373))</f>
        <v/>
      </c>
      <c r="U1373" t="str">
        <f t="shared" si="239"/>
        <v/>
      </c>
      <c r="V1373" t="str">
        <f t="shared" si="240"/>
        <v/>
      </c>
      <c r="W1373" t="str">
        <f t="shared" si="241"/>
        <v/>
      </c>
    </row>
    <row r="1374" spans="1:23" x14ac:dyDescent="0.2">
      <c r="A1374" s="4" t="str">
        <f>IF(ポートフォリオ実績!A1375="","", ポートフォリオ実績!A1375)</f>
        <v/>
      </c>
      <c r="B1374" t="str">
        <f>IF(ポートフォリオ実績!B1375="","", ポートフォリオ実績!B1375)</f>
        <v/>
      </c>
      <c r="C1374" s="10" t="str">
        <f>IF(ポートフォリオ実績!C1375="","", ポートフォリオ実績!C1375)</f>
        <v/>
      </c>
      <c r="D1374" s="10" t="str">
        <f>IF(ポートフォリオ実績!D1375="","", ポートフォリオ実績!D1375)</f>
        <v/>
      </c>
      <c r="E1374" s="10" t="str">
        <f>IF(ポートフォリオ実績!E1375="","", ポートフォリオ実績!E1375)</f>
        <v/>
      </c>
      <c r="F1374" s="10" t="str">
        <f>IF(ポートフォリオ実績!F1375="","", ポートフォリオ実績!F1375)</f>
        <v/>
      </c>
      <c r="G1374" t="str">
        <f t="shared" si="231"/>
        <v/>
      </c>
      <c r="H1374">
        <f>IF(B1374&lt;&gt;"", SUMIFS(ポートフォリオ実績!$D$2:$D$2001, ポートフォリオ実績!$B$2:$B$2001, B1374, ポートフォリオ実績!$A$2:$A$2001, G1374), 0)</f>
        <v>0</v>
      </c>
      <c r="I1374">
        <f>IF(B1374&lt;&gt;"", SUMIFS(ポートフォリオ実績!$C$2:$C$2001, ポートフォリオ実績!$B$2:$B$2001, B1374, ポートフォリオ実績!$A$2:$A$2001, G1374), 0)</f>
        <v>0</v>
      </c>
      <c r="J1374">
        <f t="shared" si="232"/>
        <v>0</v>
      </c>
      <c r="K1374">
        <f t="shared" si="233"/>
        <v>0</v>
      </c>
      <c r="L1374">
        <f t="shared" si="234"/>
        <v>0</v>
      </c>
      <c r="M1374">
        <f t="shared" si="235"/>
        <v>0</v>
      </c>
      <c r="N1374">
        <f t="shared" si="236"/>
        <v>0</v>
      </c>
      <c r="O1374">
        <f t="shared" si="237"/>
        <v>0</v>
      </c>
      <c r="P1374" t="str">
        <f t="shared" si="238"/>
        <v/>
      </c>
      <c r="Q1374" t="str">
        <f>IF(B1374="","", IFERROR(VLOOKUP(B1374, '基準資産配分（設定）'!$A$2:$C$2001, 3, FALSE), ""))</f>
        <v/>
      </c>
      <c r="R1374" t="str">
        <f>IF(B1374="","", IFERROR(VLOOKUP(B1374, '基準資産配分（設定）'!$A$2:$C$2001, 2, FALSE)/100, 0))</f>
        <v/>
      </c>
      <c r="S1374" t="str">
        <f>IF(B1374="","", IFERROR(SUMIFS(ベンチマークリターン!$C$2:$C$2001, ベンチマークリターン!$A$2:$A$2001, A1374, ベンチマークリターン!$B$2:$B$2001, Q1374) / 100, 0))</f>
        <v/>
      </c>
      <c r="T1374" t="str">
        <f>IF(A1374="","", SUMIFS($H$2:$H$2000, $A$2:$A$2000, A1374))</f>
        <v/>
      </c>
      <c r="U1374" t="str">
        <f t="shared" si="239"/>
        <v/>
      </c>
      <c r="V1374" t="str">
        <f t="shared" si="240"/>
        <v/>
      </c>
      <c r="W1374" t="str">
        <f t="shared" si="241"/>
        <v/>
      </c>
    </row>
    <row r="1375" spans="1:23" x14ac:dyDescent="0.2">
      <c r="A1375" s="4" t="str">
        <f>IF(ポートフォリオ実績!A1376="","", ポートフォリオ実績!A1376)</f>
        <v/>
      </c>
      <c r="B1375" t="str">
        <f>IF(ポートフォリオ実績!B1376="","", ポートフォリオ実績!B1376)</f>
        <v/>
      </c>
      <c r="C1375" s="10" t="str">
        <f>IF(ポートフォリオ実績!C1376="","", ポートフォリオ実績!C1376)</f>
        <v/>
      </c>
      <c r="D1375" s="10" t="str">
        <f>IF(ポートフォリオ実績!D1376="","", ポートフォリオ実績!D1376)</f>
        <v/>
      </c>
      <c r="E1375" s="10" t="str">
        <f>IF(ポートフォリオ実績!E1376="","", ポートフォリオ実績!E1376)</f>
        <v/>
      </c>
      <c r="F1375" s="10" t="str">
        <f>IF(ポートフォリオ実績!F1376="","", ポートフォリオ実績!F1376)</f>
        <v/>
      </c>
      <c r="G1375" t="str">
        <f t="shared" si="231"/>
        <v/>
      </c>
      <c r="H1375">
        <f>IF(B1375&lt;&gt;"", SUMIFS(ポートフォリオ実績!$D$2:$D$2001, ポートフォリオ実績!$B$2:$B$2001, B1375, ポートフォリオ実績!$A$2:$A$2001, G1375), 0)</f>
        <v>0</v>
      </c>
      <c r="I1375">
        <f>IF(B1375&lt;&gt;"", SUMIFS(ポートフォリオ実績!$C$2:$C$2001, ポートフォリオ実績!$B$2:$B$2001, B1375, ポートフォリオ実績!$A$2:$A$2001, G1375), 0)</f>
        <v>0</v>
      </c>
      <c r="J1375">
        <f t="shared" si="232"/>
        <v>0</v>
      </c>
      <c r="K1375">
        <f t="shared" si="233"/>
        <v>0</v>
      </c>
      <c r="L1375">
        <f t="shared" si="234"/>
        <v>0</v>
      </c>
      <c r="M1375">
        <f t="shared" si="235"/>
        <v>0</v>
      </c>
      <c r="N1375">
        <f t="shared" si="236"/>
        <v>0</v>
      </c>
      <c r="O1375">
        <f t="shared" si="237"/>
        <v>0</v>
      </c>
      <c r="P1375" t="str">
        <f t="shared" si="238"/>
        <v/>
      </c>
      <c r="Q1375" t="str">
        <f>IF(B1375="","", IFERROR(VLOOKUP(B1375, '基準資産配分（設定）'!$A$2:$C$2001, 3, FALSE), ""))</f>
        <v/>
      </c>
      <c r="R1375" t="str">
        <f>IF(B1375="","", IFERROR(VLOOKUP(B1375, '基準資産配分（設定）'!$A$2:$C$2001, 2, FALSE)/100, 0))</f>
        <v/>
      </c>
      <c r="S1375" t="str">
        <f>IF(B1375="","", IFERROR(SUMIFS(ベンチマークリターン!$C$2:$C$2001, ベンチマークリターン!$A$2:$A$2001, A1375, ベンチマークリターン!$B$2:$B$2001, Q1375) / 100, 0))</f>
        <v/>
      </c>
      <c r="T1375" t="str">
        <f>IF(A1375="","", SUMIFS($H$2:$H$2000, $A$2:$A$2000, A1375))</f>
        <v/>
      </c>
      <c r="U1375" t="str">
        <f t="shared" si="239"/>
        <v/>
      </c>
      <c r="V1375" t="str">
        <f t="shared" si="240"/>
        <v/>
      </c>
      <c r="W1375" t="str">
        <f t="shared" si="241"/>
        <v/>
      </c>
    </row>
    <row r="1376" spans="1:23" x14ac:dyDescent="0.2">
      <c r="A1376" s="4" t="str">
        <f>IF(ポートフォリオ実績!A1377="","", ポートフォリオ実績!A1377)</f>
        <v/>
      </c>
      <c r="B1376" t="str">
        <f>IF(ポートフォリオ実績!B1377="","", ポートフォリオ実績!B1377)</f>
        <v/>
      </c>
      <c r="C1376" s="10" t="str">
        <f>IF(ポートフォリオ実績!C1377="","", ポートフォリオ実績!C1377)</f>
        <v/>
      </c>
      <c r="D1376" s="10" t="str">
        <f>IF(ポートフォリオ実績!D1377="","", ポートフォリオ実績!D1377)</f>
        <v/>
      </c>
      <c r="E1376" s="10" t="str">
        <f>IF(ポートフォリオ実績!E1377="","", ポートフォリオ実績!E1377)</f>
        <v/>
      </c>
      <c r="F1376" s="10" t="str">
        <f>IF(ポートフォリオ実績!F1377="","", ポートフォリオ実績!F1377)</f>
        <v/>
      </c>
      <c r="G1376" t="str">
        <f t="shared" si="231"/>
        <v/>
      </c>
      <c r="H1376">
        <f>IF(B1376&lt;&gt;"", SUMIFS(ポートフォリオ実績!$D$2:$D$2001, ポートフォリオ実績!$B$2:$B$2001, B1376, ポートフォリオ実績!$A$2:$A$2001, G1376), 0)</f>
        <v>0</v>
      </c>
      <c r="I1376">
        <f>IF(B1376&lt;&gt;"", SUMIFS(ポートフォリオ実績!$C$2:$C$2001, ポートフォリオ実績!$B$2:$B$2001, B1376, ポートフォリオ実績!$A$2:$A$2001, G1376), 0)</f>
        <v>0</v>
      </c>
      <c r="J1376">
        <f t="shared" si="232"/>
        <v>0</v>
      </c>
      <c r="K1376">
        <f t="shared" si="233"/>
        <v>0</v>
      </c>
      <c r="L1376">
        <f t="shared" si="234"/>
        <v>0</v>
      </c>
      <c r="M1376">
        <f t="shared" si="235"/>
        <v>0</v>
      </c>
      <c r="N1376">
        <f t="shared" si="236"/>
        <v>0</v>
      </c>
      <c r="O1376">
        <f t="shared" si="237"/>
        <v>0</v>
      </c>
      <c r="P1376" t="str">
        <f t="shared" si="238"/>
        <v/>
      </c>
      <c r="Q1376" t="str">
        <f>IF(B1376="","", IFERROR(VLOOKUP(B1376, '基準資産配分（設定）'!$A$2:$C$2001, 3, FALSE), ""))</f>
        <v/>
      </c>
      <c r="R1376" t="str">
        <f>IF(B1376="","", IFERROR(VLOOKUP(B1376, '基準資産配分（設定）'!$A$2:$C$2001, 2, FALSE)/100, 0))</f>
        <v/>
      </c>
      <c r="S1376" t="str">
        <f>IF(B1376="","", IFERROR(SUMIFS(ベンチマークリターン!$C$2:$C$2001, ベンチマークリターン!$A$2:$A$2001, A1376, ベンチマークリターン!$B$2:$B$2001, Q1376) / 100, 0))</f>
        <v/>
      </c>
      <c r="T1376" t="str">
        <f>IF(A1376="","", SUMIFS($H$2:$H$2000, $A$2:$A$2000, A1376))</f>
        <v/>
      </c>
      <c r="U1376" t="str">
        <f t="shared" si="239"/>
        <v/>
      </c>
      <c r="V1376" t="str">
        <f t="shared" si="240"/>
        <v/>
      </c>
      <c r="W1376" t="str">
        <f t="shared" si="241"/>
        <v/>
      </c>
    </row>
    <row r="1377" spans="1:23" x14ac:dyDescent="0.2">
      <c r="A1377" s="4" t="str">
        <f>IF(ポートフォリオ実績!A1378="","", ポートフォリオ実績!A1378)</f>
        <v/>
      </c>
      <c r="B1377" t="str">
        <f>IF(ポートフォリオ実績!B1378="","", ポートフォリオ実績!B1378)</f>
        <v/>
      </c>
      <c r="C1377" s="10" t="str">
        <f>IF(ポートフォリオ実績!C1378="","", ポートフォリオ実績!C1378)</f>
        <v/>
      </c>
      <c r="D1377" s="10" t="str">
        <f>IF(ポートフォリオ実績!D1378="","", ポートフォリオ実績!D1378)</f>
        <v/>
      </c>
      <c r="E1377" s="10" t="str">
        <f>IF(ポートフォリオ実績!E1378="","", ポートフォリオ実績!E1378)</f>
        <v/>
      </c>
      <c r="F1377" s="10" t="str">
        <f>IF(ポートフォリオ実績!F1378="","", ポートフォリオ実績!F1378)</f>
        <v/>
      </c>
      <c r="G1377" t="str">
        <f t="shared" si="231"/>
        <v/>
      </c>
      <c r="H1377">
        <f>IF(B1377&lt;&gt;"", SUMIFS(ポートフォリオ実績!$D$2:$D$2001, ポートフォリオ実績!$B$2:$B$2001, B1377, ポートフォリオ実績!$A$2:$A$2001, G1377), 0)</f>
        <v>0</v>
      </c>
      <c r="I1377">
        <f>IF(B1377&lt;&gt;"", SUMIFS(ポートフォリオ実績!$C$2:$C$2001, ポートフォリオ実績!$B$2:$B$2001, B1377, ポートフォリオ実績!$A$2:$A$2001, G1377), 0)</f>
        <v>0</v>
      </c>
      <c r="J1377">
        <f t="shared" si="232"/>
        <v>0</v>
      </c>
      <c r="K1377">
        <f t="shared" si="233"/>
        <v>0</v>
      </c>
      <c r="L1377">
        <f t="shared" si="234"/>
        <v>0</v>
      </c>
      <c r="M1377">
        <f t="shared" si="235"/>
        <v>0</v>
      </c>
      <c r="N1377">
        <f t="shared" si="236"/>
        <v>0</v>
      </c>
      <c r="O1377">
        <f t="shared" si="237"/>
        <v>0</v>
      </c>
      <c r="P1377" t="str">
        <f t="shared" si="238"/>
        <v/>
      </c>
      <c r="Q1377" t="str">
        <f>IF(B1377="","", IFERROR(VLOOKUP(B1377, '基準資産配分（設定）'!$A$2:$C$2001, 3, FALSE), ""))</f>
        <v/>
      </c>
      <c r="R1377" t="str">
        <f>IF(B1377="","", IFERROR(VLOOKUP(B1377, '基準資産配分（設定）'!$A$2:$C$2001, 2, FALSE)/100, 0))</f>
        <v/>
      </c>
      <c r="S1377" t="str">
        <f>IF(B1377="","", IFERROR(SUMIFS(ベンチマークリターン!$C$2:$C$2001, ベンチマークリターン!$A$2:$A$2001, A1377, ベンチマークリターン!$B$2:$B$2001, Q1377) / 100, 0))</f>
        <v/>
      </c>
      <c r="T1377" t="str">
        <f>IF(A1377="","", SUMIFS($H$2:$H$2000, $A$2:$A$2000, A1377))</f>
        <v/>
      </c>
      <c r="U1377" t="str">
        <f t="shared" si="239"/>
        <v/>
      </c>
      <c r="V1377" t="str">
        <f t="shared" si="240"/>
        <v/>
      </c>
      <c r="W1377" t="str">
        <f t="shared" si="241"/>
        <v/>
      </c>
    </row>
    <row r="1378" spans="1:23" x14ac:dyDescent="0.2">
      <c r="A1378" s="4" t="str">
        <f>IF(ポートフォリオ実績!A1379="","", ポートフォリオ実績!A1379)</f>
        <v/>
      </c>
      <c r="B1378" t="str">
        <f>IF(ポートフォリオ実績!B1379="","", ポートフォリオ実績!B1379)</f>
        <v/>
      </c>
      <c r="C1378" s="10" t="str">
        <f>IF(ポートフォリオ実績!C1379="","", ポートフォリオ実績!C1379)</f>
        <v/>
      </c>
      <c r="D1378" s="10" t="str">
        <f>IF(ポートフォリオ実績!D1379="","", ポートフォリオ実績!D1379)</f>
        <v/>
      </c>
      <c r="E1378" s="10" t="str">
        <f>IF(ポートフォリオ実績!E1379="","", ポートフォリオ実績!E1379)</f>
        <v/>
      </c>
      <c r="F1378" s="10" t="str">
        <f>IF(ポートフォリオ実績!F1379="","", ポートフォリオ実績!F1379)</f>
        <v/>
      </c>
      <c r="G1378" t="str">
        <f t="shared" si="231"/>
        <v/>
      </c>
      <c r="H1378">
        <f>IF(B1378&lt;&gt;"", SUMIFS(ポートフォリオ実績!$D$2:$D$2001, ポートフォリオ実績!$B$2:$B$2001, B1378, ポートフォリオ実績!$A$2:$A$2001, G1378), 0)</f>
        <v>0</v>
      </c>
      <c r="I1378">
        <f>IF(B1378&lt;&gt;"", SUMIFS(ポートフォリオ実績!$C$2:$C$2001, ポートフォリオ実績!$B$2:$B$2001, B1378, ポートフォリオ実績!$A$2:$A$2001, G1378), 0)</f>
        <v>0</v>
      </c>
      <c r="J1378">
        <f t="shared" si="232"/>
        <v>0</v>
      </c>
      <c r="K1378">
        <f t="shared" si="233"/>
        <v>0</v>
      </c>
      <c r="L1378">
        <f t="shared" si="234"/>
        <v>0</v>
      </c>
      <c r="M1378">
        <f t="shared" si="235"/>
        <v>0</v>
      </c>
      <c r="N1378">
        <f t="shared" si="236"/>
        <v>0</v>
      </c>
      <c r="O1378">
        <f t="shared" si="237"/>
        <v>0</v>
      </c>
      <c r="P1378" t="str">
        <f t="shared" si="238"/>
        <v/>
      </c>
      <c r="Q1378" t="str">
        <f>IF(B1378="","", IFERROR(VLOOKUP(B1378, '基準資産配分（設定）'!$A$2:$C$2001, 3, FALSE), ""))</f>
        <v/>
      </c>
      <c r="R1378" t="str">
        <f>IF(B1378="","", IFERROR(VLOOKUP(B1378, '基準資産配分（設定）'!$A$2:$C$2001, 2, FALSE)/100, 0))</f>
        <v/>
      </c>
      <c r="S1378" t="str">
        <f>IF(B1378="","", IFERROR(SUMIFS(ベンチマークリターン!$C$2:$C$2001, ベンチマークリターン!$A$2:$A$2001, A1378, ベンチマークリターン!$B$2:$B$2001, Q1378) / 100, 0))</f>
        <v/>
      </c>
      <c r="T1378" t="str">
        <f>IF(A1378="","", SUMIFS($H$2:$H$2000, $A$2:$A$2000, A1378))</f>
        <v/>
      </c>
      <c r="U1378" t="str">
        <f t="shared" si="239"/>
        <v/>
      </c>
      <c r="V1378" t="str">
        <f t="shared" si="240"/>
        <v/>
      </c>
      <c r="W1378" t="str">
        <f t="shared" si="241"/>
        <v/>
      </c>
    </row>
    <row r="1379" spans="1:23" x14ac:dyDescent="0.2">
      <c r="A1379" s="4" t="str">
        <f>IF(ポートフォリオ実績!A1380="","", ポートフォリオ実績!A1380)</f>
        <v/>
      </c>
      <c r="B1379" t="str">
        <f>IF(ポートフォリオ実績!B1380="","", ポートフォリオ実績!B1380)</f>
        <v/>
      </c>
      <c r="C1379" s="10" t="str">
        <f>IF(ポートフォリオ実績!C1380="","", ポートフォリオ実績!C1380)</f>
        <v/>
      </c>
      <c r="D1379" s="10" t="str">
        <f>IF(ポートフォリオ実績!D1380="","", ポートフォリオ実績!D1380)</f>
        <v/>
      </c>
      <c r="E1379" s="10" t="str">
        <f>IF(ポートフォリオ実績!E1380="","", ポートフォリオ実績!E1380)</f>
        <v/>
      </c>
      <c r="F1379" s="10" t="str">
        <f>IF(ポートフォリオ実績!F1380="","", ポートフォリオ実績!F1380)</f>
        <v/>
      </c>
      <c r="G1379" t="str">
        <f t="shared" si="231"/>
        <v/>
      </c>
      <c r="H1379">
        <f>IF(B1379&lt;&gt;"", SUMIFS(ポートフォリオ実績!$D$2:$D$2001, ポートフォリオ実績!$B$2:$B$2001, B1379, ポートフォリオ実績!$A$2:$A$2001, G1379), 0)</f>
        <v>0</v>
      </c>
      <c r="I1379">
        <f>IF(B1379&lt;&gt;"", SUMIFS(ポートフォリオ実績!$C$2:$C$2001, ポートフォリオ実績!$B$2:$B$2001, B1379, ポートフォリオ実績!$A$2:$A$2001, G1379), 0)</f>
        <v>0</v>
      </c>
      <c r="J1379">
        <f t="shared" si="232"/>
        <v>0</v>
      </c>
      <c r="K1379">
        <f t="shared" si="233"/>
        <v>0</v>
      </c>
      <c r="L1379">
        <f t="shared" si="234"/>
        <v>0</v>
      </c>
      <c r="M1379">
        <f t="shared" si="235"/>
        <v>0</v>
      </c>
      <c r="N1379">
        <f t="shared" si="236"/>
        <v>0</v>
      </c>
      <c r="O1379">
        <f t="shared" si="237"/>
        <v>0</v>
      </c>
      <c r="P1379" t="str">
        <f t="shared" si="238"/>
        <v/>
      </c>
      <c r="Q1379" t="str">
        <f>IF(B1379="","", IFERROR(VLOOKUP(B1379, '基準資産配分（設定）'!$A$2:$C$2001, 3, FALSE), ""))</f>
        <v/>
      </c>
      <c r="R1379" t="str">
        <f>IF(B1379="","", IFERROR(VLOOKUP(B1379, '基準資産配分（設定）'!$A$2:$C$2001, 2, FALSE)/100, 0))</f>
        <v/>
      </c>
      <c r="S1379" t="str">
        <f>IF(B1379="","", IFERROR(SUMIFS(ベンチマークリターン!$C$2:$C$2001, ベンチマークリターン!$A$2:$A$2001, A1379, ベンチマークリターン!$B$2:$B$2001, Q1379) / 100, 0))</f>
        <v/>
      </c>
      <c r="T1379" t="str">
        <f>IF(A1379="","", SUMIFS($H$2:$H$2000, $A$2:$A$2000, A1379))</f>
        <v/>
      </c>
      <c r="U1379" t="str">
        <f t="shared" si="239"/>
        <v/>
      </c>
      <c r="V1379" t="str">
        <f t="shared" si="240"/>
        <v/>
      </c>
      <c r="W1379" t="str">
        <f t="shared" si="241"/>
        <v/>
      </c>
    </row>
    <row r="1380" spans="1:23" x14ac:dyDescent="0.2">
      <c r="A1380" s="4" t="str">
        <f>IF(ポートフォリオ実績!A1381="","", ポートフォリオ実績!A1381)</f>
        <v/>
      </c>
      <c r="B1380" t="str">
        <f>IF(ポートフォリオ実績!B1381="","", ポートフォリオ実績!B1381)</f>
        <v/>
      </c>
      <c r="C1380" s="10" t="str">
        <f>IF(ポートフォリオ実績!C1381="","", ポートフォリオ実績!C1381)</f>
        <v/>
      </c>
      <c r="D1380" s="10" t="str">
        <f>IF(ポートフォリオ実績!D1381="","", ポートフォリオ実績!D1381)</f>
        <v/>
      </c>
      <c r="E1380" s="10" t="str">
        <f>IF(ポートフォリオ実績!E1381="","", ポートフォリオ実績!E1381)</f>
        <v/>
      </c>
      <c r="F1380" s="10" t="str">
        <f>IF(ポートフォリオ実績!F1381="","", ポートフォリオ実績!F1381)</f>
        <v/>
      </c>
      <c r="G1380" t="str">
        <f t="shared" si="231"/>
        <v/>
      </c>
      <c r="H1380">
        <f>IF(B1380&lt;&gt;"", SUMIFS(ポートフォリオ実績!$D$2:$D$2001, ポートフォリオ実績!$B$2:$B$2001, B1380, ポートフォリオ実績!$A$2:$A$2001, G1380), 0)</f>
        <v>0</v>
      </c>
      <c r="I1380">
        <f>IF(B1380&lt;&gt;"", SUMIFS(ポートフォリオ実績!$C$2:$C$2001, ポートフォリオ実績!$B$2:$B$2001, B1380, ポートフォリオ実績!$A$2:$A$2001, G1380), 0)</f>
        <v>0</v>
      </c>
      <c r="J1380">
        <f t="shared" si="232"/>
        <v>0</v>
      </c>
      <c r="K1380">
        <f t="shared" si="233"/>
        <v>0</v>
      </c>
      <c r="L1380">
        <f t="shared" si="234"/>
        <v>0</v>
      </c>
      <c r="M1380">
        <f t="shared" si="235"/>
        <v>0</v>
      </c>
      <c r="N1380">
        <f t="shared" si="236"/>
        <v>0</v>
      </c>
      <c r="O1380">
        <f t="shared" si="237"/>
        <v>0</v>
      </c>
      <c r="P1380" t="str">
        <f t="shared" si="238"/>
        <v/>
      </c>
      <c r="Q1380" t="str">
        <f>IF(B1380="","", IFERROR(VLOOKUP(B1380, '基準資産配分（設定）'!$A$2:$C$2001, 3, FALSE), ""))</f>
        <v/>
      </c>
      <c r="R1380" t="str">
        <f>IF(B1380="","", IFERROR(VLOOKUP(B1380, '基準資産配分（設定）'!$A$2:$C$2001, 2, FALSE)/100, 0))</f>
        <v/>
      </c>
      <c r="S1380" t="str">
        <f>IF(B1380="","", IFERROR(SUMIFS(ベンチマークリターン!$C$2:$C$2001, ベンチマークリターン!$A$2:$A$2001, A1380, ベンチマークリターン!$B$2:$B$2001, Q1380) / 100, 0))</f>
        <v/>
      </c>
      <c r="T1380" t="str">
        <f>IF(A1380="","", SUMIFS($H$2:$H$2000, $A$2:$A$2000, A1380))</f>
        <v/>
      </c>
      <c r="U1380" t="str">
        <f t="shared" si="239"/>
        <v/>
      </c>
      <c r="V1380" t="str">
        <f t="shared" si="240"/>
        <v/>
      </c>
      <c r="W1380" t="str">
        <f t="shared" si="241"/>
        <v/>
      </c>
    </row>
    <row r="1381" spans="1:23" x14ac:dyDescent="0.2">
      <c r="A1381" s="4" t="str">
        <f>IF(ポートフォリオ実績!A1382="","", ポートフォリオ実績!A1382)</f>
        <v/>
      </c>
      <c r="B1381" t="str">
        <f>IF(ポートフォリオ実績!B1382="","", ポートフォリオ実績!B1382)</f>
        <v/>
      </c>
      <c r="C1381" s="10" t="str">
        <f>IF(ポートフォリオ実績!C1382="","", ポートフォリオ実績!C1382)</f>
        <v/>
      </c>
      <c r="D1381" s="10" t="str">
        <f>IF(ポートフォリオ実績!D1382="","", ポートフォリオ実績!D1382)</f>
        <v/>
      </c>
      <c r="E1381" s="10" t="str">
        <f>IF(ポートフォリオ実績!E1382="","", ポートフォリオ実績!E1382)</f>
        <v/>
      </c>
      <c r="F1381" s="10" t="str">
        <f>IF(ポートフォリオ実績!F1382="","", ポートフォリオ実績!F1382)</f>
        <v/>
      </c>
      <c r="G1381" t="str">
        <f t="shared" si="231"/>
        <v/>
      </c>
      <c r="H1381">
        <f>IF(B1381&lt;&gt;"", SUMIFS(ポートフォリオ実績!$D$2:$D$2001, ポートフォリオ実績!$B$2:$B$2001, B1381, ポートフォリオ実績!$A$2:$A$2001, G1381), 0)</f>
        <v>0</v>
      </c>
      <c r="I1381">
        <f>IF(B1381&lt;&gt;"", SUMIFS(ポートフォリオ実績!$C$2:$C$2001, ポートフォリオ実績!$B$2:$B$2001, B1381, ポートフォリオ実績!$A$2:$A$2001, G1381), 0)</f>
        <v>0</v>
      </c>
      <c r="J1381">
        <f t="shared" si="232"/>
        <v>0</v>
      </c>
      <c r="K1381">
        <f t="shared" si="233"/>
        <v>0</v>
      </c>
      <c r="L1381">
        <f t="shared" si="234"/>
        <v>0</v>
      </c>
      <c r="M1381">
        <f t="shared" si="235"/>
        <v>0</v>
      </c>
      <c r="N1381">
        <f t="shared" si="236"/>
        <v>0</v>
      </c>
      <c r="O1381">
        <f t="shared" si="237"/>
        <v>0</v>
      </c>
      <c r="P1381" t="str">
        <f t="shared" si="238"/>
        <v/>
      </c>
      <c r="Q1381" t="str">
        <f>IF(B1381="","", IFERROR(VLOOKUP(B1381, '基準資産配分（設定）'!$A$2:$C$2001, 3, FALSE), ""))</f>
        <v/>
      </c>
      <c r="R1381" t="str">
        <f>IF(B1381="","", IFERROR(VLOOKUP(B1381, '基準資産配分（設定）'!$A$2:$C$2001, 2, FALSE)/100, 0))</f>
        <v/>
      </c>
      <c r="S1381" t="str">
        <f>IF(B1381="","", IFERROR(SUMIFS(ベンチマークリターン!$C$2:$C$2001, ベンチマークリターン!$A$2:$A$2001, A1381, ベンチマークリターン!$B$2:$B$2001, Q1381) / 100, 0))</f>
        <v/>
      </c>
      <c r="T1381" t="str">
        <f>IF(A1381="","", SUMIFS($H$2:$H$2000, $A$2:$A$2000, A1381))</f>
        <v/>
      </c>
      <c r="U1381" t="str">
        <f t="shared" si="239"/>
        <v/>
      </c>
      <c r="V1381" t="str">
        <f t="shared" si="240"/>
        <v/>
      </c>
      <c r="W1381" t="str">
        <f t="shared" si="241"/>
        <v/>
      </c>
    </row>
    <row r="1382" spans="1:23" x14ac:dyDescent="0.2">
      <c r="A1382" s="4" t="str">
        <f>IF(ポートフォリオ実績!A1383="","", ポートフォリオ実績!A1383)</f>
        <v/>
      </c>
      <c r="B1382" t="str">
        <f>IF(ポートフォリオ実績!B1383="","", ポートフォリオ実績!B1383)</f>
        <v/>
      </c>
      <c r="C1382" s="10" t="str">
        <f>IF(ポートフォリオ実績!C1383="","", ポートフォリオ実績!C1383)</f>
        <v/>
      </c>
      <c r="D1382" s="10" t="str">
        <f>IF(ポートフォリオ実績!D1383="","", ポートフォリオ実績!D1383)</f>
        <v/>
      </c>
      <c r="E1382" s="10" t="str">
        <f>IF(ポートフォリオ実績!E1383="","", ポートフォリオ実績!E1383)</f>
        <v/>
      </c>
      <c r="F1382" s="10" t="str">
        <f>IF(ポートフォリオ実績!F1383="","", ポートフォリオ実績!F1383)</f>
        <v/>
      </c>
      <c r="G1382" t="str">
        <f t="shared" si="231"/>
        <v/>
      </c>
      <c r="H1382">
        <f>IF(B1382&lt;&gt;"", SUMIFS(ポートフォリオ実績!$D$2:$D$2001, ポートフォリオ実績!$B$2:$B$2001, B1382, ポートフォリオ実績!$A$2:$A$2001, G1382), 0)</f>
        <v>0</v>
      </c>
      <c r="I1382">
        <f>IF(B1382&lt;&gt;"", SUMIFS(ポートフォリオ実績!$C$2:$C$2001, ポートフォリオ実績!$B$2:$B$2001, B1382, ポートフォリオ実績!$A$2:$A$2001, G1382), 0)</f>
        <v>0</v>
      </c>
      <c r="J1382">
        <f t="shared" si="232"/>
        <v>0</v>
      </c>
      <c r="K1382">
        <f t="shared" si="233"/>
        <v>0</v>
      </c>
      <c r="L1382">
        <f t="shared" si="234"/>
        <v>0</v>
      </c>
      <c r="M1382">
        <f t="shared" si="235"/>
        <v>0</v>
      </c>
      <c r="N1382">
        <f t="shared" si="236"/>
        <v>0</v>
      </c>
      <c r="O1382">
        <f t="shared" si="237"/>
        <v>0</v>
      </c>
      <c r="P1382" t="str">
        <f t="shared" si="238"/>
        <v/>
      </c>
      <c r="Q1382" t="str">
        <f>IF(B1382="","", IFERROR(VLOOKUP(B1382, '基準資産配分（設定）'!$A$2:$C$2001, 3, FALSE), ""))</f>
        <v/>
      </c>
      <c r="R1382" t="str">
        <f>IF(B1382="","", IFERROR(VLOOKUP(B1382, '基準資産配分（設定）'!$A$2:$C$2001, 2, FALSE)/100, 0))</f>
        <v/>
      </c>
      <c r="S1382" t="str">
        <f>IF(B1382="","", IFERROR(SUMIFS(ベンチマークリターン!$C$2:$C$2001, ベンチマークリターン!$A$2:$A$2001, A1382, ベンチマークリターン!$B$2:$B$2001, Q1382) / 100, 0))</f>
        <v/>
      </c>
      <c r="T1382" t="str">
        <f>IF(A1382="","", SUMIFS($H$2:$H$2000, $A$2:$A$2000, A1382))</f>
        <v/>
      </c>
      <c r="U1382" t="str">
        <f t="shared" si="239"/>
        <v/>
      </c>
      <c r="V1382" t="str">
        <f t="shared" si="240"/>
        <v/>
      </c>
      <c r="W1382" t="str">
        <f t="shared" si="241"/>
        <v/>
      </c>
    </row>
    <row r="1383" spans="1:23" x14ac:dyDescent="0.2">
      <c r="A1383" s="4" t="str">
        <f>IF(ポートフォリオ実績!A1384="","", ポートフォリオ実績!A1384)</f>
        <v/>
      </c>
      <c r="B1383" t="str">
        <f>IF(ポートフォリオ実績!B1384="","", ポートフォリオ実績!B1384)</f>
        <v/>
      </c>
      <c r="C1383" s="10" t="str">
        <f>IF(ポートフォリオ実績!C1384="","", ポートフォリオ実績!C1384)</f>
        <v/>
      </c>
      <c r="D1383" s="10" t="str">
        <f>IF(ポートフォリオ実績!D1384="","", ポートフォリオ実績!D1384)</f>
        <v/>
      </c>
      <c r="E1383" s="10" t="str">
        <f>IF(ポートフォリオ実績!E1384="","", ポートフォリオ実績!E1384)</f>
        <v/>
      </c>
      <c r="F1383" s="10" t="str">
        <f>IF(ポートフォリオ実績!F1384="","", ポートフォリオ実績!F1384)</f>
        <v/>
      </c>
      <c r="G1383" t="str">
        <f t="shared" si="231"/>
        <v/>
      </c>
      <c r="H1383">
        <f>IF(B1383&lt;&gt;"", SUMIFS(ポートフォリオ実績!$D$2:$D$2001, ポートフォリオ実績!$B$2:$B$2001, B1383, ポートフォリオ実績!$A$2:$A$2001, G1383), 0)</f>
        <v>0</v>
      </c>
      <c r="I1383">
        <f>IF(B1383&lt;&gt;"", SUMIFS(ポートフォリオ実績!$C$2:$C$2001, ポートフォリオ実績!$B$2:$B$2001, B1383, ポートフォリオ実績!$A$2:$A$2001, G1383), 0)</f>
        <v>0</v>
      </c>
      <c r="J1383">
        <f t="shared" si="232"/>
        <v>0</v>
      </c>
      <c r="K1383">
        <f t="shared" si="233"/>
        <v>0</v>
      </c>
      <c r="L1383">
        <f t="shared" si="234"/>
        <v>0</v>
      </c>
      <c r="M1383">
        <f t="shared" si="235"/>
        <v>0</v>
      </c>
      <c r="N1383">
        <f t="shared" si="236"/>
        <v>0</v>
      </c>
      <c r="O1383">
        <f t="shared" si="237"/>
        <v>0</v>
      </c>
      <c r="P1383" t="str">
        <f t="shared" si="238"/>
        <v/>
      </c>
      <c r="Q1383" t="str">
        <f>IF(B1383="","", IFERROR(VLOOKUP(B1383, '基準資産配分（設定）'!$A$2:$C$2001, 3, FALSE), ""))</f>
        <v/>
      </c>
      <c r="R1383" t="str">
        <f>IF(B1383="","", IFERROR(VLOOKUP(B1383, '基準資産配分（設定）'!$A$2:$C$2001, 2, FALSE)/100, 0))</f>
        <v/>
      </c>
      <c r="S1383" t="str">
        <f>IF(B1383="","", IFERROR(SUMIFS(ベンチマークリターン!$C$2:$C$2001, ベンチマークリターン!$A$2:$A$2001, A1383, ベンチマークリターン!$B$2:$B$2001, Q1383) / 100, 0))</f>
        <v/>
      </c>
      <c r="T1383" t="str">
        <f>IF(A1383="","", SUMIFS($H$2:$H$2000, $A$2:$A$2000, A1383))</f>
        <v/>
      </c>
      <c r="U1383" t="str">
        <f t="shared" si="239"/>
        <v/>
      </c>
      <c r="V1383" t="str">
        <f t="shared" si="240"/>
        <v/>
      </c>
      <c r="W1383" t="str">
        <f t="shared" si="241"/>
        <v/>
      </c>
    </row>
    <row r="1384" spans="1:23" x14ac:dyDescent="0.2">
      <c r="A1384" s="4" t="str">
        <f>IF(ポートフォリオ実績!A1385="","", ポートフォリオ実績!A1385)</f>
        <v/>
      </c>
      <c r="B1384" t="str">
        <f>IF(ポートフォリオ実績!B1385="","", ポートフォリオ実績!B1385)</f>
        <v/>
      </c>
      <c r="C1384" s="10" t="str">
        <f>IF(ポートフォリオ実績!C1385="","", ポートフォリオ実績!C1385)</f>
        <v/>
      </c>
      <c r="D1384" s="10" t="str">
        <f>IF(ポートフォリオ実績!D1385="","", ポートフォリオ実績!D1385)</f>
        <v/>
      </c>
      <c r="E1384" s="10" t="str">
        <f>IF(ポートフォリオ実績!E1385="","", ポートフォリオ実績!E1385)</f>
        <v/>
      </c>
      <c r="F1384" s="10" t="str">
        <f>IF(ポートフォリオ実績!F1385="","", ポートフォリオ実績!F1385)</f>
        <v/>
      </c>
      <c r="G1384" t="str">
        <f t="shared" si="231"/>
        <v/>
      </c>
      <c r="H1384">
        <f>IF(B1384&lt;&gt;"", SUMIFS(ポートフォリオ実績!$D$2:$D$2001, ポートフォリオ実績!$B$2:$B$2001, B1384, ポートフォリオ実績!$A$2:$A$2001, G1384), 0)</f>
        <v>0</v>
      </c>
      <c r="I1384">
        <f>IF(B1384&lt;&gt;"", SUMIFS(ポートフォリオ実績!$C$2:$C$2001, ポートフォリオ実績!$B$2:$B$2001, B1384, ポートフォリオ実績!$A$2:$A$2001, G1384), 0)</f>
        <v>0</v>
      </c>
      <c r="J1384">
        <f t="shared" si="232"/>
        <v>0</v>
      </c>
      <c r="K1384">
        <f t="shared" si="233"/>
        <v>0</v>
      </c>
      <c r="L1384">
        <f t="shared" si="234"/>
        <v>0</v>
      </c>
      <c r="M1384">
        <f t="shared" si="235"/>
        <v>0</v>
      </c>
      <c r="N1384">
        <f t="shared" si="236"/>
        <v>0</v>
      </c>
      <c r="O1384">
        <f t="shared" si="237"/>
        <v>0</v>
      </c>
      <c r="P1384" t="str">
        <f t="shared" si="238"/>
        <v/>
      </c>
      <c r="Q1384" t="str">
        <f>IF(B1384="","", IFERROR(VLOOKUP(B1384, '基準資産配分（設定）'!$A$2:$C$2001, 3, FALSE), ""))</f>
        <v/>
      </c>
      <c r="R1384" t="str">
        <f>IF(B1384="","", IFERROR(VLOOKUP(B1384, '基準資産配分（設定）'!$A$2:$C$2001, 2, FALSE)/100, 0))</f>
        <v/>
      </c>
      <c r="S1384" t="str">
        <f>IF(B1384="","", IFERROR(SUMIFS(ベンチマークリターン!$C$2:$C$2001, ベンチマークリターン!$A$2:$A$2001, A1384, ベンチマークリターン!$B$2:$B$2001, Q1384) / 100, 0))</f>
        <v/>
      </c>
      <c r="T1384" t="str">
        <f>IF(A1384="","", SUMIFS($H$2:$H$2000, $A$2:$A$2000, A1384))</f>
        <v/>
      </c>
      <c r="U1384" t="str">
        <f t="shared" si="239"/>
        <v/>
      </c>
      <c r="V1384" t="str">
        <f t="shared" si="240"/>
        <v/>
      </c>
      <c r="W1384" t="str">
        <f t="shared" si="241"/>
        <v/>
      </c>
    </row>
    <row r="1385" spans="1:23" x14ac:dyDescent="0.2">
      <c r="A1385" s="4" t="str">
        <f>IF(ポートフォリオ実績!A1386="","", ポートフォリオ実績!A1386)</f>
        <v/>
      </c>
      <c r="B1385" t="str">
        <f>IF(ポートフォリオ実績!B1386="","", ポートフォリオ実績!B1386)</f>
        <v/>
      </c>
      <c r="C1385" s="10" t="str">
        <f>IF(ポートフォリオ実績!C1386="","", ポートフォリオ実績!C1386)</f>
        <v/>
      </c>
      <c r="D1385" s="10" t="str">
        <f>IF(ポートフォリオ実績!D1386="","", ポートフォリオ実績!D1386)</f>
        <v/>
      </c>
      <c r="E1385" s="10" t="str">
        <f>IF(ポートフォリオ実績!E1386="","", ポートフォリオ実績!E1386)</f>
        <v/>
      </c>
      <c r="F1385" s="10" t="str">
        <f>IF(ポートフォリオ実績!F1386="","", ポートフォリオ実績!F1386)</f>
        <v/>
      </c>
      <c r="G1385" t="str">
        <f t="shared" si="231"/>
        <v/>
      </c>
      <c r="H1385">
        <f>IF(B1385&lt;&gt;"", SUMIFS(ポートフォリオ実績!$D$2:$D$2001, ポートフォリオ実績!$B$2:$B$2001, B1385, ポートフォリオ実績!$A$2:$A$2001, G1385), 0)</f>
        <v>0</v>
      </c>
      <c r="I1385">
        <f>IF(B1385&lt;&gt;"", SUMIFS(ポートフォリオ実績!$C$2:$C$2001, ポートフォリオ実績!$B$2:$B$2001, B1385, ポートフォリオ実績!$A$2:$A$2001, G1385), 0)</f>
        <v>0</v>
      </c>
      <c r="J1385">
        <f t="shared" si="232"/>
        <v>0</v>
      </c>
      <c r="K1385">
        <f t="shared" si="233"/>
        <v>0</v>
      </c>
      <c r="L1385">
        <f t="shared" si="234"/>
        <v>0</v>
      </c>
      <c r="M1385">
        <f t="shared" si="235"/>
        <v>0</v>
      </c>
      <c r="N1385">
        <f t="shared" si="236"/>
        <v>0</v>
      </c>
      <c r="O1385">
        <f t="shared" si="237"/>
        <v>0</v>
      </c>
      <c r="P1385" t="str">
        <f t="shared" si="238"/>
        <v/>
      </c>
      <c r="Q1385" t="str">
        <f>IF(B1385="","", IFERROR(VLOOKUP(B1385, '基準資産配分（設定）'!$A$2:$C$2001, 3, FALSE), ""))</f>
        <v/>
      </c>
      <c r="R1385" t="str">
        <f>IF(B1385="","", IFERROR(VLOOKUP(B1385, '基準資産配分（設定）'!$A$2:$C$2001, 2, FALSE)/100, 0))</f>
        <v/>
      </c>
      <c r="S1385" t="str">
        <f>IF(B1385="","", IFERROR(SUMIFS(ベンチマークリターン!$C$2:$C$2001, ベンチマークリターン!$A$2:$A$2001, A1385, ベンチマークリターン!$B$2:$B$2001, Q1385) / 100, 0))</f>
        <v/>
      </c>
      <c r="T1385" t="str">
        <f>IF(A1385="","", SUMIFS($H$2:$H$2000, $A$2:$A$2000, A1385))</f>
        <v/>
      </c>
      <c r="U1385" t="str">
        <f t="shared" si="239"/>
        <v/>
      </c>
      <c r="V1385" t="str">
        <f t="shared" si="240"/>
        <v/>
      </c>
      <c r="W1385" t="str">
        <f t="shared" si="241"/>
        <v/>
      </c>
    </row>
    <row r="1386" spans="1:23" x14ac:dyDescent="0.2">
      <c r="A1386" s="4" t="str">
        <f>IF(ポートフォリオ実績!A1387="","", ポートフォリオ実績!A1387)</f>
        <v/>
      </c>
      <c r="B1386" t="str">
        <f>IF(ポートフォリオ実績!B1387="","", ポートフォリオ実績!B1387)</f>
        <v/>
      </c>
      <c r="C1386" s="10" t="str">
        <f>IF(ポートフォリオ実績!C1387="","", ポートフォリオ実績!C1387)</f>
        <v/>
      </c>
      <c r="D1386" s="10" t="str">
        <f>IF(ポートフォリオ実績!D1387="","", ポートフォリオ実績!D1387)</f>
        <v/>
      </c>
      <c r="E1386" s="10" t="str">
        <f>IF(ポートフォリオ実績!E1387="","", ポートフォリオ実績!E1387)</f>
        <v/>
      </c>
      <c r="F1386" s="10" t="str">
        <f>IF(ポートフォリオ実績!F1387="","", ポートフォリオ実績!F1387)</f>
        <v/>
      </c>
      <c r="G1386" t="str">
        <f t="shared" si="231"/>
        <v/>
      </c>
      <c r="H1386">
        <f>IF(B1386&lt;&gt;"", SUMIFS(ポートフォリオ実績!$D$2:$D$2001, ポートフォリオ実績!$B$2:$B$2001, B1386, ポートフォリオ実績!$A$2:$A$2001, G1386), 0)</f>
        <v>0</v>
      </c>
      <c r="I1386">
        <f>IF(B1386&lt;&gt;"", SUMIFS(ポートフォリオ実績!$C$2:$C$2001, ポートフォリオ実績!$B$2:$B$2001, B1386, ポートフォリオ実績!$A$2:$A$2001, G1386), 0)</f>
        <v>0</v>
      </c>
      <c r="J1386">
        <f t="shared" si="232"/>
        <v>0</v>
      </c>
      <c r="K1386">
        <f t="shared" si="233"/>
        <v>0</v>
      </c>
      <c r="L1386">
        <f t="shared" si="234"/>
        <v>0</v>
      </c>
      <c r="M1386">
        <f t="shared" si="235"/>
        <v>0</v>
      </c>
      <c r="N1386">
        <f t="shared" si="236"/>
        <v>0</v>
      </c>
      <c r="O1386">
        <f t="shared" si="237"/>
        <v>0</v>
      </c>
      <c r="P1386" t="str">
        <f t="shared" si="238"/>
        <v/>
      </c>
      <c r="Q1386" t="str">
        <f>IF(B1386="","", IFERROR(VLOOKUP(B1386, '基準資産配分（設定）'!$A$2:$C$2001, 3, FALSE), ""))</f>
        <v/>
      </c>
      <c r="R1386" t="str">
        <f>IF(B1386="","", IFERROR(VLOOKUP(B1386, '基準資産配分（設定）'!$A$2:$C$2001, 2, FALSE)/100, 0))</f>
        <v/>
      </c>
      <c r="S1386" t="str">
        <f>IF(B1386="","", IFERROR(SUMIFS(ベンチマークリターン!$C$2:$C$2001, ベンチマークリターン!$A$2:$A$2001, A1386, ベンチマークリターン!$B$2:$B$2001, Q1386) / 100, 0))</f>
        <v/>
      </c>
      <c r="T1386" t="str">
        <f>IF(A1386="","", SUMIFS($H$2:$H$2000, $A$2:$A$2000, A1386))</f>
        <v/>
      </c>
      <c r="U1386" t="str">
        <f t="shared" si="239"/>
        <v/>
      </c>
      <c r="V1386" t="str">
        <f t="shared" si="240"/>
        <v/>
      </c>
      <c r="W1386" t="str">
        <f t="shared" si="241"/>
        <v/>
      </c>
    </row>
    <row r="1387" spans="1:23" x14ac:dyDescent="0.2">
      <c r="A1387" s="4" t="str">
        <f>IF(ポートフォリオ実績!A1388="","", ポートフォリオ実績!A1388)</f>
        <v/>
      </c>
      <c r="B1387" t="str">
        <f>IF(ポートフォリオ実績!B1388="","", ポートフォリオ実績!B1388)</f>
        <v/>
      </c>
      <c r="C1387" s="10" t="str">
        <f>IF(ポートフォリオ実績!C1388="","", ポートフォリオ実績!C1388)</f>
        <v/>
      </c>
      <c r="D1387" s="10" t="str">
        <f>IF(ポートフォリオ実績!D1388="","", ポートフォリオ実績!D1388)</f>
        <v/>
      </c>
      <c r="E1387" s="10" t="str">
        <f>IF(ポートフォリオ実績!E1388="","", ポートフォリオ実績!E1388)</f>
        <v/>
      </c>
      <c r="F1387" s="10" t="str">
        <f>IF(ポートフォリオ実績!F1388="","", ポートフォリオ実績!F1388)</f>
        <v/>
      </c>
      <c r="G1387" t="str">
        <f t="shared" si="231"/>
        <v/>
      </c>
      <c r="H1387">
        <f>IF(B1387&lt;&gt;"", SUMIFS(ポートフォリオ実績!$D$2:$D$2001, ポートフォリオ実績!$B$2:$B$2001, B1387, ポートフォリオ実績!$A$2:$A$2001, G1387), 0)</f>
        <v>0</v>
      </c>
      <c r="I1387">
        <f>IF(B1387&lt;&gt;"", SUMIFS(ポートフォリオ実績!$C$2:$C$2001, ポートフォリオ実績!$B$2:$B$2001, B1387, ポートフォリオ実績!$A$2:$A$2001, G1387), 0)</f>
        <v>0</v>
      </c>
      <c r="J1387">
        <f t="shared" si="232"/>
        <v>0</v>
      </c>
      <c r="K1387">
        <f t="shared" si="233"/>
        <v>0</v>
      </c>
      <c r="L1387">
        <f t="shared" si="234"/>
        <v>0</v>
      </c>
      <c r="M1387">
        <f t="shared" si="235"/>
        <v>0</v>
      </c>
      <c r="N1387">
        <f t="shared" si="236"/>
        <v>0</v>
      </c>
      <c r="O1387">
        <f t="shared" si="237"/>
        <v>0</v>
      </c>
      <c r="P1387" t="str">
        <f t="shared" si="238"/>
        <v/>
      </c>
      <c r="Q1387" t="str">
        <f>IF(B1387="","", IFERROR(VLOOKUP(B1387, '基準資産配分（設定）'!$A$2:$C$2001, 3, FALSE), ""))</f>
        <v/>
      </c>
      <c r="R1387" t="str">
        <f>IF(B1387="","", IFERROR(VLOOKUP(B1387, '基準資産配分（設定）'!$A$2:$C$2001, 2, FALSE)/100, 0))</f>
        <v/>
      </c>
      <c r="S1387" t="str">
        <f>IF(B1387="","", IFERROR(SUMIFS(ベンチマークリターン!$C$2:$C$2001, ベンチマークリターン!$A$2:$A$2001, A1387, ベンチマークリターン!$B$2:$B$2001, Q1387) / 100, 0))</f>
        <v/>
      </c>
      <c r="T1387" t="str">
        <f>IF(A1387="","", SUMIFS($H$2:$H$2000, $A$2:$A$2000, A1387))</f>
        <v/>
      </c>
      <c r="U1387" t="str">
        <f t="shared" si="239"/>
        <v/>
      </c>
      <c r="V1387" t="str">
        <f t="shared" si="240"/>
        <v/>
      </c>
      <c r="W1387" t="str">
        <f t="shared" si="241"/>
        <v/>
      </c>
    </row>
    <row r="1388" spans="1:23" x14ac:dyDescent="0.2">
      <c r="A1388" s="4" t="str">
        <f>IF(ポートフォリオ実績!A1389="","", ポートフォリオ実績!A1389)</f>
        <v/>
      </c>
      <c r="B1388" t="str">
        <f>IF(ポートフォリオ実績!B1389="","", ポートフォリオ実績!B1389)</f>
        <v/>
      </c>
      <c r="C1388" s="10" t="str">
        <f>IF(ポートフォリオ実績!C1389="","", ポートフォリオ実績!C1389)</f>
        <v/>
      </c>
      <c r="D1388" s="10" t="str">
        <f>IF(ポートフォリオ実績!D1389="","", ポートフォリオ実績!D1389)</f>
        <v/>
      </c>
      <c r="E1388" s="10" t="str">
        <f>IF(ポートフォリオ実績!E1389="","", ポートフォリオ実績!E1389)</f>
        <v/>
      </c>
      <c r="F1388" s="10" t="str">
        <f>IF(ポートフォリオ実績!F1389="","", ポートフォリオ実績!F1389)</f>
        <v/>
      </c>
      <c r="G1388" t="str">
        <f t="shared" si="231"/>
        <v/>
      </c>
      <c r="H1388">
        <f>IF(B1388&lt;&gt;"", SUMIFS(ポートフォリオ実績!$D$2:$D$2001, ポートフォリオ実績!$B$2:$B$2001, B1388, ポートフォリオ実績!$A$2:$A$2001, G1388), 0)</f>
        <v>0</v>
      </c>
      <c r="I1388">
        <f>IF(B1388&lt;&gt;"", SUMIFS(ポートフォリオ実績!$C$2:$C$2001, ポートフォリオ実績!$B$2:$B$2001, B1388, ポートフォリオ実績!$A$2:$A$2001, G1388), 0)</f>
        <v>0</v>
      </c>
      <c r="J1388">
        <f t="shared" si="232"/>
        <v>0</v>
      </c>
      <c r="K1388">
        <f t="shared" si="233"/>
        <v>0</v>
      </c>
      <c r="L1388">
        <f t="shared" si="234"/>
        <v>0</v>
      </c>
      <c r="M1388">
        <f t="shared" si="235"/>
        <v>0</v>
      </c>
      <c r="N1388">
        <f t="shared" si="236"/>
        <v>0</v>
      </c>
      <c r="O1388">
        <f t="shared" si="237"/>
        <v>0</v>
      </c>
      <c r="P1388" t="str">
        <f t="shared" si="238"/>
        <v/>
      </c>
      <c r="Q1388" t="str">
        <f>IF(B1388="","", IFERROR(VLOOKUP(B1388, '基準資産配分（設定）'!$A$2:$C$2001, 3, FALSE), ""))</f>
        <v/>
      </c>
      <c r="R1388" t="str">
        <f>IF(B1388="","", IFERROR(VLOOKUP(B1388, '基準資産配分（設定）'!$A$2:$C$2001, 2, FALSE)/100, 0))</f>
        <v/>
      </c>
      <c r="S1388" t="str">
        <f>IF(B1388="","", IFERROR(SUMIFS(ベンチマークリターン!$C$2:$C$2001, ベンチマークリターン!$A$2:$A$2001, A1388, ベンチマークリターン!$B$2:$B$2001, Q1388) / 100, 0))</f>
        <v/>
      </c>
      <c r="T1388" t="str">
        <f>IF(A1388="","", SUMIFS($H$2:$H$2000, $A$2:$A$2000, A1388))</f>
        <v/>
      </c>
      <c r="U1388" t="str">
        <f t="shared" si="239"/>
        <v/>
      </c>
      <c r="V1388" t="str">
        <f t="shared" si="240"/>
        <v/>
      </c>
      <c r="W1388" t="str">
        <f t="shared" si="241"/>
        <v/>
      </c>
    </row>
    <row r="1389" spans="1:23" x14ac:dyDescent="0.2">
      <c r="A1389" s="4" t="str">
        <f>IF(ポートフォリオ実績!A1390="","", ポートフォリオ実績!A1390)</f>
        <v/>
      </c>
      <c r="B1389" t="str">
        <f>IF(ポートフォリオ実績!B1390="","", ポートフォリオ実績!B1390)</f>
        <v/>
      </c>
      <c r="C1389" s="10" t="str">
        <f>IF(ポートフォリオ実績!C1390="","", ポートフォリオ実績!C1390)</f>
        <v/>
      </c>
      <c r="D1389" s="10" t="str">
        <f>IF(ポートフォリオ実績!D1390="","", ポートフォリオ実績!D1390)</f>
        <v/>
      </c>
      <c r="E1389" s="10" t="str">
        <f>IF(ポートフォリオ実績!E1390="","", ポートフォリオ実績!E1390)</f>
        <v/>
      </c>
      <c r="F1389" s="10" t="str">
        <f>IF(ポートフォリオ実績!F1390="","", ポートフォリオ実績!F1390)</f>
        <v/>
      </c>
      <c r="G1389" t="str">
        <f t="shared" si="231"/>
        <v/>
      </c>
      <c r="H1389">
        <f>IF(B1389&lt;&gt;"", SUMIFS(ポートフォリオ実績!$D$2:$D$2001, ポートフォリオ実績!$B$2:$B$2001, B1389, ポートフォリオ実績!$A$2:$A$2001, G1389), 0)</f>
        <v>0</v>
      </c>
      <c r="I1389">
        <f>IF(B1389&lt;&gt;"", SUMIFS(ポートフォリオ実績!$C$2:$C$2001, ポートフォリオ実績!$B$2:$B$2001, B1389, ポートフォリオ実績!$A$2:$A$2001, G1389), 0)</f>
        <v>0</v>
      </c>
      <c r="J1389">
        <f t="shared" si="232"/>
        <v>0</v>
      </c>
      <c r="K1389">
        <f t="shared" si="233"/>
        <v>0</v>
      </c>
      <c r="L1389">
        <f t="shared" si="234"/>
        <v>0</v>
      </c>
      <c r="M1389">
        <f t="shared" si="235"/>
        <v>0</v>
      </c>
      <c r="N1389">
        <f t="shared" si="236"/>
        <v>0</v>
      </c>
      <c r="O1389">
        <f t="shared" si="237"/>
        <v>0</v>
      </c>
      <c r="P1389" t="str">
        <f t="shared" si="238"/>
        <v/>
      </c>
      <c r="Q1389" t="str">
        <f>IF(B1389="","", IFERROR(VLOOKUP(B1389, '基準資産配分（設定）'!$A$2:$C$2001, 3, FALSE), ""))</f>
        <v/>
      </c>
      <c r="R1389" t="str">
        <f>IF(B1389="","", IFERROR(VLOOKUP(B1389, '基準資産配分（設定）'!$A$2:$C$2001, 2, FALSE)/100, 0))</f>
        <v/>
      </c>
      <c r="S1389" t="str">
        <f>IF(B1389="","", IFERROR(SUMIFS(ベンチマークリターン!$C$2:$C$2001, ベンチマークリターン!$A$2:$A$2001, A1389, ベンチマークリターン!$B$2:$B$2001, Q1389) / 100, 0))</f>
        <v/>
      </c>
      <c r="T1389" t="str">
        <f>IF(A1389="","", SUMIFS($H$2:$H$2000, $A$2:$A$2000, A1389))</f>
        <v/>
      </c>
      <c r="U1389" t="str">
        <f t="shared" si="239"/>
        <v/>
      </c>
      <c r="V1389" t="str">
        <f t="shared" si="240"/>
        <v/>
      </c>
      <c r="W1389" t="str">
        <f t="shared" si="241"/>
        <v/>
      </c>
    </row>
    <row r="1390" spans="1:23" x14ac:dyDescent="0.2">
      <c r="A1390" s="4" t="str">
        <f>IF(ポートフォリオ実績!A1391="","", ポートフォリオ実績!A1391)</f>
        <v/>
      </c>
      <c r="B1390" t="str">
        <f>IF(ポートフォリオ実績!B1391="","", ポートフォリオ実績!B1391)</f>
        <v/>
      </c>
      <c r="C1390" s="10" t="str">
        <f>IF(ポートフォリオ実績!C1391="","", ポートフォリオ実績!C1391)</f>
        <v/>
      </c>
      <c r="D1390" s="10" t="str">
        <f>IF(ポートフォリオ実績!D1391="","", ポートフォリオ実績!D1391)</f>
        <v/>
      </c>
      <c r="E1390" s="10" t="str">
        <f>IF(ポートフォリオ実績!E1391="","", ポートフォリオ実績!E1391)</f>
        <v/>
      </c>
      <c r="F1390" s="10" t="str">
        <f>IF(ポートフォリオ実績!F1391="","", ポートフォリオ実績!F1391)</f>
        <v/>
      </c>
      <c r="G1390" t="str">
        <f t="shared" si="231"/>
        <v/>
      </c>
      <c r="H1390">
        <f>IF(B1390&lt;&gt;"", SUMIFS(ポートフォリオ実績!$D$2:$D$2001, ポートフォリオ実績!$B$2:$B$2001, B1390, ポートフォリオ実績!$A$2:$A$2001, G1390), 0)</f>
        <v>0</v>
      </c>
      <c r="I1390">
        <f>IF(B1390&lt;&gt;"", SUMIFS(ポートフォリオ実績!$C$2:$C$2001, ポートフォリオ実績!$B$2:$B$2001, B1390, ポートフォリオ実績!$A$2:$A$2001, G1390), 0)</f>
        <v>0</v>
      </c>
      <c r="J1390">
        <f t="shared" si="232"/>
        <v>0</v>
      </c>
      <c r="K1390">
        <f t="shared" si="233"/>
        <v>0</v>
      </c>
      <c r="L1390">
        <f t="shared" si="234"/>
        <v>0</v>
      </c>
      <c r="M1390">
        <f t="shared" si="235"/>
        <v>0</v>
      </c>
      <c r="N1390">
        <f t="shared" si="236"/>
        <v>0</v>
      </c>
      <c r="O1390">
        <f t="shared" si="237"/>
        <v>0</v>
      </c>
      <c r="P1390" t="str">
        <f t="shared" si="238"/>
        <v/>
      </c>
      <c r="Q1390" t="str">
        <f>IF(B1390="","", IFERROR(VLOOKUP(B1390, '基準資産配分（設定）'!$A$2:$C$2001, 3, FALSE), ""))</f>
        <v/>
      </c>
      <c r="R1390" t="str">
        <f>IF(B1390="","", IFERROR(VLOOKUP(B1390, '基準資産配分（設定）'!$A$2:$C$2001, 2, FALSE)/100, 0))</f>
        <v/>
      </c>
      <c r="S1390" t="str">
        <f>IF(B1390="","", IFERROR(SUMIFS(ベンチマークリターン!$C$2:$C$2001, ベンチマークリターン!$A$2:$A$2001, A1390, ベンチマークリターン!$B$2:$B$2001, Q1390) / 100, 0))</f>
        <v/>
      </c>
      <c r="T1390" t="str">
        <f>IF(A1390="","", SUMIFS($H$2:$H$2000, $A$2:$A$2000, A1390))</f>
        <v/>
      </c>
      <c r="U1390" t="str">
        <f t="shared" si="239"/>
        <v/>
      </c>
      <c r="V1390" t="str">
        <f t="shared" si="240"/>
        <v/>
      </c>
      <c r="W1390" t="str">
        <f t="shared" si="241"/>
        <v/>
      </c>
    </row>
    <row r="1391" spans="1:23" x14ac:dyDescent="0.2">
      <c r="A1391" s="4" t="str">
        <f>IF(ポートフォリオ実績!A1392="","", ポートフォリオ実績!A1392)</f>
        <v/>
      </c>
      <c r="B1391" t="str">
        <f>IF(ポートフォリオ実績!B1392="","", ポートフォリオ実績!B1392)</f>
        <v/>
      </c>
      <c r="C1391" s="10" t="str">
        <f>IF(ポートフォリオ実績!C1392="","", ポートフォリオ実績!C1392)</f>
        <v/>
      </c>
      <c r="D1391" s="10" t="str">
        <f>IF(ポートフォリオ実績!D1392="","", ポートフォリオ実績!D1392)</f>
        <v/>
      </c>
      <c r="E1391" s="10" t="str">
        <f>IF(ポートフォリオ実績!E1392="","", ポートフォリオ実績!E1392)</f>
        <v/>
      </c>
      <c r="F1391" s="10" t="str">
        <f>IF(ポートフォリオ実績!F1392="","", ポートフォリオ実績!F1392)</f>
        <v/>
      </c>
      <c r="G1391" t="str">
        <f t="shared" si="231"/>
        <v/>
      </c>
      <c r="H1391">
        <f>IF(B1391&lt;&gt;"", SUMIFS(ポートフォリオ実績!$D$2:$D$2001, ポートフォリオ実績!$B$2:$B$2001, B1391, ポートフォリオ実績!$A$2:$A$2001, G1391), 0)</f>
        <v>0</v>
      </c>
      <c r="I1391">
        <f>IF(B1391&lt;&gt;"", SUMIFS(ポートフォリオ実績!$C$2:$C$2001, ポートフォリオ実績!$B$2:$B$2001, B1391, ポートフォリオ実績!$A$2:$A$2001, G1391), 0)</f>
        <v>0</v>
      </c>
      <c r="J1391">
        <f t="shared" si="232"/>
        <v>0</v>
      </c>
      <c r="K1391">
        <f t="shared" si="233"/>
        <v>0</v>
      </c>
      <c r="L1391">
        <f t="shared" si="234"/>
        <v>0</v>
      </c>
      <c r="M1391">
        <f t="shared" si="235"/>
        <v>0</v>
      </c>
      <c r="N1391">
        <f t="shared" si="236"/>
        <v>0</v>
      </c>
      <c r="O1391">
        <f t="shared" si="237"/>
        <v>0</v>
      </c>
      <c r="P1391" t="str">
        <f t="shared" si="238"/>
        <v/>
      </c>
      <c r="Q1391" t="str">
        <f>IF(B1391="","", IFERROR(VLOOKUP(B1391, '基準資産配分（設定）'!$A$2:$C$2001, 3, FALSE), ""))</f>
        <v/>
      </c>
      <c r="R1391" t="str">
        <f>IF(B1391="","", IFERROR(VLOOKUP(B1391, '基準資産配分（設定）'!$A$2:$C$2001, 2, FALSE)/100, 0))</f>
        <v/>
      </c>
      <c r="S1391" t="str">
        <f>IF(B1391="","", IFERROR(SUMIFS(ベンチマークリターン!$C$2:$C$2001, ベンチマークリターン!$A$2:$A$2001, A1391, ベンチマークリターン!$B$2:$B$2001, Q1391) / 100, 0))</f>
        <v/>
      </c>
      <c r="T1391" t="str">
        <f>IF(A1391="","", SUMIFS($H$2:$H$2000, $A$2:$A$2000, A1391))</f>
        <v/>
      </c>
      <c r="U1391" t="str">
        <f t="shared" si="239"/>
        <v/>
      </c>
      <c r="V1391" t="str">
        <f t="shared" si="240"/>
        <v/>
      </c>
      <c r="W1391" t="str">
        <f t="shared" si="241"/>
        <v/>
      </c>
    </row>
    <row r="1392" spans="1:23" x14ac:dyDescent="0.2">
      <c r="A1392" s="4" t="str">
        <f>IF(ポートフォリオ実績!A1393="","", ポートフォリオ実績!A1393)</f>
        <v/>
      </c>
      <c r="B1392" t="str">
        <f>IF(ポートフォリオ実績!B1393="","", ポートフォリオ実績!B1393)</f>
        <v/>
      </c>
      <c r="C1392" s="10" t="str">
        <f>IF(ポートフォリオ実績!C1393="","", ポートフォリオ実績!C1393)</f>
        <v/>
      </c>
      <c r="D1392" s="10" t="str">
        <f>IF(ポートフォリオ実績!D1393="","", ポートフォリオ実績!D1393)</f>
        <v/>
      </c>
      <c r="E1392" s="10" t="str">
        <f>IF(ポートフォリオ実績!E1393="","", ポートフォリオ実績!E1393)</f>
        <v/>
      </c>
      <c r="F1392" s="10" t="str">
        <f>IF(ポートフォリオ実績!F1393="","", ポートフォリオ実績!F1393)</f>
        <v/>
      </c>
      <c r="G1392" t="str">
        <f t="shared" si="231"/>
        <v/>
      </c>
      <c r="H1392">
        <f>IF(B1392&lt;&gt;"", SUMIFS(ポートフォリオ実績!$D$2:$D$2001, ポートフォリオ実績!$B$2:$B$2001, B1392, ポートフォリオ実績!$A$2:$A$2001, G1392), 0)</f>
        <v>0</v>
      </c>
      <c r="I1392">
        <f>IF(B1392&lt;&gt;"", SUMIFS(ポートフォリオ実績!$C$2:$C$2001, ポートフォリオ実績!$B$2:$B$2001, B1392, ポートフォリオ実績!$A$2:$A$2001, G1392), 0)</f>
        <v>0</v>
      </c>
      <c r="J1392">
        <f t="shared" si="232"/>
        <v>0</v>
      </c>
      <c r="K1392">
        <f t="shared" si="233"/>
        <v>0</v>
      </c>
      <c r="L1392">
        <f t="shared" si="234"/>
        <v>0</v>
      </c>
      <c r="M1392">
        <f t="shared" si="235"/>
        <v>0</v>
      </c>
      <c r="N1392">
        <f t="shared" si="236"/>
        <v>0</v>
      </c>
      <c r="O1392">
        <f t="shared" si="237"/>
        <v>0</v>
      </c>
      <c r="P1392" t="str">
        <f t="shared" si="238"/>
        <v/>
      </c>
      <c r="Q1392" t="str">
        <f>IF(B1392="","", IFERROR(VLOOKUP(B1392, '基準資産配分（設定）'!$A$2:$C$2001, 3, FALSE), ""))</f>
        <v/>
      </c>
      <c r="R1392" t="str">
        <f>IF(B1392="","", IFERROR(VLOOKUP(B1392, '基準資産配分（設定）'!$A$2:$C$2001, 2, FALSE)/100, 0))</f>
        <v/>
      </c>
      <c r="S1392" t="str">
        <f>IF(B1392="","", IFERROR(SUMIFS(ベンチマークリターン!$C$2:$C$2001, ベンチマークリターン!$A$2:$A$2001, A1392, ベンチマークリターン!$B$2:$B$2001, Q1392) / 100, 0))</f>
        <v/>
      </c>
      <c r="T1392" t="str">
        <f>IF(A1392="","", SUMIFS($H$2:$H$2000, $A$2:$A$2000, A1392))</f>
        <v/>
      </c>
      <c r="U1392" t="str">
        <f t="shared" si="239"/>
        <v/>
      </c>
      <c r="V1392" t="str">
        <f t="shared" si="240"/>
        <v/>
      </c>
      <c r="W1392" t="str">
        <f t="shared" si="241"/>
        <v/>
      </c>
    </row>
    <row r="1393" spans="1:23" x14ac:dyDescent="0.2">
      <c r="A1393" s="4" t="str">
        <f>IF(ポートフォリオ実績!A1394="","", ポートフォリオ実績!A1394)</f>
        <v/>
      </c>
      <c r="B1393" t="str">
        <f>IF(ポートフォリオ実績!B1394="","", ポートフォリオ実績!B1394)</f>
        <v/>
      </c>
      <c r="C1393" s="10" t="str">
        <f>IF(ポートフォリオ実績!C1394="","", ポートフォリオ実績!C1394)</f>
        <v/>
      </c>
      <c r="D1393" s="10" t="str">
        <f>IF(ポートフォリオ実績!D1394="","", ポートフォリオ実績!D1394)</f>
        <v/>
      </c>
      <c r="E1393" s="10" t="str">
        <f>IF(ポートフォリオ実績!E1394="","", ポートフォリオ実績!E1394)</f>
        <v/>
      </c>
      <c r="F1393" s="10" t="str">
        <f>IF(ポートフォリオ実績!F1394="","", ポートフォリオ実績!F1394)</f>
        <v/>
      </c>
      <c r="G1393" t="str">
        <f t="shared" si="231"/>
        <v/>
      </c>
      <c r="H1393">
        <f>IF(B1393&lt;&gt;"", SUMIFS(ポートフォリオ実績!$D$2:$D$2001, ポートフォリオ実績!$B$2:$B$2001, B1393, ポートフォリオ実績!$A$2:$A$2001, G1393), 0)</f>
        <v>0</v>
      </c>
      <c r="I1393">
        <f>IF(B1393&lt;&gt;"", SUMIFS(ポートフォリオ実績!$C$2:$C$2001, ポートフォリオ実績!$B$2:$B$2001, B1393, ポートフォリオ実績!$A$2:$A$2001, G1393), 0)</f>
        <v>0</v>
      </c>
      <c r="J1393">
        <f t="shared" si="232"/>
        <v>0</v>
      </c>
      <c r="K1393">
        <f t="shared" si="233"/>
        <v>0</v>
      </c>
      <c r="L1393">
        <f t="shared" si="234"/>
        <v>0</v>
      </c>
      <c r="M1393">
        <f t="shared" si="235"/>
        <v>0</v>
      </c>
      <c r="N1393">
        <f t="shared" si="236"/>
        <v>0</v>
      </c>
      <c r="O1393">
        <f t="shared" si="237"/>
        <v>0</v>
      </c>
      <c r="P1393" t="str">
        <f t="shared" si="238"/>
        <v/>
      </c>
      <c r="Q1393" t="str">
        <f>IF(B1393="","", IFERROR(VLOOKUP(B1393, '基準資産配分（設定）'!$A$2:$C$2001, 3, FALSE), ""))</f>
        <v/>
      </c>
      <c r="R1393" t="str">
        <f>IF(B1393="","", IFERROR(VLOOKUP(B1393, '基準資産配分（設定）'!$A$2:$C$2001, 2, FALSE)/100, 0))</f>
        <v/>
      </c>
      <c r="S1393" t="str">
        <f>IF(B1393="","", IFERROR(SUMIFS(ベンチマークリターン!$C$2:$C$2001, ベンチマークリターン!$A$2:$A$2001, A1393, ベンチマークリターン!$B$2:$B$2001, Q1393) / 100, 0))</f>
        <v/>
      </c>
      <c r="T1393" t="str">
        <f>IF(A1393="","", SUMIFS($H$2:$H$2000, $A$2:$A$2000, A1393))</f>
        <v/>
      </c>
      <c r="U1393" t="str">
        <f t="shared" si="239"/>
        <v/>
      </c>
      <c r="V1393" t="str">
        <f t="shared" si="240"/>
        <v/>
      </c>
      <c r="W1393" t="str">
        <f t="shared" si="241"/>
        <v/>
      </c>
    </row>
    <row r="1394" spans="1:23" x14ac:dyDescent="0.2">
      <c r="A1394" s="4" t="str">
        <f>IF(ポートフォリオ実績!A1395="","", ポートフォリオ実績!A1395)</f>
        <v/>
      </c>
      <c r="B1394" t="str">
        <f>IF(ポートフォリオ実績!B1395="","", ポートフォリオ実績!B1395)</f>
        <v/>
      </c>
      <c r="C1394" s="10" t="str">
        <f>IF(ポートフォリオ実績!C1395="","", ポートフォリオ実績!C1395)</f>
        <v/>
      </c>
      <c r="D1394" s="10" t="str">
        <f>IF(ポートフォリオ実績!D1395="","", ポートフォリオ実績!D1395)</f>
        <v/>
      </c>
      <c r="E1394" s="10" t="str">
        <f>IF(ポートフォリオ実績!E1395="","", ポートフォリオ実績!E1395)</f>
        <v/>
      </c>
      <c r="F1394" s="10" t="str">
        <f>IF(ポートフォリオ実績!F1395="","", ポートフォリオ実績!F1395)</f>
        <v/>
      </c>
      <c r="G1394" t="str">
        <f t="shared" si="231"/>
        <v/>
      </c>
      <c r="H1394">
        <f>IF(B1394&lt;&gt;"", SUMIFS(ポートフォリオ実績!$D$2:$D$2001, ポートフォリオ実績!$B$2:$B$2001, B1394, ポートフォリオ実績!$A$2:$A$2001, G1394), 0)</f>
        <v>0</v>
      </c>
      <c r="I1394">
        <f>IF(B1394&lt;&gt;"", SUMIFS(ポートフォリオ実績!$C$2:$C$2001, ポートフォリオ実績!$B$2:$B$2001, B1394, ポートフォリオ実績!$A$2:$A$2001, G1394), 0)</f>
        <v>0</v>
      </c>
      <c r="J1394">
        <f t="shared" si="232"/>
        <v>0</v>
      </c>
      <c r="K1394">
        <f t="shared" si="233"/>
        <v>0</v>
      </c>
      <c r="L1394">
        <f t="shared" si="234"/>
        <v>0</v>
      </c>
      <c r="M1394">
        <f t="shared" si="235"/>
        <v>0</v>
      </c>
      <c r="N1394">
        <f t="shared" si="236"/>
        <v>0</v>
      </c>
      <c r="O1394">
        <f t="shared" si="237"/>
        <v>0</v>
      </c>
      <c r="P1394" t="str">
        <f t="shared" si="238"/>
        <v/>
      </c>
      <c r="Q1394" t="str">
        <f>IF(B1394="","", IFERROR(VLOOKUP(B1394, '基準資産配分（設定）'!$A$2:$C$2001, 3, FALSE), ""))</f>
        <v/>
      </c>
      <c r="R1394" t="str">
        <f>IF(B1394="","", IFERROR(VLOOKUP(B1394, '基準資産配分（設定）'!$A$2:$C$2001, 2, FALSE)/100, 0))</f>
        <v/>
      </c>
      <c r="S1394" t="str">
        <f>IF(B1394="","", IFERROR(SUMIFS(ベンチマークリターン!$C$2:$C$2001, ベンチマークリターン!$A$2:$A$2001, A1394, ベンチマークリターン!$B$2:$B$2001, Q1394) / 100, 0))</f>
        <v/>
      </c>
      <c r="T1394" t="str">
        <f>IF(A1394="","", SUMIFS($H$2:$H$2000, $A$2:$A$2000, A1394))</f>
        <v/>
      </c>
      <c r="U1394" t="str">
        <f t="shared" si="239"/>
        <v/>
      </c>
      <c r="V1394" t="str">
        <f t="shared" si="240"/>
        <v/>
      </c>
      <c r="W1394" t="str">
        <f t="shared" si="241"/>
        <v/>
      </c>
    </row>
    <row r="1395" spans="1:23" x14ac:dyDescent="0.2">
      <c r="A1395" s="4" t="str">
        <f>IF(ポートフォリオ実績!A1396="","", ポートフォリオ実績!A1396)</f>
        <v/>
      </c>
      <c r="B1395" t="str">
        <f>IF(ポートフォリオ実績!B1396="","", ポートフォリオ実績!B1396)</f>
        <v/>
      </c>
      <c r="C1395" s="10" t="str">
        <f>IF(ポートフォリオ実績!C1396="","", ポートフォリオ実績!C1396)</f>
        <v/>
      </c>
      <c r="D1395" s="10" t="str">
        <f>IF(ポートフォリオ実績!D1396="","", ポートフォリオ実績!D1396)</f>
        <v/>
      </c>
      <c r="E1395" s="10" t="str">
        <f>IF(ポートフォリオ実績!E1396="","", ポートフォリオ実績!E1396)</f>
        <v/>
      </c>
      <c r="F1395" s="10" t="str">
        <f>IF(ポートフォリオ実績!F1396="","", ポートフォリオ実績!F1396)</f>
        <v/>
      </c>
      <c r="G1395" t="str">
        <f t="shared" si="231"/>
        <v/>
      </c>
      <c r="H1395">
        <f>IF(B1395&lt;&gt;"", SUMIFS(ポートフォリオ実績!$D$2:$D$2001, ポートフォリオ実績!$B$2:$B$2001, B1395, ポートフォリオ実績!$A$2:$A$2001, G1395), 0)</f>
        <v>0</v>
      </c>
      <c r="I1395">
        <f>IF(B1395&lt;&gt;"", SUMIFS(ポートフォリオ実績!$C$2:$C$2001, ポートフォリオ実績!$B$2:$B$2001, B1395, ポートフォリオ実績!$A$2:$A$2001, G1395), 0)</f>
        <v>0</v>
      </c>
      <c r="J1395">
        <f t="shared" si="232"/>
        <v>0</v>
      </c>
      <c r="K1395">
        <f t="shared" si="233"/>
        <v>0</v>
      </c>
      <c r="L1395">
        <f t="shared" si="234"/>
        <v>0</v>
      </c>
      <c r="M1395">
        <f t="shared" si="235"/>
        <v>0</v>
      </c>
      <c r="N1395">
        <f t="shared" si="236"/>
        <v>0</v>
      </c>
      <c r="O1395">
        <f t="shared" si="237"/>
        <v>0</v>
      </c>
      <c r="P1395" t="str">
        <f t="shared" si="238"/>
        <v/>
      </c>
      <c r="Q1395" t="str">
        <f>IF(B1395="","", IFERROR(VLOOKUP(B1395, '基準資産配分（設定）'!$A$2:$C$2001, 3, FALSE), ""))</f>
        <v/>
      </c>
      <c r="R1395" t="str">
        <f>IF(B1395="","", IFERROR(VLOOKUP(B1395, '基準資産配分（設定）'!$A$2:$C$2001, 2, FALSE)/100, 0))</f>
        <v/>
      </c>
      <c r="S1395" t="str">
        <f>IF(B1395="","", IFERROR(SUMIFS(ベンチマークリターン!$C$2:$C$2001, ベンチマークリターン!$A$2:$A$2001, A1395, ベンチマークリターン!$B$2:$B$2001, Q1395) / 100, 0))</f>
        <v/>
      </c>
      <c r="T1395" t="str">
        <f>IF(A1395="","", SUMIFS($H$2:$H$2000, $A$2:$A$2000, A1395))</f>
        <v/>
      </c>
      <c r="U1395" t="str">
        <f t="shared" si="239"/>
        <v/>
      </c>
      <c r="V1395" t="str">
        <f t="shared" si="240"/>
        <v/>
      </c>
      <c r="W1395" t="str">
        <f t="shared" si="241"/>
        <v/>
      </c>
    </row>
    <row r="1396" spans="1:23" x14ac:dyDescent="0.2">
      <c r="A1396" s="4" t="str">
        <f>IF(ポートフォリオ実績!A1397="","", ポートフォリオ実績!A1397)</f>
        <v/>
      </c>
      <c r="B1396" t="str">
        <f>IF(ポートフォリオ実績!B1397="","", ポートフォリオ実績!B1397)</f>
        <v/>
      </c>
      <c r="C1396" s="10" t="str">
        <f>IF(ポートフォリオ実績!C1397="","", ポートフォリオ実績!C1397)</f>
        <v/>
      </c>
      <c r="D1396" s="10" t="str">
        <f>IF(ポートフォリオ実績!D1397="","", ポートフォリオ実績!D1397)</f>
        <v/>
      </c>
      <c r="E1396" s="10" t="str">
        <f>IF(ポートフォリオ実績!E1397="","", ポートフォリオ実績!E1397)</f>
        <v/>
      </c>
      <c r="F1396" s="10" t="str">
        <f>IF(ポートフォリオ実績!F1397="","", ポートフォリオ実績!F1397)</f>
        <v/>
      </c>
      <c r="G1396" t="str">
        <f t="shared" si="231"/>
        <v/>
      </c>
      <c r="H1396">
        <f>IF(B1396&lt;&gt;"", SUMIFS(ポートフォリオ実績!$D$2:$D$2001, ポートフォリオ実績!$B$2:$B$2001, B1396, ポートフォリオ実績!$A$2:$A$2001, G1396), 0)</f>
        <v>0</v>
      </c>
      <c r="I1396">
        <f>IF(B1396&lt;&gt;"", SUMIFS(ポートフォリオ実績!$C$2:$C$2001, ポートフォリオ実績!$B$2:$B$2001, B1396, ポートフォリオ実績!$A$2:$A$2001, G1396), 0)</f>
        <v>0</v>
      </c>
      <c r="J1396">
        <f t="shared" si="232"/>
        <v>0</v>
      </c>
      <c r="K1396">
        <f t="shared" si="233"/>
        <v>0</v>
      </c>
      <c r="L1396">
        <f t="shared" si="234"/>
        <v>0</v>
      </c>
      <c r="M1396">
        <f t="shared" si="235"/>
        <v>0</v>
      </c>
      <c r="N1396">
        <f t="shared" si="236"/>
        <v>0</v>
      </c>
      <c r="O1396">
        <f t="shared" si="237"/>
        <v>0</v>
      </c>
      <c r="P1396" t="str">
        <f t="shared" si="238"/>
        <v/>
      </c>
      <c r="Q1396" t="str">
        <f>IF(B1396="","", IFERROR(VLOOKUP(B1396, '基準資産配分（設定）'!$A$2:$C$2001, 3, FALSE), ""))</f>
        <v/>
      </c>
      <c r="R1396" t="str">
        <f>IF(B1396="","", IFERROR(VLOOKUP(B1396, '基準資産配分（設定）'!$A$2:$C$2001, 2, FALSE)/100, 0))</f>
        <v/>
      </c>
      <c r="S1396" t="str">
        <f>IF(B1396="","", IFERROR(SUMIFS(ベンチマークリターン!$C$2:$C$2001, ベンチマークリターン!$A$2:$A$2001, A1396, ベンチマークリターン!$B$2:$B$2001, Q1396) / 100, 0))</f>
        <v/>
      </c>
      <c r="T1396" t="str">
        <f>IF(A1396="","", SUMIFS($H$2:$H$2000, $A$2:$A$2000, A1396))</f>
        <v/>
      </c>
      <c r="U1396" t="str">
        <f t="shared" si="239"/>
        <v/>
      </c>
      <c r="V1396" t="str">
        <f t="shared" si="240"/>
        <v/>
      </c>
      <c r="W1396" t="str">
        <f t="shared" si="241"/>
        <v/>
      </c>
    </row>
    <row r="1397" spans="1:23" x14ac:dyDescent="0.2">
      <c r="A1397" s="4" t="str">
        <f>IF(ポートフォリオ実績!A1398="","", ポートフォリオ実績!A1398)</f>
        <v/>
      </c>
      <c r="B1397" t="str">
        <f>IF(ポートフォリオ実績!B1398="","", ポートフォリオ実績!B1398)</f>
        <v/>
      </c>
      <c r="C1397" s="10" t="str">
        <f>IF(ポートフォリオ実績!C1398="","", ポートフォリオ実績!C1398)</f>
        <v/>
      </c>
      <c r="D1397" s="10" t="str">
        <f>IF(ポートフォリオ実績!D1398="","", ポートフォリオ実績!D1398)</f>
        <v/>
      </c>
      <c r="E1397" s="10" t="str">
        <f>IF(ポートフォリオ実績!E1398="","", ポートフォリオ実績!E1398)</f>
        <v/>
      </c>
      <c r="F1397" s="10" t="str">
        <f>IF(ポートフォリオ実績!F1398="","", ポートフォリオ実績!F1398)</f>
        <v/>
      </c>
      <c r="G1397" t="str">
        <f t="shared" si="231"/>
        <v/>
      </c>
      <c r="H1397">
        <f>IF(B1397&lt;&gt;"", SUMIFS(ポートフォリオ実績!$D$2:$D$2001, ポートフォリオ実績!$B$2:$B$2001, B1397, ポートフォリオ実績!$A$2:$A$2001, G1397), 0)</f>
        <v>0</v>
      </c>
      <c r="I1397">
        <f>IF(B1397&lt;&gt;"", SUMIFS(ポートフォリオ実績!$C$2:$C$2001, ポートフォリオ実績!$B$2:$B$2001, B1397, ポートフォリオ実績!$A$2:$A$2001, G1397), 0)</f>
        <v>0</v>
      </c>
      <c r="J1397">
        <f t="shared" si="232"/>
        <v>0</v>
      </c>
      <c r="K1397">
        <f t="shared" si="233"/>
        <v>0</v>
      </c>
      <c r="L1397">
        <f t="shared" si="234"/>
        <v>0</v>
      </c>
      <c r="M1397">
        <f t="shared" si="235"/>
        <v>0</v>
      </c>
      <c r="N1397">
        <f t="shared" si="236"/>
        <v>0</v>
      </c>
      <c r="O1397">
        <f t="shared" si="237"/>
        <v>0</v>
      </c>
      <c r="P1397" t="str">
        <f t="shared" si="238"/>
        <v/>
      </c>
      <c r="Q1397" t="str">
        <f>IF(B1397="","", IFERROR(VLOOKUP(B1397, '基準資産配分（設定）'!$A$2:$C$2001, 3, FALSE), ""))</f>
        <v/>
      </c>
      <c r="R1397" t="str">
        <f>IF(B1397="","", IFERROR(VLOOKUP(B1397, '基準資産配分（設定）'!$A$2:$C$2001, 2, FALSE)/100, 0))</f>
        <v/>
      </c>
      <c r="S1397" t="str">
        <f>IF(B1397="","", IFERROR(SUMIFS(ベンチマークリターン!$C$2:$C$2001, ベンチマークリターン!$A$2:$A$2001, A1397, ベンチマークリターン!$B$2:$B$2001, Q1397) / 100, 0))</f>
        <v/>
      </c>
      <c r="T1397" t="str">
        <f>IF(A1397="","", SUMIFS($H$2:$H$2000, $A$2:$A$2000, A1397))</f>
        <v/>
      </c>
      <c r="U1397" t="str">
        <f t="shared" si="239"/>
        <v/>
      </c>
      <c r="V1397" t="str">
        <f t="shared" si="240"/>
        <v/>
      </c>
      <c r="W1397" t="str">
        <f t="shared" si="241"/>
        <v/>
      </c>
    </row>
    <row r="1398" spans="1:23" x14ac:dyDescent="0.2">
      <c r="A1398" s="4" t="str">
        <f>IF(ポートフォリオ実績!A1399="","", ポートフォリオ実績!A1399)</f>
        <v/>
      </c>
      <c r="B1398" t="str">
        <f>IF(ポートフォリオ実績!B1399="","", ポートフォリオ実績!B1399)</f>
        <v/>
      </c>
      <c r="C1398" s="10" t="str">
        <f>IF(ポートフォリオ実績!C1399="","", ポートフォリオ実績!C1399)</f>
        <v/>
      </c>
      <c r="D1398" s="10" t="str">
        <f>IF(ポートフォリオ実績!D1399="","", ポートフォリオ実績!D1399)</f>
        <v/>
      </c>
      <c r="E1398" s="10" t="str">
        <f>IF(ポートフォリオ実績!E1399="","", ポートフォリオ実績!E1399)</f>
        <v/>
      </c>
      <c r="F1398" s="10" t="str">
        <f>IF(ポートフォリオ実績!F1399="","", ポートフォリオ実績!F1399)</f>
        <v/>
      </c>
      <c r="G1398" t="str">
        <f t="shared" si="231"/>
        <v/>
      </c>
      <c r="H1398">
        <f>IF(B1398&lt;&gt;"", SUMIFS(ポートフォリオ実績!$D$2:$D$2001, ポートフォリオ実績!$B$2:$B$2001, B1398, ポートフォリオ実績!$A$2:$A$2001, G1398), 0)</f>
        <v>0</v>
      </c>
      <c r="I1398">
        <f>IF(B1398&lt;&gt;"", SUMIFS(ポートフォリオ実績!$C$2:$C$2001, ポートフォリオ実績!$B$2:$B$2001, B1398, ポートフォリオ実績!$A$2:$A$2001, G1398), 0)</f>
        <v>0</v>
      </c>
      <c r="J1398">
        <f t="shared" si="232"/>
        <v>0</v>
      </c>
      <c r="K1398">
        <f t="shared" si="233"/>
        <v>0</v>
      </c>
      <c r="L1398">
        <f t="shared" si="234"/>
        <v>0</v>
      </c>
      <c r="M1398">
        <f t="shared" si="235"/>
        <v>0</v>
      </c>
      <c r="N1398">
        <f t="shared" si="236"/>
        <v>0</v>
      </c>
      <c r="O1398">
        <f t="shared" si="237"/>
        <v>0</v>
      </c>
      <c r="P1398" t="str">
        <f t="shared" si="238"/>
        <v/>
      </c>
      <c r="Q1398" t="str">
        <f>IF(B1398="","", IFERROR(VLOOKUP(B1398, '基準資産配分（設定）'!$A$2:$C$2001, 3, FALSE), ""))</f>
        <v/>
      </c>
      <c r="R1398" t="str">
        <f>IF(B1398="","", IFERROR(VLOOKUP(B1398, '基準資産配分（設定）'!$A$2:$C$2001, 2, FALSE)/100, 0))</f>
        <v/>
      </c>
      <c r="S1398" t="str">
        <f>IF(B1398="","", IFERROR(SUMIFS(ベンチマークリターン!$C$2:$C$2001, ベンチマークリターン!$A$2:$A$2001, A1398, ベンチマークリターン!$B$2:$B$2001, Q1398) / 100, 0))</f>
        <v/>
      </c>
      <c r="T1398" t="str">
        <f>IF(A1398="","", SUMIFS($H$2:$H$2000, $A$2:$A$2000, A1398))</f>
        <v/>
      </c>
      <c r="U1398" t="str">
        <f t="shared" si="239"/>
        <v/>
      </c>
      <c r="V1398" t="str">
        <f t="shared" si="240"/>
        <v/>
      </c>
      <c r="W1398" t="str">
        <f t="shared" si="241"/>
        <v/>
      </c>
    </row>
    <row r="1399" spans="1:23" x14ac:dyDescent="0.2">
      <c r="A1399" s="4" t="str">
        <f>IF(ポートフォリオ実績!A1400="","", ポートフォリオ実績!A1400)</f>
        <v/>
      </c>
      <c r="B1399" t="str">
        <f>IF(ポートフォリオ実績!B1400="","", ポートフォリオ実績!B1400)</f>
        <v/>
      </c>
      <c r="C1399" s="10" t="str">
        <f>IF(ポートフォリオ実績!C1400="","", ポートフォリオ実績!C1400)</f>
        <v/>
      </c>
      <c r="D1399" s="10" t="str">
        <f>IF(ポートフォリオ実績!D1400="","", ポートフォリオ実績!D1400)</f>
        <v/>
      </c>
      <c r="E1399" s="10" t="str">
        <f>IF(ポートフォリオ実績!E1400="","", ポートフォリオ実績!E1400)</f>
        <v/>
      </c>
      <c r="F1399" s="10" t="str">
        <f>IF(ポートフォリオ実績!F1400="","", ポートフォリオ実績!F1400)</f>
        <v/>
      </c>
      <c r="G1399" t="str">
        <f t="shared" si="231"/>
        <v/>
      </c>
      <c r="H1399">
        <f>IF(B1399&lt;&gt;"", SUMIFS(ポートフォリオ実績!$D$2:$D$2001, ポートフォリオ実績!$B$2:$B$2001, B1399, ポートフォリオ実績!$A$2:$A$2001, G1399), 0)</f>
        <v>0</v>
      </c>
      <c r="I1399">
        <f>IF(B1399&lt;&gt;"", SUMIFS(ポートフォリオ実績!$C$2:$C$2001, ポートフォリオ実績!$B$2:$B$2001, B1399, ポートフォリオ実績!$A$2:$A$2001, G1399), 0)</f>
        <v>0</v>
      </c>
      <c r="J1399">
        <f t="shared" si="232"/>
        <v>0</v>
      </c>
      <c r="K1399">
        <f t="shared" si="233"/>
        <v>0</v>
      </c>
      <c r="L1399">
        <f t="shared" si="234"/>
        <v>0</v>
      </c>
      <c r="M1399">
        <f t="shared" si="235"/>
        <v>0</v>
      </c>
      <c r="N1399">
        <f t="shared" si="236"/>
        <v>0</v>
      </c>
      <c r="O1399">
        <f t="shared" si="237"/>
        <v>0</v>
      </c>
      <c r="P1399" t="str">
        <f t="shared" si="238"/>
        <v/>
      </c>
      <c r="Q1399" t="str">
        <f>IF(B1399="","", IFERROR(VLOOKUP(B1399, '基準資産配分（設定）'!$A$2:$C$2001, 3, FALSE), ""))</f>
        <v/>
      </c>
      <c r="R1399" t="str">
        <f>IF(B1399="","", IFERROR(VLOOKUP(B1399, '基準資産配分（設定）'!$A$2:$C$2001, 2, FALSE)/100, 0))</f>
        <v/>
      </c>
      <c r="S1399" t="str">
        <f>IF(B1399="","", IFERROR(SUMIFS(ベンチマークリターン!$C$2:$C$2001, ベンチマークリターン!$A$2:$A$2001, A1399, ベンチマークリターン!$B$2:$B$2001, Q1399) / 100, 0))</f>
        <v/>
      </c>
      <c r="T1399" t="str">
        <f>IF(A1399="","", SUMIFS($H$2:$H$2000, $A$2:$A$2000, A1399))</f>
        <v/>
      </c>
      <c r="U1399" t="str">
        <f t="shared" si="239"/>
        <v/>
      </c>
      <c r="V1399" t="str">
        <f t="shared" si="240"/>
        <v/>
      </c>
      <c r="W1399" t="str">
        <f t="shared" si="241"/>
        <v/>
      </c>
    </row>
    <row r="1400" spans="1:23" x14ac:dyDescent="0.2">
      <c r="A1400" s="4" t="str">
        <f>IF(ポートフォリオ実績!A1401="","", ポートフォリオ実績!A1401)</f>
        <v/>
      </c>
      <c r="B1400" t="str">
        <f>IF(ポートフォリオ実績!B1401="","", ポートフォリオ実績!B1401)</f>
        <v/>
      </c>
      <c r="C1400" s="10" t="str">
        <f>IF(ポートフォリオ実績!C1401="","", ポートフォリオ実績!C1401)</f>
        <v/>
      </c>
      <c r="D1400" s="10" t="str">
        <f>IF(ポートフォリオ実績!D1401="","", ポートフォリオ実績!D1401)</f>
        <v/>
      </c>
      <c r="E1400" s="10" t="str">
        <f>IF(ポートフォリオ実績!E1401="","", ポートフォリオ実績!E1401)</f>
        <v/>
      </c>
      <c r="F1400" s="10" t="str">
        <f>IF(ポートフォリオ実績!F1401="","", ポートフォリオ実績!F1401)</f>
        <v/>
      </c>
      <c r="G1400" t="str">
        <f t="shared" si="231"/>
        <v/>
      </c>
      <c r="H1400">
        <f>IF(B1400&lt;&gt;"", SUMIFS(ポートフォリオ実績!$D$2:$D$2001, ポートフォリオ実績!$B$2:$B$2001, B1400, ポートフォリオ実績!$A$2:$A$2001, G1400), 0)</f>
        <v>0</v>
      </c>
      <c r="I1400">
        <f>IF(B1400&lt;&gt;"", SUMIFS(ポートフォリオ実績!$C$2:$C$2001, ポートフォリオ実績!$B$2:$B$2001, B1400, ポートフォリオ実績!$A$2:$A$2001, G1400), 0)</f>
        <v>0</v>
      </c>
      <c r="J1400">
        <f t="shared" si="232"/>
        <v>0</v>
      </c>
      <c r="K1400">
        <f t="shared" si="233"/>
        <v>0</v>
      </c>
      <c r="L1400">
        <f t="shared" si="234"/>
        <v>0</v>
      </c>
      <c r="M1400">
        <f t="shared" si="235"/>
        <v>0</v>
      </c>
      <c r="N1400">
        <f t="shared" si="236"/>
        <v>0</v>
      </c>
      <c r="O1400">
        <f t="shared" si="237"/>
        <v>0</v>
      </c>
      <c r="P1400" t="str">
        <f t="shared" si="238"/>
        <v/>
      </c>
      <c r="Q1400" t="str">
        <f>IF(B1400="","", IFERROR(VLOOKUP(B1400, '基準資産配分（設定）'!$A$2:$C$2001, 3, FALSE), ""))</f>
        <v/>
      </c>
      <c r="R1400" t="str">
        <f>IF(B1400="","", IFERROR(VLOOKUP(B1400, '基準資産配分（設定）'!$A$2:$C$2001, 2, FALSE)/100, 0))</f>
        <v/>
      </c>
      <c r="S1400" t="str">
        <f>IF(B1400="","", IFERROR(SUMIFS(ベンチマークリターン!$C$2:$C$2001, ベンチマークリターン!$A$2:$A$2001, A1400, ベンチマークリターン!$B$2:$B$2001, Q1400) / 100, 0))</f>
        <v/>
      </c>
      <c r="T1400" t="str">
        <f>IF(A1400="","", SUMIFS($H$2:$H$2000, $A$2:$A$2000, A1400))</f>
        <v/>
      </c>
      <c r="U1400" t="str">
        <f t="shared" si="239"/>
        <v/>
      </c>
      <c r="V1400" t="str">
        <f t="shared" si="240"/>
        <v/>
      </c>
      <c r="W1400" t="str">
        <f t="shared" si="241"/>
        <v/>
      </c>
    </row>
    <row r="1401" spans="1:23" x14ac:dyDescent="0.2">
      <c r="A1401" s="4" t="str">
        <f>IF(ポートフォリオ実績!A1402="","", ポートフォリオ実績!A1402)</f>
        <v/>
      </c>
      <c r="B1401" t="str">
        <f>IF(ポートフォリオ実績!B1402="","", ポートフォリオ実績!B1402)</f>
        <v/>
      </c>
      <c r="C1401" s="10" t="str">
        <f>IF(ポートフォリオ実績!C1402="","", ポートフォリオ実績!C1402)</f>
        <v/>
      </c>
      <c r="D1401" s="10" t="str">
        <f>IF(ポートフォリオ実績!D1402="","", ポートフォリオ実績!D1402)</f>
        <v/>
      </c>
      <c r="E1401" s="10" t="str">
        <f>IF(ポートフォリオ実績!E1402="","", ポートフォリオ実績!E1402)</f>
        <v/>
      </c>
      <c r="F1401" s="10" t="str">
        <f>IF(ポートフォリオ実績!F1402="","", ポートフォリオ実績!F1402)</f>
        <v/>
      </c>
      <c r="G1401" t="str">
        <f t="shared" si="231"/>
        <v/>
      </c>
      <c r="H1401">
        <f>IF(B1401&lt;&gt;"", SUMIFS(ポートフォリオ実績!$D$2:$D$2001, ポートフォリオ実績!$B$2:$B$2001, B1401, ポートフォリオ実績!$A$2:$A$2001, G1401), 0)</f>
        <v>0</v>
      </c>
      <c r="I1401">
        <f>IF(B1401&lt;&gt;"", SUMIFS(ポートフォリオ実績!$C$2:$C$2001, ポートフォリオ実績!$B$2:$B$2001, B1401, ポートフォリオ実績!$A$2:$A$2001, G1401), 0)</f>
        <v>0</v>
      </c>
      <c r="J1401">
        <f t="shared" si="232"/>
        <v>0</v>
      </c>
      <c r="K1401">
        <f t="shared" si="233"/>
        <v>0</v>
      </c>
      <c r="L1401">
        <f t="shared" si="234"/>
        <v>0</v>
      </c>
      <c r="M1401">
        <f t="shared" si="235"/>
        <v>0</v>
      </c>
      <c r="N1401">
        <f t="shared" si="236"/>
        <v>0</v>
      </c>
      <c r="O1401">
        <f t="shared" si="237"/>
        <v>0</v>
      </c>
      <c r="P1401" t="str">
        <f t="shared" si="238"/>
        <v/>
      </c>
      <c r="Q1401" t="str">
        <f>IF(B1401="","", IFERROR(VLOOKUP(B1401, '基準資産配分（設定）'!$A$2:$C$2001, 3, FALSE), ""))</f>
        <v/>
      </c>
      <c r="R1401" t="str">
        <f>IF(B1401="","", IFERROR(VLOOKUP(B1401, '基準資産配分（設定）'!$A$2:$C$2001, 2, FALSE)/100, 0))</f>
        <v/>
      </c>
      <c r="S1401" t="str">
        <f>IF(B1401="","", IFERROR(SUMIFS(ベンチマークリターン!$C$2:$C$2001, ベンチマークリターン!$A$2:$A$2001, A1401, ベンチマークリターン!$B$2:$B$2001, Q1401) / 100, 0))</f>
        <v/>
      </c>
      <c r="T1401" t="str">
        <f>IF(A1401="","", SUMIFS($H$2:$H$2000, $A$2:$A$2000, A1401))</f>
        <v/>
      </c>
      <c r="U1401" t="str">
        <f t="shared" si="239"/>
        <v/>
      </c>
      <c r="V1401" t="str">
        <f t="shared" si="240"/>
        <v/>
      </c>
      <c r="W1401" t="str">
        <f t="shared" si="241"/>
        <v/>
      </c>
    </row>
    <row r="1402" spans="1:23" x14ac:dyDescent="0.2">
      <c r="A1402" s="4" t="str">
        <f>IF(ポートフォリオ実績!A1403="","", ポートフォリオ実績!A1403)</f>
        <v/>
      </c>
      <c r="B1402" t="str">
        <f>IF(ポートフォリオ実績!B1403="","", ポートフォリオ実績!B1403)</f>
        <v/>
      </c>
      <c r="C1402" s="10" t="str">
        <f>IF(ポートフォリオ実績!C1403="","", ポートフォリオ実績!C1403)</f>
        <v/>
      </c>
      <c r="D1402" s="10" t="str">
        <f>IF(ポートフォリオ実績!D1403="","", ポートフォリオ実績!D1403)</f>
        <v/>
      </c>
      <c r="E1402" s="10" t="str">
        <f>IF(ポートフォリオ実績!E1403="","", ポートフォリオ実績!E1403)</f>
        <v/>
      </c>
      <c r="F1402" s="10" t="str">
        <f>IF(ポートフォリオ実績!F1403="","", ポートフォリオ実績!F1403)</f>
        <v/>
      </c>
      <c r="G1402" t="str">
        <f t="shared" si="231"/>
        <v/>
      </c>
      <c r="H1402">
        <f>IF(B1402&lt;&gt;"", SUMIFS(ポートフォリオ実績!$D$2:$D$2001, ポートフォリオ実績!$B$2:$B$2001, B1402, ポートフォリオ実績!$A$2:$A$2001, G1402), 0)</f>
        <v>0</v>
      </c>
      <c r="I1402">
        <f>IF(B1402&lt;&gt;"", SUMIFS(ポートフォリオ実績!$C$2:$C$2001, ポートフォリオ実績!$B$2:$B$2001, B1402, ポートフォリオ実績!$A$2:$A$2001, G1402), 0)</f>
        <v>0</v>
      </c>
      <c r="J1402">
        <f t="shared" si="232"/>
        <v>0</v>
      </c>
      <c r="K1402">
        <f t="shared" si="233"/>
        <v>0</v>
      </c>
      <c r="L1402">
        <f t="shared" si="234"/>
        <v>0</v>
      </c>
      <c r="M1402">
        <f t="shared" si="235"/>
        <v>0</v>
      </c>
      <c r="N1402">
        <f t="shared" si="236"/>
        <v>0</v>
      </c>
      <c r="O1402">
        <f t="shared" si="237"/>
        <v>0</v>
      </c>
      <c r="P1402" t="str">
        <f t="shared" si="238"/>
        <v/>
      </c>
      <c r="Q1402" t="str">
        <f>IF(B1402="","", IFERROR(VLOOKUP(B1402, '基準資産配分（設定）'!$A$2:$C$2001, 3, FALSE), ""))</f>
        <v/>
      </c>
      <c r="R1402" t="str">
        <f>IF(B1402="","", IFERROR(VLOOKUP(B1402, '基準資産配分（設定）'!$A$2:$C$2001, 2, FALSE)/100, 0))</f>
        <v/>
      </c>
      <c r="S1402" t="str">
        <f>IF(B1402="","", IFERROR(SUMIFS(ベンチマークリターン!$C$2:$C$2001, ベンチマークリターン!$A$2:$A$2001, A1402, ベンチマークリターン!$B$2:$B$2001, Q1402) / 100, 0))</f>
        <v/>
      </c>
      <c r="T1402" t="str">
        <f>IF(A1402="","", SUMIFS($H$2:$H$2000, $A$2:$A$2000, A1402))</f>
        <v/>
      </c>
      <c r="U1402" t="str">
        <f t="shared" si="239"/>
        <v/>
      </c>
      <c r="V1402" t="str">
        <f t="shared" si="240"/>
        <v/>
      </c>
      <c r="W1402" t="str">
        <f t="shared" si="241"/>
        <v/>
      </c>
    </row>
    <row r="1403" spans="1:23" x14ac:dyDescent="0.2">
      <c r="A1403" s="4" t="str">
        <f>IF(ポートフォリオ実績!A1404="","", ポートフォリオ実績!A1404)</f>
        <v/>
      </c>
      <c r="B1403" t="str">
        <f>IF(ポートフォリオ実績!B1404="","", ポートフォリオ実績!B1404)</f>
        <v/>
      </c>
      <c r="C1403" s="10" t="str">
        <f>IF(ポートフォリオ実績!C1404="","", ポートフォリオ実績!C1404)</f>
        <v/>
      </c>
      <c r="D1403" s="10" t="str">
        <f>IF(ポートフォリオ実績!D1404="","", ポートフォリオ実績!D1404)</f>
        <v/>
      </c>
      <c r="E1403" s="10" t="str">
        <f>IF(ポートフォリオ実績!E1404="","", ポートフォリオ実績!E1404)</f>
        <v/>
      </c>
      <c r="F1403" s="10" t="str">
        <f>IF(ポートフォリオ実績!F1404="","", ポートフォリオ実績!F1404)</f>
        <v/>
      </c>
      <c r="G1403" t="str">
        <f t="shared" si="231"/>
        <v/>
      </c>
      <c r="H1403">
        <f>IF(B1403&lt;&gt;"", SUMIFS(ポートフォリオ実績!$D$2:$D$2001, ポートフォリオ実績!$B$2:$B$2001, B1403, ポートフォリオ実績!$A$2:$A$2001, G1403), 0)</f>
        <v>0</v>
      </c>
      <c r="I1403">
        <f>IF(B1403&lt;&gt;"", SUMIFS(ポートフォリオ実績!$C$2:$C$2001, ポートフォリオ実績!$B$2:$B$2001, B1403, ポートフォリオ実績!$A$2:$A$2001, G1403), 0)</f>
        <v>0</v>
      </c>
      <c r="J1403">
        <f t="shared" si="232"/>
        <v>0</v>
      </c>
      <c r="K1403">
        <f t="shared" si="233"/>
        <v>0</v>
      </c>
      <c r="L1403">
        <f t="shared" si="234"/>
        <v>0</v>
      </c>
      <c r="M1403">
        <f t="shared" si="235"/>
        <v>0</v>
      </c>
      <c r="N1403">
        <f t="shared" si="236"/>
        <v>0</v>
      </c>
      <c r="O1403">
        <f t="shared" si="237"/>
        <v>0</v>
      </c>
      <c r="P1403" t="str">
        <f t="shared" si="238"/>
        <v/>
      </c>
      <c r="Q1403" t="str">
        <f>IF(B1403="","", IFERROR(VLOOKUP(B1403, '基準資産配分（設定）'!$A$2:$C$2001, 3, FALSE), ""))</f>
        <v/>
      </c>
      <c r="R1403" t="str">
        <f>IF(B1403="","", IFERROR(VLOOKUP(B1403, '基準資産配分（設定）'!$A$2:$C$2001, 2, FALSE)/100, 0))</f>
        <v/>
      </c>
      <c r="S1403" t="str">
        <f>IF(B1403="","", IFERROR(SUMIFS(ベンチマークリターン!$C$2:$C$2001, ベンチマークリターン!$A$2:$A$2001, A1403, ベンチマークリターン!$B$2:$B$2001, Q1403) / 100, 0))</f>
        <v/>
      </c>
      <c r="T1403" t="str">
        <f>IF(A1403="","", SUMIFS($H$2:$H$2000, $A$2:$A$2000, A1403))</f>
        <v/>
      </c>
      <c r="U1403" t="str">
        <f t="shared" si="239"/>
        <v/>
      </c>
      <c r="V1403" t="str">
        <f t="shared" si="240"/>
        <v/>
      </c>
      <c r="W1403" t="str">
        <f t="shared" si="241"/>
        <v/>
      </c>
    </row>
    <row r="1404" spans="1:23" x14ac:dyDescent="0.2">
      <c r="A1404" s="4" t="str">
        <f>IF(ポートフォリオ実績!A1405="","", ポートフォリオ実績!A1405)</f>
        <v/>
      </c>
      <c r="B1404" t="str">
        <f>IF(ポートフォリオ実績!B1405="","", ポートフォリオ実績!B1405)</f>
        <v/>
      </c>
      <c r="C1404" s="10" t="str">
        <f>IF(ポートフォリオ実績!C1405="","", ポートフォリオ実績!C1405)</f>
        <v/>
      </c>
      <c r="D1404" s="10" t="str">
        <f>IF(ポートフォリオ実績!D1405="","", ポートフォリオ実績!D1405)</f>
        <v/>
      </c>
      <c r="E1404" s="10" t="str">
        <f>IF(ポートフォリオ実績!E1405="","", ポートフォリオ実績!E1405)</f>
        <v/>
      </c>
      <c r="F1404" s="10" t="str">
        <f>IF(ポートフォリオ実績!F1405="","", ポートフォリオ実績!F1405)</f>
        <v/>
      </c>
      <c r="G1404" t="str">
        <f t="shared" si="231"/>
        <v/>
      </c>
      <c r="H1404">
        <f>IF(B1404&lt;&gt;"", SUMIFS(ポートフォリオ実績!$D$2:$D$2001, ポートフォリオ実績!$B$2:$B$2001, B1404, ポートフォリオ実績!$A$2:$A$2001, G1404), 0)</f>
        <v>0</v>
      </c>
      <c r="I1404">
        <f>IF(B1404&lt;&gt;"", SUMIFS(ポートフォリオ実績!$C$2:$C$2001, ポートフォリオ実績!$B$2:$B$2001, B1404, ポートフォリオ実績!$A$2:$A$2001, G1404), 0)</f>
        <v>0</v>
      </c>
      <c r="J1404">
        <f t="shared" si="232"/>
        <v>0</v>
      </c>
      <c r="K1404">
        <f t="shared" si="233"/>
        <v>0</v>
      </c>
      <c r="L1404">
        <f t="shared" si="234"/>
        <v>0</v>
      </c>
      <c r="M1404">
        <f t="shared" si="235"/>
        <v>0</v>
      </c>
      <c r="N1404">
        <f t="shared" si="236"/>
        <v>0</v>
      </c>
      <c r="O1404">
        <f t="shared" si="237"/>
        <v>0</v>
      </c>
      <c r="P1404" t="str">
        <f t="shared" si="238"/>
        <v/>
      </c>
      <c r="Q1404" t="str">
        <f>IF(B1404="","", IFERROR(VLOOKUP(B1404, '基準資産配分（設定）'!$A$2:$C$2001, 3, FALSE), ""))</f>
        <v/>
      </c>
      <c r="R1404" t="str">
        <f>IF(B1404="","", IFERROR(VLOOKUP(B1404, '基準資産配分（設定）'!$A$2:$C$2001, 2, FALSE)/100, 0))</f>
        <v/>
      </c>
      <c r="S1404" t="str">
        <f>IF(B1404="","", IFERROR(SUMIFS(ベンチマークリターン!$C$2:$C$2001, ベンチマークリターン!$A$2:$A$2001, A1404, ベンチマークリターン!$B$2:$B$2001, Q1404) / 100, 0))</f>
        <v/>
      </c>
      <c r="T1404" t="str">
        <f>IF(A1404="","", SUMIFS($H$2:$H$2000, $A$2:$A$2000, A1404))</f>
        <v/>
      </c>
      <c r="U1404" t="str">
        <f t="shared" si="239"/>
        <v/>
      </c>
      <c r="V1404" t="str">
        <f t="shared" si="240"/>
        <v/>
      </c>
      <c r="W1404" t="str">
        <f t="shared" si="241"/>
        <v/>
      </c>
    </row>
    <row r="1405" spans="1:23" x14ac:dyDescent="0.2">
      <c r="A1405" s="4" t="str">
        <f>IF(ポートフォリオ実績!A1406="","", ポートフォリオ実績!A1406)</f>
        <v/>
      </c>
      <c r="B1405" t="str">
        <f>IF(ポートフォリオ実績!B1406="","", ポートフォリオ実績!B1406)</f>
        <v/>
      </c>
      <c r="C1405" s="10" t="str">
        <f>IF(ポートフォリオ実績!C1406="","", ポートフォリオ実績!C1406)</f>
        <v/>
      </c>
      <c r="D1405" s="10" t="str">
        <f>IF(ポートフォリオ実績!D1406="","", ポートフォリオ実績!D1406)</f>
        <v/>
      </c>
      <c r="E1405" s="10" t="str">
        <f>IF(ポートフォリオ実績!E1406="","", ポートフォリオ実績!E1406)</f>
        <v/>
      </c>
      <c r="F1405" s="10" t="str">
        <f>IF(ポートフォリオ実績!F1406="","", ポートフォリオ実績!F1406)</f>
        <v/>
      </c>
      <c r="G1405" t="str">
        <f t="shared" si="231"/>
        <v/>
      </c>
      <c r="H1405">
        <f>IF(B1405&lt;&gt;"", SUMIFS(ポートフォリオ実績!$D$2:$D$2001, ポートフォリオ実績!$B$2:$B$2001, B1405, ポートフォリオ実績!$A$2:$A$2001, G1405), 0)</f>
        <v>0</v>
      </c>
      <c r="I1405">
        <f>IF(B1405&lt;&gt;"", SUMIFS(ポートフォリオ実績!$C$2:$C$2001, ポートフォリオ実績!$B$2:$B$2001, B1405, ポートフォリオ実績!$A$2:$A$2001, G1405), 0)</f>
        <v>0</v>
      </c>
      <c r="J1405">
        <f t="shared" si="232"/>
        <v>0</v>
      </c>
      <c r="K1405">
        <f t="shared" si="233"/>
        <v>0</v>
      </c>
      <c r="L1405">
        <f t="shared" si="234"/>
        <v>0</v>
      </c>
      <c r="M1405">
        <f t="shared" si="235"/>
        <v>0</v>
      </c>
      <c r="N1405">
        <f t="shared" si="236"/>
        <v>0</v>
      </c>
      <c r="O1405">
        <f t="shared" si="237"/>
        <v>0</v>
      </c>
      <c r="P1405" t="str">
        <f t="shared" si="238"/>
        <v/>
      </c>
      <c r="Q1405" t="str">
        <f>IF(B1405="","", IFERROR(VLOOKUP(B1405, '基準資産配分（設定）'!$A$2:$C$2001, 3, FALSE), ""))</f>
        <v/>
      </c>
      <c r="R1405" t="str">
        <f>IF(B1405="","", IFERROR(VLOOKUP(B1405, '基準資産配分（設定）'!$A$2:$C$2001, 2, FALSE)/100, 0))</f>
        <v/>
      </c>
      <c r="S1405" t="str">
        <f>IF(B1405="","", IFERROR(SUMIFS(ベンチマークリターン!$C$2:$C$2001, ベンチマークリターン!$A$2:$A$2001, A1405, ベンチマークリターン!$B$2:$B$2001, Q1405) / 100, 0))</f>
        <v/>
      </c>
      <c r="T1405" t="str">
        <f>IF(A1405="","", SUMIFS($H$2:$H$2000, $A$2:$A$2000, A1405))</f>
        <v/>
      </c>
      <c r="U1405" t="str">
        <f t="shared" si="239"/>
        <v/>
      </c>
      <c r="V1405" t="str">
        <f t="shared" si="240"/>
        <v/>
      </c>
      <c r="W1405" t="str">
        <f t="shared" si="241"/>
        <v/>
      </c>
    </row>
    <row r="1406" spans="1:23" x14ac:dyDescent="0.2">
      <c r="A1406" s="4" t="str">
        <f>IF(ポートフォリオ実績!A1407="","", ポートフォリオ実績!A1407)</f>
        <v/>
      </c>
      <c r="B1406" t="str">
        <f>IF(ポートフォリオ実績!B1407="","", ポートフォリオ実績!B1407)</f>
        <v/>
      </c>
      <c r="C1406" s="10" t="str">
        <f>IF(ポートフォリオ実績!C1407="","", ポートフォリオ実績!C1407)</f>
        <v/>
      </c>
      <c r="D1406" s="10" t="str">
        <f>IF(ポートフォリオ実績!D1407="","", ポートフォリオ実績!D1407)</f>
        <v/>
      </c>
      <c r="E1406" s="10" t="str">
        <f>IF(ポートフォリオ実績!E1407="","", ポートフォリオ実績!E1407)</f>
        <v/>
      </c>
      <c r="F1406" s="10" t="str">
        <f>IF(ポートフォリオ実績!F1407="","", ポートフォリオ実績!F1407)</f>
        <v/>
      </c>
      <c r="G1406" t="str">
        <f t="shared" si="231"/>
        <v/>
      </c>
      <c r="H1406">
        <f>IF(B1406&lt;&gt;"", SUMIFS(ポートフォリオ実績!$D$2:$D$2001, ポートフォリオ実績!$B$2:$B$2001, B1406, ポートフォリオ実績!$A$2:$A$2001, G1406), 0)</f>
        <v>0</v>
      </c>
      <c r="I1406">
        <f>IF(B1406&lt;&gt;"", SUMIFS(ポートフォリオ実績!$C$2:$C$2001, ポートフォリオ実績!$B$2:$B$2001, B1406, ポートフォリオ実績!$A$2:$A$2001, G1406), 0)</f>
        <v>0</v>
      </c>
      <c r="J1406">
        <f t="shared" si="232"/>
        <v>0</v>
      </c>
      <c r="K1406">
        <f t="shared" si="233"/>
        <v>0</v>
      </c>
      <c r="L1406">
        <f t="shared" si="234"/>
        <v>0</v>
      </c>
      <c r="M1406">
        <f t="shared" si="235"/>
        <v>0</v>
      </c>
      <c r="N1406">
        <f t="shared" si="236"/>
        <v>0</v>
      </c>
      <c r="O1406">
        <f t="shared" si="237"/>
        <v>0</v>
      </c>
      <c r="P1406" t="str">
        <f t="shared" si="238"/>
        <v/>
      </c>
      <c r="Q1406" t="str">
        <f>IF(B1406="","", IFERROR(VLOOKUP(B1406, '基準資産配分（設定）'!$A$2:$C$2001, 3, FALSE), ""))</f>
        <v/>
      </c>
      <c r="R1406" t="str">
        <f>IF(B1406="","", IFERROR(VLOOKUP(B1406, '基準資産配分（設定）'!$A$2:$C$2001, 2, FALSE)/100, 0))</f>
        <v/>
      </c>
      <c r="S1406" t="str">
        <f>IF(B1406="","", IFERROR(SUMIFS(ベンチマークリターン!$C$2:$C$2001, ベンチマークリターン!$A$2:$A$2001, A1406, ベンチマークリターン!$B$2:$B$2001, Q1406) / 100, 0))</f>
        <v/>
      </c>
      <c r="T1406" t="str">
        <f>IF(A1406="","", SUMIFS($H$2:$H$2000, $A$2:$A$2000, A1406))</f>
        <v/>
      </c>
      <c r="U1406" t="str">
        <f t="shared" si="239"/>
        <v/>
      </c>
      <c r="V1406" t="str">
        <f t="shared" si="240"/>
        <v/>
      </c>
      <c r="W1406" t="str">
        <f t="shared" si="241"/>
        <v/>
      </c>
    </row>
    <row r="1407" spans="1:23" x14ac:dyDescent="0.2">
      <c r="A1407" s="4" t="str">
        <f>IF(ポートフォリオ実績!A1408="","", ポートフォリオ実績!A1408)</f>
        <v/>
      </c>
      <c r="B1407" t="str">
        <f>IF(ポートフォリオ実績!B1408="","", ポートフォリオ実績!B1408)</f>
        <v/>
      </c>
      <c r="C1407" s="10" t="str">
        <f>IF(ポートフォリオ実績!C1408="","", ポートフォリオ実績!C1408)</f>
        <v/>
      </c>
      <c r="D1407" s="10" t="str">
        <f>IF(ポートフォリオ実績!D1408="","", ポートフォリオ実績!D1408)</f>
        <v/>
      </c>
      <c r="E1407" s="10" t="str">
        <f>IF(ポートフォリオ実績!E1408="","", ポートフォリオ実績!E1408)</f>
        <v/>
      </c>
      <c r="F1407" s="10" t="str">
        <f>IF(ポートフォリオ実績!F1408="","", ポートフォリオ実績!F1408)</f>
        <v/>
      </c>
      <c r="G1407" t="str">
        <f t="shared" si="231"/>
        <v/>
      </c>
      <c r="H1407">
        <f>IF(B1407&lt;&gt;"", SUMIFS(ポートフォリオ実績!$D$2:$D$2001, ポートフォリオ実績!$B$2:$B$2001, B1407, ポートフォリオ実績!$A$2:$A$2001, G1407), 0)</f>
        <v>0</v>
      </c>
      <c r="I1407">
        <f>IF(B1407&lt;&gt;"", SUMIFS(ポートフォリオ実績!$C$2:$C$2001, ポートフォリオ実績!$B$2:$B$2001, B1407, ポートフォリオ実績!$A$2:$A$2001, G1407), 0)</f>
        <v>0</v>
      </c>
      <c r="J1407">
        <f t="shared" si="232"/>
        <v>0</v>
      </c>
      <c r="K1407">
        <f t="shared" si="233"/>
        <v>0</v>
      </c>
      <c r="L1407">
        <f t="shared" si="234"/>
        <v>0</v>
      </c>
      <c r="M1407">
        <f t="shared" si="235"/>
        <v>0</v>
      </c>
      <c r="N1407">
        <f t="shared" si="236"/>
        <v>0</v>
      </c>
      <c r="O1407">
        <f t="shared" si="237"/>
        <v>0</v>
      </c>
      <c r="P1407" t="str">
        <f t="shared" si="238"/>
        <v/>
      </c>
      <c r="Q1407" t="str">
        <f>IF(B1407="","", IFERROR(VLOOKUP(B1407, '基準資産配分（設定）'!$A$2:$C$2001, 3, FALSE), ""))</f>
        <v/>
      </c>
      <c r="R1407" t="str">
        <f>IF(B1407="","", IFERROR(VLOOKUP(B1407, '基準資産配分（設定）'!$A$2:$C$2001, 2, FALSE)/100, 0))</f>
        <v/>
      </c>
      <c r="S1407" t="str">
        <f>IF(B1407="","", IFERROR(SUMIFS(ベンチマークリターン!$C$2:$C$2001, ベンチマークリターン!$A$2:$A$2001, A1407, ベンチマークリターン!$B$2:$B$2001, Q1407) / 100, 0))</f>
        <v/>
      </c>
      <c r="T1407" t="str">
        <f>IF(A1407="","", SUMIFS($H$2:$H$2000, $A$2:$A$2000, A1407))</f>
        <v/>
      </c>
      <c r="U1407" t="str">
        <f t="shared" si="239"/>
        <v/>
      </c>
      <c r="V1407" t="str">
        <f t="shared" si="240"/>
        <v/>
      </c>
      <c r="W1407" t="str">
        <f t="shared" si="241"/>
        <v/>
      </c>
    </row>
    <row r="1408" spans="1:23" x14ac:dyDescent="0.2">
      <c r="A1408" s="4" t="str">
        <f>IF(ポートフォリオ実績!A1409="","", ポートフォリオ実績!A1409)</f>
        <v/>
      </c>
      <c r="B1408" t="str">
        <f>IF(ポートフォリオ実績!B1409="","", ポートフォリオ実績!B1409)</f>
        <v/>
      </c>
      <c r="C1408" s="10" t="str">
        <f>IF(ポートフォリオ実績!C1409="","", ポートフォリオ実績!C1409)</f>
        <v/>
      </c>
      <c r="D1408" s="10" t="str">
        <f>IF(ポートフォリオ実績!D1409="","", ポートフォリオ実績!D1409)</f>
        <v/>
      </c>
      <c r="E1408" s="10" t="str">
        <f>IF(ポートフォリオ実績!E1409="","", ポートフォリオ実績!E1409)</f>
        <v/>
      </c>
      <c r="F1408" s="10" t="str">
        <f>IF(ポートフォリオ実績!F1409="","", ポートフォリオ実績!F1409)</f>
        <v/>
      </c>
      <c r="G1408" t="str">
        <f t="shared" si="231"/>
        <v/>
      </c>
      <c r="H1408">
        <f>IF(B1408&lt;&gt;"", SUMIFS(ポートフォリオ実績!$D$2:$D$2001, ポートフォリオ実績!$B$2:$B$2001, B1408, ポートフォリオ実績!$A$2:$A$2001, G1408), 0)</f>
        <v>0</v>
      </c>
      <c r="I1408">
        <f>IF(B1408&lt;&gt;"", SUMIFS(ポートフォリオ実績!$C$2:$C$2001, ポートフォリオ実績!$B$2:$B$2001, B1408, ポートフォリオ実績!$A$2:$A$2001, G1408), 0)</f>
        <v>0</v>
      </c>
      <c r="J1408">
        <f t="shared" si="232"/>
        <v>0</v>
      </c>
      <c r="K1408">
        <f t="shared" si="233"/>
        <v>0</v>
      </c>
      <c r="L1408">
        <f t="shared" si="234"/>
        <v>0</v>
      </c>
      <c r="M1408">
        <f t="shared" si="235"/>
        <v>0</v>
      </c>
      <c r="N1408">
        <f t="shared" si="236"/>
        <v>0</v>
      </c>
      <c r="O1408">
        <f t="shared" si="237"/>
        <v>0</v>
      </c>
      <c r="P1408" t="str">
        <f t="shared" si="238"/>
        <v/>
      </c>
      <c r="Q1408" t="str">
        <f>IF(B1408="","", IFERROR(VLOOKUP(B1408, '基準資産配分（設定）'!$A$2:$C$2001, 3, FALSE), ""))</f>
        <v/>
      </c>
      <c r="R1408" t="str">
        <f>IF(B1408="","", IFERROR(VLOOKUP(B1408, '基準資産配分（設定）'!$A$2:$C$2001, 2, FALSE)/100, 0))</f>
        <v/>
      </c>
      <c r="S1408" t="str">
        <f>IF(B1408="","", IFERROR(SUMIFS(ベンチマークリターン!$C$2:$C$2001, ベンチマークリターン!$A$2:$A$2001, A1408, ベンチマークリターン!$B$2:$B$2001, Q1408) / 100, 0))</f>
        <v/>
      </c>
      <c r="T1408" t="str">
        <f>IF(A1408="","", SUMIFS($H$2:$H$2000, $A$2:$A$2000, A1408))</f>
        <v/>
      </c>
      <c r="U1408" t="str">
        <f t="shared" si="239"/>
        <v/>
      </c>
      <c r="V1408" t="str">
        <f t="shared" si="240"/>
        <v/>
      </c>
      <c r="W1408" t="str">
        <f t="shared" si="241"/>
        <v/>
      </c>
    </row>
    <row r="1409" spans="1:23" x14ac:dyDescent="0.2">
      <c r="A1409" s="4" t="str">
        <f>IF(ポートフォリオ実績!A1410="","", ポートフォリオ実績!A1410)</f>
        <v/>
      </c>
      <c r="B1409" t="str">
        <f>IF(ポートフォリオ実績!B1410="","", ポートフォリオ実績!B1410)</f>
        <v/>
      </c>
      <c r="C1409" s="10" t="str">
        <f>IF(ポートフォリオ実績!C1410="","", ポートフォリオ実績!C1410)</f>
        <v/>
      </c>
      <c r="D1409" s="10" t="str">
        <f>IF(ポートフォリオ実績!D1410="","", ポートフォリオ実績!D1410)</f>
        <v/>
      </c>
      <c r="E1409" s="10" t="str">
        <f>IF(ポートフォリオ実績!E1410="","", ポートフォリオ実績!E1410)</f>
        <v/>
      </c>
      <c r="F1409" s="10" t="str">
        <f>IF(ポートフォリオ実績!F1410="","", ポートフォリオ実績!F1410)</f>
        <v/>
      </c>
      <c r="G1409" t="str">
        <f t="shared" ref="G1409:G1472" si="242">IF(A1409&lt;&gt;"", EOMONTH(A1409, -1), "")</f>
        <v/>
      </c>
      <c r="H1409">
        <f>IF(B1409&lt;&gt;"", SUMIFS(ポートフォリオ実績!$D$2:$D$2001, ポートフォリオ実績!$B$2:$B$2001, B1409, ポートフォリオ実績!$A$2:$A$2001, G1409), 0)</f>
        <v>0</v>
      </c>
      <c r="I1409">
        <f>IF(B1409&lt;&gt;"", SUMIFS(ポートフォリオ実績!$C$2:$C$2001, ポートフォリオ実績!$B$2:$B$2001, B1409, ポートフォリオ実績!$A$2:$A$2001, G1409), 0)</f>
        <v>0</v>
      </c>
      <c r="J1409">
        <f t="shared" ref="J1409:J1472" si="243">IF(A1409&lt;&gt;"", D1409-C1409, 0)</f>
        <v>0</v>
      </c>
      <c r="K1409">
        <f t="shared" ref="K1409:K1472" si="244">IF(A1409&lt;&gt;"", H1409-I1409, 0)</f>
        <v>0</v>
      </c>
      <c r="L1409">
        <f t="shared" ref="L1409:L1472" si="245">IF(H1409=0, 0, J1409-K1409)</f>
        <v>0</v>
      </c>
      <c r="M1409">
        <f t="shared" ref="M1409:M1472" si="246">IF(A1409&lt;&gt;"", E1409+F1409+L1409, 0)</f>
        <v>0</v>
      </c>
      <c r="N1409">
        <f t="shared" ref="N1409:N1472" si="247">IF(H1409=0, 0, (D1409-H1409)-M1409)</f>
        <v>0</v>
      </c>
      <c r="O1409">
        <f t="shared" ref="O1409:O1472" si="248">IF(A1409&lt;&gt;"", H1409+N1409*0.5, 0)</f>
        <v>0</v>
      </c>
      <c r="P1409" t="str">
        <f t="shared" ref="P1409:P1472" si="249">IF(A1409="","", IF(O1409&gt;0.000001, M1409/O1409, IF(ABS(M1409)&lt;0.000001, 0, 0)))</f>
        <v/>
      </c>
      <c r="Q1409" t="str">
        <f>IF(B1409="","", IFERROR(VLOOKUP(B1409, '基準資産配分（設定）'!$A$2:$C$2001, 3, FALSE), ""))</f>
        <v/>
      </c>
      <c r="R1409" t="str">
        <f>IF(B1409="","", IFERROR(VLOOKUP(B1409, '基準資産配分（設定）'!$A$2:$C$2001, 2, FALSE)/100, 0))</f>
        <v/>
      </c>
      <c r="S1409" t="str">
        <f>IF(B1409="","", IFERROR(SUMIFS(ベンチマークリターン!$C$2:$C$2001, ベンチマークリターン!$A$2:$A$2001, A1409, ベンチマークリターン!$B$2:$B$2001, Q1409) / 100, 0))</f>
        <v/>
      </c>
      <c r="T1409" t="str">
        <f>IF(A1409="","", SUMIFS($H$2:$H$2000, $A$2:$A$2000, A1409))</f>
        <v/>
      </c>
      <c r="U1409" t="str">
        <f t="shared" ref="U1409:U1472" si="250">IF(A1409="","", IFERROR(H1409/T1409, 0))</f>
        <v/>
      </c>
      <c r="V1409" t="str">
        <f t="shared" ref="V1409:V1472" si="251">IF(A1409="","", U1409*P1409)</f>
        <v/>
      </c>
      <c r="W1409" t="str">
        <f t="shared" ref="W1409:W1472" si="252">IF(A1409="","", R1409*S1409)</f>
        <v/>
      </c>
    </row>
    <row r="1410" spans="1:23" x14ac:dyDescent="0.2">
      <c r="A1410" s="4" t="str">
        <f>IF(ポートフォリオ実績!A1411="","", ポートフォリオ実績!A1411)</f>
        <v/>
      </c>
      <c r="B1410" t="str">
        <f>IF(ポートフォリオ実績!B1411="","", ポートフォリオ実績!B1411)</f>
        <v/>
      </c>
      <c r="C1410" s="10" t="str">
        <f>IF(ポートフォリオ実績!C1411="","", ポートフォリオ実績!C1411)</f>
        <v/>
      </c>
      <c r="D1410" s="10" t="str">
        <f>IF(ポートフォリオ実績!D1411="","", ポートフォリオ実績!D1411)</f>
        <v/>
      </c>
      <c r="E1410" s="10" t="str">
        <f>IF(ポートフォリオ実績!E1411="","", ポートフォリオ実績!E1411)</f>
        <v/>
      </c>
      <c r="F1410" s="10" t="str">
        <f>IF(ポートフォリオ実績!F1411="","", ポートフォリオ実績!F1411)</f>
        <v/>
      </c>
      <c r="G1410" t="str">
        <f t="shared" si="242"/>
        <v/>
      </c>
      <c r="H1410">
        <f>IF(B1410&lt;&gt;"", SUMIFS(ポートフォリオ実績!$D$2:$D$2001, ポートフォリオ実績!$B$2:$B$2001, B1410, ポートフォリオ実績!$A$2:$A$2001, G1410), 0)</f>
        <v>0</v>
      </c>
      <c r="I1410">
        <f>IF(B1410&lt;&gt;"", SUMIFS(ポートフォリオ実績!$C$2:$C$2001, ポートフォリオ実績!$B$2:$B$2001, B1410, ポートフォリオ実績!$A$2:$A$2001, G1410), 0)</f>
        <v>0</v>
      </c>
      <c r="J1410">
        <f t="shared" si="243"/>
        <v>0</v>
      </c>
      <c r="K1410">
        <f t="shared" si="244"/>
        <v>0</v>
      </c>
      <c r="L1410">
        <f t="shared" si="245"/>
        <v>0</v>
      </c>
      <c r="M1410">
        <f t="shared" si="246"/>
        <v>0</v>
      </c>
      <c r="N1410">
        <f t="shared" si="247"/>
        <v>0</v>
      </c>
      <c r="O1410">
        <f t="shared" si="248"/>
        <v>0</v>
      </c>
      <c r="P1410" t="str">
        <f t="shared" si="249"/>
        <v/>
      </c>
      <c r="Q1410" t="str">
        <f>IF(B1410="","", IFERROR(VLOOKUP(B1410, '基準資産配分（設定）'!$A$2:$C$2001, 3, FALSE), ""))</f>
        <v/>
      </c>
      <c r="R1410" t="str">
        <f>IF(B1410="","", IFERROR(VLOOKUP(B1410, '基準資産配分（設定）'!$A$2:$C$2001, 2, FALSE)/100, 0))</f>
        <v/>
      </c>
      <c r="S1410" t="str">
        <f>IF(B1410="","", IFERROR(SUMIFS(ベンチマークリターン!$C$2:$C$2001, ベンチマークリターン!$A$2:$A$2001, A1410, ベンチマークリターン!$B$2:$B$2001, Q1410) / 100, 0))</f>
        <v/>
      </c>
      <c r="T1410" t="str">
        <f>IF(A1410="","", SUMIFS($H$2:$H$2000, $A$2:$A$2000, A1410))</f>
        <v/>
      </c>
      <c r="U1410" t="str">
        <f t="shared" si="250"/>
        <v/>
      </c>
      <c r="V1410" t="str">
        <f t="shared" si="251"/>
        <v/>
      </c>
      <c r="W1410" t="str">
        <f t="shared" si="252"/>
        <v/>
      </c>
    </row>
    <row r="1411" spans="1:23" x14ac:dyDescent="0.2">
      <c r="A1411" s="4" t="str">
        <f>IF(ポートフォリオ実績!A1412="","", ポートフォリオ実績!A1412)</f>
        <v/>
      </c>
      <c r="B1411" t="str">
        <f>IF(ポートフォリオ実績!B1412="","", ポートフォリオ実績!B1412)</f>
        <v/>
      </c>
      <c r="C1411" s="10" t="str">
        <f>IF(ポートフォリオ実績!C1412="","", ポートフォリオ実績!C1412)</f>
        <v/>
      </c>
      <c r="D1411" s="10" t="str">
        <f>IF(ポートフォリオ実績!D1412="","", ポートフォリオ実績!D1412)</f>
        <v/>
      </c>
      <c r="E1411" s="10" t="str">
        <f>IF(ポートフォリオ実績!E1412="","", ポートフォリオ実績!E1412)</f>
        <v/>
      </c>
      <c r="F1411" s="10" t="str">
        <f>IF(ポートフォリオ実績!F1412="","", ポートフォリオ実績!F1412)</f>
        <v/>
      </c>
      <c r="G1411" t="str">
        <f t="shared" si="242"/>
        <v/>
      </c>
      <c r="H1411">
        <f>IF(B1411&lt;&gt;"", SUMIFS(ポートフォリオ実績!$D$2:$D$2001, ポートフォリオ実績!$B$2:$B$2001, B1411, ポートフォリオ実績!$A$2:$A$2001, G1411), 0)</f>
        <v>0</v>
      </c>
      <c r="I1411">
        <f>IF(B1411&lt;&gt;"", SUMIFS(ポートフォリオ実績!$C$2:$C$2001, ポートフォリオ実績!$B$2:$B$2001, B1411, ポートフォリオ実績!$A$2:$A$2001, G1411), 0)</f>
        <v>0</v>
      </c>
      <c r="J1411">
        <f t="shared" si="243"/>
        <v>0</v>
      </c>
      <c r="K1411">
        <f t="shared" si="244"/>
        <v>0</v>
      </c>
      <c r="L1411">
        <f t="shared" si="245"/>
        <v>0</v>
      </c>
      <c r="M1411">
        <f t="shared" si="246"/>
        <v>0</v>
      </c>
      <c r="N1411">
        <f t="shared" si="247"/>
        <v>0</v>
      </c>
      <c r="O1411">
        <f t="shared" si="248"/>
        <v>0</v>
      </c>
      <c r="P1411" t="str">
        <f t="shared" si="249"/>
        <v/>
      </c>
      <c r="Q1411" t="str">
        <f>IF(B1411="","", IFERROR(VLOOKUP(B1411, '基準資産配分（設定）'!$A$2:$C$2001, 3, FALSE), ""))</f>
        <v/>
      </c>
      <c r="R1411" t="str">
        <f>IF(B1411="","", IFERROR(VLOOKUP(B1411, '基準資産配分（設定）'!$A$2:$C$2001, 2, FALSE)/100, 0))</f>
        <v/>
      </c>
      <c r="S1411" t="str">
        <f>IF(B1411="","", IFERROR(SUMIFS(ベンチマークリターン!$C$2:$C$2001, ベンチマークリターン!$A$2:$A$2001, A1411, ベンチマークリターン!$B$2:$B$2001, Q1411) / 100, 0))</f>
        <v/>
      </c>
      <c r="T1411" t="str">
        <f>IF(A1411="","", SUMIFS($H$2:$H$2000, $A$2:$A$2000, A1411))</f>
        <v/>
      </c>
      <c r="U1411" t="str">
        <f t="shared" si="250"/>
        <v/>
      </c>
      <c r="V1411" t="str">
        <f t="shared" si="251"/>
        <v/>
      </c>
      <c r="W1411" t="str">
        <f t="shared" si="252"/>
        <v/>
      </c>
    </row>
    <row r="1412" spans="1:23" x14ac:dyDescent="0.2">
      <c r="A1412" s="4" t="str">
        <f>IF(ポートフォリオ実績!A1413="","", ポートフォリオ実績!A1413)</f>
        <v/>
      </c>
      <c r="B1412" t="str">
        <f>IF(ポートフォリオ実績!B1413="","", ポートフォリオ実績!B1413)</f>
        <v/>
      </c>
      <c r="C1412" s="10" t="str">
        <f>IF(ポートフォリオ実績!C1413="","", ポートフォリオ実績!C1413)</f>
        <v/>
      </c>
      <c r="D1412" s="10" t="str">
        <f>IF(ポートフォリオ実績!D1413="","", ポートフォリオ実績!D1413)</f>
        <v/>
      </c>
      <c r="E1412" s="10" t="str">
        <f>IF(ポートフォリオ実績!E1413="","", ポートフォリオ実績!E1413)</f>
        <v/>
      </c>
      <c r="F1412" s="10" t="str">
        <f>IF(ポートフォリオ実績!F1413="","", ポートフォリオ実績!F1413)</f>
        <v/>
      </c>
      <c r="G1412" t="str">
        <f t="shared" si="242"/>
        <v/>
      </c>
      <c r="H1412">
        <f>IF(B1412&lt;&gt;"", SUMIFS(ポートフォリオ実績!$D$2:$D$2001, ポートフォリオ実績!$B$2:$B$2001, B1412, ポートフォリオ実績!$A$2:$A$2001, G1412), 0)</f>
        <v>0</v>
      </c>
      <c r="I1412">
        <f>IF(B1412&lt;&gt;"", SUMIFS(ポートフォリオ実績!$C$2:$C$2001, ポートフォリオ実績!$B$2:$B$2001, B1412, ポートフォリオ実績!$A$2:$A$2001, G1412), 0)</f>
        <v>0</v>
      </c>
      <c r="J1412">
        <f t="shared" si="243"/>
        <v>0</v>
      </c>
      <c r="K1412">
        <f t="shared" si="244"/>
        <v>0</v>
      </c>
      <c r="L1412">
        <f t="shared" si="245"/>
        <v>0</v>
      </c>
      <c r="M1412">
        <f t="shared" si="246"/>
        <v>0</v>
      </c>
      <c r="N1412">
        <f t="shared" si="247"/>
        <v>0</v>
      </c>
      <c r="O1412">
        <f t="shared" si="248"/>
        <v>0</v>
      </c>
      <c r="P1412" t="str">
        <f t="shared" si="249"/>
        <v/>
      </c>
      <c r="Q1412" t="str">
        <f>IF(B1412="","", IFERROR(VLOOKUP(B1412, '基準資産配分（設定）'!$A$2:$C$2001, 3, FALSE), ""))</f>
        <v/>
      </c>
      <c r="R1412" t="str">
        <f>IF(B1412="","", IFERROR(VLOOKUP(B1412, '基準資産配分（設定）'!$A$2:$C$2001, 2, FALSE)/100, 0))</f>
        <v/>
      </c>
      <c r="S1412" t="str">
        <f>IF(B1412="","", IFERROR(SUMIFS(ベンチマークリターン!$C$2:$C$2001, ベンチマークリターン!$A$2:$A$2001, A1412, ベンチマークリターン!$B$2:$B$2001, Q1412) / 100, 0))</f>
        <v/>
      </c>
      <c r="T1412" t="str">
        <f>IF(A1412="","", SUMIFS($H$2:$H$2000, $A$2:$A$2000, A1412))</f>
        <v/>
      </c>
      <c r="U1412" t="str">
        <f t="shared" si="250"/>
        <v/>
      </c>
      <c r="V1412" t="str">
        <f t="shared" si="251"/>
        <v/>
      </c>
      <c r="W1412" t="str">
        <f t="shared" si="252"/>
        <v/>
      </c>
    </row>
    <row r="1413" spans="1:23" x14ac:dyDescent="0.2">
      <c r="A1413" s="4" t="str">
        <f>IF(ポートフォリオ実績!A1414="","", ポートフォリオ実績!A1414)</f>
        <v/>
      </c>
      <c r="B1413" t="str">
        <f>IF(ポートフォリオ実績!B1414="","", ポートフォリオ実績!B1414)</f>
        <v/>
      </c>
      <c r="C1413" s="10" t="str">
        <f>IF(ポートフォリオ実績!C1414="","", ポートフォリオ実績!C1414)</f>
        <v/>
      </c>
      <c r="D1413" s="10" t="str">
        <f>IF(ポートフォリオ実績!D1414="","", ポートフォリオ実績!D1414)</f>
        <v/>
      </c>
      <c r="E1413" s="10" t="str">
        <f>IF(ポートフォリオ実績!E1414="","", ポートフォリオ実績!E1414)</f>
        <v/>
      </c>
      <c r="F1413" s="10" t="str">
        <f>IF(ポートフォリオ実績!F1414="","", ポートフォリオ実績!F1414)</f>
        <v/>
      </c>
      <c r="G1413" t="str">
        <f t="shared" si="242"/>
        <v/>
      </c>
      <c r="H1413">
        <f>IF(B1413&lt;&gt;"", SUMIFS(ポートフォリオ実績!$D$2:$D$2001, ポートフォリオ実績!$B$2:$B$2001, B1413, ポートフォリオ実績!$A$2:$A$2001, G1413), 0)</f>
        <v>0</v>
      </c>
      <c r="I1413">
        <f>IF(B1413&lt;&gt;"", SUMIFS(ポートフォリオ実績!$C$2:$C$2001, ポートフォリオ実績!$B$2:$B$2001, B1413, ポートフォリオ実績!$A$2:$A$2001, G1413), 0)</f>
        <v>0</v>
      </c>
      <c r="J1413">
        <f t="shared" si="243"/>
        <v>0</v>
      </c>
      <c r="K1413">
        <f t="shared" si="244"/>
        <v>0</v>
      </c>
      <c r="L1413">
        <f t="shared" si="245"/>
        <v>0</v>
      </c>
      <c r="M1413">
        <f t="shared" si="246"/>
        <v>0</v>
      </c>
      <c r="N1413">
        <f t="shared" si="247"/>
        <v>0</v>
      </c>
      <c r="O1413">
        <f t="shared" si="248"/>
        <v>0</v>
      </c>
      <c r="P1413" t="str">
        <f t="shared" si="249"/>
        <v/>
      </c>
      <c r="Q1413" t="str">
        <f>IF(B1413="","", IFERROR(VLOOKUP(B1413, '基準資産配分（設定）'!$A$2:$C$2001, 3, FALSE), ""))</f>
        <v/>
      </c>
      <c r="R1413" t="str">
        <f>IF(B1413="","", IFERROR(VLOOKUP(B1413, '基準資産配分（設定）'!$A$2:$C$2001, 2, FALSE)/100, 0))</f>
        <v/>
      </c>
      <c r="S1413" t="str">
        <f>IF(B1413="","", IFERROR(SUMIFS(ベンチマークリターン!$C$2:$C$2001, ベンチマークリターン!$A$2:$A$2001, A1413, ベンチマークリターン!$B$2:$B$2001, Q1413) / 100, 0))</f>
        <v/>
      </c>
      <c r="T1413" t="str">
        <f>IF(A1413="","", SUMIFS($H$2:$H$2000, $A$2:$A$2000, A1413))</f>
        <v/>
      </c>
      <c r="U1413" t="str">
        <f t="shared" si="250"/>
        <v/>
      </c>
      <c r="V1413" t="str">
        <f t="shared" si="251"/>
        <v/>
      </c>
      <c r="W1413" t="str">
        <f t="shared" si="252"/>
        <v/>
      </c>
    </row>
    <row r="1414" spans="1:23" x14ac:dyDescent="0.2">
      <c r="A1414" s="4" t="str">
        <f>IF(ポートフォリオ実績!A1415="","", ポートフォリオ実績!A1415)</f>
        <v/>
      </c>
      <c r="B1414" t="str">
        <f>IF(ポートフォリオ実績!B1415="","", ポートフォリオ実績!B1415)</f>
        <v/>
      </c>
      <c r="C1414" s="10" t="str">
        <f>IF(ポートフォリオ実績!C1415="","", ポートフォリオ実績!C1415)</f>
        <v/>
      </c>
      <c r="D1414" s="10" t="str">
        <f>IF(ポートフォリオ実績!D1415="","", ポートフォリオ実績!D1415)</f>
        <v/>
      </c>
      <c r="E1414" s="10" t="str">
        <f>IF(ポートフォリオ実績!E1415="","", ポートフォリオ実績!E1415)</f>
        <v/>
      </c>
      <c r="F1414" s="10" t="str">
        <f>IF(ポートフォリオ実績!F1415="","", ポートフォリオ実績!F1415)</f>
        <v/>
      </c>
      <c r="G1414" t="str">
        <f t="shared" si="242"/>
        <v/>
      </c>
      <c r="H1414">
        <f>IF(B1414&lt;&gt;"", SUMIFS(ポートフォリオ実績!$D$2:$D$2001, ポートフォリオ実績!$B$2:$B$2001, B1414, ポートフォリオ実績!$A$2:$A$2001, G1414), 0)</f>
        <v>0</v>
      </c>
      <c r="I1414">
        <f>IF(B1414&lt;&gt;"", SUMIFS(ポートフォリオ実績!$C$2:$C$2001, ポートフォリオ実績!$B$2:$B$2001, B1414, ポートフォリオ実績!$A$2:$A$2001, G1414), 0)</f>
        <v>0</v>
      </c>
      <c r="J1414">
        <f t="shared" si="243"/>
        <v>0</v>
      </c>
      <c r="K1414">
        <f t="shared" si="244"/>
        <v>0</v>
      </c>
      <c r="L1414">
        <f t="shared" si="245"/>
        <v>0</v>
      </c>
      <c r="M1414">
        <f t="shared" si="246"/>
        <v>0</v>
      </c>
      <c r="N1414">
        <f t="shared" si="247"/>
        <v>0</v>
      </c>
      <c r="O1414">
        <f t="shared" si="248"/>
        <v>0</v>
      </c>
      <c r="P1414" t="str">
        <f t="shared" si="249"/>
        <v/>
      </c>
      <c r="Q1414" t="str">
        <f>IF(B1414="","", IFERROR(VLOOKUP(B1414, '基準資産配分（設定）'!$A$2:$C$2001, 3, FALSE), ""))</f>
        <v/>
      </c>
      <c r="R1414" t="str">
        <f>IF(B1414="","", IFERROR(VLOOKUP(B1414, '基準資産配分（設定）'!$A$2:$C$2001, 2, FALSE)/100, 0))</f>
        <v/>
      </c>
      <c r="S1414" t="str">
        <f>IF(B1414="","", IFERROR(SUMIFS(ベンチマークリターン!$C$2:$C$2001, ベンチマークリターン!$A$2:$A$2001, A1414, ベンチマークリターン!$B$2:$B$2001, Q1414) / 100, 0))</f>
        <v/>
      </c>
      <c r="T1414" t="str">
        <f>IF(A1414="","", SUMIFS($H$2:$H$2000, $A$2:$A$2000, A1414))</f>
        <v/>
      </c>
      <c r="U1414" t="str">
        <f t="shared" si="250"/>
        <v/>
      </c>
      <c r="V1414" t="str">
        <f t="shared" si="251"/>
        <v/>
      </c>
      <c r="W1414" t="str">
        <f t="shared" si="252"/>
        <v/>
      </c>
    </row>
    <row r="1415" spans="1:23" x14ac:dyDescent="0.2">
      <c r="A1415" s="4" t="str">
        <f>IF(ポートフォリオ実績!A1416="","", ポートフォリオ実績!A1416)</f>
        <v/>
      </c>
      <c r="B1415" t="str">
        <f>IF(ポートフォリオ実績!B1416="","", ポートフォリオ実績!B1416)</f>
        <v/>
      </c>
      <c r="C1415" s="10" t="str">
        <f>IF(ポートフォリオ実績!C1416="","", ポートフォリオ実績!C1416)</f>
        <v/>
      </c>
      <c r="D1415" s="10" t="str">
        <f>IF(ポートフォリオ実績!D1416="","", ポートフォリオ実績!D1416)</f>
        <v/>
      </c>
      <c r="E1415" s="10" t="str">
        <f>IF(ポートフォリオ実績!E1416="","", ポートフォリオ実績!E1416)</f>
        <v/>
      </c>
      <c r="F1415" s="10" t="str">
        <f>IF(ポートフォリオ実績!F1416="","", ポートフォリオ実績!F1416)</f>
        <v/>
      </c>
      <c r="G1415" t="str">
        <f t="shared" si="242"/>
        <v/>
      </c>
      <c r="H1415">
        <f>IF(B1415&lt;&gt;"", SUMIFS(ポートフォリオ実績!$D$2:$D$2001, ポートフォリオ実績!$B$2:$B$2001, B1415, ポートフォリオ実績!$A$2:$A$2001, G1415), 0)</f>
        <v>0</v>
      </c>
      <c r="I1415">
        <f>IF(B1415&lt;&gt;"", SUMIFS(ポートフォリオ実績!$C$2:$C$2001, ポートフォリオ実績!$B$2:$B$2001, B1415, ポートフォリオ実績!$A$2:$A$2001, G1415), 0)</f>
        <v>0</v>
      </c>
      <c r="J1415">
        <f t="shared" si="243"/>
        <v>0</v>
      </c>
      <c r="K1415">
        <f t="shared" si="244"/>
        <v>0</v>
      </c>
      <c r="L1415">
        <f t="shared" si="245"/>
        <v>0</v>
      </c>
      <c r="M1415">
        <f t="shared" si="246"/>
        <v>0</v>
      </c>
      <c r="N1415">
        <f t="shared" si="247"/>
        <v>0</v>
      </c>
      <c r="O1415">
        <f t="shared" si="248"/>
        <v>0</v>
      </c>
      <c r="P1415" t="str">
        <f t="shared" si="249"/>
        <v/>
      </c>
      <c r="Q1415" t="str">
        <f>IF(B1415="","", IFERROR(VLOOKUP(B1415, '基準資産配分（設定）'!$A$2:$C$2001, 3, FALSE), ""))</f>
        <v/>
      </c>
      <c r="R1415" t="str">
        <f>IF(B1415="","", IFERROR(VLOOKUP(B1415, '基準資産配分（設定）'!$A$2:$C$2001, 2, FALSE)/100, 0))</f>
        <v/>
      </c>
      <c r="S1415" t="str">
        <f>IF(B1415="","", IFERROR(SUMIFS(ベンチマークリターン!$C$2:$C$2001, ベンチマークリターン!$A$2:$A$2001, A1415, ベンチマークリターン!$B$2:$B$2001, Q1415) / 100, 0))</f>
        <v/>
      </c>
      <c r="T1415" t="str">
        <f>IF(A1415="","", SUMIFS($H$2:$H$2000, $A$2:$A$2000, A1415))</f>
        <v/>
      </c>
      <c r="U1415" t="str">
        <f t="shared" si="250"/>
        <v/>
      </c>
      <c r="V1415" t="str">
        <f t="shared" si="251"/>
        <v/>
      </c>
      <c r="W1415" t="str">
        <f t="shared" si="252"/>
        <v/>
      </c>
    </row>
    <row r="1416" spans="1:23" x14ac:dyDescent="0.2">
      <c r="A1416" s="4" t="str">
        <f>IF(ポートフォリオ実績!A1417="","", ポートフォリオ実績!A1417)</f>
        <v/>
      </c>
      <c r="B1416" t="str">
        <f>IF(ポートフォリオ実績!B1417="","", ポートフォリオ実績!B1417)</f>
        <v/>
      </c>
      <c r="C1416" s="10" t="str">
        <f>IF(ポートフォリオ実績!C1417="","", ポートフォリオ実績!C1417)</f>
        <v/>
      </c>
      <c r="D1416" s="10" t="str">
        <f>IF(ポートフォリオ実績!D1417="","", ポートフォリオ実績!D1417)</f>
        <v/>
      </c>
      <c r="E1416" s="10" t="str">
        <f>IF(ポートフォリオ実績!E1417="","", ポートフォリオ実績!E1417)</f>
        <v/>
      </c>
      <c r="F1416" s="10" t="str">
        <f>IF(ポートフォリオ実績!F1417="","", ポートフォリオ実績!F1417)</f>
        <v/>
      </c>
      <c r="G1416" t="str">
        <f t="shared" si="242"/>
        <v/>
      </c>
      <c r="H1416">
        <f>IF(B1416&lt;&gt;"", SUMIFS(ポートフォリオ実績!$D$2:$D$2001, ポートフォリオ実績!$B$2:$B$2001, B1416, ポートフォリオ実績!$A$2:$A$2001, G1416), 0)</f>
        <v>0</v>
      </c>
      <c r="I1416">
        <f>IF(B1416&lt;&gt;"", SUMIFS(ポートフォリオ実績!$C$2:$C$2001, ポートフォリオ実績!$B$2:$B$2001, B1416, ポートフォリオ実績!$A$2:$A$2001, G1416), 0)</f>
        <v>0</v>
      </c>
      <c r="J1416">
        <f t="shared" si="243"/>
        <v>0</v>
      </c>
      <c r="K1416">
        <f t="shared" si="244"/>
        <v>0</v>
      </c>
      <c r="L1416">
        <f t="shared" si="245"/>
        <v>0</v>
      </c>
      <c r="M1416">
        <f t="shared" si="246"/>
        <v>0</v>
      </c>
      <c r="N1416">
        <f t="shared" si="247"/>
        <v>0</v>
      </c>
      <c r="O1416">
        <f t="shared" si="248"/>
        <v>0</v>
      </c>
      <c r="P1416" t="str">
        <f t="shared" si="249"/>
        <v/>
      </c>
      <c r="Q1416" t="str">
        <f>IF(B1416="","", IFERROR(VLOOKUP(B1416, '基準資産配分（設定）'!$A$2:$C$2001, 3, FALSE), ""))</f>
        <v/>
      </c>
      <c r="R1416" t="str">
        <f>IF(B1416="","", IFERROR(VLOOKUP(B1416, '基準資産配分（設定）'!$A$2:$C$2001, 2, FALSE)/100, 0))</f>
        <v/>
      </c>
      <c r="S1416" t="str">
        <f>IF(B1416="","", IFERROR(SUMIFS(ベンチマークリターン!$C$2:$C$2001, ベンチマークリターン!$A$2:$A$2001, A1416, ベンチマークリターン!$B$2:$B$2001, Q1416) / 100, 0))</f>
        <v/>
      </c>
      <c r="T1416" t="str">
        <f>IF(A1416="","", SUMIFS($H$2:$H$2000, $A$2:$A$2000, A1416))</f>
        <v/>
      </c>
      <c r="U1416" t="str">
        <f t="shared" si="250"/>
        <v/>
      </c>
      <c r="V1416" t="str">
        <f t="shared" si="251"/>
        <v/>
      </c>
      <c r="W1416" t="str">
        <f t="shared" si="252"/>
        <v/>
      </c>
    </row>
    <row r="1417" spans="1:23" x14ac:dyDescent="0.2">
      <c r="A1417" s="4" t="str">
        <f>IF(ポートフォリオ実績!A1418="","", ポートフォリオ実績!A1418)</f>
        <v/>
      </c>
      <c r="B1417" t="str">
        <f>IF(ポートフォリオ実績!B1418="","", ポートフォリオ実績!B1418)</f>
        <v/>
      </c>
      <c r="C1417" s="10" t="str">
        <f>IF(ポートフォリオ実績!C1418="","", ポートフォリオ実績!C1418)</f>
        <v/>
      </c>
      <c r="D1417" s="10" t="str">
        <f>IF(ポートフォリオ実績!D1418="","", ポートフォリオ実績!D1418)</f>
        <v/>
      </c>
      <c r="E1417" s="10" t="str">
        <f>IF(ポートフォリオ実績!E1418="","", ポートフォリオ実績!E1418)</f>
        <v/>
      </c>
      <c r="F1417" s="10" t="str">
        <f>IF(ポートフォリオ実績!F1418="","", ポートフォリオ実績!F1418)</f>
        <v/>
      </c>
      <c r="G1417" t="str">
        <f t="shared" si="242"/>
        <v/>
      </c>
      <c r="H1417">
        <f>IF(B1417&lt;&gt;"", SUMIFS(ポートフォリオ実績!$D$2:$D$2001, ポートフォリオ実績!$B$2:$B$2001, B1417, ポートフォリオ実績!$A$2:$A$2001, G1417), 0)</f>
        <v>0</v>
      </c>
      <c r="I1417">
        <f>IF(B1417&lt;&gt;"", SUMIFS(ポートフォリオ実績!$C$2:$C$2001, ポートフォリオ実績!$B$2:$B$2001, B1417, ポートフォリオ実績!$A$2:$A$2001, G1417), 0)</f>
        <v>0</v>
      </c>
      <c r="J1417">
        <f t="shared" si="243"/>
        <v>0</v>
      </c>
      <c r="K1417">
        <f t="shared" si="244"/>
        <v>0</v>
      </c>
      <c r="L1417">
        <f t="shared" si="245"/>
        <v>0</v>
      </c>
      <c r="M1417">
        <f t="shared" si="246"/>
        <v>0</v>
      </c>
      <c r="N1417">
        <f t="shared" si="247"/>
        <v>0</v>
      </c>
      <c r="O1417">
        <f t="shared" si="248"/>
        <v>0</v>
      </c>
      <c r="P1417" t="str">
        <f t="shared" si="249"/>
        <v/>
      </c>
      <c r="Q1417" t="str">
        <f>IF(B1417="","", IFERROR(VLOOKUP(B1417, '基準資産配分（設定）'!$A$2:$C$2001, 3, FALSE), ""))</f>
        <v/>
      </c>
      <c r="R1417" t="str">
        <f>IF(B1417="","", IFERROR(VLOOKUP(B1417, '基準資産配分（設定）'!$A$2:$C$2001, 2, FALSE)/100, 0))</f>
        <v/>
      </c>
      <c r="S1417" t="str">
        <f>IF(B1417="","", IFERROR(SUMIFS(ベンチマークリターン!$C$2:$C$2001, ベンチマークリターン!$A$2:$A$2001, A1417, ベンチマークリターン!$B$2:$B$2001, Q1417) / 100, 0))</f>
        <v/>
      </c>
      <c r="T1417" t="str">
        <f>IF(A1417="","", SUMIFS($H$2:$H$2000, $A$2:$A$2000, A1417))</f>
        <v/>
      </c>
      <c r="U1417" t="str">
        <f t="shared" si="250"/>
        <v/>
      </c>
      <c r="V1417" t="str">
        <f t="shared" si="251"/>
        <v/>
      </c>
      <c r="W1417" t="str">
        <f t="shared" si="252"/>
        <v/>
      </c>
    </row>
    <row r="1418" spans="1:23" x14ac:dyDescent="0.2">
      <c r="A1418" s="4" t="str">
        <f>IF(ポートフォリオ実績!A1419="","", ポートフォリオ実績!A1419)</f>
        <v/>
      </c>
      <c r="B1418" t="str">
        <f>IF(ポートフォリオ実績!B1419="","", ポートフォリオ実績!B1419)</f>
        <v/>
      </c>
      <c r="C1418" s="10" t="str">
        <f>IF(ポートフォリオ実績!C1419="","", ポートフォリオ実績!C1419)</f>
        <v/>
      </c>
      <c r="D1418" s="10" t="str">
        <f>IF(ポートフォリオ実績!D1419="","", ポートフォリオ実績!D1419)</f>
        <v/>
      </c>
      <c r="E1418" s="10" t="str">
        <f>IF(ポートフォリオ実績!E1419="","", ポートフォリオ実績!E1419)</f>
        <v/>
      </c>
      <c r="F1418" s="10" t="str">
        <f>IF(ポートフォリオ実績!F1419="","", ポートフォリオ実績!F1419)</f>
        <v/>
      </c>
      <c r="G1418" t="str">
        <f t="shared" si="242"/>
        <v/>
      </c>
      <c r="H1418">
        <f>IF(B1418&lt;&gt;"", SUMIFS(ポートフォリオ実績!$D$2:$D$2001, ポートフォリオ実績!$B$2:$B$2001, B1418, ポートフォリオ実績!$A$2:$A$2001, G1418), 0)</f>
        <v>0</v>
      </c>
      <c r="I1418">
        <f>IF(B1418&lt;&gt;"", SUMIFS(ポートフォリオ実績!$C$2:$C$2001, ポートフォリオ実績!$B$2:$B$2001, B1418, ポートフォリオ実績!$A$2:$A$2001, G1418), 0)</f>
        <v>0</v>
      </c>
      <c r="J1418">
        <f t="shared" si="243"/>
        <v>0</v>
      </c>
      <c r="K1418">
        <f t="shared" si="244"/>
        <v>0</v>
      </c>
      <c r="L1418">
        <f t="shared" si="245"/>
        <v>0</v>
      </c>
      <c r="M1418">
        <f t="shared" si="246"/>
        <v>0</v>
      </c>
      <c r="N1418">
        <f t="shared" si="247"/>
        <v>0</v>
      </c>
      <c r="O1418">
        <f t="shared" si="248"/>
        <v>0</v>
      </c>
      <c r="P1418" t="str">
        <f t="shared" si="249"/>
        <v/>
      </c>
      <c r="Q1418" t="str">
        <f>IF(B1418="","", IFERROR(VLOOKUP(B1418, '基準資産配分（設定）'!$A$2:$C$2001, 3, FALSE), ""))</f>
        <v/>
      </c>
      <c r="R1418" t="str">
        <f>IF(B1418="","", IFERROR(VLOOKUP(B1418, '基準資産配分（設定）'!$A$2:$C$2001, 2, FALSE)/100, 0))</f>
        <v/>
      </c>
      <c r="S1418" t="str">
        <f>IF(B1418="","", IFERROR(SUMIFS(ベンチマークリターン!$C$2:$C$2001, ベンチマークリターン!$A$2:$A$2001, A1418, ベンチマークリターン!$B$2:$B$2001, Q1418) / 100, 0))</f>
        <v/>
      </c>
      <c r="T1418" t="str">
        <f>IF(A1418="","", SUMIFS($H$2:$H$2000, $A$2:$A$2000, A1418))</f>
        <v/>
      </c>
      <c r="U1418" t="str">
        <f t="shared" si="250"/>
        <v/>
      </c>
      <c r="V1418" t="str">
        <f t="shared" si="251"/>
        <v/>
      </c>
      <c r="W1418" t="str">
        <f t="shared" si="252"/>
        <v/>
      </c>
    </row>
    <row r="1419" spans="1:23" x14ac:dyDescent="0.2">
      <c r="A1419" s="4" t="str">
        <f>IF(ポートフォリオ実績!A1420="","", ポートフォリオ実績!A1420)</f>
        <v/>
      </c>
      <c r="B1419" t="str">
        <f>IF(ポートフォリオ実績!B1420="","", ポートフォリオ実績!B1420)</f>
        <v/>
      </c>
      <c r="C1419" s="10" t="str">
        <f>IF(ポートフォリオ実績!C1420="","", ポートフォリオ実績!C1420)</f>
        <v/>
      </c>
      <c r="D1419" s="10" t="str">
        <f>IF(ポートフォリオ実績!D1420="","", ポートフォリオ実績!D1420)</f>
        <v/>
      </c>
      <c r="E1419" s="10" t="str">
        <f>IF(ポートフォリオ実績!E1420="","", ポートフォリオ実績!E1420)</f>
        <v/>
      </c>
      <c r="F1419" s="10" t="str">
        <f>IF(ポートフォリオ実績!F1420="","", ポートフォリオ実績!F1420)</f>
        <v/>
      </c>
      <c r="G1419" t="str">
        <f t="shared" si="242"/>
        <v/>
      </c>
      <c r="H1419">
        <f>IF(B1419&lt;&gt;"", SUMIFS(ポートフォリオ実績!$D$2:$D$2001, ポートフォリオ実績!$B$2:$B$2001, B1419, ポートフォリオ実績!$A$2:$A$2001, G1419), 0)</f>
        <v>0</v>
      </c>
      <c r="I1419">
        <f>IF(B1419&lt;&gt;"", SUMIFS(ポートフォリオ実績!$C$2:$C$2001, ポートフォリオ実績!$B$2:$B$2001, B1419, ポートフォリオ実績!$A$2:$A$2001, G1419), 0)</f>
        <v>0</v>
      </c>
      <c r="J1419">
        <f t="shared" si="243"/>
        <v>0</v>
      </c>
      <c r="K1419">
        <f t="shared" si="244"/>
        <v>0</v>
      </c>
      <c r="L1419">
        <f t="shared" si="245"/>
        <v>0</v>
      </c>
      <c r="M1419">
        <f t="shared" si="246"/>
        <v>0</v>
      </c>
      <c r="N1419">
        <f t="shared" si="247"/>
        <v>0</v>
      </c>
      <c r="O1419">
        <f t="shared" si="248"/>
        <v>0</v>
      </c>
      <c r="P1419" t="str">
        <f t="shared" si="249"/>
        <v/>
      </c>
      <c r="Q1419" t="str">
        <f>IF(B1419="","", IFERROR(VLOOKUP(B1419, '基準資産配分（設定）'!$A$2:$C$2001, 3, FALSE), ""))</f>
        <v/>
      </c>
      <c r="R1419" t="str">
        <f>IF(B1419="","", IFERROR(VLOOKUP(B1419, '基準資産配分（設定）'!$A$2:$C$2001, 2, FALSE)/100, 0))</f>
        <v/>
      </c>
      <c r="S1419" t="str">
        <f>IF(B1419="","", IFERROR(SUMIFS(ベンチマークリターン!$C$2:$C$2001, ベンチマークリターン!$A$2:$A$2001, A1419, ベンチマークリターン!$B$2:$B$2001, Q1419) / 100, 0))</f>
        <v/>
      </c>
      <c r="T1419" t="str">
        <f>IF(A1419="","", SUMIFS($H$2:$H$2000, $A$2:$A$2000, A1419))</f>
        <v/>
      </c>
      <c r="U1419" t="str">
        <f t="shared" si="250"/>
        <v/>
      </c>
      <c r="V1419" t="str">
        <f t="shared" si="251"/>
        <v/>
      </c>
      <c r="W1419" t="str">
        <f t="shared" si="252"/>
        <v/>
      </c>
    </row>
    <row r="1420" spans="1:23" x14ac:dyDescent="0.2">
      <c r="A1420" s="4" t="str">
        <f>IF(ポートフォリオ実績!A1421="","", ポートフォリオ実績!A1421)</f>
        <v/>
      </c>
      <c r="B1420" t="str">
        <f>IF(ポートフォリオ実績!B1421="","", ポートフォリオ実績!B1421)</f>
        <v/>
      </c>
      <c r="C1420" s="10" t="str">
        <f>IF(ポートフォリオ実績!C1421="","", ポートフォリオ実績!C1421)</f>
        <v/>
      </c>
      <c r="D1420" s="10" t="str">
        <f>IF(ポートフォリオ実績!D1421="","", ポートフォリオ実績!D1421)</f>
        <v/>
      </c>
      <c r="E1420" s="10" t="str">
        <f>IF(ポートフォリオ実績!E1421="","", ポートフォリオ実績!E1421)</f>
        <v/>
      </c>
      <c r="F1420" s="10" t="str">
        <f>IF(ポートフォリオ実績!F1421="","", ポートフォリオ実績!F1421)</f>
        <v/>
      </c>
      <c r="G1420" t="str">
        <f t="shared" si="242"/>
        <v/>
      </c>
      <c r="H1420">
        <f>IF(B1420&lt;&gt;"", SUMIFS(ポートフォリオ実績!$D$2:$D$2001, ポートフォリオ実績!$B$2:$B$2001, B1420, ポートフォリオ実績!$A$2:$A$2001, G1420), 0)</f>
        <v>0</v>
      </c>
      <c r="I1420">
        <f>IF(B1420&lt;&gt;"", SUMIFS(ポートフォリオ実績!$C$2:$C$2001, ポートフォリオ実績!$B$2:$B$2001, B1420, ポートフォリオ実績!$A$2:$A$2001, G1420), 0)</f>
        <v>0</v>
      </c>
      <c r="J1420">
        <f t="shared" si="243"/>
        <v>0</v>
      </c>
      <c r="K1420">
        <f t="shared" si="244"/>
        <v>0</v>
      </c>
      <c r="L1420">
        <f t="shared" si="245"/>
        <v>0</v>
      </c>
      <c r="M1420">
        <f t="shared" si="246"/>
        <v>0</v>
      </c>
      <c r="N1420">
        <f t="shared" si="247"/>
        <v>0</v>
      </c>
      <c r="O1420">
        <f t="shared" si="248"/>
        <v>0</v>
      </c>
      <c r="P1420" t="str">
        <f t="shared" si="249"/>
        <v/>
      </c>
      <c r="Q1420" t="str">
        <f>IF(B1420="","", IFERROR(VLOOKUP(B1420, '基準資産配分（設定）'!$A$2:$C$2001, 3, FALSE), ""))</f>
        <v/>
      </c>
      <c r="R1420" t="str">
        <f>IF(B1420="","", IFERROR(VLOOKUP(B1420, '基準資産配分（設定）'!$A$2:$C$2001, 2, FALSE)/100, 0))</f>
        <v/>
      </c>
      <c r="S1420" t="str">
        <f>IF(B1420="","", IFERROR(SUMIFS(ベンチマークリターン!$C$2:$C$2001, ベンチマークリターン!$A$2:$A$2001, A1420, ベンチマークリターン!$B$2:$B$2001, Q1420) / 100, 0))</f>
        <v/>
      </c>
      <c r="T1420" t="str">
        <f>IF(A1420="","", SUMIFS($H$2:$H$2000, $A$2:$A$2000, A1420))</f>
        <v/>
      </c>
      <c r="U1420" t="str">
        <f t="shared" si="250"/>
        <v/>
      </c>
      <c r="V1420" t="str">
        <f t="shared" si="251"/>
        <v/>
      </c>
      <c r="W1420" t="str">
        <f t="shared" si="252"/>
        <v/>
      </c>
    </row>
    <row r="1421" spans="1:23" x14ac:dyDescent="0.2">
      <c r="A1421" s="4" t="str">
        <f>IF(ポートフォリオ実績!A1422="","", ポートフォリオ実績!A1422)</f>
        <v/>
      </c>
      <c r="B1421" t="str">
        <f>IF(ポートフォリオ実績!B1422="","", ポートフォリオ実績!B1422)</f>
        <v/>
      </c>
      <c r="C1421" s="10" t="str">
        <f>IF(ポートフォリオ実績!C1422="","", ポートフォリオ実績!C1422)</f>
        <v/>
      </c>
      <c r="D1421" s="10" t="str">
        <f>IF(ポートフォリオ実績!D1422="","", ポートフォリオ実績!D1422)</f>
        <v/>
      </c>
      <c r="E1421" s="10" t="str">
        <f>IF(ポートフォリオ実績!E1422="","", ポートフォリオ実績!E1422)</f>
        <v/>
      </c>
      <c r="F1421" s="10" t="str">
        <f>IF(ポートフォリオ実績!F1422="","", ポートフォリオ実績!F1422)</f>
        <v/>
      </c>
      <c r="G1421" t="str">
        <f t="shared" si="242"/>
        <v/>
      </c>
      <c r="H1421">
        <f>IF(B1421&lt;&gt;"", SUMIFS(ポートフォリオ実績!$D$2:$D$2001, ポートフォリオ実績!$B$2:$B$2001, B1421, ポートフォリオ実績!$A$2:$A$2001, G1421), 0)</f>
        <v>0</v>
      </c>
      <c r="I1421">
        <f>IF(B1421&lt;&gt;"", SUMIFS(ポートフォリオ実績!$C$2:$C$2001, ポートフォリオ実績!$B$2:$B$2001, B1421, ポートフォリオ実績!$A$2:$A$2001, G1421), 0)</f>
        <v>0</v>
      </c>
      <c r="J1421">
        <f t="shared" si="243"/>
        <v>0</v>
      </c>
      <c r="K1421">
        <f t="shared" si="244"/>
        <v>0</v>
      </c>
      <c r="L1421">
        <f t="shared" si="245"/>
        <v>0</v>
      </c>
      <c r="M1421">
        <f t="shared" si="246"/>
        <v>0</v>
      </c>
      <c r="N1421">
        <f t="shared" si="247"/>
        <v>0</v>
      </c>
      <c r="O1421">
        <f t="shared" si="248"/>
        <v>0</v>
      </c>
      <c r="P1421" t="str">
        <f t="shared" si="249"/>
        <v/>
      </c>
      <c r="Q1421" t="str">
        <f>IF(B1421="","", IFERROR(VLOOKUP(B1421, '基準資産配分（設定）'!$A$2:$C$2001, 3, FALSE), ""))</f>
        <v/>
      </c>
      <c r="R1421" t="str">
        <f>IF(B1421="","", IFERROR(VLOOKUP(B1421, '基準資産配分（設定）'!$A$2:$C$2001, 2, FALSE)/100, 0))</f>
        <v/>
      </c>
      <c r="S1421" t="str">
        <f>IF(B1421="","", IFERROR(SUMIFS(ベンチマークリターン!$C$2:$C$2001, ベンチマークリターン!$A$2:$A$2001, A1421, ベンチマークリターン!$B$2:$B$2001, Q1421) / 100, 0))</f>
        <v/>
      </c>
      <c r="T1421" t="str">
        <f>IF(A1421="","", SUMIFS($H$2:$H$2000, $A$2:$A$2000, A1421))</f>
        <v/>
      </c>
      <c r="U1421" t="str">
        <f t="shared" si="250"/>
        <v/>
      </c>
      <c r="V1421" t="str">
        <f t="shared" si="251"/>
        <v/>
      </c>
      <c r="W1421" t="str">
        <f t="shared" si="252"/>
        <v/>
      </c>
    </row>
    <row r="1422" spans="1:23" x14ac:dyDescent="0.2">
      <c r="A1422" s="4" t="str">
        <f>IF(ポートフォリオ実績!A1423="","", ポートフォリオ実績!A1423)</f>
        <v/>
      </c>
      <c r="B1422" t="str">
        <f>IF(ポートフォリオ実績!B1423="","", ポートフォリオ実績!B1423)</f>
        <v/>
      </c>
      <c r="C1422" s="10" t="str">
        <f>IF(ポートフォリオ実績!C1423="","", ポートフォリオ実績!C1423)</f>
        <v/>
      </c>
      <c r="D1422" s="10" t="str">
        <f>IF(ポートフォリオ実績!D1423="","", ポートフォリオ実績!D1423)</f>
        <v/>
      </c>
      <c r="E1422" s="10" t="str">
        <f>IF(ポートフォリオ実績!E1423="","", ポートフォリオ実績!E1423)</f>
        <v/>
      </c>
      <c r="F1422" s="10" t="str">
        <f>IF(ポートフォリオ実績!F1423="","", ポートフォリオ実績!F1423)</f>
        <v/>
      </c>
      <c r="G1422" t="str">
        <f t="shared" si="242"/>
        <v/>
      </c>
      <c r="H1422">
        <f>IF(B1422&lt;&gt;"", SUMIFS(ポートフォリオ実績!$D$2:$D$2001, ポートフォリオ実績!$B$2:$B$2001, B1422, ポートフォリオ実績!$A$2:$A$2001, G1422), 0)</f>
        <v>0</v>
      </c>
      <c r="I1422">
        <f>IF(B1422&lt;&gt;"", SUMIFS(ポートフォリオ実績!$C$2:$C$2001, ポートフォリオ実績!$B$2:$B$2001, B1422, ポートフォリオ実績!$A$2:$A$2001, G1422), 0)</f>
        <v>0</v>
      </c>
      <c r="J1422">
        <f t="shared" si="243"/>
        <v>0</v>
      </c>
      <c r="K1422">
        <f t="shared" si="244"/>
        <v>0</v>
      </c>
      <c r="L1422">
        <f t="shared" si="245"/>
        <v>0</v>
      </c>
      <c r="M1422">
        <f t="shared" si="246"/>
        <v>0</v>
      </c>
      <c r="N1422">
        <f t="shared" si="247"/>
        <v>0</v>
      </c>
      <c r="O1422">
        <f t="shared" si="248"/>
        <v>0</v>
      </c>
      <c r="P1422" t="str">
        <f t="shared" si="249"/>
        <v/>
      </c>
      <c r="Q1422" t="str">
        <f>IF(B1422="","", IFERROR(VLOOKUP(B1422, '基準資産配分（設定）'!$A$2:$C$2001, 3, FALSE), ""))</f>
        <v/>
      </c>
      <c r="R1422" t="str">
        <f>IF(B1422="","", IFERROR(VLOOKUP(B1422, '基準資産配分（設定）'!$A$2:$C$2001, 2, FALSE)/100, 0))</f>
        <v/>
      </c>
      <c r="S1422" t="str">
        <f>IF(B1422="","", IFERROR(SUMIFS(ベンチマークリターン!$C$2:$C$2001, ベンチマークリターン!$A$2:$A$2001, A1422, ベンチマークリターン!$B$2:$B$2001, Q1422) / 100, 0))</f>
        <v/>
      </c>
      <c r="T1422" t="str">
        <f>IF(A1422="","", SUMIFS($H$2:$H$2000, $A$2:$A$2000, A1422))</f>
        <v/>
      </c>
      <c r="U1422" t="str">
        <f t="shared" si="250"/>
        <v/>
      </c>
      <c r="V1422" t="str">
        <f t="shared" si="251"/>
        <v/>
      </c>
      <c r="W1422" t="str">
        <f t="shared" si="252"/>
        <v/>
      </c>
    </row>
    <row r="1423" spans="1:23" x14ac:dyDescent="0.2">
      <c r="A1423" s="4" t="str">
        <f>IF(ポートフォリオ実績!A1424="","", ポートフォリオ実績!A1424)</f>
        <v/>
      </c>
      <c r="B1423" t="str">
        <f>IF(ポートフォリオ実績!B1424="","", ポートフォリオ実績!B1424)</f>
        <v/>
      </c>
      <c r="C1423" s="10" t="str">
        <f>IF(ポートフォリオ実績!C1424="","", ポートフォリオ実績!C1424)</f>
        <v/>
      </c>
      <c r="D1423" s="10" t="str">
        <f>IF(ポートフォリオ実績!D1424="","", ポートフォリオ実績!D1424)</f>
        <v/>
      </c>
      <c r="E1423" s="10" t="str">
        <f>IF(ポートフォリオ実績!E1424="","", ポートフォリオ実績!E1424)</f>
        <v/>
      </c>
      <c r="F1423" s="10" t="str">
        <f>IF(ポートフォリオ実績!F1424="","", ポートフォリオ実績!F1424)</f>
        <v/>
      </c>
      <c r="G1423" t="str">
        <f t="shared" si="242"/>
        <v/>
      </c>
      <c r="H1423">
        <f>IF(B1423&lt;&gt;"", SUMIFS(ポートフォリオ実績!$D$2:$D$2001, ポートフォリオ実績!$B$2:$B$2001, B1423, ポートフォリオ実績!$A$2:$A$2001, G1423), 0)</f>
        <v>0</v>
      </c>
      <c r="I1423">
        <f>IF(B1423&lt;&gt;"", SUMIFS(ポートフォリオ実績!$C$2:$C$2001, ポートフォリオ実績!$B$2:$B$2001, B1423, ポートフォリオ実績!$A$2:$A$2001, G1423), 0)</f>
        <v>0</v>
      </c>
      <c r="J1423">
        <f t="shared" si="243"/>
        <v>0</v>
      </c>
      <c r="K1423">
        <f t="shared" si="244"/>
        <v>0</v>
      </c>
      <c r="L1423">
        <f t="shared" si="245"/>
        <v>0</v>
      </c>
      <c r="M1423">
        <f t="shared" si="246"/>
        <v>0</v>
      </c>
      <c r="N1423">
        <f t="shared" si="247"/>
        <v>0</v>
      </c>
      <c r="O1423">
        <f t="shared" si="248"/>
        <v>0</v>
      </c>
      <c r="P1423" t="str">
        <f t="shared" si="249"/>
        <v/>
      </c>
      <c r="Q1423" t="str">
        <f>IF(B1423="","", IFERROR(VLOOKUP(B1423, '基準資産配分（設定）'!$A$2:$C$2001, 3, FALSE), ""))</f>
        <v/>
      </c>
      <c r="R1423" t="str">
        <f>IF(B1423="","", IFERROR(VLOOKUP(B1423, '基準資産配分（設定）'!$A$2:$C$2001, 2, FALSE)/100, 0))</f>
        <v/>
      </c>
      <c r="S1423" t="str">
        <f>IF(B1423="","", IFERROR(SUMIFS(ベンチマークリターン!$C$2:$C$2001, ベンチマークリターン!$A$2:$A$2001, A1423, ベンチマークリターン!$B$2:$B$2001, Q1423) / 100, 0))</f>
        <v/>
      </c>
      <c r="T1423" t="str">
        <f>IF(A1423="","", SUMIFS($H$2:$H$2000, $A$2:$A$2000, A1423))</f>
        <v/>
      </c>
      <c r="U1423" t="str">
        <f t="shared" si="250"/>
        <v/>
      </c>
      <c r="V1423" t="str">
        <f t="shared" si="251"/>
        <v/>
      </c>
      <c r="W1423" t="str">
        <f t="shared" si="252"/>
        <v/>
      </c>
    </row>
    <row r="1424" spans="1:23" x14ac:dyDescent="0.2">
      <c r="A1424" s="4" t="str">
        <f>IF(ポートフォリオ実績!A1425="","", ポートフォリオ実績!A1425)</f>
        <v/>
      </c>
      <c r="B1424" t="str">
        <f>IF(ポートフォリオ実績!B1425="","", ポートフォリオ実績!B1425)</f>
        <v/>
      </c>
      <c r="C1424" s="10" t="str">
        <f>IF(ポートフォリオ実績!C1425="","", ポートフォリオ実績!C1425)</f>
        <v/>
      </c>
      <c r="D1424" s="10" t="str">
        <f>IF(ポートフォリオ実績!D1425="","", ポートフォリオ実績!D1425)</f>
        <v/>
      </c>
      <c r="E1424" s="10" t="str">
        <f>IF(ポートフォリオ実績!E1425="","", ポートフォリオ実績!E1425)</f>
        <v/>
      </c>
      <c r="F1424" s="10" t="str">
        <f>IF(ポートフォリオ実績!F1425="","", ポートフォリオ実績!F1425)</f>
        <v/>
      </c>
      <c r="G1424" t="str">
        <f t="shared" si="242"/>
        <v/>
      </c>
      <c r="H1424">
        <f>IF(B1424&lt;&gt;"", SUMIFS(ポートフォリオ実績!$D$2:$D$2001, ポートフォリオ実績!$B$2:$B$2001, B1424, ポートフォリオ実績!$A$2:$A$2001, G1424), 0)</f>
        <v>0</v>
      </c>
      <c r="I1424">
        <f>IF(B1424&lt;&gt;"", SUMIFS(ポートフォリオ実績!$C$2:$C$2001, ポートフォリオ実績!$B$2:$B$2001, B1424, ポートフォリオ実績!$A$2:$A$2001, G1424), 0)</f>
        <v>0</v>
      </c>
      <c r="J1424">
        <f t="shared" si="243"/>
        <v>0</v>
      </c>
      <c r="K1424">
        <f t="shared" si="244"/>
        <v>0</v>
      </c>
      <c r="L1424">
        <f t="shared" si="245"/>
        <v>0</v>
      </c>
      <c r="M1424">
        <f t="shared" si="246"/>
        <v>0</v>
      </c>
      <c r="N1424">
        <f t="shared" si="247"/>
        <v>0</v>
      </c>
      <c r="O1424">
        <f t="shared" si="248"/>
        <v>0</v>
      </c>
      <c r="P1424" t="str">
        <f t="shared" si="249"/>
        <v/>
      </c>
      <c r="Q1424" t="str">
        <f>IF(B1424="","", IFERROR(VLOOKUP(B1424, '基準資産配分（設定）'!$A$2:$C$2001, 3, FALSE), ""))</f>
        <v/>
      </c>
      <c r="R1424" t="str">
        <f>IF(B1424="","", IFERROR(VLOOKUP(B1424, '基準資産配分（設定）'!$A$2:$C$2001, 2, FALSE)/100, 0))</f>
        <v/>
      </c>
      <c r="S1424" t="str">
        <f>IF(B1424="","", IFERROR(SUMIFS(ベンチマークリターン!$C$2:$C$2001, ベンチマークリターン!$A$2:$A$2001, A1424, ベンチマークリターン!$B$2:$B$2001, Q1424) / 100, 0))</f>
        <v/>
      </c>
      <c r="T1424" t="str">
        <f>IF(A1424="","", SUMIFS($H$2:$H$2000, $A$2:$A$2000, A1424))</f>
        <v/>
      </c>
      <c r="U1424" t="str">
        <f t="shared" si="250"/>
        <v/>
      </c>
      <c r="V1424" t="str">
        <f t="shared" si="251"/>
        <v/>
      </c>
      <c r="W1424" t="str">
        <f t="shared" si="252"/>
        <v/>
      </c>
    </row>
    <row r="1425" spans="1:23" x14ac:dyDescent="0.2">
      <c r="A1425" s="4" t="str">
        <f>IF(ポートフォリオ実績!A1426="","", ポートフォリオ実績!A1426)</f>
        <v/>
      </c>
      <c r="B1425" t="str">
        <f>IF(ポートフォリオ実績!B1426="","", ポートフォリオ実績!B1426)</f>
        <v/>
      </c>
      <c r="C1425" s="10" t="str">
        <f>IF(ポートフォリオ実績!C1426="","", ポートフォリオ実績!C1426)</f>
        <v/>
      </c>
      <c r="D1425" s="10" t="str">
        <f>IF(ポートフォリオ実績!D1426="","", ポートフォリオ実績!D1426)</f>
        <v/>
      </c>
      <c r="E1425" s="10" t="str">
        <f>IF(ポートフォリオ実績!E1426="","", ポートフォリオ実績!E1426)</f>
        <v/>
      </c>
      <c r="F1425" s="10" t="str">
        <f>IF(ポートフォリオ実績!F1426="","", ポートフォリオ実績!F1426)</f>
        <v/>
      </c>
      <c r="G1425" t="str">
        <f t="shared" si="242"/>
        <v/>
      </c>
      <c r="H1425">
        <f>IF(B1425&lt;&gt;"", SUMIFS(ポートフォリオ実績!$D$2:$D$2001, ポートフォリオ実績!$B$2:$B$2001, B1425, ポートフォリオ実績!$A$2:$A$2001, G1425), 0)</f>
        <v>0</v>
      </c>
      <c r="I1425">
        <f>IF(B1425&lt;&gt;"", SUMIFS(ポートフォリオ実績!$C$2:$C$2001, ポートフォリオ実績!$B$2:$B$2001, B1425, ポートフォリオ実績!$A$2:$A$2001, G1425), 0)</f>
        <v>0</v>
      </c>
      <c r="J1425">
        <f t="shared" si="243"/>
        <v>0</v>
      </c>
      <c r="K1425">
        <f t="shared" si="244"/>
        <v>0</v>
      </c>
      <c r="L1425">
        <f t="shared" si="245"/>
        <v>0</v>
      </c>
      <c r="M1425">
        <f t="shared" si="246"/>
        <v>0</v>
      </c>
      <c r="N1425">
        <f t="shared" si="247"/>
        <v>0</v>
      </c>
      <c r="O1425">
        <f t="shared" si="248"/>
        <v>0</v>
      </c>
      <c r="P1425" t="str">
        <f t="shared" si="249"/>
        <v/>
      </c>
      <c r="Q1425" t="str">
        <f>IF(B1425="","", IFERROR(VLOOKUP(B1425, '基準資産配分（設定）'!$A$2:$C$2001, 3, FALSE), ""))</f>
        <v/>
      </c>
      <c r="R1425" t="str">
        <f>IF(B1425="","", IFERROR(VLOOKUP(B1425, '基準資産配分（設定）'!$A$2:$C$2001, 2, FALSE)/100, 0))</f>
        <v/>
      </c>
      <c r="S1425" t="str">
        <f>IF(B1425="","", IFERROR(SUMIFS(ベンチマークリターン!$C$2:$C$2001, ベンチマークリターン!$A$2:$A$2001, A1425, ベンチマークリターン!$B$2:$B$2001, Q1425) / 100, 0))</f>
        <v/>
      </c>
      <c r="T1425" t="str">
        <f>IF(A1425="","", SUMIFS($H$2:$H$2000, $A$2:$A$2000, A1425))</f>
        <v/>
      </c>
      <c r="U1425" t="str">
        <f t="shared" si="250"/>
        <v/>
      </c>
      <c r="V1425" t="str">
        <f t="shared" si="251"/>
        <v/>
      </c>
      <c r="W1425" t="str">
        <f t="shared" si="252"/>
        <v/>
      </c>
    </row>
    <row r="1426" spans="1:23" x14ac:dyDescent="0.2">
      <c r="A1426" s="4" t="str">
        <f>IF(ポートフォリオ実績!A1427="","", ポートフォリオ実績!A1427)</f>
        <v/>
      </c>
      <c r="B1426" t="str">
        <f>IF(ポートフォリオ実績!B1427="","", ポートフォリオ実績!B1427)</f>
        <v/>
      </c>
      <c r="C1426" s="10" t="str">
        <f>IF(ポートフォリオ実績!C1427="","", ポートフォリオ実績!C1427)</f>
        <v/>
      </c>
      <c r="D1426" s="10" t="str">
        <f>IF(ポートフォリオ実績!D1427="","", ポートフォリオ実績!D1427)</f>
        <v/>
      </c>
      <c r="E1426" s="10" t="str">
        <f>IF(ポートフォリオ実績!E1427="","", ポートフォリオ実績!E1427)</f>
        <v/>
      </c>
      <c r="F1426" s="10" t="str">
        <f>IF(ポートフォリオ実績!F1427="","", ポートフォリオ実績!F1427)</f>
        <v/>
      </c>
      <c r="G1426" t="str">
        <f t="shared" si="242"/>
        <v/>
      </c>
      <c r="H1426">
        <f>IF(B1426&lt;&gt;"", SUMIFS(ポートフォリオ実績!$D$2:$D$2001, ポートフォリオ実績!$B$2:$B$2001, B1426, ポートフォリオ実績!$A$2:$A$2001, G1426), 0)</f>
        <v>0</v>
      </c>
      <c r="I1426">
        <f>IF(B1426&lt;&gt;"", SUMIFS(ポートフォリオ実績!$C$2:$C$2001, ポートフォリオ実績!$B$2:$B$2001, B1426, ポートフォリオ実績!$A$2:$A$2001, G1426), 0)</f>
        <v>0</v>
      </c>
      <c r="J1426">
        <f t="shared" si="243"/>
        <v>0</v>
      </c>
      <c r="K1426">
        <f t="shared" si="244"/>
        <v>0</v>
      </c>
      <c r="L1426">
        <f t="shared" si="245"/>
        <v>0</v>
      </c>
      <c r="M1426">
        <f t="shared" si="246"/>
        <v>0</v>
      </c>
      <c r="N1426">
        <f t="shared" si="247"/>
        <v>0</v>
      </c>
      <c r="O1426">
        <f t="shared" si="248"/>
        <v>0</v>
      </c>
      <c r="P1426" t="str">
        <f t="shared" si="249"/>
        <v/>
      </c>
      <c r="Q1426" t="str">
        <f>IF(B1426="","", IFERROR(VLOOKUP(B1426, '基準資産配分（設定）'!$A$2:$C$2001, 3, FALSE), ""))</f>
        <v/>
      </c>
      <c r="R1426" t="str">
        <f>IF(B1426="","", IFERROR(VLOOKUP(B1426, '基準資産配分（設定）'!$A$2:$C$2001, 2, FALSE)/100, 0))</f>
        <v/>
      </c>
      <c r="S1426" t="str">
        <f>IF(B1426="","", IFERROR(SUMIFS(ベンチマークリターン!$C$2:$C$2001, ベンチマークリターン!$A$2:$A$2001, A1426, ベンチマークリターン!$B$2:$B$2001, Q1426) / 100, 0))</f>
        <v/>
      </c>
      <c r="T1426" t="str">
        <f>IF(A1426="","", SUMIFS($H$2:$H$2000, $A$2:$A$2000, A1426))</f>
        <v/>
      </c>
      <c r="U1426" t="str">
        <f t="shared" si="250"/>
        <v/>
      </c>
      <c r="V1426" t="str">
        <f t="shared" si="251"/>
        <v/>
      </c>
      <c r="W1426" t="str">
        <f t="shared" si="252"/>
        <v/>
      </c>
    </row>
    <row r="1427" spans="1:23" x14ac:dyDescent="0.2">
      <c r="A1427" s="4" t="str">
        <f>IF(ポートフォリオ実績!A1428="","", ポートフォリオ実績!A1428)</f>
        <v/>
      </c>
      <c r="B1427" t="str">
        <f>IF(ポートフォリオ実績!B1428="","", ポートフォリオ実績!B1428)</f>
        <v/>
      </c>
      <c r="C1427" s="10" t="str">
        <f>IF(ポートフォリオ実績!C1428="","", ポートフォリオ実績!C1428)</f>
        <v/>
      </c>
      <c r="D1427" s="10" t="str">
        <f>IF(ポートフォリオ実績!D1428="","", ポートフォリオ実績!D1428)</f>
        <v/>
      </c>
      <c r="E1427" s="10" t="str">
        <f>IF(ポートフォリオ実績!E1428="","", ポートフォリオ実績!E1428)</f>
        <v/>
      </c>
      <c r="F1427" s="10" t="str">
        <f>IF(ポートフォリオ実績!F1428="","", ポートフォリオ実績!F1428)</f>
        <v/>
      </c>
      <c r="G1427" t="str">
        <f t="shared" si="242"/>
        <v/>
      </c>
      <c r="H1427">
        <f>IF(B1427&lt;&gt;"", SUMIFS(ポートフォリオ実績!$D$2:$D$2001, ポートフォリオ実績!$B$2:$B$2001, B1427, ポートフォリオ実績!$A$2:$A$2001, G1427), 0)</f>
        <v>0</v>
      </c>
      <c r="I1427">
        <f>IF(B1427&lt;&gt;"", SUMIFS(ポートフォリオ実績!$C$2:$C$2001, ポートフォリオ実績!$B$2:$B$2001, B1427, ポートフォリオ実績!$A$2:$A$2001, G1427), 0)</f>
        <v>0</v>
      </c>
      <c r="J1427">
        <f t="shared" si="243"/>
        <v>0</v>
      </c>
      <c r="K1427">
        <f t="shared" si="244"/>
        <v>0</v>
      </c>
      <c r="L1427">
        <f t="shared" si="245"/>
        <v>0</v>
      </c>
      <c r="M1427">
        <f t="shared" si="246"/>
        <v>0</v>
      </c>
      <c r="N1427">
        <f t="shared" si="247"/>
        <v>0</v>
      </c>
      <c r="O1427">
        <f t="shared" si="248"/>
        <v>0</v>
      </c>
      <c r="P1427" t="str">
        <f t="shared" si="249"/>
        <v/>
      </c>
      <c r="Q1427" t="str">
        <f>IF(B1427="","", IFERROR(VLOOKUP(B1427, '基準資産配分（設定）'!$A$2:$C$2001, 3, FALSE), ""))</f>
        <v/>
      </c>
      <c r="R1427" t="str">
        <f>IF(B1427="","", IFERROR(VLOOKUP(B1427, '基準資産配分（設定）'!$A$2:$C$2001, 2, FALSE)/100, 0))</f>
        <v/>
      </c>
      <c r="S1427" t="str">
        <f>IF(B1427="","", IFERROR(SUMIFS(ベンチマークリターン!$C$2:$C$2001, ベンチマークリターン!$A$2:$A$2001, A1427, ベンチマークリターン!$B$2:$B$2001, Q1427) / 100, 0))</f>
        <v/>
      </c>
      <c r="T1427" t="str">
        <f>IF(A1427="","", SUMIFS($H$2:$H$2000, $A$2:$A$2000, A1427))</f>
        <v/>
      </c>
      <c r="U1427" t="str">
        <f t="shared" si="250"/>
        <v/>
      </c>
      <c r="V1427" t="str">
        <f t="shared" si="251"/>
        <v/>
      </c>
      <c r="W1427" t="str">
        <f t="shared" si="252"/>
        <v/>
      </c>
    </row>
    <row r="1428" spans="1:23" x14ac:dyDescent="0.2">
      <c r="A1428" s="4" t="str">
        <f>IF(ポートフォリオ実績!A1429="","", ポートフォリオ実績!A1429)</f>
        <v/>
      </c>
      <c r="B1428" t="str">
        <f>IF(ポートフォリオ実績!B1429="","", ポートフォリオ実績!B1429)</f>
        <v/>
      </c>
      <c r="C1428" s="10" t="str">
        <f>IF(ポートフォリオ実績!C1429="","", ポートフォリオ実績!C1429)</f>
        <v/>
      </c>
      <c r="D1428" s="10" t="str">
        <f>IF(ポートフォリオ実績!D1429="","", ポートフォリオ実績!D1429)</f>
        <v/>
      </c>
      <c r="E1428" s="10" t="str">
        <f>IF(ポートフォリオ実績!E1429="","", ポートフォリオ実績!E1429)</f>
        <v/>
      </c>
      <c r="F1428" s="10" t="str">
        <f>IF(ポートフォリオ実績!F1429="","", ポートフォリオ実績!F1429)</f>
        <v/>
      </c>
      <c r="G1428" t="str">
        <f t="shared" si="242"/>
        <v/>
      </c>
      <c r="H1428">
        <f>IF(B1428&lt;&gt;"", SUMIFS(ポートフォリオ実績!$D$2:$D$2001, ポートフォリオ実績!$B$2:$B$2001, B1428, ポートフォリオ実績!$A$2:$A$2001, G1428), 0)</f>
        <v>0</v>
      </c>
      <c r="I1428">
        <f>IF(B1428&lt;&gt;"", SUMIFS(ポートフォリオ実績!$C$2:$C$2001, ポートフォリオ実績!$B$2:$B$2001, B1428, ポートフォリオ実績!$A$2:$A$2001, G1428), 0)</f>
        <v>0</v>
      </c>
      <c r="J1428">
        <f t="shared" si="243"/>
        <v>0</v>
      </c>
      <c r="K1428">
        <f t="shared" si="244"/>
        <v>0</v>
      </c>
      <c r="L1428">
        <f t="shared" si="245"/>
        <v>0</v>
      </c>
      <c r="M1428">
        <f t="shared" si="246"/>
        <v>0</v>
      </c>
      <c r="N1428">
        <f t="shared" si="247"/>
        <v>0</v>
      </c>
      <c r="O1428">
        <f t="shared" si="248"/>
        <v>0</v>
      </c>
      <c r="P1428" t="str">
        <f t="shared" si="249"/>
        <v/>
      </c>
      <c r="Q1428" t="str">
        <f>IF(B1428="","", IFERROR(VLOOKUP(B1428, '基準資産配分（設定）'!$A$2:$C$2001, 3, FALSE), ""))</f>
        <v/>
      </c>
      <c r="R1428" t="str">
        <f>IF(B1428="","", IFERROR(VLOOKUP(B1428, '基準資産配分（設定）'!$A$2:$C$2001, 2, FALSE)/100, 0))</f>
        <v/>
      </c>
      <c r="S1428" t="str">
        <f>IF(B1428="","", IFERROR(SUMIFS(ベンチマークリターン!$C$2:$C$2001, ベンチマークリターン!$A$2:$A$2001, A1428, ベンチマークリターン!$B$2:$B$2001, Q1428) / 100, 0))</f>
        <v/>
      </c>
      <c r="T1428" t="str">
        <f>IF(A1428="","", SUMIFS($H$2:$H$2000, $A$2:$A$2000, A1428))</f>
        <v/>
      </c>
      <c r="U1428" t="str">
        <f t="shared" si="250"/>
        <v/>
      </c>
      <c r="V1428" t="str">
        <f t="shared" si="251"/>
        <v/>
      </c>
      <c r="W1428" t="str">
        <f t="shared" si="252"/>
        <v/>
      </c>
    </row>
    <row r="1429" spans="1:23" x14ac:dyDescent="0.2">
      <c r="A1429" s="4" t="str">
        <f>IF(ポートフォリオ実績!A1430="","", ポートフォリオ実績!A1430)</f>
        <v/>
      </c>
      <c r="B1429" t="str">
        <f>IF(ポートフォリオ実績!B1430="","", ポートフォリオ実績!B1430)</f>
        <v/>
      </c>
      <c r="C1429" s="10" t="str">
        <f>IF(ポートフォリオ実績!C1430="","", ポートフォリオ実績!C1430)</f>
        <v/>
      </c>
      <c r="D1429" s="10" t="str">
        <f>IF(ポートフォリオ実績!D1430="","", ポートフォリオ実績!D1430)</f>
        <v/>
      </c>
      <c r="E1429" s="10" t="str">
        <f>IF(ポートフォリオ実績!E1430="","", ポートフォリオ実績!E1430)</f>
        <v/>
      </c>
      <c r="F1429" s="10" t="str">
        <f>IF(ポートフォリオ実績!F1430="","", ポートフォリオ実績!F1430)</f>
        <v/>
      </c>
      <c r="G1429" t="str">
        <f t="shared" si="242"/>
        <v/>
      </c>
      <c r="H1429">
        <f>IF(B1429&lt;&gt;"", SUMIFS(ポートフォリオ実績!$D$2:$D$2001, ポートフォリオ実績!$B$2:$B$2001, B1429, ポートフォリオ実績!$A$2:$A$2001, G1429), 0)</f>
        <v>0</v>
      </c>
      <c r="I1429">
        <f>IF(B1429&lt;&gt;"", SUMIFS(ポートフォリオ実績!$C$2:$C$2001, ポートフォリオ実績!$B$2:$B$2001, B1429, ポートフォリオ実績!$A$2:$A$2001, G1429), 0)</f>
        <v>0</v>
      </c>
      <c r="J1429">
        <f t="shared" si="243"/>
        <v>0</v>
      </c>
      <c r="K1429">
        <f t="shared" si="244"/>
        <v>0</v>
      </c>
      <c r="L1429">
        <f t="shared" si="245"/>
        <v>0</v>
      </c>
      <c r="M1429">
        <f t="shared" si="246"/>
        <v>0</v>
      </c>
      <c r="N1429">
        <f t="shared" si="247"/>
        <v>0</v>
      </c>
      <c r="O1429">
        <f t="shared" si="248"/>
        <v>0</v>
      </c>
      <c r="P1429" t="str">
        <f t="shared" si="249"/>
        <v/>
      </c>
      <c r="Q1429" t="str">
        <f>IF(B1429="","", IFERROR(VLOOKUP(B1429, '基準資産配分（設定）'!$A$2:$C$2001, 3, FALSE), ""))</f>
        <v/>
      </c>
      <c r="R1429" t="str">
        <f>IF(B1429="","", IFERROR(VLOOKUP(B1429, '基準資産配分（設定）'!$A$2:$C$2001, 2, FALSE)/100, 0))</f>
        <v/>
      </c>
      <c r="S1429" t="str">
        <f>IF(B1429="","", IFERROR(SUMIFS(ベンチマークリターン!$C$2:$C$2001, ベンチマークリターン!$A$2:$A$2001, A1429, ベンチマークリターン!$B$2:$B$2001, Q1429) / 100, 0))</f>
        <v/>
      </c>
      <c r="T1429" t="str">
        <f>IF(A1429="","", SUMIFS($H$2:$H$2000, $A$2:$A$2000, A1429))</f>
        <v/>
      </c>
      <c r="U1429" t="str">
        <f t="shared" si="250"/>
        <v/>
      </c>
      <c r="V1429" t="str">
        <f t="shared" si="251"/>
        <v/>
      </c>
      <c r="W1429" t="str">
        <f t="shared" si="252"/>
        <v/>
      </c>
    </row>
    <row r="1430" spans="1:23" x14ac:dyDescent="0.2">
      <c r="A1430" s="4" t="str">
        <f>IF(ポートフォリオ実績!A1431="","", ポートフォリオ実績!A1431)</f>
        <v/>
      </c>
      <c r="B1430" t="str">
        <f>IF(ポートフォリオ実績!B1431="","", ポートフォリオ実績!B1431)</f>
        <v/>
      </c>
      <c r="C1430" s="10" t="str">
        <f>IF(ポートフォリオ実績!C1431="","", ポートフォリオ実績!C1431)</f>
        <v/>
      </c>
      <c r="D1430" s="10" t="str">
        <f>IF(ポートフォリオ実績!D1431="","", ポートフォリオ実績!D1431)</f>
        <v/>
      </c>
      <c r="E1430" s="10" t="str">
        <f>IF(ポートフォリオ実績!E1431="","", ポートフォリオ実績!E1431)</f>
        <v/>
      </c>
      <c r="F1430" s="10" t="str">
        <f>IF(ポートフォリオ実績!F1431="","", ポートフォリオ実績!F1431)</f>
        <v/>
      </c>
      <c r="G1430" t="str">
        <f t="shared" si="242"/>
        <v/>
      </c>
      <c r="H1430">
        <f>IF(B1430&lt;&gt;"", SUMIFS(ポートフォリオ実績!$D$2:$D$2001, ポートフォリオ実績!$B$2:$B$2001, B1430, ポートフォリオ実績!$A$2:$A$2001, G1430), 0)</f>
        <v>0</v>
      </c>
      <c r="I1430">
        <f>IF(B1430&lt;&gt;"", SUMIFS(ポートフォリオ実績!$C$2:$C$2001, ポートフォリオ実績!$B$2:$B$2001, B1430, ポートフォリオ実績!$A$2:$A$2001, G1430), 0)</f>
        <v>0</v>
      </c>
      <c r="J1430">
        <f t="shared" si="243"/>
        <v>0</v>
      </c>
      <c r="K1430">
        <f t="shared" si="244"/>
        <v>0</v>
      </c>
      <c r="L1430">
        <f t="shared" si="245"/>
        <v>0</v>
      </c>
      <c r="M1430">
        <f t="shared" si="246"/>
        <v>0</v>
      </c>
      <c r="N1430">
        <f t="shared" si="247"/>
        <v>0</v>
      </c>
      <c r="O1430">
        <f t="shared" si="248"/>
        <v>0</v>
      </c>
      <c r="P1430" t="str">
        <f t="shared" si="249"/>
        <v/>
      </c>
      <c r="Q1430" t="str">
        <f>IF(B1430="","", IFERROR(VLOOKUP(B1430, '基準資産配分（設定）'!$A$2:$C$2001, 3, FALSE), ""))</f>
        <v/>
      </c>
      <c r="R1430" t="str">
        <f>IF(B1430="","", IFERROR(VLOOKUP(B1430, '基準資産配分（設定）'!$A$2:$C$2001, 2, FALSE)/100, 0))</f>
        <v/>
      </c>
      <c r="S1430" t="str">
        <f>IF(B1430="","", IFERROR(SUMIFS(ベンチマークリターン!$C$2:$C$2001, ベンチマークリターン!$A$2:$A$2001, A1430, ベンチマークリターン!$B$2:$B$2001, Q1430) / 100, 0))</f>
        <v/>
      </c>
      <c r="T1430" t="str">
        <f>IF(A1430="","", SUMIFS($H$2:$H$2000, $A$2:$A$2000, A1430))</f>
        <v/>
      </c>
      <c r="U1430" t="str">
        <f t="shared" si="250"/>
        <v/>
      </c>
      <c r="V1430" t="str">
        <f t="shared" si="251"/>
        <v/>
      </c>
      <c r="W1430" t="str">
        <f t="shared" si="252"/>
        <v/>
      </c>
    </row>
    <row r="1431" spans="1:23" x14ac:dyDescent="0.2">
      <c r="A1431" s="4" t="str">
        <f>IF(ポートフォリオ実績!A1432="","", ポートフォリオ実績!A1432)</f>
        <v/>
      </c>
      <c r="B1431" t="str">
        <f>IF(ポートフォリオ実績!B1432="","", ポートフォリオ実績!B1432)</f>
        <v/>
      </c>
      <c r="C1431" s="10" t="str">
        <f>IF(ポートフォリオ実績!C1432="","", ポートフォリオ実績!C1432)</f>
        <v/>
      </c>
      <c r="D1431" s="10" t="str">
        <f>IF(ポートフォリオ実績!D1432="","", ポートフォリオ実績!D1432)</f>
        <v/>
      </c>
      <c r="E1431" s="10" t="str">
        <f>IF(ポートフォリオ実績!E1432="","", ポートフォリオ実績!E1432)</f>
        <v/>
      </c>
      <c r="F1431" s="10" t="str">
        <f>IF(ポートフォリオ実績!F1432="","", ポートフォリオ実績!F1432)</f>
        <v/>
      </c>
      <c r="G1431" t="str">
        <f t="shared" si="242"/>
        <v/>
      </c>
      <c r="H1431">
        <f>IF(B1431&lt;&gt;"", SUMIFS(ポートフォリオ実績!$D$2:$D$2001, ポートフォリオ実績!$B$2:$B$2001, B1431, ポートフォリオ実績!$A$2:$A$2001, G1431), 0)</f>
        <v>0</v>
      </c>
      <c r="I1431">
        <f>IF(B1431&lt;&gt;"", SUMIFS(ポートフォリオ実績!$C$2:$C$2001, ポートフォリオ実績!$B$2:$B$2001, B1431, ポートフォリオ実績!$A$2:$A$2001, G1431), 0)</f>
        <v>0</v>
      </c>
      <c r="J1431">
        <f t="shared" si="243"/>
        <v>0</v>
      </c>
      <c r="K1431">
        <f t="shared" si="244"/>
        <v>0</v>
      </c>
      <c r="L1431">
        <f t="shared" si="245"/>
        <v>0</v>
      </c>
      <c r="M1431">
        <f t="shared" si="246"/>
        <v>0</v>
      </c>
      <c r="N1431">
        <f t="shared" si="247"/>
        <v>0</v>
      </c>
      <c r="O1431">
        <f t="shared" si="248"/>
        <v>0</v>
      </c>
      <c r="P1431" t="str">
        <f t="shared" si="249"/>
        <v/>
      </c>
      <c r="Q1431" t="str">
        <f>IF(B1431="","", IFERROR(VLOOKUP(B1431, '基準資産配分（設定）'!$A$2:$C$2001, 3, FALSE), ""))</f>
        <v/>
      </c>
      <c r="R1431" t="str">
        <f>IF(B1431="","", IFERROR(VLOOKUP(B1431, '基準資産配分（設定）'!$A$2:$C$2001, 2, FALSE)/100, 0))</f>
        <v/>
      </c>
      <c r="S1431" t="str">
        <f>IF(B1431="","", IFERROR(SUMIFS(ベンチマークリターン!$C$2:$C$2001, ベンチマークリターン!$A$2:$A$2001, A1431, ベンチマークリターン!$B$2:$B$2001, Q1431) / 100, 0))</f>
        <v/>
      </c>
      <c r="T1431" t="str">
        <f>IF(A1431="","", SUMIFS($H$2:$H$2000, $A$2:$A$2000, A1431))</f>
        <v/>
      </c>
      <c r="U1431" t="str">
        <f t="shared" si="250"/>
        <v/>
      </c>
      <c r="V1431" t="str">
        <f t="shared" si="251"/>
        <v/>
      </c>
      <c r="W1431" t="str">
        <f t="shared" si="252"/>
        <v/>
      </c>
    </row>
    <row r="1432" spans="1:23" x14ac:dyDescent="0.2">
      <c r="A1432" s="4" t="str">
        <f>IF(ポートフォリオ実績!A1433="","", ポートフォリオ実績!A1433)</f>
        <v/>
      </c>
      <c r="B1432" t="str">
        <f>IF(ポートフォリオ実績!B1433="","", ポートフォリオ実績!B1433)</f>
        <v/>
      </c>
      <c r="C1432" s="10" t="str">
        <f>IF(ポートフォリオ実績!C1433="","", ポートフォリオ実績!C1433)</f>
        <v/>
      </c>
      <c r="D1432" s="10" t="str">
        <f>IF(ポートフォリオ実績!D1433="","", ポートフォリオ実績!D1433)</f>
        <v/>
      </c>
      <c r="E1432" s="10" t="str">
        <f>IF(ポートフォリオ実績!E1433="","", ポートフォリオ実績!E1433)</f>
        <v/>
      </c>
      <c r="F1432" s="10" t="str">
        <f>IF(ポートフォリオ実績!F1433="","", ポートフォリオ実績!F1433)</f>
        <v/>
      </c>
      <c r="G1432" t="str">
        <f t="shared" si="242"/>
        <v/>
      </c>
      <c r="H1432">
        <f>IF(B1432&lt;&gt;"", SUMIFS(ポートフォリオ実績!$D$2:$D$2001, ポートフォリオ実績!$B$2:$B$2001, B1432, ポートフォリオ実績!$A$2:$A$2001, G1432), 0)</f>
        <v>0</v>
      </c>
      <c r="I1432">
        <f>IF(B1432&lt;&gt;"", SUMIFS(ポートフォリオ実績!$C$2:$C$2001, ポートフォリオ実績!$B$2:$B$2001, B1432, ポートフォリオ実績!$A$2:$A$2001, G1432), 0)</f>
        <v>0</v>
      </c>
      <c r="J1432">
        <f t="shared" si="243"/>
        <v>0</v>
      </c>
      <c r="K1432">
        <f t="shared" si="244"/>
        <v>0</v>
      </c>
      <c r="L1432">
        <f t="shared" si="245"/>
        <v>0</v>
      </c>
      <c r="M1432">
        <f t="shared" si="246"/>
        <v>0</v>
      </c>
      <c r="N1432">
        <f t="shared" si="247"/>
        <v>0</v>
      </c>
      <c r="O1432">
        <f t="shared" si="248"/>
        <v>0</v>
      </c>
      <c r="P1432" t="str">
        <f t="shared" si="249"/>
        <v/>
      </c>
      <c r="Q1432" t="str">
        <f>IF(B1432="","", IFERROR(VLOOKUP(B1432, '基準資産配分（設定）'!$A$2:$C$2001, 3, FALSE), ""))</f>
        <v/>
      </c>
      <c r="R1432" t="str">
        <f>IF(B1432="","", IFERROR(VLOOKUP(B1432, '基準資産配分（設定）'!$A$2:$C$2001, 2, FALSE)/100, 0))</f>
        <v/>
      </c>
      <c r="S1432" t="str">
        <f>IF(B1432="","", IFERROR(SUMIFS(ベンチマークリターン!$C$2:$C$2001, ベンチマークリターン!$A$2:$A$2001, A1432, ベンチマークリターン!$B$2:$B$2001, Q1432) / 100, 0))</f>
        <v/>
      </c>
      <c r="T1432" t="str">
        <f>IF(A1432="","", SUMIFS($H$2:$H$2000, $A$2:$A$2000, A1432))</f>
        <v/>
      </c>
      <c r="U1432" t="str">
        <f t="shared" si="250"/>
        <v/>
      </c>
      <c r="V1432" t="str">
        <f t="shared" si="251"/>
        <v/>
      </c>
      <c r="W1432" t="str">
        <f t="shared" si="252"/>
        <v/>
      </c>
    </row>
    <row r="1433" spans="1:23" x14ac:dyDescent="0.2">
      <c r="A1433" s="4" t="str">
        <f>IF(ポートフォリオ実績!A1434="","", ポートフォリオ実績!A1434)</f>
        <v/>
      </c>
      <c r="B1433" t="str">
        <f>IF(ポートフォリオ実績!B1434="","", ポートフォリオ実績!B1434)</f>
        <v/>
      </c>
      <c r="C1433" s="10" t="str">
        <f>IF(ポートフォリオ実績!C1434="","", ポートフォリオ実績!C1434)</f>
        <v/>
      </c>
      <c r="D1433" s="10" t="str">
        <f>IF(ポートフォリオ実績!D1434="","", ポートフォリオ実績!D1434)</f>
        <v/>
      </c>
      <c r="E1433" s="10" t="str">
        <f>IF(ポートフォリオ実績!E1434="","", ポートフォリオ実績!E1434)</f>
        <v/>
      </c>
      <c r="F1433" s="10" t="str">
        <f>IF(ポートフォリオ実績!F1434="","", ポートフォリオ実績!F1434)</f>
        <v/>
      </c>
      <c r="G1433" t="str">
        <f t="shared" si="242"/>
        <v/>
      </c>
      <c r="H1433">
        <f>IF(B1433&lt;&gt;"", SUMIFS(ポートフォリオ実績!$D$2:$D$2001, ポートフォリオ実績!$B$2:$B$2001, B1433, ポートフォリオ実績!$A$2:$A$2001, G1433), 0)</f>
        <v>0</v>
      </c>
      <c r="I1433">
        <f>IF(B1433&lt;&gt;"", SUMIFS(ポートフォリオ実績!$C$2:$C$2001, ポートフォリオ実績!$B$2:$B$2001, B1433, ポートフォリオ実績!$A$2:$A$2001, G1433), 0)</f>
        <v>0</v>
      </c>
      <c r="J1433">
        <f t="shared" si="243"/>
        <v>0</v>
      </c>
      <c r="K1433">
        <f t="shared" si="244"/>
        <v>0</v>
      </c>
      <c r="L1433">
        <f t="shared" si="245"/>
        <v>0</v>
      </c>
      <c r="M1433">
        <f t="shared" si="246"/>
        <v>0</v>
      </c>
      <c r="N1433">
        <f t="shared" si="247"/>
        <v>0</v>
      </c>
      <c r="O1433">
        <f t="shared" si="248"/>
        <v>0</v>
      </c>
      <c r="P1433" t="str">
        <f t="shared" si="249"/>
        <v/>
      </c>
      <c r="Q1433" t="str">
        <f>IF(B1433="","", IFERROR(VLOOKUP(B1433, '基準資産配分（設定）'!$A$2:$C$2001, 3, FALSE), ""))</f>
        <v/>
      </c>
      <c r="R1433" t="str">
        <f>IF(B1433="","", IFERROR(VLOOKUP(B1433, '基準資産配分（設定）'!$A$2:$C$2001, 2, FALSE)/100, 0))</f>
        <v/>
      </c>
      <c r="S1433" t="str">
        <f>IF(B1433="","", IFERROR(SUMIFS(ベンチマークリターン!$C$2:$C$2001, ベンチマークリターン!$A$2:$A$2001, A1433, ベンチマークリターン!$B$2:$B$2001, Q1433) / 100, 0))</f>
        <v/>
      </c>
      <c r="T1433" t="str">
        <f>IF(A1433="","", SUMIFS($H$2:$H$2000, $A$2:$A$2000, A1433))</f>
        <v/>
      </c>
      <c r="U1433" t="str">
        <f t="shared" si="250"/>
        <v/>
      </c>
      <c r="V1433" t="str">
        <f t="shared" si="251"/>
        <v/>
      </c>
      <c r="W1433" t="str">
        <f t="shared" si="252"/>
        <v/>
      </c>
    </row>
    <row r="1434" spans="1:23" x14ac:dyDescent="0.2">
      <c r="A1434" s="4" t="str">
        <f>IF(ポートフォリオ実績!A1435="","", ポートフォリオ実績!A1435)</f>
        <v/>
      </c>
      <c r="B1434" t="str">
        <f>IF(ポートフォリオ実績!B1435="","", ポートフォリオ実績!B1435)</f>
        <v/>
      </c>
      <c r="C1434" s="10" t="str">
        <f>IF(ポートフォリオ実績!C1435="","", ポートフォリオ実績!C1435)</f>
        <v/>
      </c>
      <c r="D1434" s="10" t="str">
        <f>IF(ポートフォリオ実績!D1435="","", ポートフォリオ実績!D1435)</f>
        <v/>
      </c>
      <c r="E1434" s="10" t="str">
        <f>IF(ポートフォリオ実績!E1435="","", ポートフォリオ実績!E1435)</f>
        <v/>
      </c>
      <c r="F1434" s="10" t="str">
        <f>IF(ポートフォリオ実績!F1435="","", ポートフォリオ実績!F1435)</f>
        <v/>
      </c>
      <c r="G1434" t="str">
        <f t="shared" si="242"/>
        <v/>
      </c>
      <c r="H1434">
        <f>IF(B1434&lt;&gt;"", SUMIFS(ポートフォリオ実績!$D$2:$D$2001, ポートフォリオ実績!$B$2:$B$2001, B1434, ポートフォリオ実績!$A$2:$A$2001, G1434), 0)</f>
        <v>0</v>
      </c>
      <c r="I1434">
        <f>IF(B1434&lt;&gt;"", SUMIFS(ポートフォリオ実績!$C$2:$C$2001, ポートフォリオ実績!$B$2:$B$2001, B1434, ポートフォリオ実績!$A$2:$A$2001, G1434), 0)</f>
        <v>0</v>
      </c>
      <c r="J1434">
        <f t="shared" si="243"/>
        <v>0</v>
      </c>
      <c r="K1434">
        <f t="shared" si="244"/>
        <v>0</v>
      </c>
      <c r="L1434">
        <f t="shared" si="245"/>
        <v>0</v>
      </c>
      <c r="M1434">
        <f t="shared" si="246"/>
        <v>0</v>
      </c>
      <c r="N1434">
        <f t="shared" si="247"/>
        <v>0</v>
      </c>
      <c r="O1434">
        <f t="shared" si="248"/>
        <v>0</v>
      </c>
      <c r="P1434" t="str">
        <f t="shared" si="249"/>
        <v/>
      </c>
      <c r="Q1434" t="str">
        <f>IF(B1434="","", IFERROR(VLOOKUP(B1434, '基準資産配分（設定）'!$A$2:$C$2001, 3, FALSE), ""))</f>
        <v/>
      </c>
      <c r="R1434" t="str">
        <f>IF(B1434="","", IFERROR(VLOOKUP(B1434, '基準資産配分（設定）'!$A$2:$C$2001, 2, FALSE)/100, 0))</f>
        <v/>
      </c>
      <c r="S1434" t="str">
        <f>IF(B1434="","", IFERROR(SUMIFS(ベンチマークリターン!$C$2:$C$2001, ベンチマークリターン!$A$2:$A$2001, A1434, ベンチマークリターン!$B$2:$B$2001, Q1434) / 100, 0))</f>
        <v/>
      </c>
      <c r="T1434" t="str">
        <f>IF(A1434="","", SUMIFS($H$2:$H$2000, $A$2:$A$2000, A1434))</f>
        <v/>
      </c>
      <c r="U1434" t="str">
        <f t="shared" si="250"/>
        <v/>
      </c>
      <c r="V1434" t="str">
        <f t="shared" si="251"/>
        <v/>
      </c>
      <c r="W1434" t="str">
        <f t="shared" si="252"/>
        <v/>
      </c>
    </row>
    <row r="1435" spans="1:23" x14ac:dyDescent="0.2">
      <c r="A1435" s="4" t="str">
        <f>IF(ポートフォリオ実績!A1436="","", ポートフォリオ実績!A1436)</f>
        <v/>
      </c>
      <c r="B1435" t="str">
        <f>IF(ポートフォリオ実績!B1436="","", ポートフォリオ実績!B1436)</f>
        <v/>
      </c>
      <c r="C1435" s="10" t="str">
        <f>IF(ポートフォリオ実績!C1436="","", ポートフォリオ実績!C1436)</f>
        <v/>
      </c>
      <c r="D1435" s="10" t="str">
        <f>IF(ポートフォリオ実績!D1436="","", ポートフォリオ実績!D1436)</f>
        <v/>
      </c>
      <c r="E1435" s="10" t="str">
        <f>IF(ポートフォリオ実績!E1436="","", ポートフォリオ実績!E1436)</f>
        <v/>
      </c>
      <c r="F1435" s="10" t="str">
        <f>IF(ポートフォリオ実績!F1436="","", ポートフォリオ実績!F1436)</f>
        <v/>
      </c>
      <c r="G1435" t="str">
        <f t="shared" si="242"/>
        <v/>
      </c>
      <c r="H1435">
        <f>IF(B1435&lt;&gt;"", SUMIFS(ポートフォリオ実績!$D$2:$D$2001, ポートフォリオ実績!$B$2:$B$2001, B1435, ポートフォリオ実績!$A$2:$A$2001, G1435), 0)</f>
        <v>0</v>
      </c>
      <c r="I1435">
        <f>IF(B1435&lt;&gt;"", SUMIFS(ポートフォリオ実績!$C$2:$C$2001, ポートフォリオ実績!$B$2:$B$2001, B1435, ポートフォリオ実績!$A$2:$A$2001, G1435), 0)</f>
        <v>0</v>
      </c>
      <c r="J1435">
        <f t="shared" si="243"/>
        <v>0</v>
      </c>
      <c r="K1435">
        <f t="shared" si="244"/>
        <v>0</v>
      </c>
      <c r="L1435">
        <f t="shared" si="245"/>
        <v>0</v>
      </c>
      <c r="M1435">
        <f t="shared" si="246"/>
        <v>0</v>
      </c>
      <c r="N1435">
        <f t="shared" si="247"/>
        <v>0</v>
      </c>
      <c r="O1435">
        <f t="shared" si="248"/>
        <v>0</v>
      </c>
      <c r="P1435" t="str">
        <f t="shared" si="249"/>
        <v/>
      </c>
      <c r="Q1435" t="str">
        <f>IF(B1435="","", IFERROR(VLOOKUP(B1435, '基準資産配分（設定）'!$A$2:$C$2001, 3, FALSE), ""))</f>
        <v/>
      </c>
      <c r="R1435" t="str">
        <f>IF(B1435="","", IFERROR(VLOOKUP(B1435, '基準資産配分（設定）'!$A$2:$C$2001, 2, FALSE)/100, 0))</f>
        <v/>
      </c>
      <c r="S1435" t="str">
        <f>IF(B1435="","", IFERROR(SUMIFS(ベンチマークリターン!$C$2:$C$2001, ベンチマークリターン!$A$2:$A$2001, A1435, ベンチマークリターン!$B$2:$B$2001, Q1435) / 100, 0))</f>
        <v/>
      </c>
      <c r="T1435" t="str">
        <f>IF(A1435="","", SUMIFS($H$2:$H$2000, $A$2:$A$2000, A1435))</f>
        <v/>
      </c>
      <c r="U1435" t="str">
        <f t="shared" si="250"/>
        <v/>
      </c>
      <c r="V1435" t="str">
        <f t="shared" si="251"/>
        <v/>
      </c>
      <c r="W1435" t="str">
        <f t="shared" si="252"/>
        <v/>
      </c>
    </row>
    <row r="1436" spans="1:23" x14ac:dyDescent="0.2">
      <c r="A1436" s="4" t="str">
        <f>IF(ポートフォリオ実績!A1437="","", ポートフォリオ実績!A1437)</f>
        <v/>
      </c>
      <c r="B1436" t="str">
        <f>IF(ポートフォリオ実績!B1437="","", ポートフォリオ実績!B1437)</f>
        <v/>
      </c>
      <c r="C1436" s="10" t="str">
        <f>IF(ポートフォリオ実績!C1437="","", ポートフォリオ実績!C1437)</f>
        <v/>
      </c>
      <c r="D1436" s="10" t="str">
        <f>IF(ポートフォリオ実績!D1437="","", ポートフォリオ実績!D1437)</f>
        <v/>
      </c>
      <c r="E1436" s="10" t="str">
        <f>IF(ポートフォリオ実績!E1437="","", ポートフォリオ実績!E1437)</f>
        <v/>
      </c>
      <c r="F1436" s="10" t="str">
        <f>IF(ポートフォリオ実績!F1437="","", ポートフォリオ実績!F1437)</f>
        <v/>
      </c>
      <c r="G1436" t="str">
        <f t="shared" si="242"/>
        <v/>
      </c>
      <c r="H1436">
        <f>IF(B1436&lt;&gt;"", SUMIFS(ポートフォリオ実績!$D$2:$D$2001, ポートフォリオ実績!$B$2:$B$2001, B1436, ポートフォリオ実績!$A$2:$A$2001, G1436), 0)</f>
        <v>0</v>
      </c>
      <c r="I1436">
        <f>IF(B1436&lt;&gt;"", SUMIFS(ポートフォリオ実績!$C$2:$C$2001, ポートフォリオ実績!$B$2:$B$2001, B1436, ポートフォリオ実績!$A$2:$A$2001, G1436), 0)</f>
        <v>0</v>
      </c>
      <c r="J1436">
        <f t="shared" si="243"/>
        <v>0</v>
      </c>
      <c r="K1436">
        <f t="shared" si="244"/>
        <v>0</v>
      </c>
      <c r="L1436">
        <f t="shared" si="245"/>
        <v>0</v>
      </c>
      <c r="M1436">
        <f t="shared" si="246"/>
        <v>0</v>
      </c>
      <c r="N1436">
        <f t="shared" si="247"/>
        <v>0</v>
      </c>
      <c r="O1436">
        <f t="shared" si="248"/>
        <v>0</v>
      </c>
      <c r="P1436" t="str">
        <f t="shared" si="249"/>
        <v/>
      </c>
      <c r="Q1436" t="str">
        <f>IF(B1436="","", IFERROR(VLOOKUP(B1436, '基準資産配分（設定）'!$A$2:$C$2001, 3, FALSE), ""))</f>
        <v/>
      </c>
      <c r="R1436" t="str">
        <f>IF(B1436="","", IFERROR(VLOOKUP(B1436, '基準資産配分（設定）'!$A$2:$C$2001, 2, FALSE)/100, 0))</f>
        <v/>
      </c>
      <c r="S1436" t="str">
        <f>IF(B1436="","", IFERROR(SUMIFS(ベンチマークリターン!$C$2:$C$2001, ベンチマークリターン!$A$2:$A$2001, A1436, ベンチマークリターン!$B$2:$B$2001, Q1436) / 100, 0))</f>
        <v/>
      </c>
      <c r="T1436" t="str">
        <f>IF(A1436="","", SUMIFS($H$2:$H$2000, $A$2:$A$2000, A1436))</f>
        <v/>
      </c>
      <c r="U1436" t="str">
        <f t="shared" si="250"/>
        <v/>
      </c>
      <c r="V1436" t="str">
        <f t="shared" si="251"/>
        <v/>
      </c>
      <c r="W1436" t="str">
        <f t="shared" si="252"/>
        <v/>
      </c>
    </row>
    <row r="1437" spans="1:23" x14ac:dyDescent="0.2">
      <c r="A1437" s="4" t="str">
        <f>IF(ポートフォリオ実績!A1438="","", ポートフォリオ実績!A1438)</f>
        <v/>
      </c>
      <c r="B1437" t="str">
        <f>IF(ポートフォリオ実績!B1438="","", ポートフォリオ実績!B1438)</f>
        <v/>
      </c>
      <c r="C1437" s="10" t="str">
        <f>IF(ポートフォリオ実績!C1438="","", ポートフォリオ実績!C1438)</f>
        <v/>
      </c>
      <c r="D1437" s="10" t="str">
        <f>IF(ポートフォリオ実績!D1438="","", ポートフォリオ実績!D1438)</f>
        <v/>
      </c>
      <c r="E1437" s="10" t="str">
        <f>IF(ポートフォリオ実績!E1438="","", ポートフォリオ実績!E1438)</f>
        <v/>
      </c>
      <c r="F1437" s="10" t="str">
        <f>IF(ポートフォリオ実績!F1438="","", ポートフォリオ実績!F1438)</f>
        <v/>
      </c>
      <c r="G1437" t="str">
        <f t="shared" si="242"/>
        <v/>
      </c>
      <c r="H1437">
        <f>IF(B1437&lt;&gt;"", SUMIFS(ポートフォリオ実績!$D$2:$D$2001, ポートフォリオ実績!$B$2:$B$2001, B1437, ポートフォリオ実績!$A$2:$A$2001, G1437), 0)</f>
        <v>0</v>
      </c>
      <c r="I1437">
        <f>IF(B1437&lt;&gt;"", SUMIFS(ポートフォリオ実績!$C$2:$C$2001, ポートフォリオ実績!$B$2:$B$2001, B1437, ポートフォリオ実績!$A$2:$A$2001, G1437), 0)</f>
        <v>0</v>
      </c>
      <c r="J1437">
        <f t="shared" si="243"/>
        <v>0</v>
      </c>
      <c r="K1437">
        <f t="shared" si="244"/>
        <v>0</v>
      </c>
      <c r="L1437">
        <f t="shared" si="245"/>
        <v>0</v>
      </c>
      <c r="M1437">
        <f t="shared" si="246"/>
        <v>0</v>
      </c>
      <c r="N1437">
        <f t="shared" si="247"/>
        <v>0</v>
      </c>
      <c r="O1437">
        <f t="shared" si="248"/>
        <v>0</v>
      </c>
      <c r="P1437" t="str">
        <f t="shared" si="249"/>
        <v/>
      </c>
      <c r="Q1437" t="str">
        <f>IF(B1437="","", IFERROR(VLOOKUP(B1437, '基準資産配分（設定）'!$A$2:$C$2001, 3, FALSE), ""))</f>
        <v/>
      </c>
      <c r="R1437" t="str">
        <f>IF(B1437="","", IFERROR(VLOOKUP(B1437, '基準資産配分（設定）'!$A$2:$C$2001, 2, FALSE)/100, 0))</f>
        <v/>
      </c>
      <c r="S1437" t="str">
        <f>IF(B1437="","", IFERROR(SUMIFS(ベンチマークリターン!$C$2:$C$2001, ベンチマークリターン!$A$2:$A$2001, A1437, ベンチマークリターン!$B$2:$B$2001, Q1437) / 100, 0))</f>
        <v/>
      </c>
      <c r="T1437" t="str">
        <f>IF(A1437="","", SUMIFS($H$2:$H$2000, $A$2:$A$2000, A1437))</f>
        <v/>
      </c>
      <c r="U1437" t="str">
        <f t="shared" si="250"/>
        <v/>
      </c>
      <c r="V1437" t="str">
        <f t="shared" si="251"/>
        <v/>
      </c>
      <c r="W1437" t="str">
        <f t="shared" si="252"/>
        <v/>
      </c>
    </row>
    <row r="1438" spans="1:23" x14ac:dyDescent="0.2">
      <c r="A1438" s="4" t="str">
        <f>IF(ポートフォリオ実績!A1439="","", ポートフォリオ実績!A1439)</f>
        <v/>
      </c>
      <c r="B1438" t="str">
        <f>IF(ポートフォリオ実績!B1439="","", ポートフォリオ実績!B1439)</f>
        <v/>
      </c>
      <c r="C1438" s="10" t="str">
        <f>IF(ポートフォリオ実績!C1439="","", ポートフォリオ実績!C1439)</f>
        <v/>
      </c>
      <c r="D1438" s="10" t="str">
        <f>IF(ポートフォリオ実績!D1439="","", ポートフォリオ実績!D1439)</f>
        <v/>
      </c>
      <c r="E1438" s="10" t="str">
        <f>IF(ポートフォリオ実績!E1439="","", ポートフォリオ実績!E1439)</f>
        <v/>
      </c>
      <c r="F1438" s="10" t="str">
        <f>IF(ポートフォリオ実績!F1439="","", ポートフォリオ実績!F1439)</f>
        <v/>
      </c>
      <c r="G1438" t="str">
        <f t="shared" si="242"/>
        <v/>
      </c>
      <c r="H1438">
        <f>IF(B1438&lt;&gt;"", SUMIFS(ポートフォリオ実績!$D$2:$D$2001, ポートフォリオ実績!$B$2:$B$2001, B1438, ポートフォリオ実績!$A$2:$A$2001, G1438), 0)</f>
        <v>0</v>
      </c>
      <c r="I1438">
        <f>IF(B1438&lt;&gt;"", SUMIFS(ポートフォリオ実績!$C$2:$C$2001, ポートフォリオ実績!$B$2:$B$2001, B1438, ポートフォリオ実績!$A$2:$A$2001, G1438), 0)</f>
        <v>0</v>
      </c>
      <c r="J1438">
        <f t="shared" si="243"/>
        <v>0</v>
      </c>
      <c r="K1438">
        <f t="shared" si="244"/>
        <v>0</v>
      </c>
      <c r="L1438">
        <f t="shared" si="245"/>
        <v>0</v>
      </c>
      <c r="M1438">
        <f t="shared" si="246"/>
        <v>0</v>
      </c>
      <c r="N1438">
        <f t="shared" si="247"/>
        <v>0</v>
      </c>
      <c r="O1438">
        <f t="shared" si="248"/>
        <v>0</v>
      </c>
      <c r="P1438" t="str">
        <f t="shared" si="249"/>
        <v/>
      </c>
      <c r="Q1438" t="str">
        <f>IF(B1438="","", IFERROR(VLOOKUP(B1438, '基準資産配分（設定）'!$A$2:$C$2001, 3, FALSE), ""))</f>
        <v/>
      </c>
      <c r="R1438" t="str">
        <f>IF(B1438="","", IFERROR(VLOOKUP(B1438, '基準資産配分（設定）'!$A$2:$C$2001, 2, FALSE)/100, 0))</f>
        <v/>
      </c>
      <c r="S1438" t="str">
        <f>IF(B1438="","", IFERROR(SUMIFS(ベンチマークリターン!$C$2:$C$2001, ベンチマークリターン!$A$2:$A$2001, A1438, ベンチマークリターン!$B$2:$B$2001, Q1438) / 100, 0))</f>
        <v/>
      </c>
      <c r="T1438" t="str">
        <f>IF(A1438="","", SUMIFS($H$2:$H$2000, $A$2:$A$2000, A1438))</f>
        <v/>
      </c>
      <c r="U1438" t="str">
        <f t="shared" si="250"/>
        <v/>
      </c>
      <c r="V1438" t="str">
        <f t="shared" si="251"/>
        <v/>
      </c>
      <c r="W1438" t="str">
        <f t="shared" si="252"/>
        <v/>
      </c>
    </row>
    <row r="1439" spans="1:23" x14ac:dyDescent="0.2">
      <c r="A1439" s="4" t="str">
        <f>IF(ポートフォリオ実績!A1440="","", ポートフォリオ実績!A1440)</f>
        <v/>
      </c>
      <c r="B1439" t="str">
        <f>IF(ポートフォリオ実績!B1440="","", ポートフォリオ実績!B1440)</f>
        <v/>
      </c>
      <c r="C1439" s="10" t="str">
        <f>IF(ポートフォリオ実績!C1440="","", ポートフォリオ実績!C1440)</f>
        <v/>
      </c>
      <c r="D1439" s="10" t="str">
        <f>IF(ポートフォリオ実績!D1440="","", ポートフォリオ実績!D1440)</f>
        <v/>
      </c>
      <c r="E1439" s="10" t="str">
        <f>IF(ポートフォリオ実績!E1440="","", ポートフォリオ実績!E1440)</f>
        <v/>
      </c>
      <c r="F1439" s="10" t="str">
        <f>IF(ポートフォリオ実績!F1440="","", ポートフォリオ実績!F1440)</f>
        <v/>
      </c>
      <c r="G1439" t="str">
        <f t="shared" si="242"/>
        <v/>
      </c>
      <c r="H1439">
        <f>IF(B1439&lt;&gt;"", SUMIFS(ポートフォリオ実績!$D$2:$D$2001, ポートフォリオ実績!$B$2:$B$2001, B1439, ポートフォリオ実績!$A$2:$A$2001, G1439), 0)</f>
        <v>0</v>
      </c>
      <c r="I1439">
        <f>IF(B1439&lt;&gt;"", SUMIFS(ポートフォリオ実績!$C$2:$C$2001, ポートフォリオ実績!$B$2:$B$2001, B1439, ポートフォリオ実績!$A$2:$A$2001, G1439), 0)</f>
        <v>0</v>
      </c>
      <c r="J1439">
        <f t="shared" si="243"/>
        <v>0</v>
      </c>
      <c r="K1439">
        <f t="shared" si="244"/>
        <v>0</v>
      </c>
      <c r="L1439">
        <f t="shared" si="245"/>
        <v>0</v>
      </c>
      <c r="M1439">
        <f t="shared" si="246"/>
        <v>0</v>
      </c>
      <c r="N1439">
        <f t="shared" si="247"/>
        <v>0</v>
      </c>
      <c r="O1439">
        <f t="shared" si="248"/>
        <v>0</v>
      </c>
      <c r="P1439" t="str">
        <f t="shared" si="249"/>
        <v/>
      </c>
      <c r="Q1439" t="str">
        <f>IF(B1439="","", IFERROR(VLOOKUP(B1439, '基準資産配分（設定）'!$A$2:$C$2001, 3, FALSE), ""))</f>
        <v/>
      </c>
      <c r="R1439" t="str">
        <f>IF(B1439="","", IFERROR(VLOOKUP(B1439, '基準資産配分（設定）'!$A$2:$C$2001, 2, FALSE)/100, 0))</f>
        <v/>
      </c>
      <c r="S1439" t="str">
        <f>IF(B1439="","", IFERROR(SUMIFS(ベンチマークリターン!$C$2:$C$2001, ベンチマークリターン!$A$2:$A$2001, A1439, ベンチマークリターン!$B$2:$B$2001, Q1439) / 100, 0))</f>
        <v/>
      </c>
      <c r="T1439" t="str">
        <f>IF(A1439="","", SUMIFS($H$2:$H$2000, $A$2:$A$2000, A1439))</f>
        <v/>
      </c>
      <c r="U1439" t="str">
        <f t="shared" si="250"/>
        <v/>
      </c>
      <c r="V1439" t="str">
        <f t="shared" si="251"/>
        <v/>
      </c>
      <c r="W1439" t="str">
        <f t="shared" si="252"/>
        <v/>
      </c>
    </row>
    <row r="1440" spans="1:23" x14ac:dyDescent="0.2">
      <c r="A1440" s="4" t="str">
        <f>IF(ポートフォリオ実績!A1441="","", ポートフォリオ実績!A1441)</f>
        <v/>
      </c>
      <c r="B1440" t="str">
        <f>IF(ポートフォリオ実績!B1441="","", ポートフォリオ実績!B1441)</f>
        <v/>
      </c>
      <c r="C1440" s="10" t="str">
        <f>IF(ポートフォリオ実績!C1441="","", ポートフォリオ実績!C1441)</f>
        <v/>
      </c>
      <c r="D1440" s="10" t="str">
        <f>IF(ポートフォリオ実績!D1441="","", ポートフォリオ実績!D1441)</f>
        <v/>
      </c>
      <c r="E1440" s="10" t="str">
        <f>IF(ポートフォリオ実績!E1441="","", ポートフォリオ実績!E1441)</f>
        <v/>
      </c>
      <c r="F1440" s="10" t="str">
        <f>IF(ポートフォリオ実績!F1441="","", ポートフォリオ実績!F1441)</f>
        <v/>
      </c>
      <c r="G1440" t="str">
        <f t="shared" si="242"/>
        <v/>
      </c>
      <c r="H1440">
        <f>IF(B1440&lt;&gt;"", SUMIFS(ポートフォリオ実績!$D$2:$D$2001, ポートフォリオ実績!$B$2:$B$2001, B1440, ポートフォリオ実績!$A$2:$A$2001, G1440), 0)</f>
        <v>0</v>
      </c>
      <c r="I1440">
        <f>IF(B1440&lt;&gt;"", SUMIFS(ポートフォリオ実績!$C$2:$C$2001, ポートフォリオ実績!$B$2:$B$2001, B1440, ポートフォリオ実績!$A$2:$A$2001, G1440), 0)</f>
        <v>0</v>
      </c>
      <c r="J1440">
        <f t="shared" si="243"/>
        <v>0</v>
      </c>
      <c r="K1440">
        <f t="shared" si="244"/>
        <v>0</v>
      </c>
      <c r="L1440">
        <f t="shared" si="245"/>
        <v>0</v>
      </c>
      <c r="M1440">
        <f t="shared" si="246"/>
        <v>0</v>
      </c>
      <c r="N1440">
        <f t="shared" si="247"/>
        <v>0</v>
      </c>
      <c r="O1440">
        <f t="shared" si="248"/>
        <v>0</v>
      </c>
      <c r="P1440" t="str">
        <f t="shared" si="249"/>
        <v/>
      </c>
      <c r="Q1440" t="str">
        <f>IF(B1440="","", IFERROR(VLOOKUP(B1440, '基準資産配分（設定）'!$A$2:$C$2001, 3, FALSE), ""))</f>
        <v/>
      </c>
      <c r="R1440" t="str">
        <f>IF(B1440="","", IFERROR(VLOOKUP(B1440, '基準資産配分（設定）'!$A$2:$C$2001, 2, FALSE)/100, 0))</f>
        <v/>
      </c>
      <c r="S1440" t="str">
        <f>IF(B1440="","", IFERROR(SUMIFS(ベンチマークリターン!$C$2:$C$2001, ベンチマークリターン!$A$2:$A$2001, A1440, ベンチマークリターン!$B$2:$B$2001, Q1440) / 100, 0))</f>
        <v/>
      </c>
      <c r="T1440" t="str">
        <f>IF(A1440="","", SUMIFS($H$2:$H$2000, $A$2:$A$2000, A1440))</f>
        <v/>
      </c>
      <c r="U1440" t="str">
        <f t="shared" si="250"/>
        <v/>
      </c>
      <c r="V1440" t="str">
        <f t="shared" si="251"/>
        <v/>
      </c>
      <c r="W1440" t="str">
        <f t="shared" si="252"/>
        <v/>
      </c>
    </row>
    <row r="1441" spans="1:23" x14ac:dyDescent="0.2">
      <c r="A1441" s="4" t="str">
        <f>IF(ポートフォリオ実績!A1442="","", ポートフォリオ実績!A1442)</f>
        <v/>
      </c>
      <c r="B1441" t="str">
        <f>IF(ポートフォリオ実績!B1442="","", ポートフォリオ実績!B1442)</f>
        <v/>
      </c>
      <c r="C1441" s="10" t="str">
        <f>IF(ポートフォリオ実績!C1442="","", ポートフォリオ実績!C1442)</f>
        <v/>
      </c>
      <c r="D1441" s="10" t="str">
        <f>IF(ポートフォリオ実績!D1442="","", ポートフォリオ実績!D1442)</f>
        <v/>
      </c>
      <c r="E1441" s="10" t="str">
        <f>IF(ポートフォリオ実績!E1442="","", ポートフォリオ実績!E1442)</f>
        <v/>
      </c>
      <c r="F1441" s="10" t="str">
        <f>IF(ポートフォリオ実績!F1442="","", ポートフォリオ実績!F1442)</f>
        <v/>
      </c>
      <c r="G1441" t="str">
        <f t="shared" si="242"/>
        <v/>
      </c>
      <c r="H1441">
        <f>IF(B1441&lt;&gt;"", SUMIFS(ポートフォリオ実績!$D$2:$D$2001, ポートフォリオ実績!$B$2:$B$2001, B1441, ポートフォリオ実績!$A$2:$A$2001, G1441), 0)</f>
        <v>0</v>
      </c>
      <c r="I1441">
        <f>IF(B1441&lt;&gt;"", SUMIFS(ポートフォリオ実績!$C$2:$C$2001, ポートフォリオ実績!$B$2:$B$2001, B1441, ポートフォリオ実績!$A$2:$A$2001, G1441), 0)</f>
        <v>0</v>
      </c>
      <c r="J1441">
        <f t="shared" si="243"/>
        <v>0</v>
      </c>
      <c r="K1441">
        <f t="shared" si="244"/>
        <v>0</v>
      </c>
      <c r="L1441">
        <f t="shared" si="245"/>
        <v>0</v>
      </c>
      <c r="M1441">
        <f t="shared" si="246"/>
        <v>0</v>
      </c>
      <c r="N1441">
        <f t="shared" si="247"/>
        <v>0</v>
      </c>
      <c r="O1441">
        <f t="shared" si="248"/>
        <v>0</v>
      </c>
      <c r="P1441" t="str">
        <f t="shared" si="249"/>
        <v/>
      </c>
      <c r="Q1441" t="str">
        <f>IF(B1441="","", IFERROR(VLOOKUP(B1441, '基準資産配分（設定）'!$A$2:$C$2001, 3, FALSE), ""))</f>
        <v/>
      </c>
      <c r="R1441" t="str">
        <f>IF(B1441="","", IFERROR(VLOOKUP(B1441, '基準資産配分（設定）'!$A$2:$C$2001, 2, FALSE)/100, 0))</f>
        <v/>
      </c>
      <c r="S1441" t="str">
        <f>IF(B1441="","", IFERROR(SUMIFS(ベンチマークリターン!$C$2:$C$2001, ベンチマークリターン!$A$2:$A$2001, A1441, ベンチマークリターン!$B$2:$B$2001, Q1441) / 100, 0))</f>
        <v/>
      </c>
      <c r="T1441" t="str">
        <f>IF(A1441="","", SUMIFS($H$2:$H$2000, $A$2:$A$2000, A1441))</f>
        <v/>
      </c>
      <c r="U1441" t="str">
        <f t="shared" si="250"/>
        <v/>
      </c>
      <c r="V1441" t="str">
        <f t="shared" si="251"/>
        <v/>
      </c>
      <c r="W1441" t="str">
        <f t="shared" si="252"/>
        <v/>
      </c>
    </row>
    <row r="1442" spans="1:23" x14ac:dyDescent="0.2">
      <c r="A1442" s="4" t="str">
        <f>IF(ポートフォリオ実績!A1443="","", ポートフォリオ実績!A1443)</f>
        <v/>
      </c>
      <c r="B1442" t="str">
        <f>IF(ポートフォリオ実績!B1443="","", ポートフォリオ実績!B1443)</f>
        <v/>
      </c>
      <c r="C1442" s="10" t="str">
        <f>IF(ポートフォリオ実績!C1443="","", ポートフォリオ実績!C1443)</f>
        <v/>
      </c>
      <c r="D1442" s="10" t="str">
        <f>IF(ポートフォリオ実績!D1443="","", ポートフォリオ実績!D1443)</f>
        <v/>
      </c>
      <c r="E1442" s="10" t="str">
        <f>IF(ポートフォリオ実績!E1443="","", ポートフォリオ実績!E1443)</f>
        <v/>
      </c>
      <c r="F1442" s="10" t="str">
        <f>IF(ポートフォリオ実績!F1443="","", ポートフォリオ実績!F1443)</f>
        <v/>
      </c>
      <c r="G1442" t="str">
        <f t="shared" si="242"/>
        <v/>
      </c>
      <c r="H1442">
        <f>IF(B1442&lt;&gt;"", SUMIFS(ポートフォリオ実績!$D$2:$D$2001, ポートフォリオ実績!$B$2:$B$2001, B1442, ポートフォリオ実績!$A$2:$A$2001, G1442), 0)</f>
        <v>0</v>
      </c>
      <c r="I1442">
        <f>IF(B1442&lt;&gt;"", SUMIFS(ポートフォリオ実績!$C$2:$C$2001, ポートフォリオ実績!$B$2:$B$2001, B1442, ポートフォリオ実績!$A$2:$A$2001, G1442), 0)</f>
        <v>0</v>
      </c>
      <c r="J1442">
        <f t="shared" si="243"/>
        <v>0</v>
      </c>
      <c r="K1442">
        <f t="shared" si="244"/>
        <v>0</v>
      </c>
      <c r="L1442">
        <f t="shared" si="245"/>
        <v>0</v>
      </c>
      <c r="M1442">
        <f t="shared" si="246"/>
        <v>0</v>
      </c>
      <c r="N1442">
        <f t="shared" si="247"/>
        <v>0</v>
      </c>
      <c r="O1442">
        <f t="shared" si="248"/>
        <v>0</v>
      </c>
      <c r="P1442" t="str">
        <f t="shared" si="249"/>
        <v/>
      </c>
      <c r="Q1442" t="str">
        <f>IF(B1442="","", IFERROR(VLOOKUP(B1442, '基準資産配分（設定）'!$A$2:$C$2001, 3, FALSE), ""))</f>
        <v/>
      </c>
      <c r="R1442" t="str">
        <f>IF(B1442="","", IFERROR(VLOOKUP(B1442, '基準資産配分（設定）'!$A$2:$C$2001, 2, FALSE)/100, 0))</f>
        <v/>
      </c>
      <c r="S1442" t="str">
        <f>IF(B1442="","", IFERROR(SUMIFS(ベンチマークリターン!$C$2:$C$2001, ベンチマークリターン!$A$2:$A$2001, A1442, ベンチマークリターン!$B$2:$B$2001, Q1442) / 100, 0))</f>
        <v/>
      </c>
      <c r="T1442" t="str">
        <f>IF(A1442="","", SUMIFS($H$2:$H$2000, $A$2:$A$2000, A1442))</f>
        <v/>
      </c>
      <c r="U1442" t="str">
        <f t="shared" si="250"/>
        <v/>
      </c>
      <c r="V1442" t="str">
        <f t="shared" si="251"/>
        <v/>
      </c>
      <c r="W1442" t="str">
        <f t="shared" si="252"/>
        <v/>
      </c>
    </row>
    <row r="1443" spans="1:23" x14ac:dyDescent="0.2">
      <c r="A1443" s="4" t="str">
        <f>IF(ポートフォリオ実績!A1444="","", ポートフォリオ実績!A1444)</f>
        <v/>
      </c>
      <c r="B1443" t="str">
        <f>IF(ポートフォリオ実績!B1444="","", ポートフォリオ実績!B1444)</f>
        <v/>
      </c>
      <c r="C1443" s="10" t="str">
        <f>IF(ポートフォリオ実績!C1444="","", ポートフォリオ実績!C1444)</f>
        <v/>
      </c>
      <c r="D1443" s="10" t="str">
        <f>IF(ポートフォリオ実績!D1444="","", ポートフォリオ実績!D1444)</f>
        <v/>
      </c>
      <c r="E1443" s="10" t="str">
        <f>IF(ポートフォリオ実績!E1444="","", ポートフォリオ実績!E1444)</f>
        <v/>
      </c>
      <c r="F1443" s="10" t="str">
        <f>IF(ポートフォリオ実績!F1444="","", ポートフォリオ実績!F1444)</f>
        <v/>
      </c>
      <c r="G1443" t="str">
        <f t="shared" si="242"/>
        <v/>
      </c>
      <c r="H1443">
        <f>IF(B1443&lt;&gt;"", SUMIFS(ポートフォリオ実績!$D$2:$D$2001, ポートフォリオ実績!$B$2:$B$2001, B1443, ポートフォリオ実績!$A$2:$A$2001, G1443), 0)</f>
        <v>0</v>
      </c>
      <c r="I1443">
        <f>IF(B1443&lt;&gt;"", SUMIFS(ポートフォリオ実績!$C$2:$C$2001, ポートフォリオ実績!$B$2:$B$2001, B1443, ポートフォリオ実績!$A$2:$A$2001, G1443), 0)</f>
        <v>0</v>
      </c>
      <c r="J1443">
        <f t="shared" si="243"/>
        <v>0</v>
      </c>
      <c r="K1443">
        <f t="shared" si="244"/>
        <v>0</v>
      </c>
      <c r="L1443">
        <f t="shared" si="245"/>
        <v>0</v>
      </c>
      <c r="M1443">
        <f t="shared" si="246"/>
        <v>0</v>
      </c>
      <c r="N1443">
        <f t="shared" si="247"/>
        <v>0</v>
      </c>
      <c r="O1443">
        <f t="shared" si="248"/>
        <v>0</v>
      </c>
      <c r="P1443" t="str">
        <f t="shared" si="249"/>
        <v/>
      </c>
      <c r="Q1443" t="str">
        <f>IF(B1443="","", IFERROR(VLOOKUP(B1443, '基準資産配分（設定）'!$A$2:$C$2001, 3, FALSE), ""))</f>
        <v/>
      </c>
      <c r="R1443" t="str">
        <f>IF(B1443="","", IFERROR(VLOOKUP(B1443, '基準資産配分（設定）'!$A$2:$C$2001, 2, FALSE)/100, 0))</f>
        <v/>
      </c>
      <c r="S1443" t="str">
        <f>IF(B1443="","", IFERROR(SUMIFS(ベンチマークリターン!$C$2:$C$2001, ベンチマークリターン!$A$2:$A$2001, A1443, ベンチマークリターン!$B$2:$B$2001, Q1443) / 100, 0))</f>
        <v/>
      </c>
      <c r="T1443" t="str">
        <f>IF(A1443="","", SUMIFS($H$2:$H$2000, $A$2:$A$2000, A1443))</f>
        <v/>
      </c>
      <c r="U1443" t="str">
        <f t="shared" si="250"/>
        <v/>
      </c>
      <c r="V1443" t="str">
        <f t="shared" si="251"/>
        <v/>
      </c>
      <c r="W1443" t="str">
        <f t="shared" si="252"/>
        <v/>
      </c>
    </row>
    <row r="1444" spans="1:23" x14ac:dyDescent="0.2">
      <c r="A1444" s="4" t="str">
        <f>IF(ポートフォリオ実績!A1445="","", ポートフォリオ実績!A1445)</f>
        <v/>
      </c>
      <c r="B1444" t="str">
        <f>IF(ポートフォリオ実績!B1445="","", ポートフォリオ実績!B1445)</f>
        <v/>
      </c>
      <c r="C1444" s="10" t="str">
        <f>IF(ポートフォリオ実績!C1445="","", ポートフォリオ実績!C1445)</f>
        <v/>
      </c>
      <c r="D1444" s="10" t="str">
        <f>IF(ポートフォリオ実績!D1445="","", ポートフォリオ実績!D1445)</f>
        <v/>
      </c>
      <c r="E1444" s="10" t="str">
        <f>IF(ポートフォリオ実績!E1445="","", ポートフォリオ実績!E1445)</f>
        <v/>
      </c>
      <c r="F1444" s="10" t="str">
        <f>IF(ポートフォリオ実績!F1445="","", ポートフォリオ実績!F1445)</f>
        <v/>
      </c>
      <c r="G1444" t="str">
        <f t="shared" si="242"/>
        <v/>
      </c>
      <c r="H1444">
        <f>IF(B1444&lt;&gt;"", SUMIFS(ポートフォリオ実績!$D$2:$D$2001, ポートフォリオ実績!$B$2:$B$2001, B1444, ポートフォリオ実績!$A$2:$A$2001, G1444), 0)</f>
        <v>0</v>
      </c>
      <c r="I1444">
        <f>IF(B1444&lt;&gt;"", SUMIFS(ポートフォリオ実績!$C$2:$C$2001, ポートフォリオ実績!$B$2:$B$2001, B1444, ポートフォリオ実績!$A$2:$A$2001, G1444), 0)</f>
        <v>0</v>
      </c>
      <c r="J1444">
        <f t="shared" si="243"/>
        <v>0</v>
      </c>
      <c r="K1444">
        <f t="shared" si="244"/>
        <v>0</v>
      </c>
      <c r="L1444">
        <f t="shared" si="245"/>
        <v>0</v>
      </c>
      <c r="M1444">
        <f t="shared" si="246"/>
        <v>0</v>
      </c>
      <c r="N1444">
        <f t="shared" si="247"/>
        <v>0</v>
      </c>
      <c r="O1444">
        <f t="shared" si="248"/>
        <v>0</v>
      </c>
      <c r="P1444" t="str">
        <f t="shared" si="249"/>
        <v/>
      </c>
      <c r="Q1444" t="str">
        <f>IF(B1444="","", IFERROR(VLOOKUP(B1444, '基準資産配分（設定）'!$A$2:$C$2001, 3, FALSE), ""))</f>
        <v/>
      </c>
      <c r="R1444" t="str">
        <f>IF(B1444="","", IFERROR(VLOOKUP(B1444, '基準資産配分（設定）'!$A$2:$C$2001, 2, FALSE)/100, 0))</f>
        <v/>
      </c>
      <c r="S1444" t="str">
        <f>IF(B1444="","", IFERROR(SUMIFS(ベンチマークリターン!$C$2:$C$2001, ベンチマークリターン!$A$2:$A$2001, A1444, ベンチマークリターン!$B$2:$B$2001, Q1444) / 100, 0))</f>
        <v/>
      </c>
      <c r="T1444" t="str">
        <f>IF(A1444="","", SUMIFS($H$2:$H$2000, $A$2:$A$2000, A1444))</f>
        <v/>
      </c>
      <c r="U1444" t="str">
        <f t="shared" si="250"/>
        <v/>
      </c>
      <c r="V1444" t="str">
        <f t="shared" si="251"/>
        <v/>
      </c>
      <c r="W1444" t="str">
        <f t="shared" si="252"/>
        <v/>
      </c>
    </row>
    <row r="1445" spans="1:23" x14ac:dyDescent="0.2">
      <c r="A1445" s="4" t="str">
        <f>IF(ポートフォリオ実績!A1446="","", ポートフォリオ実績!A1446)</f>
        <v/>
      </c>
      <c r="B1445" t="str">
        <f>IF(ポートフォリオ実績!B1446="","", ポートフォリオ実績!B1446)</f>
        <v/>
      </c>
      <c r="C1445" s="10" t="str">
        <f>IF(ポートフォリオ実績!C1446="","", ポートフォリオ実績!C1446)</f>
        <v/>
      </c>
      <c r="D1445" s="10" t="str">
        <f>IF(ポートフォリオ実績!D1446="","", ポートフォリオ実績!D1446)</f>
        <v/>
      </c>
      <c r="E1445" s="10" t="str">
        <f>IF(ポートフォリオ実績!E1446="","", ポートフォリオ実績!E1446)</f>
        <v/>
      </c>
      <c r="F1445" s="10" t="str">
        <f>IF(ポートフォリオ実績!F1446="","", ポートフォリオ実績!F1446)</f>
        <v/>
      </c>
      <c r="G1445" t="str">
        <f t="shared" si="242"/>
        <v/>
      </c>
      <c r="H1445">
        <f>IF(B1445&lt;&gt;"", SUMIFS(ポートフォリオ実績!$D$2:$D$2001, ポートフォリオ実績!$B$2:$B$2001, B1445, ポートフォリオ実績!$A$2:$A$2001, G1445), 0)</f>
        <v>0</v>
      </c>
      <c r="I1445">
        <f>IF(B1445&lt;&gt;"", SUMIFS(ポートフォリオ実績!$C$2:$C$2001, ポートフォリオ実績!$B$2:$B$2001, B1445, ポートフォリオ実績!$A$2:$A$2001, G1445), 0)</f>
        <v>0</v>
      </c>
      <c r="J1445">
        <f t="shared" si="243"/>
        <v>0</v>
      </c>
      <c r="K1445">
        <f t="shared" si="244"/>
        <v>0</v>
      </c>
      <c r="L1445">
        <f t="shared" si="245"/>
        <v>0</v>
      </c>
      <c r="M1445">
        <f t="shared" si="246"/>
        <v>0</v>
      </c>
      <c r="N1445">
        <f t="shared" si="247"/>
        <v>0</v>
      </c>
      <c r="O1445">
        <f t="shared" si="248"/>
        <v>0</v>
      </c>
      <c r="P1445" t="str">
        <f t="shared" si="249"/>
        <v/>
      </c>
      <c r="Q1445" t="str">
        <f>IF(B1445="","", IFERROR(VLOOKUP(B1445, '基準資産配分（設定）'!$A$2:$C$2001, 3, FALSE), ""))</f>
        <v/>
      </c>
      <c r="R1445" t="str">
        <f>IF(B1445="","", IFERROR(VLOOKUP(B1445, '基準資産配分（設定）'!$A$2:$C$2001, 2, FALSE)/100, 0))</f>
        <v/>
      </c>
      <c r="S1445" t="str">
        <f>IF(B1445="","", IFERROR(SUMIFS(ベンチマークリターン!$C$2:$C$2001, ベンチマークリターン!$A$2:$A$2001, A1445, ベンチマークリターン!$B$2:$B$2001, Q1445) / 100, 0))</f>
        <v/>
      </c>
      <c r="T1445" t="str">
        <f>IF(A1445="","", SUMIFS($H$2:$H$2000, $A$2:$A$2000, A1445))</f>
        <v/>
      </c>
      <c r="U1445" t="str">
        <f t="shared" si="250"/>
        <v/>
      </c>
      <c r="V1445" t="str">
        <f t="shared" si="251"/>
        <v/>
      </c>
      <c r="W1445" t="str">
        <f t="shared" si="252"/>
        <v/>
      </c>
    </row>
    <row r="1446" spans="1:23" x14ac:dyDescent="0.2">
      <c r="A1446" s="4" t="str">
        <f>IF(ポートフォリオ実績!A1447="","", ポートフォリオ実績!A1447)</f>
        <v/>
      </c>
      <c r="B1446" t="str">
        <f>IF(ポートフォリオ実績!B1447="","", ポートフォリオ実績!B1447)</f>
        <v/>
      </c>
      <c r="C1446" s="10" t="str">
        <f>IF(ポートフォリオ実績!C1447="","", ポートフォリオ実績!C1447)</f>
        <v/>
      </c>
      <c r="D1446" s="10" t="str">
        <f>IF(ポートフォリオ実績!D1447="","", ポートフォリオ実績!D1447)</f>
        <v/>
      </c>
      <c r="E1446" s="10" t="str">
        <f>IF(ポートフォリオ実績!E1447="","", ポートフォリオ実績!E1447)</f>
        <v/>
      </c>
      <c r="F1446" s="10" t="str">
        <f>IF(ポートフォリオ実績!F1447="","", ポートフォリオ実績!F1447)</f>
        <v/>
      </c>
      <c r="G1446" t="str">
        <f t="shared" si="242"/>
        <v/>
      </c>
      <c r="H1446">
        <f>IF(B1446&lt;&gt;"", SUMIFS(ポートフォリオ実績!$D$2:$D$2001, ポートフォリオ実績!$B$2:$B$2001, B1446, ポートフォリオ実績!$A$2:$A$2001, G1446), 0)</f>
        <v>0</v>
      </c>
      <c r="I1446">
        <f>IF(B1446&lt;&gt;"", SUMIFS(ポートフォリオ実績!$C$2:$C$2001, ポートフォリオ実績!$B$2:$B$2001, B1446, ポートフォリオ実績!$A$2:$A$2001, G1446), 0)</f>
        <v>0</v>
      </c>
      <c r="J1446">
        <f t="shared" si="243"/>
        <v>0</v>
      </c>
      <c r="K1446">
        <f t="shared" si="244"/>
        <v>0</v>
      </c>
      <c r="L1446">
        <f t="shared" si="245"/>
        <v>0</v>
      </c>
      <c r="M1446">
        <f t="shared" si="246"/>
        <v>0</v>
      </c>
      <c r="N1446">
        <f t="shared" si="247"/>
        <v>0</v>
      </c>
      <c r="O1446">
        <f t="shared" si="248"/>
        <v>0</v>
      </c>
      <c r="P1446" t="str">
        <f t="shared" si="249"/>
        <v/>
      </c>
      <c r="Q1446" t="str">
        <f>IF(B1446="","", IFERROR(VLOOKUP(B1446, '基準資産配分（設定）'!$A$2:$C$2001, 3, FALSE), ""))</f>
        <v/>
      </c>
      <c r="R1446" t="str">
        <f>IF(B1446="","", IFERROR(VLOOKUP(B1446, '基準資産配分（設定）'!$A$2:$C$2001, 2, FALSE)/100, 0))</f>
        <v/>
      </c>
      <c r="S1446" t="str">
        <f>IF(B1446="","", IFERROR(SUMIFS(ベンチマークリターン!$C$2:$C$2001, ベンチマークリターン!$A$2:$A$2001, A1446, ベンチマークリターン!$B$2:$B$2001, Q1446) / 100, 0))</f>
        <v/>
      </c>
      <c r="T1446" t="str">
        <f>IF(A1446="","", SUMIFS($H$2:$H$2000, $A$2:$A$2000, A1446))</f>
        <v/>
      </c>
      <c r="U1446" t="str">
        <f t="shared" si="250"/>
        <v/>
      </c>
      <c r="V1446" t="str">
        <f t="shared" si="251"/>
        <v/>
      </c>
      <c r="W1446" t="str">
        <f t="shared" si="252"/>
        <v/>
      </c>
    </row>
    <row r="1447" spans="1:23" x14ac:dyDescent="0.2">
      <c r="A1447" s="4" t="str">
        <f>IF(ポートフォリオ実績!A1448="","", ポートフォリオ実績!A1448)</f>
        <v/>
      </c>
      <c r="B1447" t="str">
        <f>IF(ポートフォリオ実績!B1448="","", ポートフォリオ実績!B1448)</f>
        <v/>
      </c>
      <c r="C1447" s="10" t="str">
        <f>IF(ポートフォリオ実績!C1448="","", ポートフォリオ実績!C1448)</f>
        <v/>
      </c>
      <c r="D1447" s="10" t="str">
        <f>IF(ポートフォリオ実績!D1448="","", ポートフォリオ実績!D1448)</f>
        <v/>
      </c>
      <c r="E1447" s="10" t="str">
        <f>IF(ポートフォリオ実績!E1448="","", ポートフォリオ実績!E1448)</f>
        <v/>
      </c>
      <c r="F1447" s="10" t="str">
        <f>IF(ポートフォリオ実績!F1448="","", ポートフォリオ実績!F1448)</f>
        <v/>
      </c>
      <c r="G1447" t="str">
        <f t="shared" si="242"/>
        <v/>
      </c>
      <c r="H1447">
        <f>IF(B1447&lt;&gt;"", SUMIFS(ポートフォリオ実績!$D$2:$D$2001, ポートフォリオ実績!$B$2:$B$2001, B1447, ポートフォリオ実績!$A$2:$A$2001, G1447), 0)</f>
        <v>0</v>
      </c>
      <c r="I1447">
        <f>IF(B1447&lt;&gt;"", SUMIFS(ポートフォリオ実績!$C$2:$C$2001, ポートフォリオ実績!$B$2:$B$2001, B1447, ポートフォリオ実績!$A$2:$A$2001, G1447), 0)</f>
        <v>0</v>
      </c>
      <c r="J1447">
        <f t="shared" si="243"/>
        <v>0</v>
      </c>
      <c r="K1447">
        <f t="shared" si="244"/>
        <v>0</v>
      </c>
      <c r="L1447">
        <f t="shared" si="245"/>
        <v>0</v>
      </c>
      <c r="M1447">
        <f t="shared" si="246"/>
        <v>0</v>
      </c>
      <c r="N1447">
        <f t="shared" si="247"/>
        <v>0</v>
      </c>
      <c r="O1447">
        <f t="shared" si="248"/>
        <v>0</v>
      </c>
      <c r="P1447" t="str">
        <f t="shared" si="249"/>
        <v/>
      </c>
      <c r="Q1447" t="str">
        <f>IF(B1447="","", IFERROR(VLOOKUP(B1447, '基準資産配分（設定）'!$A$2:$C$2001, 3, FALSE), ""))</f>
        <v/>
      </c>
      <c r="R1447" t="str">
        <f>IF(B1447="","", IFERROR(VLOOKUP(B1447, '基準資産配分（設定）'!$A$2:$C$2001, 2, FALSE)/100, 0))</f>
        <v/>
      </c>
      <c r="S1447" t="str">
        <f>IF(B1447="","", IFERROR(SUMIFS(ベンチマークリターン!$C$2:$C$2001, ベンチマークリターン!$A$2:$A$2001, A1447, ベンチマークリターン!$B$2:$B$2001, Q1447) / 100, 0))</f>
        <v/>
      </c>
      <c r="T1447" t="str">
        <f>IF(A1447="","", SUMIFS($H$2:$H$2000, $A$2:$A$2000, A1447))</f>
        <v/>
      </c>
      <c r="U1447" t="str">
        <f t="shared" si="250"/>
        <v/>
      </c>
      <c r="V1447" t="str">
        <f t="shared" si="251"/>
        <v/>
      </c>
      <c r="W1447" t="str">
        <f t="shared" si="252"/>
        <v/>
      </c>
    </row>
    <row r="1448" spans="1:23" x14ac:dyDescent="0.2">
      <c r="A1448" s="4" t="str">
        <f>IF(ポートフォリオ実績!A1449="","", ポートフォリオ実績!A1449)</f>
        <v/>
      </c>
      <c r="B1448" t="str">
        <f>IF(ポートフォリオ実績!B1449="","", ポートフォリオ実績!B1449)</f>
        <v/>
      </c>
      <c r="C1448" s="10" t="str">
        <f>IF(ポートフォリオ実績!C1449="","", ポートフォリオ実績!C1449)</f>
        <v/>
      </c>
      <c r="D1448" s="10" t="str">
        <f>IF(ポートフォリオ実績!D1449="","", ポートフォリオ実績!D1449)</f>
        <v/>
      </c>
      <c r="E1448" s="10" t="str">
        <f>IF(ポートフォリオ実績!E1449="","", ポートフォリオ実績!E1449)</f>
        <v/>
      </c>
      <c r="F1448" s="10" t="str">
        <f>IF(ポートフォリオ実績!F1449="","", ポートフォリオ実績!F1449)</f>
        <v/>
      </c>
      <c r="G1448" t="str">
        <f t="shared" si="242"/>
        <v/>
      </c>
      <c r="H1448">
        <f>IF(B1448&lt;&gt;"", SUMIFS(ポートフォリオ実績!$D$2:$D$2001, ポートフォリオ実績!$B$2:$B$2001, B1448, ポートフォリオ実績!$A$2:$A$2001, G1448), 0)</f>
        <v>0</v>
      </c>
      <c r="I1448">
        <f>IF(B1448&lt;&gt;"", SUMIFS(ポートフォリオ実績!$C$2:$C$2001, ポートフォリオ実績!$B$2:$B$2001, B1448, ポートフォリオ実績!$A$2:$A$2001, G1448), 0)</f>
        <v>0</v>
      </c>
      <c r="J1448">
        <f t="shared" si="243"/>
        <v>0</v>
      </c>
      <c r="K1448">
        <f t="shared" si="244"/>
        <v>0</v>
      </c>
      <c r="L1448">
        <f t="shared" si="245"/>
        <v>0</v>
      </c>
      <c r="M1448">
        <f t="shared" si="246"/>
        <v>0</v>
      </c>
      <c r="N1448">
        <f t="shared" si="247"/>
        <v>0</v>
      </c>
      <c r="O1448">
        <f t="shared" si="248"/>
        <v>0</v>
      </c>
      <c r="P1448" t="str">
        <f t="shared" si="249"/>
        <v/>
      </c>
      <c r="Q1448" t="str">
        <f>IF(B1448="","", IFERROR(VLOOKUP(B1448, '基準資産配分（設定）'!$A$2:$C$2001, 3, FALSE), ""))</f>
        <v/>
      </c>
      <c r="R1448" t="str">
        <f>IF(B1448="","", IFERROR(VLOOKUP(B1448, '基準資産配分（設定）'!$A$2:$C$2001, 2, FALSE)/100, 0))</f>
        <v/>
      </c>
      <c r="S1448" t="str">
        <f>IF(B1448="","", IFERROR(SUMIFS(ベンチマークリターン!$C$2:$C$2001, ベンチマークリターン!$A$2:$A$2001, A1448, ベンチマークリターン!$B$2:$B$2001, Q1448) / 100, 0))</f>
        <v/>
      </c>
      <c r="T1448" t="str">
        <f>IF(A1448="","", SUMIFS($H$2:$H$2000, $A$2:$A$2000, A1448))</f>
        <v/>
      </c>
      <c r="U1448" t="str">
        <f t="shared" si="250"/>
        <v/>
      </c>
      <c r="V1448" t="str">
        <f t="shared" si="251"/>
        <v/>
      </c>
      <c r="W1448" t="str">
        <f t="shared" si="252"/>
        <v/>
      </c>
    </row>
    <row r="1449" spans="1:23" x14ac:dyDescent="0.2">
      <c r="A1449" s="4" t="str">
        <f>IF(ポートフォリオ実績!A1450="","", ポートフォリオ実績!A1450)</f>
        <v/>
      </c>
      <c r="B1449" t="str">
        <f>IF(ポートフォリオ実績!B1450="","", ポートフォリオ実績!B1450)</f>
        <v/>
      </c>
      <c r="C1449" s="10" t="str">
        <f>IF(ポートフォリオ実績!C1450="","", ポートフォリオ実績!C1450)</f>
        <v/>
      </c>
      <c r="D1449" s="10" t="str">
        <f>IF(ポートフォリオ実績!D1450="","", ポートフォリオ実績!D1450)</f>
        <v/>
      </c>
      <c r="E1449" s="10" t="str">
        <f>IF(ポートフォリオ実績!E1450="","", ポートフォリオ実績!E1450)</f>
        <v/>
      </c>
      <c r="F1449" s="10" t="str">
        <f>IF(ポートフォリオ実績!F1450="","", ポートフォリオ実績!F1450)</f>
        <v/>
      </c>
      <c r="G1449" t="str">
        <f t="shared" si="242"/>
        <v/>
      </c>
      <c r="H1449">
        <f>IF(B1449&lt;&gt;"", SUMIFS(ポートフォリオ実績!$D$2:$D$2001, ポートフォリオ実績!$B$2:$B$2001, B1449, ポートフォリオ実績!$A$2:$A$2001, G1449), 0)</f>
        <v>0</v>
      </c>
      <c r="I1449">
        <f>IF(B1449&lt;&gt;"", SUMIFS(ポートフォリオ実績!$C$2:$C$2001, ポートフォリオ実績!$B$2:$B$2001, B1449, ポートフォリオ実績!$A$2:$A$2001, G1449), 0)</f>
        <v>0</v>
      </c>
      <c r="J1449">
        <f t="shared" si="243"/>
        <v>0</v>
      </c>
      <c r="K1449">
        <f t="shared" si="244"/>
        <v>0</v>
      </c>
      <c r="L1449">
        <f t="shared" si="245"/>
        <v>0</v>
      </c>
      <c r="M1449">
        <f t="shared" si="246"/>
        <v>0</v>
      </c>
      <c r="N1449">
        <f t="shared" si="247"/>
        <v>0</v>
      </c>
      <c r="O1449">
        <f t="shared" si="248"/>
        <v>0</v>
      </c>
      <c r="P1449" t="str">
        <f t="shared" si="249"/>
        <v/>
      </c>
      <c r="Q1449" t="str">
        <f>IF(B1449="","", IFERROR(VLOOKUP(B1449, '基準資産配分（設定）'!$A$2:$C$2001, 3, FALSE), ""))</f>
        <v/>
      </c>
      <c r="R1449" t="str">
        <f>IF(B1449="","", IFERROR(VLOOKUP(B1449, '基準資産配分（設定）'!$A$2:$C$2001, 2, FALSE)/100, 0))</f>
        <v/>
      </c>
      <c r="S1449" t="str">
        <f>IF(B1449="","", IFERROR(SUMIFS(ベンチマークリターン!$C$2:$C$2001, ベンチマークリターン!$A$2:$A$2001, A1449, ベンチマークリターン!$B$2:$B$2001, Q1449) / 100, 0))</f>
        <v/>
      </c>
      <c r="T1449" t="str">
        <f>IF(A1449="","", SUMIFS($H$2:$H$2000, $A$2:$A$2000, A1449))</f>
        <v/>
      </c>
      <c r="U1449" t="str">
        <f t="shared" si="250"/>
        <v/>
      </c>
      <c r="V1449" t="str">
        <f t="shared" si="251"/>
        <v/>
      </c>
      <c r="W1449" t="str">
        <f t="shared" si="252"/>
        <v/>
      </c>
    </row>
    <row r="1450" spans="1:23" x14ac:dyDescent="0.2">
      <c r="A1450" s="4" t="str">
        <f>IF(ポートフォリオ実績!A1451="","", ポートフォリオ実績!A1451)</f>
        <v/>
      </c>
      <c r="B1450" t="str">
        <f>IF(ポートフォリオ実績!B1451="","", ポートフォリオ実績!B1451)</f>
        <v/>
      </c>
      <c r="C1450" s="10" t="str">
        <f>IF(ポートフォリオ実績!C1451="","", ポートフォリオ実績!C1451)</f>
        <v/>
      </c>
      <c r="D1450" s="10" t="str">
        <f>IF(ポートフォリオ実績!D1451="","", ポートフォリオ実績!D1451)</f>
        <v/>
      </c>
      <c r="E1450" s="10" t="str">
        <f>IF(ポートフォリオ実績!E1451="","", ポートフォリオ実績!E1451)</f>
        <v/>
      </c>
      <c r="F1450" s="10" t="str">
        <f>IF(ポートフォリオ実績!F1451="","", ポートフォリオ実績!F1451)</f>
        <v/>
      </c>
      <c r="G1450" t="str">
        <f t="shared" si="242"/>
        <v/>
      </c>
      <c r="H1450">
        <f>IF(B1450&lt;&gt;"", SUMIFS(ポートフォリオ実績!$D$2:$D$2001, ポートフォリオ実績!$B$2:$B$2001, B1450, ポートフォリオ実績!$A$2:$A$2001, G1450), 0)</f>
        <v>0</v>
      </c>
      <c r="I1450">
        <f>IF(B1450&lt;&gt;"", SUMIFS(ポートフォリオ実績!$C$2:$C$2001, ポートフォリオ実績!$B$2:$B$2001, B1450, ポートフォリオ実績!$A$2:$A$2001, G1450), 0)</f>
        <v>0</v>
      </c>
      <c r="J1450">
        <f t="shared" si="243"/>
        <v>0</v>
      </c>
      <c r="K1450">
        <f t="shared" si="244"/>
        <v>0</v>
      </c>
      <c r="L1450">
        <f t="shared" si="245"/>
        <v>0</v>
      </c>
      <c r="M1450">
        <f t="shared" si="246"/>
        <v>0</v>
      </c>
      <c r="N1450">
        <f t="shared" si="247"/>
        <v>0</v>
      </c>
      <c r="O1450">
        <f t="shared" si="248"/>
        <v>0</v>
      </c>
      <c r="P1450" t="str">
        <f t="shared" si="249"/>
        <v/>
      </c>
      <c r="Q1450" t="str">
        <f>IF(B1450="","", IFERROR(VLOOKUP(B1450, '基準資産配分（設定）'!$A$2:$C$2001, 3, FALSE), ""))</f>
        <v/>
      </c>
      <c r="R1450" t="str">
        <f>IF(B1450="","", IFERROR(VLOOKUP(B1450, '基準資産配分（設定）'!$A$2:$C$2001, 2, FALSE)/100, 0))</f>
        <v/>
      </c>
      <c r="S1450" t="str">
        <f>IF(B1450="","", IFERROR(SUMIFS(ベンチマークリターン!$C$2:$C$2001, ベンチマークリターン!$A$2:$A$2001, A1450, ベンチマークリターン!$B$2:$B$2001, Q1450) / 100, 0))</f>
        <v/>
      </c>
      <c r="T1450" t="str">
        <f>IF(A1450="","", SUMIFS($H$2:$H$2000, $A$2:$A$2000, A1450))</f>
        <v/>
      </c>
      <c r="U1450" t="str">
        <f t="shared" si="250"/>
        <v/>
      </c>
      <c r="V1450" t="str">
        <f t="shared" si="251"/>
        <v/>
      </c>
      <c r="W1450" t="str">
        <f t="shared" si="252"/>
        <v/>
      </c>
    </row>
    <row r="1451" spans="1:23" x14ac:dyDescent="0.2">
      <c r="A1451" s="4" t="str">
        <f>IF(ポートフォリオ実績!A1452="","", ポートフォリオ実績!A1452)</f>
        <v/>
      </c>
      <c r="B1451" t="str">
        <f>IF(ポートフォリオ実績!B1452="","", ポートフォリオ実績!B1452)</f>
        <v/>
      </c>
      <c r="C1451" s="10" t="str">
        <f>IF(ポートフォリオ実績!C1452="","", ポートフォリオ実績!C1452)</f>
        <v/>
      </c>
      <c r="D1451" s="10" t="str">
        <f>IF(ポートフォリオ実績!D1452="","", ポートフォリオ実績!D1452)</f>
        <v/>
      </c>
      <c r="E1451" s="10" t="str">
        <f>IF(ポートフォリオ実績!E1452="","", ポートフォリオ実績!E1452)</f>
        <v/>
      </c>
      <c r="F1451" s="10" t="str">
        <f>IF(ポートフォリオ実績!F1452="","", ポートフォリオ実績!F1452)</f>
        <v/>
      </c>
      <c r="G1451" t="str">
        <f t="shared" si="242"/>
        <v/>
      </c>
      <c r="H1451">
        <f>IF(B1451&lt;&gt;"", SUMIFS(ポートフォリオ実績!$D$2:$D$2001, ポートフォリオ実績!$B$2:$B$2001, B1451, ポートフォリオ実績!$A$2:$A$2001, G1451), 0)</f>
        <v>0</v>
      </c>
      <c r="I1451">
        <f>IF(B1451&lt;&gt;"", SUMIFS(ポートフォリオ実績!$C$2:$C$2001, ポートフォリオ実績!$B$2:$B$2001, B1451, ポートフォリオ実績!$A$2:$A$2001, G1451), 0)</f>
        <v>0</v>
      </c>
      <c r="J1451">
        <f t="shared" si="243"/>
        <v>0</v>
      </c>
      <c r="K1451">
        <f t="shared" si="244"/>
        <v>0</v>
      </c>
      <c r="L1451">
        <f t="shared" si="245"/>
        <v>0</v>
      </c>
      <c r="M1451">
        <f t="shared" si="246"/>
        <v>0</v>
      </c>
      <c r="N1451">
        <f t="shared" si="247"/>
        <v>0</v>
      </c>
      <c r="O1451">
        <f t="shared" si="248"/>
        <v>0</v>
      </c>
      <c r="P1451" t="str">
        <f t="shared" si="249"/>
        <v/>
      </c>
      <c r="Q1451" t="str">
        <f>IF(B1451="","", IFERROR(VLOOKUP(B1451, '基準資産配分（設定）'!$A$2:$C$2001, 3, FALSE), ""))</f>
        <v/>
      </c>
      <c r="R1451" t="str">
        <f>IF(B1451="","", IFERROR(VLOOKUP(B1451, '基準資産配分（設定）'!$A$2:$C$2001, 2, FALSE)/100, 0))</f>
        <v/>
      </c>
      <c r="S1451" t="str">
        <f>IF(B1451="","", IFERROR(SUMIFS(ベンチマークリターン!$C$2:$C$2001, ベンチマークリターン!$A$2:$A$2001, A1451, ベンチマークリターン!$B$2:$B$2001, Q1451) / 100, 0))</f>
        <v/>
      </c>
      <c r="T1451" t="str">
        <f>IF(A1451="","", SUMIFS($H$2:$H$2000, $A$2:$A$2000, A1451))</f>
        <v/>
      </c>
      <c r="U1451" t="str">
        <f t="shared" si="250"/>
        <v/>
      </c>
      <c r="V1451" t="str">
        <f t="shared" si="251"/>
        <v/>
      </c>
      <c r="W1451" t="str">
        <f t="shared" si="252"/>
        <v/>
      </c>
    </row>
    <row r="1452" spans="1:23" x14ac:dyDescent="0.2">
      <c r="A1452" s="4" t="str">
        <f>IF(ポートフォリオ実績!A1453="","", ポートフォリオ実績!A1453)</f>
        <v/>
      </c>
      <c r="B1452" t="str">
        <f>IF(ポートフォリオ実績!B1453="","", ポートフォリオ実績!B1453)</f>
        <v/>
      </c>
      <c r="C1452" s="10" t="str">
        <f>IF(ポートフォリオ実績!C1453="","", ポートフォリオ実績!C1453)</f>
        <v/>
      </c>
      <c r="D1452" s="10" t="str">
        <f>IF(ポートフォリオ実績!D1453="","", ポートフォリオ実績!D1453)</f>
        <v/>
      </c>
      <c r="E1452" s="10" t="str">
        <f>IF(ポートフォリオ実績!E1453="","", ポートフォリオ実績!E1453)</f>
        <v/>
      </c>
      <c r="F1452" s="10" t="str">
        <f>IF(ポートフォリオ実績!F1453="","", ポートフォリオ実績!F1453)</f>
        <v/>
      </c>
      <c r="G1452" t="str">
        <f t="shared" si="242"/>
        <v/>
      </c>
      <c r="H1452">
        <f>IF(B1452&lt;&gt;"", SUMIFS(ポートフォリオ実績!$D$2:$D$2001, ポートフォリオ実績!$B$2:$B$2001, B1452, ポートフォリオ実績!$A$2:$A$2001, G1452), 0)</f>
        <v>0</v>
      </c>
      <c r="I1452">
        <f>IF(B1452&lt;&gt;"", SUMIFS(ポートフォリオ実績!$C$2:$C$2001, ポートフォリオ実績!$B$2:$B$2001, B1452, ポートフォリオ実績!$A$2:$A$2001, G1452), 0)</f>
        <v>0</v>
      </c>
      <c r="J1452">
        <f t="shared" si="243"/>
        <v>0</v>
      </c>
      <c r="K1452">
        <f t="shared" si="244"/>
        <v>0</v>
      </c>
      <c r="L1452">
        <f t="shared" si="245"/>
        <v>0</v>
      </c>
      <c r="M1452">
        <f t="shared" si="246"/>
        <v>0</v>
      </c>
      <c r="N1452">
        <f t="shared" si="247"/>
        <v>0</v>
      </c>
      <c r="O1452">
        <f t="shared" si="248"/>
        <v>0</v>
      </c>
      <c r="P1452" t="str">
        <f t="shared" si="249"/>
        <v/>
      </c>
      <c r="Q1452" t="str">
        <f>IF(B1452="","", IFERROR(VLOOKUP(B1452, '基準資産配分（設定）'!$A$2:$C$2001, 3, FALSE), ""))</f>
        <v/>
      </c>
      <c r="R1452" t="str">
        <f>IF(B1452="","", IFERROR(VLOOKUP(B1452, '基準資産配分（設定）'!$A$2:$C$2001, 2, FALSE)/100, 0))</f>
        <v/>
      </c>
      <c r="S1452" t="str">
        <f>IF(B1452="","", IFERROR(SUMIFS(ベンチマークリターン!$C$2:$C$2001, ベンチマークリターン!$A$2:$A$2001, A1452, ベンチマークリターン!$B$2:$B$2001, Q1452) / 100, 0))</f>
        <v/>
      </c>
      <c r="T1452" t="str">
        <f>IF(A1452="","", SUMIFS($H$2:$H$2000, $A$2:$A$2000, A1452))</f>
        <v/>
      </c>
      <c r="U1452" t="str">
        <f t="shared" si="250"/>
        <v/>
      </c>
      <c r="V1452" t="str">
        <f t="shared" si="251"/>
        <v/>
      </c>
      <c r="W1452" t="str">
        <f t="shared" si="252"/>
        <v/>
      </c>
    </row>
    <row r="1453" spans="1:23" x14ac:dyDescent="0.2">
      <c r="A1453" s="4" t="str">
        <f>IF(ポートフォリオ実績!A1454="","", ポートフォリオ実績!A1454)</f>
        <v/>
      </c>
      <c r="B1453" t="str">
        <f>IF(ポートフォリオ実績!B1454="","", ポートフォリオ実績!B1454)</f>
        <v/>
      </c>
      <c r="C1453" s="10" t="str">
        <f>IF(ポートフォリオ実績!C1454="","", ポートフォリオ実績!C1454)</f>
        <v/>
      </c>
      <c r="D1453" s="10" t="str">
        <f>IF(ポートフォリオ実績!D1454="","", ポートフォリオ実績!D1454)</f>
        <v/>
      </c>
      <c r="E1453" s="10" t="str">
        <f>IF(ポートフォリオ実績!E1454="","", ポートフォリオ実績!E1454)</f>
        <v/>
      </c>
      <c r="F1453" s="10" t="str">
        <f>IF(ポートフォリオ実績!F1454="","", ポートフォリオ実績!F1454)</f>
        <v/>
      </c>
      <c r="G1453" t="str">
        <f t="shared" si="242"/>
        <v/>
      </c>
      <c r="H1453">
        <f>IF(B1453&lt;&gt;"", SUMIFS(ポートフォリオ実績!$D$2:$D$2001, ポートフォリオ実績!$B$2:$B$2001, B1453, ポートフォリオ実績!$A$2:$A$2001, G1453), 0)</f>
        <v>0</v>
      </c>
      <c r="I1453">
        <f>IF(B1453&lt;&gt;"", SUMIFS(ポートフォリオ実績!$C$2:$C$2001, ポートフォリオ実績!$B$2:$B$2001, B1453, ポートフォリオ実績!$A$2:$A$2001, G1453), 0)</f>
        <v>0</v>
      </c>
      <c r="J1453">
        <f t="shared" si="243"/>
        <v>0</v>
      </c>
      <c r="K1453">
        <f t="shared" si="244"/>
        <v>0</v>
      </c>
      <c r="L1453">
        <f t="shared" si="245"/>
        <v>0</v>
      </c>
      <c r="M1453">
        <f t="shared" si="246"/>
        <v>0</v>
      </c>
      <c r="N1453">
        <f t="shared" si="247"/>
        <v>0</v>
      </c>
      <c r="O1453">
        <f t="shared" si="248"/>
        <v>0</v>
      </c>
      <c r="P1453" t="str">
        <f t="shared" si="249"/>
        <v/>
      </c>
      <c r="Q1453" t="str">
        <f>IF(B1453="","", IFERROR(VLOOKUP(B1453, '基準資産配分（設定）'!$A$2:$C$2001, 3, FALSE), ""))</f>
        <v/>
      </c>
      <c r="R1453" t="str">
        <f>IF(B1453="","", IFERROR(VLOOKUP(B1453, '基準資産配分（設定）'!$A$2:$C$2001, 2, FALSE)/100, 0))</f>
        <v/>
      </c>
      <c r="S1453" t="str">
        <f>IF(B1453="","", IFERROR(SUMIFS(ベンチマークリターン!$C$2:$C$2001, ベンチマークリターン!$A$2:$A$2001, A1453, ベンチマークリターン!$B$2:$B$2001, Q1453) / 100, 0))</f>
        <v/>
      </c>
      <c r="T1453" t="str">
        <f>IF(A1453="","", SUMIFS($H$2:$H$2000, $A$2:$A$2000, A1453))</f>
        <v/>
      </c>
      <c r="U1453" t="str">
        <f t="shared" si="250"/>
        <v/>
      </c>
      <c r="V1453" t="str">
        <f t="shared" si="251"/>
        <v/>
      </c>
      <c r="W1453" t="str">
        <f t="shared" si="252"/>
        <v/>
      </c>
    </row>
    <row r="1454" spans="1:23" x14ac:dyDescent="0.2">
      <c r="A1454" s="4" t="str">
        <f>IF(ポートフォリオ実績!A1455="","", ポートフォリオ実績!A1455)</f>
        <v/>
      </c>
      <c r="B1454" t="str">
        <f>IF(ポートフォリオ実績!B1455="","", ポートフォリオ実績!B1455)</f>
        <v/>
      </c>
      <c r="C1454" s="10" t="str">
        <f>IF(ポートフォリオ実績!C1455="","", ポートフォリオ実績!C1455)</f>
        <v/>
      </c>
      <c r="D1454" s="10" t="str">
        <f>IF(ポートフォリオ実績!D1455="","", ポートフォリオ実績!D1455)</f>
        <v/>
      </c>
      <c r="E1454" s="10" t="str">
        <f>IF(ポートフォリオ実績!E1455="","", ポートフォリオ実績!E1455)</f>
        <v/>
      </c>
      <c r="F1454" s="10" t="str">
        <f>IF(ポートフォリオ実績!F1455="","", ポートフォリオ実績!F1455)</f>
        <v/>
      </c>
      <c r="G1454" t="str">
        <f t="shared" si="242"/>
        <v/>
      </c>
      <c r="H1454">
        <f>IF(B1454&lt;&gt;"", SUMIFS(ポートフォリオ実績!$D$2:$D$2001, ポートフォリオ実績!$B$2:$B$2001, B1454, ポートフォリオ実績!$A$2:$A$2001, G1454), 0)</f>
        <v>0</v>
      </c>
      <c r="I1454">
        <f>IF(B1454&lt;&gt;"", SUMIFS(ポートフォリオ実績!$C$2:$C$2001, ポートフォリオ実績!$B$2:$B$2001, B1454, ポートフォリオ実績!$A$2:$A$2001, G1454), 0)</f>
        <v>0</v>
      </c>
      <c r="J1454">
        <f t="shared" si="243"/>
        <v>0</v>
      </c>
      <c r="K1454">
        <f t="shared" si="244"/>
        <v>0</v>
      </c>
      <c r="L1454">
        <f t="shared" si="245"/>
        <v>0</v>
      </c>
      <c r="M1454">
        <f t="shared" si="246"/>
        <v>0</v>
      </c>
      <c r="N1454">
        <f t="shared" si="247"/>
        <v>0</v>
      </c>
      <c r="O1454">
        <f t="shared" si="248"/>
        <v>0</v>
      </c>
      <c r="P1454" t="str">
        <f t="shared" si="249"/>
        <v/>
      </c>
      <c r="Q1454" t="str">
        <f>IF(B1454="","", IFERROR(VLOOKUP(B1454, '基準資産配分（設定）'!$A$2:$C$2001, 3, FALSE), ""))</f>
        <v/>
      </c>
      <c r="R1454" t="str">
        <f>IF(B1454="","", IFERROR(VLOOKUP(B1454, '基準資産配分（設定）'!$A$2:$C$2001, 2, FALSE)/100, 0))</f>
        <v/>
      </c>
      <c r="S1454" t="str">
        <f>IF(B1454="","", IFERROR(SUMIFS(ベンチマークリターン!$C$2:$C$2001, ベンチマークリターン!$A$2:$A$2001, A1454, ベンチマークリターン!$B$2:$B$2001, Q1454) / 100, 0))</f>
        <v/>
      </c>
      <c r="T1454" t="str">
        <f>IF(A1454="","", SUMIFS($H$2:$H$2000, $A$2:$A$2000, A1454))</f>
        <v/>
      </c>
      <c r="U1454" t="str">
        <f t="shared" si="250"/>
        <v/>
      </c>
      <c r="V1454" t="str">
        <f t="shared" si="251"/>
        <v/>
      </c>
      <c r="W1454" t="str">
        <f t="shared" si="252"/>
        <v/>
      </c>
    </row>
    <row r="1455" spans="1:23" x14ac:dyDescent="0.2">
      <c r="A1455" s="4" t="str">
        <f>IF(ポートフォリオ実績!A1456="","", ポートフォリオ実績!A1456)</f>
        <v/>
      </c>
      <c r="B1455" t="str">
        <f>IF(ポートフォリオ実績!B1456="","", ポートフォリオ実績!B1456)</f>
        <v/>
      </c>
      <c r="C1455" s="10" t="str">
        <f>IF(ポートフォリオ実績!C1456="","", ポートフォリオ実績!C1456)</f>
        <v/>
      </c>
      <c r="D1455" s="10" t="str">
        <f>IF(ポートフォリオ実績!D1456="","", ポートフォリオ実績!D1456)</f>
        <v/>
      </c>
      <c r="E1455" s="10" t="str">
        <f>IF(ポートフォリオ実績!E1456="","", ポートフォリオ実績!E1456)</f>
        <v/>
      </c>
      <c r="F1455" s="10" t="str">
        <f>IF(ポートフォリオ実績!F1456="","", ポートフォリオ実績!F1456)</f>
        <v/>
      </c>
      <c r="G1455" t="str">
        <f t="shared" si="242"/>
        <v/>
      </c>
      <c r="H1455">
        <f>IF(B1455&lt;&gt;"", SUMIFS(ポートフォリオ実績!$D$2:$D$2001, ポートフォリオ実績!$B$2:$B$2001, B1455, ポートフォリオ実績!$A$2:$A$2001, G1455), 0)</f>
        <v>0</v>
      </c>
      <c r="I1455">
        <f>IF(B1455&lt;&gt;"", SUMIFS(ポートフォリオ実績!$C$2:$C$2001, ポートフォリオ実績!$B$2:$B$2001, B1455, ポートフォリオ実績!$A$2:$A$2001, G1455), 0)</f>
        <v>0</v>
      </c>
      <c r="J1455">
        <f t="shared" si="243"/>
        <v>0</v>
      </c>
      <c r="K1455">
        <f t="shared" si="244"/>
        <v>0</v>
      </c>
      <c r="L1455">
        <f t="shared" si="245"/>
        <v>0</v>
      </c>
      <c r="M1455">
        <f t="shared" si="246"/>
        <v>0</v>
      </c>
      <c r="N1455">
        <f t="shared" si="247"/>
        <v>0</v>
      </c>
      <c r="O1455">
        <f t="shared" si="248"/>
        <v>0</v>
      </c>
      <c r="P1455" t="str">
        <f t="shared" si="249"/>
        <v/>
      </c>
      <c r="Q1455" t="str">
        <f>IF(B1455="","", IFERROR(VLOOKUP(B1455, '基準資産配分（設定）'!$A$2:$C$2001, 3, FALSE), ""))</f>
        <v/>
      </c>
      <c r="R1455" t="str">
        <f>IF(B1455="","", IFERROR(VLOOKUP(B1455, '基準資産配分（設定）'!$A$2:$C$2001, 2, FALSE)/100, 0))</f>
        <v/>
      </c>
      <c r="S1455" t="str">
        <f>IF(B1455="","", IFERROR(SUMIFS(ベンチマークリターン!$C$2:$C$2001, ベンチマークリターン!$A$2:$A$2001, A1455, ベンチマークリターン!$B$2:$B$2001, Q1455) / 100, 0))</f>
        <v/>
      </c>
      <c r="T1455" t="str">
        <f>IF(A1455="","", SUMIFS($H$2:$H$2000, $A$2:$A$2000, A1455))</f>
        <v/>
      </c>
      <c r="U1455" t="str">
        <f t="shared" si="250"/>
        <v/>
      </c>
      <c r="V1455" t="str">
        <f t="shared" si="251"/>
        <v/>
      </c>
      <c r="W1455" t="str">
        <f t="shared" si="252"/>
        <v/>
      </c>
    </row>
    <row r="1456" spans="1:23" x14ac:dyDescent="0.2">
      <c r="A1456" s="4" t="str">
        <f>IF(ポートフォリオ実績!A1457="","", ポートフォリオ実績!A1457)</f>
        <v/>
      </c>
      <c r="B1456" t="str">
        <f>IF(ポートフォリオ実績!B1457="","", ポートフォリオ実績!B1457)</f>
        <v/>
      </c>
      <c r="C1456" s="10" t="str">
        <f>IF(ポートフォリオ実績!C1457="","", ポートフォリオ実績!C1457)</f>
        <v/>
      </c>
      <c r="D1456" s="10" t="str">
        <f>IF(ポートフォリオ実績!D1457="","", ポートフォリオ実績!D1457)</f>
        <v/>
      </c>
      <c r="E1456" s="10" t="str">
        <f>IF(ポートフォリオ実績!E1457="","", ポートフォリオ実績!E1457)</f>
        <v/>
      </c>
      <c r="F1456" s="10" t="str">
        <f>IF(ポートフォリオ実績!F1457="","", ポートフォリオ実績!F1457)</f>
        <v/>
      </c>
      <c r="G1456" t="str">
        <f t="shared" si="242"/>
        <v/>
      </c>
      <c r="H1456">
        <f>IF(B1456&lt;&gt;"", SUMIFS(ポートフォリオ実績!$D$2:$D$2001, ポートフォリオ実績!$B$2:$B$2001, B1456, ポートフォリオ実績!$A$2:$A$2001, G1456), 0)</f>
        <v>0</v>
      </c>
      <c r="I1456">
        <f>IF(B1456&lt;&gt;"", SUMIFS(ポートフォリオ実績!$C$2:$C$2001, ポートフォリオ実績!$B$2:$B$2001, B1456, ポートフォリオ実績!$A$2:$A$2001, G1456), 0)</f>
        <v>0</v>
      </c>
      <c r="J1456">
        <f t="shared" si="243"/>
        <v>0</v>
      </c>
      <c r="K1456">
        <f t="shared" si="244"/>
        <v>0</v>
      </c>
      <c r="L1456">
        <f t="shared" si="245"/>
        <v>0</v>
      </c>
      <c r="M1456">
        <f t="shared" si="246"/>
        <v>0</v>
      </c>
      <c r="N1456">
        <f t="shared" si="247"/>
        <v>0</v>
      </c>
      <c r="O1456">
        <f t="shared" si="248"/>
        <v>0</v>
      </c>
      <c r="P1456" t="str">
        <f t="shared" si="249"/>
        <v/>
      </c>
      <c r="Q1456" t="str">
        <f>IF(B1456="","", IFERROR(VLOOKUP(B1456, '基準資産配分（設定）'!$A$2:$C$2001, 3, FALSE), ""))</f>
        <v/>
      </c>
      <c r="R1456" t="str">
        <f>IF(B1456="","", IFERROR(VLOOKUP(B1456, '基準資産配分（設定）'!$A$2:$C$2001, 2, FALSE)/100, 0))</f>
        <v/>
      </c>
      <c r="S1456" t="str">
        <f>IF(B1456="","", IFERROR(SUMIFS(ベンチマークリターン!$C$2:$C$2001, ベンチマークリターン!$A$2:$A$2001, A1456, ベンチマークリターン!$B$2:$B$2001, Q1456) / 100, 0))</f>
        <v/>
      </c>
      <c r="T1456" t="str">
        <f>IF(A1456="","", SUMIFS($H$2:$H$2000, $A$2:$A$2000, A1456))</f>
        <v/>
      </c>
      <c r="U1456" t="str">
        <f t="shared" si="250"/>
        <v/>
      </c>
      <c r="V1456" t="str">
        <f t="shared" si="251"/>
        <v/>
      </c>
      <c r="W1456" t="str">
        <f t="shared" si="252"/>
        <v/>
      </c>
    </row>
    <row r="1457" spans="1:23" x14ac:dyDescent="0.2">
      <c r="A1457" s="4" t="str">
        <f>IF(ポートフォリオ実績!A1458="","", ポートフォリオ実績!A1458)</f>
        <v/>
      </c>
      <c r="B1457" t="str">
        <f>IF(ポートフォリオ実績!B1458="","", ポートフォリオ実績!B1458)</f>
        <v/>
      </c>
      <c r="C1457" s="10" t="str">
        <f>IF(ポートフォリオ実績!C1458="","", ポートフォリオ実績!C1458)</f>
        <v/>
      </c>
      <c r="D1457" s="10" t="str">
        <f>IF(ポートフォリオ実績!D1458="","", ポートフォリオ実績!D1458)</f>
        <v/>
      </c>
      <c r="E1457" s="10" t="str">
        <f>IF(ポートフォリオ実績!E1458="","", ポートフォリオ実績!E1458)</f>
        <v/>
      </c>
      <c r="F1457" s="10" t="str">
        <f>IF(ポートフォリオ実績!F1458="","", ポートフォリオ実績!F1458)</f>
        <v/>
      </c>
      <c r="G1457" t="str">
        <f t="shared" si="242"/>
        <v/>
      </c>
      <c r="H1457">
        <f>IF(B1457&lt;&gt;"", SUMIFS(ポートフォリオ実績!$D$2:$D$2001, ポートフォリオ実績!$B$2:$B$2001, B1457, ポートフォリオ実績!$A$2:$A$2001, G1457), 0)</f>
        <v>0</v>
      </c>
      <c r="I1457">
        <f>IF(B1457&lt;&gt;"", SUMIFS(ポートフォリオ実績!$C$2:$C$2001, ポートフォリオ実績!$B$2:$B$2001, B1457, ポートフォリオ実績!$A$2:$A$2001, G1457), 0)</f>
        <v>0</v>
      </c>
      <c r="J1457">
        <f t="shared" si="243"/>
        <v>0</v>
      </c>
      <c r="K1457">
        <f t="shared" si="244"/>
        <v>0</v>
      </c>
      <c r="L1457">
        <f t="shared" si="245"/>
        <v>0</v>
      </c>
      <c r="M1457">
        <f t="shared" si="246"/>
        <v>0</v>
      </c>
      <c r="N1457">
        <f t="shared" si="247"/>
        <v>0</v>
      </c>
      <c r="O1457">
        <f t="shared" si="248"/>
        <v>0</v>
      </c>
      <c r="P1457" t="str">
        <f t="shared" si="249"/>
        <v/>
      </c>
      <c r="Q1457" t="str">
        <f>IF(B1457="","", IFERROR(VLOOKUP(B1457, '基準資産配分（設定）'!$A$2:$C$2001, 3, FALSE), ""))</f>
        <v/>
      </c>
      <c r="R1457" t="str">
        <f>IF(B1457="","", IFERROR(VLOOKUP(B1457, '基準資産配分（設定）'!$A$2:$C$2001, 2, FALSE)/100, 0))</f>
        <v/>
      </c>
      <c r="S1457" t="str">
        <f>IF(B1457="","", IFERROR(SUMIFS(ベンチマークリターン!$C$2:$C$2001, ベンチマークリターン!$A$2:$A$2001, A1457, ベンチマークリターン!$B$2:$B$2001, Q1457) / 100, 0))</f>
        <v/>
      </c>
      <c r="T1457" t="str">
        <f>IF(A1457="","", SUMIFS($H$2:$H$2000, $A$2:$A$2000, A1457))</f>
        <v/>
      </c>
      <c r="U1457" t="str">
        <f t="shared" si="250"/>
        <v/>
      </c>
      <c r="V1457" t="str">
        <f t="shared" si="251"/>
        <v/>
      </c>
      <c r="W1457" t="str">
        <f t="shared" si="252"/>
        <v/>
      </c>
    </row>
    <row r="1458" spans="1:23" x14ac:dyDescent="0.2">
      <c r="A1458" s="4" t="str">
        <f>IF(ポートフォリオ実績!A1459="","", ポートフォリオ実績!A1459)</f>
        <v/>
      </c>
      <c r="B1458" t="str">
        <f>IF(ポートフォリオ実績!B1459="","", ポートフォリオ実績!B1459)</f>
        <v/>
      </c>
      <c r="C1458" s="10" t="str">
        <f>IF(ポートフォリオ実績!C1459="","", ポートフォリオ実績!C1459)</f>
        <v/>
      </c>
      <c r="D1458" s="10" t="str">
        <f>IF(ポートフォリオ実績!D1459="","", ポートフォリオ実績!D1459)</f>
        <v/>
      </c>
      <c r="E1458" s="10" t="str">
        <f>IF(ポートフォリオ実績!E1459="","", ポートフォリオ実績!E1459)</f>
        <v/>
      </c>
      <c r="F1458" s="10" t="str">
        <f>IF(ポートフォリオ実績!F1459="","", ポートフォリオ実績!F1459)</f>
        <v/>
      </c>
      <c r="G1458" t="str">
        <f t="shared" si="242"/>
        <v/>
      </c>
      <c r="H1458">
        <f>IF(B1458&lt;&gt;"", SUMIFS(ポートフォリオ実績!$D$2:$D$2001, ポートフォリオ実績!$B$2:$B$2001, B1458, ポートフォリオ実績!$A$2:$A$2001, G1458), 0)</f>
        <v>0</v>
      </c>
      <c r="I1458">
        <f>IF(B1458&lt;&gt;"", SUMIFS(ポートフォリオ実績!$C$2:$C$2001, ポートフォリオ実績!$B$2:$B$2001, B1458, ポートフォリオ実績!$A$2:$A$2001, G1458), 0)</f>
        <v>0</v>
      </c>
      <c r="J1458">
        <f t="shared" si="243"/>
        <v>0</v>
      </c>
      <c r="K1458">
        <f t="shared" si="244"/>
        <v>0</v>
      </c>
      <c r="L1458">
        <f t="shared" si="245"/>
        <v>0</v>
      </c>
      <c r="M1458">
        <f t="shared" si="246"/>
        <v>0</v>
      </c>
      <c r="N1458">
        <f t="shared" si="247"/>
        <v>0</v>
      </c>
      <c r="O1458">
        <f t="shared" si="248"/>
        <v>0</v>
      </c>
      <c r="P1458" t="str">
        <f t="shared" si="249"/>
        <v/>
      </c>
      <c r="Q1458" t="str">
        <f>IF(B1458="","", IFERROR(VLOOKUP(B1458, '基準資産配分（設定）'!$A$2:$C$2001, 3, FALSE), ""))</f>
        <v/>
      </c>
      <c r="R1458" t="str">
        <f>IF(B1458="","", IFERROR(VLOOKUP(B1458, '基準資産配分（設定）'!$A$2:$C$2001, 2, FALSE)/100, 0))</f>
        <v/>
      </c>
      <c r="S1458" t="str">
        <f>IF(B1458="","", IFERROR(SUMIFS(ベンチマークリターン!$C$2:$C$2001, ベンチマークリターン!$A$2:$A$2001, A1458, ベンチマークリターン!$B$2:$B$2001, Q1458) / 100, 0))</f>
        <v/>
      </c>
      <c r="T1458" t="str">
        <f>IF(A1458="","", SUMIFS($H$2:$H$2000, $A$2:$A$2000, A1458))</f>
        <v/>
      </c>
      <c r="U1458" t="str">
        <f t="shared" si="250"/>
        <v/>
      </c>
      <c r="V1458" t="str">
        <f t="shared" si="251"/>
        <v/>
      </c>
      <c r="W1458" t="str">
        <f t="shared" si="252"/>
        <v/>
      </c>
    </row>
    <row r="1459" spans="1:23" x14ac:dyDescent="0.2">
      <c r="A1459" s="4" t="str">
        <f>IF(ポートフォリオ実績!A1460="","", ポートフォリオ実績!A1460)</f>
        <v/>
      </c>
      <c r="B1459" t="str">
        <f>IF(ポートフォリオ実績!B1460="","", ポートフォリオ実績!B1460)</f>
        <v/>
      </c>
      <c r="C1459" s="10" t="str">
        <f>IF(ポートフォリオ実績!C1460="","", ポートフォリオ実績!C1460)</f>
        <v/>
      </c>
      <c r="D1459" s="10" t="str">
        <f>IF(ポートフォリオ実績!D1460="","", ポートフォリオ実績!D1460)</f>
        <v/>
      </c>
      <c r="E1459" s="10" t="str">
        <f>IF(ポートフォリオ実績!E1460="","", ポートフォリオ実績!E1460)</f>
        <v/>
      </c>
      <c r="F1459" s="10" t="str">
        <f>IF(ポートフォリオ実績!F1460="","", ポートフォリオ実績!F1460)</f>
        <v/>
      </c>
      <c r="G1459" t="str">
        <f t="shared" si="242"/>
        <v/>
      </c>
      <c r="H1459">
        <f>IF(B1459&lt;&gt;"", SUMIFS(ポートフォリオ実績!$D$2:$D$2001, ポートフォリオ実績!$B$2:$B$2001, B1459, ポートフォリオ実績!$A$2:$A$2001, G1459), 0)</f>
        <v>0</v>
      </c>
      <c r="I1459">
        <f>IF(B1459&lt;&gt;"", SUMIFS(ポートフォリオ実績!$C$2:$C$2001, ポートフォリオ実績!$B$2:$B$2001, B1459, ポートフォリオ実績!$A$2:$A$2001, G1459), 0)</f>
        <v>0</v>
      </c>
      <c r="J1459">
        <f t="shared" si="243"/>
        <v>0</v>
      </c>
      <c r="K1459">
        <f t="shared" si="244"/>
        <v>0</v>
      </c>
      <c r="L1459">
        <f t="shared" si="245"/>
        <v>0</v>
      </c>
      <c r="M1459">
        <f t="shared" si="246"/>
        <v>0</v>
      </c>
      <c r="N1459">
        <f t="shared" si="247"/>
        <v>0</v>
      </c>
      <c r="O1459">
        <f t="shared" si="248"/>
        <v>0</v>
      </c>
      <c r="P1459" t="str">
        <f t="shared" si="249"/>
        <v/>
      </c>
      <c r="Q1459" t="str">
        <f>IF(B1459="","", IFERROR(VLOOKUP(B1459, '基準資産配分（設定）'!$A$2:$C$2001, 3, FALSE), ""))</f>
        <v/>
      </c>
      <c r="R1459" t="str">
        <f>IF(B1459="","", IFERROR(VLOOKUP(B1459, '基準資産配分（設定）'!$A$2:$C$2001, 2, FALSE)/100, 0))</f>
        <v/>
      </c>
      <c r="S1459" t="str">
        <f>IF(B1459="","", IFERROR(SUMIFS(ベンチマークリターン!$C$2:$C$2001, ベンチマークリターン!$A$2:$A$2001, A1459, ベンチマークリターン!$B$2:$B$2001, Q1459) / 100, 0))</f>
        <v/>
      </c>
      <c r="T1459" t="str">
        <f>IF(A1459="","", SUMIFS($H$2:$H$2000, $A$2:$A$2000, A1459))</f>
        <v/>
      </c>
      <c r="U1459" t="str">
        <f t="shared" si="250"/>
        <v/>
      </c>
      <c r="V1459" t="str">
        <f t="shared" si="251"/>
        <v/>
      </c>
      <c r="W1459" t="str">
        <f t="shared" si="252"/>
        <v/>
      </c>
    </row>
    <row r="1460" spans="1:23" x14ac:dyDescent="0.2">
      <c r="A1460" s="4" t="str">
        <f>IF(ポートフォリオ実績!A1461="","", ポートフォリオ実績!A1461)</f>
        <v/>
      </c>
      <c r="B1460" t="str">
        <f>IF(ポートフォリオ実績!B1461="","", ポートフォリオ実績!B1461)</f>
        <v/>
      </c>
      <c r="C1460" s="10" t="str">
        <f>IF(ポートフォリオ実績!C1461="","", ポートフォリオ実績!C1461)</f>
        <v/>
      </c>
      <c r="D1460" s="10" t="str">
        <f>IF(ポートフォリオ実績!D1461="","", ポートフォリオ実績!D1461)</f>
        <v/>
      </c>
      <c r="E1460" s="10" t="str">
        <f>IF(ポートフォリオ実績!E1461="","", ポートフォリオ実績!E1461)</f>
        <v/>
      </c>
      <c r="F1460" s="10" t="str">
        <f>IF(ポートフォリオ実績!F1461="","", ポートフォリオ実績!F1461)</f>
        <v/>
      </c>
      <c r="G1460" t="str">
        <f t="shared" si="242"/>
        <v/>
      </c>
      <c r="H1460">
        <f>IF(B1460&lt;&gt;"", SUMIFS(ポートフォリオ実績!$D$2:$D$2001, ポートフォリオ実績!$B$2:$B$2001, B1460, ポートフォリオ実績!$A$2:$A$2001, G1460), 0)</f>
        <v>0</v>
      </c>
      <c r="I1460">
        <f>IF(B1460&lt;&gt;"", SUMIFS(ポートフォリオ実績!$C$2:$C$2001, ポートフォリオ実績!$B$2:$B$2001, B1460, ポートフォリオ実績!$A$2:$A$2001, G1460), 0)</f>
        <v>0</v>
      </c>
      <c r="J1460">
        <f t="shared" si="243"/>
        <v>0</v>
      </c>
      <c r="K1460">
        <f t="shared" si="244"/>
        <v>0</v>
      </c>
      <c r="L1460">
        <f t="shared" si="245"/>
        <v>0</v>
      </c>
      <c r="M1460">
        <f t="shared" si="246"/>
        <v>0</v>
      </c>
      <c r="N1460">
        <f t="shared" si="247"/>
        <v>0</v>
      </c>
      <c r="O1460">
        <f t="shared" si="248"/>
        <v>0</v>
      </c>
      <c r="P1460" t="str">
        <f t="shared" si="249"/>
        <v/>
      </c>
      <c r="Q1460" t="str">
        <f>IF(B1460="","", IFERROR(VLOOKUP(B1460, '基準資産配分（設定）'!$A$2:$C$2001, 3, FALSE), ""))</f>
        <v/>
      </c>
      <c r="R1460" t="str">
        <f>IF(B1460="","", IFERROR(VLOOKUP(B1460, '基準資産配分（設定）'!$A$2:$C$2001, 2, FALSE)/100, 0))</f>
        <v/>
      </c>
      <c r="S1460" t="str">
        <f>IF(B1460="","", IFERROR(SUMIFS(ベンチマークリターン!$C$2:$C$2001, ベンチマークリターン!$A$2:$A$2001, A1460, ベンチマークリターン!$B$2:$B$2001, Q1460) / 100, 0))</f>
        <v/>
      </c>
      <c r="T1460" t="str">
        <f>IF(A1460="","", SUMIFS($H$2:$H$2000, $A$2:$A$2000, A1460))</f>
        <v/>
      </c>
      <c r="U1460" t="str">
        <f t="shared" si="250"/>
        <v/>
      </c>
      <c r="V1460" t="str">
        <f t="shared" si="251"/>
        <v/>
      </c>
      <c r="W1460" t="str">
        <f t="shared" si="252"/>
        <v/>
      </c>
    </row>
    <row r="1461" spans="1:23" x14ac:dyDescent="0.2">
      <c r="A1461" s="4" t="str">
        <f>IF(ポートフォリオ実績!A1462="","", ポートフォリオ実績!A1462)</f>
        <v/>
      </c>
      <c r="B1461" t="str">
        <f>IF(ポートフォリオ実績!B1462="","", ポートフォリオ実績!B1462)</f>
        <v/>
      </c>
      <c r="C1461" s="10" t="str">
        <f>IF(ポートフォリオ実績!C1462="","", ポートフォリオ実績!C1462)</f>
        <v/>
      </c>
      <c r="D1461" s="10" t="str">
        <f>IF(ポートフォリオ実績!D1462="","", ポートフォリオ実績!D1462)</f>
        <v/>
      </c>
      <c r="E1461" s="10" t="str">
        <f>IF(ポートフォリオ実績!E1462="","", ポートフォリオ実績!E1462)</f>
        <v/>
      </c>
      <c r="F1461" s="10" t="str">
        <f>IF(ポートフォリオ実績!F1462="","", ポートフォリオ実績!F1462)</f>
        <v/>
      </c>
      <c r="G1461" t="str">
        <f t="shared" si="242"/>
        <v/>
      </c>
      <c r="H1461">
        <f>IF(B1461&lt;&gt;"", SUMIFS(ポートフォリオ実績!$D$2:$D$2001, ポートフォリオ実績!$B$2:$B$2001, B1461, ポートフォリオ実績!$A$2:$A$2001, G1461), 0)</f>
        <v>0</v>
      </c>
      <c r="I1461">
        <f>IF(B1461&lt;&gt;"", SUMIFS(ポートフォリオ実績!$C$2:$C$2001, ポートフォリオ実績!$B$2:$B$2001, B1461, ポートフォリオ実績!$A$2:$A$2001, G1461), 0)</f>
        <v>0</v>
      </c>
      <c r="J1461">
        <f t="shared" si="243"/>
        <v>0</v>
      </c>
      <c r="K1461">
        <f t="shared" si="244"/>
        <v>0</v>
      </c>
      <c r="L1461">
        <f t="shared" si="245"/>
        <v>0</v>
      </c>
      <c r="M1461">
        <f t="shared" si="246"/>
        <v>0</v>
      </c>
      <c r="N1461">
        <f t="shared" si="247"/>
        <v>0</v>
      </c>
      <c r="O1461">
        <f t="shared" si="248"/>
        <v>0</v>
      </c>
      <c r="P1461" t="str">
        <f t="shared" si="249"/>
        <v/>
      </c>
      <c r="Q1461" t="str">
        <f>IF(B1461="","", IFERROR(VLOOKUP(B1461, '基準資産配分（設定）'!$A$2:$C$2001, 3, FALSE), ""))</f>
        <v/>
      </c>
      <c r="R1461" t="str">
        <f>IF(B1461="","", IFERROR(VLOOKUP(B1461, '基準資産配分（設定）'!$A$2:$C$2001, 2, FALSE)/100, 0))</f>
        <v/>
      </c>
      <c r="S1461" t="str">
        <f>IF(B1461="","", IFERROR(SUMIFS(ベンチマークリターン!$C$2:$C$2001, ベンチマークリターン!$A$2:$A$2001, A1461, ベンチマークリターン!$B$2:$B$2001, Q1461) / 100, 0))</f>
        <v/>
      </c>
      <c r="T1461" t="str">
        <f>IF(A1461="","", SUMIFS($H$2:$H$2000, $A$2:$A$2000, A1461))</f>
        <v/>
      </c>
      <c r="U1461" t="str">
        <f t="shared" si="250"/>
        <v/>
      </c>
      <c r="V1461" t="str">
        <f t="shared" si="251"/>
        <v/>
      </c>
      <c r="W1461" t="str">
        <f t="shared" si="252"/>
        <v/>
      </c>
    </row>
    <row r="1462" spans="1:23" x14ac:dyDescent="0.2">
      <c r="A1462" s="4" t="str">
        <f>IF(ポートフォリオ実績!A1463="","", ポートフォリオ実績!A1463)</f>
        <v/>
      </c>
      <c r="B1462" t="str">
        <f>IF(ポートフォリオ実績!B1463="","", ポートフォリオ実績!B1463)</f>
        <v/>
      </c>
      <c r="C1462" s="10" t="str">
        <f>IF(ポートフォリオ実績!C1463="","", ポートフォリオ実績!C1463)</f>
        <v/>
      </c>
      <c r="D1462" s="10" t="str">
        <f>IF(ポートフォリオ実績!D1463="","", ポートフォリオ実績!D1463)</f>
        <v/>
      </c>
      <c r="E1462" s="10" t="str">
        <f>IF(ポートフォリオ実績!E1463="","", ポートフォリオ実績!E1463)</f>
        <v/>
      </c>
      <c r="F1462" s="10" t="str">
        <f>IF(ポートフォリオ実績!F1463="","", ポートフォリオ実績!F1463)</f>
        <v/>
      </c>
      <c r="G1462" t="str">
        <f t="shared" si="242"/>
        <v/>
      </c>
      <c r="H1462">
        <f>IF(B1462&lt;&gt;"", SUMIFS(ポートフォリオ実績!$D$2:$D$2001, ポートフォリオ実績!$B$2:$B$2001, B1462, ポートフォリオ実績!$A$2:$A$2001, G1462), 0)</f>
        <v>0</v>
      </c>
      <c r="I1462">
        <f>IF(B1462&lt;&gt;"", SUMIFS(ポートフォリオ実績!$C$2:$C$2001, ポートフォリオ実績!$B$2:$B$2001, B1462, ポートフォリオ実績!$A$2:$A$2001, G1462), 0)</f>
        <v>0</v>
      </c>
      <c r="J1462">
        <f t="shared" si="243"/>
        <v>0</v>
      </c>
      <c r="K1462">
        <f t="shared" si="244"/>
        <v>0</v>
      </c>
      <c r="L1462">
        <f t="shared" si="245"/>
        <v>0</v>
      </c>
      <c r="M1462">
        <f t="shared" si="246"/>
        <v>0</v>
      </c>
      <c r="N1462">
        <f t="shared" si="247"/>
        <v>0</v>
      </c>
      <c r="O1462">
        <f t="shared" si="248"/>
        <v>0</v>
      </c>
      <c r="P1462" t="str">
        <f t="shared" si="249"/>
        <v/>
      </c>
      <c r="Q1462" t="str">
        <f>IF(B1462="","", IFERROR(VLOOKUP(B1462, '基準資産配分（設定）'!$A$2:$C$2001, 3, FALSE), ""))</f>
        <v/>
      </c>
      <c r="R1462" t="str">
        <f>IF(B1462="","", IFERROR(VLOOKUP(B1462, '基準資産配分（設定）'!$A$2:$C$2001, 2, FALSE)/100, 0))</f>
        <v/>
      </c>
      <c r="S1462" t="str">
        <f>IF(B1462="","", IFERROR(SUMIFS(ベンチマークリターン!$C$2:$C$2001, ベンチマークリターン!$A$2:$A$2001, A1462, ベンチマークリターン!$B$2:$B$2001, Q1462) / 100, 0))</f>
        <v/>
      </c>
      <c r="T1462" t="str">
        <f>IF(A1462="","", SUMIFS($H$2:$H$2000, $A$2:$A$2000, A1462))</f>
        <v/>
      </c>
      <c r="U1462" t="str">
        <f t="shared" si="250"/>
        <v/>
      </c>
      <c r="V1462" t="str">
        <f t="shared" si="251"/>
        <v/>
      </c>
      <c r="W1462" t="str">
        <f t="shared" si="252"/>
        <v/>
      </c>
    </row>
    <row r="1463" spans="1:23" x14ac:dyDescent="0.2">
      <c r="A1463" s="4" t="str">
        <f>IF(ポートフォリオ実績!A1464="","", ポートフォリオ実績!A1464)</f>
        <v/>
      </c>
      <c r="B1463" t="str">
        <f>IF(ポートフォリオ実績!B1464="","", ポートフォリオ実績!B1464)</f>
        <v/>
      </c>
      <c r="C1463" s="10" t="str">
        <f>IF(ポートフォリオ実績!C1464="","", ポートフォリオ実績!C1464)</f>
        <v/>
      </c>
      <c r="D1463" s="10" t="str">
        <f>IF(ポートフォリオ実績!D1464="","", ポートフォリオ実績!D1464)</f>
        <v/>
      </c>
      <c r="E1463" s="10" t="str">
        <f>IF(ポートフォリオ実績!E1464="","", ポートフォリオ実績!E1464)</f>
        <v/>
      </c>
      <c r="F1463" s="10" t="str">
        <f>IF(ポートフォリオ実績!F1464="","", ポートフォリオ実績!F1464)</f>
        <v/>
      </c>
      <c r="G1463" t="str">
        <f t="shared" si="242"/>
        <v/>
      </c>
      <c r="H1463">
        <f>IF(B1463&lt;&gt;"", SUMIFS(ポートフォリオ実績!$D$2:$D$2001, ポートフォリオ実績!$B$2:$B$2001, B1463, ポートフォリオ実績!$A$2:$A$2001, G1463), 0)</f>
        <v>0</v>
      </c>
      <c r="I1463">
        <f>IF(B1463&lt;&gt;"", SUMIFS(ポートフォリオ実績!$C$2:$C$2001, ポートフォリオ実績!$B$2:$B$2001, B1463, ポートフォリオ実績!$A$2:$A$2001, G1463), 0)</f>
        <v>0</v>
      </c>
      <c r="J1463">
        <f t="shared" si="243"/>
        <v>0</v>
      </c>
      <c r="K1463">
        <f t="shared" si="244"/>
        <v>0</v>
      </c>
      <c r="L1463">
        <f t="shared" si="245"/>
        <v>0</v>
      </c>
      <c r="M1463">
        <f t="shared" si="246"/>
        <v>0</v>
      </c>
      <c r="N1463">
        <f t="shared" si="247"/>
        <v>0</v>
      </c>
      <c r="O1463">
        <f t="shared" si="248"/>
        <v>0</v>
      </c>
      <c r="P1463" t="str">
        <f t="shared" si="249"/>
        <v/>
      </c>
      <c r="Q1463" t="str">
        <f>IF(B1463="","", IFERROR(VLOOKUP(B1463, '基準資産配分（設定）'!$A$2:$C$2001, 3, FALSE), ""))</f>
        <v/>
      </c>
      <c r="R1463" t="str">
        <f>IF(B1463="","", IFERROR(VLOOKUP(B1463, '基準資産配分（設定）'!$A$2:$C$2001, 2, FALSE)/100, 0))</f>
        <v/>
      </c>
      <c r="S1463" t="str">
        <f>IF(B1463="","", IFERROR(SUMIFS(ベンチマークリターン!$C$2:$C$2001, ベンチマークリターン!$A$2:$A$2001, A1463, ベンチマークリターン!$B$2:$B$2001, Q1463) / 100, 0))</f>
        <v/>
      </c>
      <c r="T1463" t="str">
        <f>IF(A1463="","", SUMIFS($H$2:$H$2000, $A$2:$A$2000, A1463))</f>
        <v/>
      </c>
      <c r="U1463" t="str">
        <f t="shared" si="250"/>
        <v/>
      </c>
      <c r="V1463" t="str">
        <f t="shared" si="251"/>
        <v/>
      </c>
      <c r="W1463" t="str">
        <f t="shared" si="252"/>
        <v/>
      </c>
    </row>
    <row r="1464" spans="1:23" x14ac:dyDescent="0.2">
      <c r="A1464" s="4" t="str">
        <f>IF(ポートフォリオ実績!A1465="","", ポートフォリオ実績!A1465)</f>
        <v/>
      </c>
      <c r="B1464" t="str">
        <f>IF(ポートフォリオ実績!B1465="","", ポートフォリオ実績!B1465)</f>
        <v/>
      </c>
      <c r="C1464" s="10" t="str">
        <f>IF(ポートフォリオ実績!C1465="","", ポートフォリオ実績!C1465)</f>
        <v/>
      </c>
      <c r="D1464" s="10" t="str">
        <f>IF(ポートフォリオ実績!D1465="","", ポートフォリオ実績!D1465)</f>
        <v/>
      </c>
      <c r="E1464" s="10" t="str">
        <f>IF(ポートフォリオ実績!E1465="","", ポートフォリオ実績!E1465)</f>
        <v/>
      </c>
      <c r="F1464" s="10" t="str">
        <f>IF(ポートフォリオ実績!F1465="","", ポートフォリオ実績!F1465)</f>
        <v/>
      </c>
      <c r="G1464" t="str">
        <f t="shared" si="242"/>
        <v/>
      </c>
      <c r="H1464">
        <f>IF(B1464&lt;&gt;"", SUMIFS(ポートフォリオ実績!$D$2:$D$2001, ポートフォリオ実績!$B$2:$B$2001, B1464, ポートフォリオ実績!$A$2:$A$2001, G1464), 0)</f>
        <v>0</v>
      </c>
      <c r="I1464">
        <f>IF(B1464&lt;&gt;"", SUMIFS(ポートフォリオ実績!$C$2:$C$2001, ポートフォリオ実績!$B$2:$B$2001, B1464, ポートフォリオ実績!$A$2:$A$2001, G1464), 0)</f>
        <v>0</v>
      </c>
      <c r="J1464">
        <f t="shared" si="243"/>
        <v>0</v>
      </c>
      <c r="K1464">
        <f t="shared" si="244"/>
        <v>0</v>
      </c>
      <c r="L1464">
        <f t="shared" si="245"/>
        <v>0</v>
      </c>
      <c r="M1464">
        <f t="shared" si="246"/>
        <v>0</v>
      </c>
      <c r="N1464">
        <f t="shared" si="247"/>
        <v>0</v>
      </c>
      <c r="O1464">
        <f t="shared" si="248"/>
        <v>0</v>
      </c>
      <c r="P1464" t="str">
        <f t="shared" si="249"/>
        <v/>
      </c>
      <c r="Q1464" t="str">
        <f>IF(B1464="","", IFERROR(VLOOKUP(B1464, '基準資産配分（設定）'!$A$2:$C$2001, 3, FALSE), ""))</f>
        <v/>
      </c>
      <c r="R1464" t="str">
        <f>IF(B1464="","", IFERROR(VLOOKUP(B1464, '基準資産配分（設定）'!$A$2:$C$2001, 2, FALSE)/100, 0))</f>
        <v/>
      </c>
      <c r="S1464" t="str">
        <f>IF(B1464="","", IFERROR(SUMIFS(ベンチマークリターン!$C$2:$C$2001, ベンチマークリターン!$A$2:$A$2001, A1464, ベンチマークリターン!$B$2:$B$2001, Q1464) / 100, 0))</f>
        <v/>
      </c>
      <c r="T1464" t="str">
        <f>IF(A1464="","", SUMIFS($H$2:$H$2000, $A$2:$A$2000, A1464))</f>
        <v/>
      </c>
      <c r="U1464" t="str">
        <f t="shared" si="250"/>
        <v/>
      </c>
      <c r="V1464" t="str">
        <f t="shared" si="251"/>
        <v/>
      </c>
      <c r="W1464" t="str">
        <f t="shared" si="252"/>
        <v/>
      </c>
    </row>
    <row r="1465" spans="1:23" x14ac:dyDescent="0.2">
      <c r="A1465" s="4" t="str">
        <f>IF(ポートフォリオ実績!A1466="","", ポートフォリオ実績!A1466)</f>
        <v/>
      </c>
      <c r="B1465" t="str">
        <f>IF(ポートフォリオ実績!B1466="","", ポートフォリオ実績!B1466)</f>
        <v/>
      </c>
      <c r="C1465" s="10" t="str">
        <f>IF(ポートフォリオ実績!C1466="","", ポートフォリオ実績!C1466)</f>
        <v/>
      </c>
      <c r="D1465" s="10" t="str">
        <f>IF(ポートフォリオ実績!D1466="","", ポートフォリオ実績!D1466)</f>
        <v/>
      </c>
      <c r="E1465" s="10" t="str">
        <f>IF(ポートフォリオ実績!E1466="","", ポートフォリオ実績!E1466)</f>
        <v/>
      </c>
      <c r="F1465" s="10" t="str">
        <f>IF(ポートフォリオ実績!F1466="","", ポートフォリオ実績!F1466)</f>
        <v/>
      </c>
      <c r="G1465" t="str">
        <f t="shared" si="242"/>
        <v/>
      </c>
      <c r="H1465">
        <f>IF(B1465&lt;&gt;"", SUMIFS(ポートフォリオ実績!$D$2:$D$2001, ポートフォリオ実績!$B$2:$B$2001, B1465, ポートフォリオ実績!$A$2:$A$2001, G1465), 0)</f>
        <v>0</v>
      </c>
      <c r="I1465">
        <f>IF(B1465&lt;&gt;"", SUMIFS(ポートフォリオ実績!$C$2:$C$2001, ポートフォリオ実績!$B$2:$B$2001, B1465, ポートフォリオ実績!$A$2:$A$2001, G1465), 0)</f>
        <v>0</v>
      </c>
      <c r="J1465">
        <f t="shared" si="243"/>
        <v>0</v>
      </c>
      <c r="K1465">
        <f t="shared" si="244"/>
        <v>0</v>
      </c>
      <c r="L1465">
        <f t="shared" si="245"/>
        <v>0</v>
      </c>
      <c r="M1465">
        <f t="shared" si="246"/>
        <v>0</v>
      </c>
      <c r="N1465">
        <f t="shared" si="247"/>
        <v>0</v>
      </c>
      <c r="O1465">
        <f t="shared" si="248"/>
        <v>0</v>
      </c>
      <c r="P1465" t="str">
        <f t="shared" si="249"/>
        <v/>
      </c>
      <c r="Q1465" t="str">
        <f>IF(B1465="","", IFERROR(VLOOKUP(B1465, '基準資産配分（設定）'!$A$2:$C$2001, 3, FALSE), ""))</f>
        <v/>
      </c>
      <c r="R1465" t="str">
        <f>IF(B1465="","", IFERROR(VLOOKUP(B1465, '基準資産配分（設定）'!$A$2:$C$2001, 2, FALSE)/100, 0))</f>
        <v/>
      </c>
      <c r="S1465" t="str">
        <f>IF(B1465="","", IFERROR(SUMIFS(ベンチマークリターン!$C$2:$C$2001, ベンチマークリターン!$A$2:$A$2001, A1465, ベンチマークリターン!$B$2:$B$2001, Q1465) / 100, 0))</f>
        <v/>
      </c>
      <c r="T1465" t="str">
        <f>IF(A1465="","", SUMIFS($H$2:$H$2000, $A$2:$A$2000, A1465))</f>
        <v/>
      </c>
      <c r="U1465" t="str">
        <f t="shared" si="250"/>
        <v/>
      </c>
      <c r="V1465" t="str">
        <f t="shared" si="251"/>
        <v/>
      </c>
      <c r="W1465" t="str">
        <f t="shared" si="252"/>
        <v/>
      </c>
    </row>
    <row r="1466" spans="1:23" x14ac:dyDescent="0.2">
      <c r="A1466" s="4" t="str">
        <f>IF(ポートフォリオ実績!A1467="","", ポートフォリオ実績!A1467)</f>
        <v/>
      </c>
      <c r="B1466" t="str">
        <f>IF(ポートフォリオ実績!B1467="","", ポートフォリオ実績!B1467)</f>
        <v/>
      </c>
      <c r="C1466" s="10" t="str">
        <f>IF(ポートフォリオ実績!C1467="","", ポートフォリオ実績!C1467)</f>
        <v/>
      </c>
      <c r="D1466" s="10" t="str">
        <f>IF(ポートフォリオ実績!D1467="","", ポートフォリオ実績!D1467)</f>
        <v/>
      </c>
      <c r="E1466" s="10" t="str">
        <f>IF(ポートフォリオ実績!E1467="","", ポートフォリオ実績!E1467)</f>
        <v/>
      </c>
      <c r="F1466" s="10" t="str">
        <f>IF(ポートフォリオ実績!F1467="","", ポートフォリオ実績!F1467)</f>
        <v/>
      </c>
      <c r="G1466" t="str">
        <f t="shared" si="242"/>
        <v/>
      </c>
      <c r="H1466">
        <f>IF(B1466&lt;&gt;"", SUMIFS(ポートフォリオ実績!$D$2:$D$2001, ポートフォリオ実績!$B$2:$B$2001, B1466, ポートフォリオ実績!$A$2:$A$2001, G1466), 0)</f>
        <v>0</v>
      </c>
      <c r="I1466">
        <f>IF(B1466&lt;&gt;"", SUMIFS(ポートフォリオ実績!$C$2:$C$2001, ポートフォリオ実績!$B$2:$B$2001, B1466, ポートフォリオ実績!$A$2:$A$2001, G1466), 0)</f>
        <v>0</v>
      </c>
      <c r="J1466">
        <f t="shared" si="243"/>
        <v>0</v>
      </c>
      <c r="K1466">
        <f t="shared" si="244"/>
        <v>0</v>
      </c>
      <c r="L1466">
        <f t="shared" si="245"/>
        <v>0</v>
      </c>
      <c r="M1466">
        <f t="shared" si="246"/>
        <v>0</v>
      </c>
      <c r="N1466">
        <f t="shared" si="247"/>
        <v>0</v>
      </c>
      <c r="O1466">
        <f t="shared" si="248"/>
        <v>0</v>
      </c>
      <c r="P1466" t="str">
        <f t="shared" si="249"/>
        <v/>
      </c>
      <c r="Q1466" t="str">
        <f>IF(B1466="","", IFERROR(VLOOKUP(B1466, '基準資産配分（設定）'!$A$2:$C$2001, 3, FALSE), ""))</f>
        <v/>
      </c>
      <c r="R1466" t="str">
        <f>IF(B1466="","", IFERROR(VLOOKUP(B1466, '基準資産配分（設定）'!$A$2:$C$2001, 2, FALSE)/100, 0))</f>
        <v/>
      </c>
      <c r="S1466" t="str">
        <f>IF(B1466="","", IFERROR(SUMIFS(ベンチマークリターン!$C$2:$C$2001, ベンチマークリターン!$A$2:$A$2001, A1466, ベンチマークリターン!$B$2:$B$2001, Q1466) / 100, 0))</f>
        <v/>
      </c>
      <c r="T1466" t="str">
        <f>IF(A1466="","", SUMIFS($H$2:$H$2000, $A$2:$A$2000, A1466))</f>
        <v/>
      </c>
      <c r="U1466" t="str">
        <f t="shared" si="250"/>
        <v/>
      </c>
      <c r="V1466" t="str">
        <f t="shared" si="251"/>
        <v/>
      </c>
      <c r="W1466" t="str">
        <f t="shared" si="252"/>
        <v/>
      </c>
    </row>
    <row r="1467" spans="1:23" x14ac:dyDescent="0.2">
      <c r="A1467" s="4" t="str">
        <f>IF(ポートフォリオ実績!A1468="","", ポートフォリオ実績!A1468)</f>
        <v/>
      </c>
      <c r="B1467" t="str">
        <f>IF(ポートフォリオ実績!B1468="","", ポートフォリオ実績!B1468)</f>
        <v/>
      </c>
      <c r="C1467" s="10" t="str">
        <f>IF(ポートフォリオ実績!C1468="","", ポートフォリオ実績!C1468)</f>
        <v/>
      </c>
      <c r="D1467" s="10" t="str">
        <f>IF(ポートフォリオ実績!D1468="","", ポートフォリオ実績!D1468)</f>
        <v/>
      </c>
      <c r="E1467" s="10" t="str">
        <f>IF(ポートフォリオ実績!E1468="","", ポートフォリオ実績!E1468)</f>
        <v/>
      </c>
      <c r="F1467" s="10" t="str">
        <f>IF(ポートフォリオ実績!F1468="","", ポートフォリオ実績!F1468)</f>
        <v/>
      </c>
      <c r="G1467" t="str">
        <f t="shared" si="242"/>
        <v/>
      </c>
      <c r="H1467">
        <f>IF(B1467&lt;&gt;"", SUMIFS(ポートフォリオ実績!$D$2:$D$2001, ポートフォリオ実績!$B$2:$B$2001, B1467, ポートフォリオ実績!$A$2:$A$2001, G1467), 0)</f>
        <v>0</v>
      </c>
      <c r="I1467">
        <f>IF(B1467&lt;&gt;"", SUMIFS(ポートフォリオ実績!$C$2:$C$2001, ポートフォリオ実績!$B$2:$B$2001, B1467, ポートフォリオ実績!$A$2:$A$2001, G1467), 0)</f>
        <v>0</v>
      </c>
      <c r="J1467">
        <f t="shared" si="243"/>
        <v>0</v>
      </c>
      <c r="K1467">
        <f t="shared" si="244"/>
        <v>0</v>
      </c>
      <c r="L1467">
        <f t="shared" si="245"/>
        <v>0</v>
      </c>
      <c r="M1467">
        <f t="shared" si="246"/>
        <v>0</v>
      </c>
      <c r="N1467">
        <f t="shared" si="247"/>
        <v>0</v>
      </c>
      <c r="O1467">
        <f t="shared" si="248"/>
        <v>0</v>
      </c>
      <c r="P1467" t="str">
        <f t="shared" si="249"/>
        <v/>
      </c>
      <c r="Q1467" t="str">
        <f>IF(B1467="","", IFERROR(VLOOKUP(B1467, '基準資産配分（設定）'!$A$2:$C$2001, 3, FALSE), ""))</f>
        <v/>
      </c>
      <c r="R1467" t="str">
        <f>IF(B1467="","", IFERROR(VLOOKUP(B1467, '基準資産配分（設定）'!$A$2:$C$2001, 2, FALSE)/100, 0))</f>
        <v/>
      </c>
      <c r="S1467" t="str">
        <f>IF(B1467="","", IFERROR(SUMIFS(ベンチマークリターン!$C$2:$C$2001, ベンチマークリターン!$A$2:$A$2001, A1467, ベンチマークリターン!$B$2:$B$2001, Q1467) / 100, 0))</f>
        <v/>
      </c>
      <c r="T1467" t="str">
        <f>IF(A1467="","", SUMIFS($H$2:$H$2000, $A$2:$A$2000, A1467))</f>
        <v/>
      </c>
      <c r="U1467" t="str">
        <f t="shared" si="250"/>
        <v/>
      </c>
      <c r="V1467" t="str">
        <f t="shared" si="251"/>
        <v/>
      </c>
      <c r="W1467" t="str">
        <f t="shared" si="252"/>
        <v/>
      </c>
    </row>
    <row r="1468" spans="1:23" x14ac:dyDescent="0.2">
      <c r="A1468" s="4" t="str">
        <f>IF(ポートフォリオ実績!A1469="","", ポートフォリオ実績!A1469)</f>
        <v/>
      </c>
      <c r="B1468" t="str">
        <f>IF(ポートフォリオ実績!B1469="","", ポートフォリオ実績!B1469)</f>
        <v/>
      </c>
      <c r="C1468" s="10" t="str">
        <f>IF(ポートフォリオ実績!C1469="","", ポートフォリオ実績!C1469)</f>
        <v/>
      </c>
      <c r="D1468" s="10" t="str">
        <f>IF(ポートフォリオ実績!D1469="","", ポートフォリオ実績!D1469)</f>
        <v/>
      </c>
      <c r="E1468" s="10" t="str">
        <f>IF(ポートフォリオ実績!E1469="","", ポートフォリオ実績!E1469)</f>
        <v/>
      </c>
      <c r="F1468" s="10" t="str">
        <f>IF(ポートフォリオ実績!F1469="","", ポートフォリオ実績!F1469)</f>
        <v/>
      </c>
      <c r="G1468" t="str">
        <f t="shared" si="242"/>
        <v/>
      </c>
      <c r="H1468">
        <f>IF(B1468&lt;&gt;"", SUMIFS(ポートフォリオ実績!$D$2:$D$2001, ポートフォリオ実績!$B$2:$B$2001, B1468, ポートフォリオ実績!$A$2:$A$2001, G1468), 0)</f>
        <v>0</v>
      </c>
      <c r="I1468">
        <f>IF(B1468&lt;&gt;"", SUMIFS(ポートフォリオ実績!$C$2:$C$2001, ポートフォリオ実績!$B$2:$B$2001, B1468, ポートフォリオ実績!$A$2:$A$2001, G1468), 0)</f>
        <v>0</v>
      </c>
      <c r="J1468">
        <f t="shared" si="243"/>
        <v>0</v>
      </c>
      <c r="K1468">
        <f t="shared" si="244"/>
        <v>0</v>
      </c>
      <c r="L1468">
        <f t="shared" si="245"/>
        <v>0</v>
      </c>
      <c r="M1468">
        <f t="shared" si="246"/>
        <v>0</v>
      </c>
      <c r="N1468">
        <f t="shared" si="247"/>
        <v>0</v>
      </c>
      <c r="O1468">
        <f t="shared" si="248"/>
        <v>0</v>
      </c>
      <c r="P1468" t="str">
        <f t="shared" si="249"/>
        <v/>
      </c>
      <c r="Q1468" t="str">
        <f>IF(B1468="","", IFERROR(VLOOKUP(B1468, '基準資産配分（設定）'!$A$2:$C$2001, 3, FALSE), ""))</f>
        <v/>
      </c>
      <c r="R1468" t="str">
        <f>IF(B1468="","", IFERROR(VLOOKUP(B1468, '基準資産配分（設定）'!$A$2:$C$2001, 2, FALSE)/100, 0))</f>
        <v/>
      </c>
      <c r="S1468" t="str">
        <f>IF(B1468="","", IFERROR(SUMIFS(ベンチマークリターン!$C$2:$C$2001, ベンチマークリターン!$A$2:$A$2001, A1468, ベンチマークリターン!$B$2:$B$2001, Q1468) / 100, 0))</f>
        <v/>
      </c>
      <c r="T1468" t="str">
        <f>IF(A1468="","", SUMIFS($H$2:$H$2000, $A$2:$A$2000, A1468))</f>
        <v/>
      </c>
      <c r="U1468" t="str">
        <f t="shared" si="250"/>
        <v/>
      </c>
      <c r="V1468" t="str">
        <f t="shared" si="251"/>
        <v/>
      </c>
      <c r="W1468" t="str">
        <f t="shared" si="252"/>
        <v/>
      </c>
    </row>
    <row r="1469" spans="1:23" x14ac:dyDescent="0.2">
      <c r="A1469" s="4" t="str">
        <f>IF(ポートフォリオ実績!A1470="","", ポートフォリオ実績!A1470)</f>
        <v/>
      </c>
      <c r="B1469" t="str">
        <f>IF(ポートフォリオ実績!B1470="","", ポートフォリオ実績!B1470)</f>
        <v/>
      </c>
      <c r="C1469" s="10" t="str">
        <f>IF(ポートフォリオ実績!C1470="","", ポートフォリオ実績!C1470)</f>
        <v/>
      </c>
      <c r="D1469" s="10" t="str">
        <f>IF(ポートフォリオ実績!D1470="","", ポートフォリオ実績!D1470)</f>
        <v/>
      </c>
      <c r="E1469" s="10" t="str">
        <f>IF(ポートフォリオ実績!E1470="","", ポートフォリオ実績!E1470)</f>
        <v/>
      </c>
      <c r="F1469" s="10" t="str">
        <f>IF(ポートフォリオ実績!F1470="","", ポートフォリオ実績!F1470)</f>
        <v/>
      </c>
      <c r="G1469" t="str">
        <f t="shared" si="242"/>
        <v/>
      </c>
      <c r="H1469">
        <f>IF(B1469&lt;&gt;"", SUMIFS(ポートフォリオ実績!$D$2:$D$2001, ポートフォリオ実績!$B$2:$B$2001, B1469, ポートフォリオ実績!$A$2:$A$2001, G1469), 0)</f>
        <v>0</v>
      </c>
      <c r="I1469">
        <f>IF(B1469&lt;&gt;"", SUMIFS(ポートフォリオ実績!$C$2:$C$2001, ポートフォリオ実績!$B$2:$B$2001, B1469, ポートフォリオ実績!$A$2:$A$2001, G1469), 0)</f>
        <v>0</v>
      </c>
      <c r="J1469">
        <f t="shared" si="243"/>
        <v>0</v>
      </c>
      <c r="K1469">
        <f t="shared" si="244"/>
        <v>0</v>
      </c>
      <c r="L1469">
        <f t="shared" si="245"/>
        <v>0</v>
      </c>
      <c r="M1469">
        <f t="shared" si="246"/>
        <v>0</v>
      </c>
      <c r="N1469">
        <f t="shared" si="247"/>
        <v>0</v>
      </c>
      <c r="O1469">
        <f t="shared" si="248"/>
        <v>0</v>
      </c>
      <c r="P1469" t="str">
        <f t="shared" si="249"/>
        <v/>
      </c>
      <c r="Q1469" t="str">
        <f>IF(B1469="","", IFERROR(VLOOKUP(B1469, '基準資産配分（設定）'!$A$2:$C$2001, 3, FALSE), ""))</f>
        <v/>
      </c>
      <c r="R1469" t="str">
        <f>IF(B1469="","", IFERROR(VLOOKUP(B1469, '基準資産配分（設定）'!$A$2:$C$2001, 2, FALSE)/100, 0))</f>
        <v/>
      </c>
      <c r="S1469" t="str">
        <f>IF(B1469="","", IFERROR(SUMIFS(ベンチマークリターン!$C$2:$C$2001, ベンチマークリターン!$A$2:$A$2001, A1469, ベンチマークリターン!$B$2:$B$2001, Q1469) / 100, 0))</f>
        <v/>
      </c>
      <c r="T1469" t="str">
        <f>IF(A1469="","", SUMIFS($H$2:$H$2000, $A$2:$A$2000, A1469))</f>
        <v/>
      </c>
      <c r="U1469" t="str">
        <f t="shared" si="250"/>
        <v/>
      </c>
      <c r="V1469" t="str">
        <f t="shared" si="251"/>
        <v/>
      </c>
      <c r="W1469" t="str">
        <f t="shared" si="252"/>
        <v/>
      </c>
    </row>
    <row r="1470" spans="1:23" x14ac:dyDescent="0.2">
      <c r="A1470" s="4" t="str">
        <f>IF(ポートフォリオ実績!A1471="","", ポートフォリオ実績!A1471)</f>
        <v/>
      </c>
      <c r="B1470" t="str">
        <f>IF(ポートフォリオ実績!B1471="","", ポートフォリオ実績!B1471)</f>
        <v/>
      </c>
      <c r="C1470" s="10" t="str">
        <f>IF(ポートフォリオ実績!C1471="","", ポートフォリオ実績!C1471)</f>
        <v/>
      </c>
      <c r="D1470" s="10" t="str">
        <f>IF(ポートフォリオ実績!D1471="","", ポートフォリオ実績!D1471)</f>
        <v/>
      </c>
      <c r="E1470" s="10" t="str">
        <f>IF(ポートフォリオ実績!E1471="","", ポートフォリオ実績!E1471)</f>
        <v/>
      </c>
      <c r="F1470" s="10" t="str">
        <f>IF(ポートフォリオ実績!F1471="","", ポートフォリオ実績!F1471)</f>
        <v/>
      </c>
      <c r="G1470" t="str">
        <f t="shared" si="242"/>
        <v/>
      </c>
      <c r="H1470">
        <f>IF(B1470&lt;&gt;"", SUMIFS(ポートフォリオ実績!$D$2:$D$2001, ポートフォリオ実績!$B$2:$B$2001, B1470, ポートフォリオ実績!$A$2:$A$2001, G1470), 0)</f>
        <v>0</v>
      </c>
      <c r="I1470">
        <f>IF(B1470&lt;&gt;"", SUMIFS(ポートフォリオ実績!$C$2:$C$2001, ポートフォリオ実績!$B$2:$B$2001, B1470, ポートフォリオ実績!$A$2:$A$2001, G1470), 0)</f>
        <v>0</v>
      </c>
      <c r="J1470">
        <f t="shared" si="243"/>
        <v>0</v>
      </c>
      <c r="K1470">
        <f t="shared" si="244"/>
        <v>0</v>
      </c>
      <c r="L1470">
        <f t="shared" si="245"/>
        <v>0</v>
      </c>
      <c r="M1470">
        <f t="shared" si="246"/>
        <v>0</v>
      </c>
      <c r="N1470">
        <f t="shared" si="247"/>
        <v>0</v>
      </c>
      <c r="O1470">
        <f t="shared" si="248"/>
        <v>0</v>
      </c>
      <c r="P1470" t="str">
        <f t="shared" si="249"/>
        <v/>
      </c>
      <c r="Q1470" t="str">
        <f>IF(B1470="","", IFERROR(VLOOKUP(B1470, '基準資産配分（設定）'!$A$2:$C$2001, 3, FALSE), ""))</f>
        <v/>
      </c>
      <c r="R1470" t="str">
        <f>IF(B1470="","", IFERROR(VLOOKUP(B1470, '基準資産配分（設定）'!$A$2:$C$2001, 2, FALSE)/100, 0))</f>
        <v/>
      </c>
      <c r="S1470" t="str">
        <f>IF(B1470="","", IFERROR(SUMIFS(ベンチマークリターン!$C$2:$C$2001, ベンチマークリターン!$A$2:$A$2001, A1470, ベンチマークリターン!$B$2:$B$2001, Q1470) / 100, 0))</f>
        <v/>
      </c>
      <c r="T1470" t="str">
        <f>IF(A1470="","", SUMIFS($H$2:$H$2000, $A$2:$A$2000, A1470))</f>
        <v/>
      </c>
      <c r="U1470" t="str">
        <f t="shared" si="250"/>
        <v/>
      </c>
      <c r="V1470" t="str">
        <f t="shared" si="251"/>
        <v/>
      </c>
      <c r="W1470" t="str">
        <f t="shared" si="252"/>
        <v/>
      </c>
    </row>
    <row r="1471" spans="1:23" x14ac:dyDescent="0.2">
      <c r="A1471" s="4" t="str">
        <f>IF(ポートフォリオ実績!A1472="","", ポートフォリオ実績!A1472)</f>
        <v/>
      </c>
      <c r="B1471" t="str">
        <f>IF(ポートフォリオ実績!B1472="","", ポートフォリオ実績!B1472)</f>
        <v/>
      </c>
      <c r="C1471" s="10" t="str">
        <f>IF(ポートフォリオ実績!C1472="","", ポートフォリオ実績!C1472)</f>
        <v/>
      </c>
      <c r="D1471" s="10" t="str">
        <f>IF(ポートフォリオ実績!D1472="","", ポートフォリオ実績!D1472)</f>
        <v/>
      </c>
      <c r="E1471" s="10" t="str">
        <f>IF(ポートフォリオ実績!E1472="","", ポートフォリオ実績!E1472)</f>
        <v/>
      </c>
      <c r="F1471" s="10" t="str">
        <f>IF(ポートフォリオ実績!F1472="","", ポートフォリオ実績!F1472)</f>
        <v/>
      </c>
      <c r="G1471" t="str">
        <f t="shared" si="242"/>
        <v/>
      </c>
      <c r="H1471">
        <f>IF(B1471&lt;&gt;"", SUMIFS(ポートフォリオ実績!$D$2:$D$2001, ポートフォリオ実績!$B$2:$B$2001, B1471, ポートフォリオ実績!$A$2:$A$2001, G1471), 0)</f>
        <v>0</v>
      </c>
      <c r="I1471">
        <f>IF(B1471&lt;&gt;"", SUMIFS(ポートフォリオ実績!$C$2:$C$2001, ポートフォリオ実績!$B$2:$B$2001, B1471, ポートフォリオ実績!$A$2:$A$2001, G1471), 0)</f>
        <v>0</v>
      </c>
      <c r="J1471">
        <f t="shared" si="243"/>
        <v>0</v>
      </c>
      <c r="K1471">
        <f t="shared" si="244"/>
        <v>0</v>
      </c>
      <c r="L1471">
        <f t="shared" si="245"/>
        <v>0</v>
      </c>
      <c r="M1471">
        <f t="shared" si="246"/>
        <v>0</v>
      </c>
      <c r="N1471">
        <f t="shared" si="247"/>
        <v>0</v>
      </c>
      <c r="O1471">
        <f t="shared" si="248"/>
        <v>0</v>
      </c>
      <c r="P1471" t="str">
        <f t="shared" si="249"/>
        <v/>
      </c>
      <c r="Q1471" t="str">
        <f>IF(B1471="","", IFERROR(VLOOKUP(B1471, '基準資産配分（設定）'!$A$2:$C$2001, 3, FALSE), ""))</f>
        <v/>
      </c>
      <c r="R1471" t="str">
        <f>IF(B1471="","", IFERROR(VLOOKUP(B1471, '基準資産配分（設定）'!$A$2:$C$2001, 2, FALSE)/100, 0))</f>
        <v/>
      </c>
      <c r="S1471" t="str">
        <f>IF(B1471="","", IFERROR(SUMIFS(ベンチマークリターン!$C$2:$C$2001, ベンチマークリターン!$A$2:$A$2001, A1471, ベンチマークリターン!$B$2:$B$2001, Q1471) / 100, 0))</f>
        <v/>
      </c>
      <c r="T1471" t="str">
        <f>IF(A1471="","", SUMIFS($H$2:$H$2000, $A$2:$A$2000, A1471))</f>
        <v/>
      </c>
      <c r="U1471" t="str">
        <f t="shared" si="250"/>
        <v/>
      </c>
      <c r="V1471" t="str">
        <f t="shared" si="251"/>
        <v/>
      </c>
      <c r="W1471" t="str">
        <f t="shared" si="252"/>
        <v/>
      </c>
    </row>
    <row r="1472" spans="1:23" x14ac:dyDescent="0.2">
      <c r="A1472" s="4" t="str">
        <f>IF(ポートフォリオ実績!A1473="","", ポートフォリオ実績!A1473)</f>
        <v/>
      </c>
      <c r="B1472" t="str">
        <f>IF(ポートフォリオ実績!B1473="","", ポートフォリオ実績!B1473)</f>
        <v/>
      </c>
      <c r="C1472" s="10" t="str">
        <f>IF(ポートフォリオ実績!C1473="","", ポートフォリオ実績!C1473)</f>
        <v/>
      </c>
      <c r="D1472" s="10" t="str">
        <f>IF(ポートフォリオ実績!D1473="","", ポートフォリオ実績!D1473)</f>
        <v/>
      </c>
      <c r="E1472" s="10" t="str">
        <f>IF(ポートフォリオ実績!E1473="","", ポートフォリオ実績!E1473)</f>
        <v/>
      </c>
      <c r="F1472" s="10" t="str">
        <f>IF(ポートフォリオ実績!F1473="","", ポートフォリオ実績!F1473)</f>
        <v/>
      </c>
      <c r="G1472" t="str">
        <f t="shared" si="242"/>
        <v/>
      </c>
      <c r="H1472">
        <f>IF(B1472&lt;&gt;"", SUMIFS(ポートフォリオ実績!$D$2:$D$2001, ポートフォリオ実績!$B$2:$B$2001, B1472, ポートフォリオ実績!$A$2:$A$2001, G1472), 0)</f>
        <v>0</v>
      </c>
      <c r="I1472">
        <f>IF(B1472&lt;&gt;"", SUMIFS(ポートフォリオ実績!$C$2:$C$2001, ポートフォリオ実績!$B$2:$B$2001, B1472, ポートフォリオ実績!$A$2:$A$2001, G1472), 0)</f>
        <v>0</v>
      </c>
      <c r="J1472">
        <f t="shared" si="243"/>
        <v>0</v>
      </c>
      <c r="K1472">
        <f t="shared" si="244"/>
        <v>0</v>
      </c>
      <c r="L1472">
        <f t="shared" si="245"/>
        <v>0</v>
      </c>
      <c r="M1472">
        <f t="shared" si="246"/>
        <v>0</v>
      </c>
      <c r="N1472">
        <f t="shared" si="247"/>
        <v>0</v>
      </c>
      <c r="O1472">
        <f t="shared" si="248"/>
        <v>0</v>
      </c>
      <c r="P1472" t="str">
        <f t="shared" si="249"/>
        <v/>
      </c>
      <c r="Q1472" t="str">
        <f>IF(B1472="","", IFERROR(VLOOKUP(B1472, '基準資産配分（設定）'!$A$2:$C$2001, 3, FALSE), ""))</f>
        <v/>
      </c>
      <c r="R1472" t="str">
        <f>IF(B1472="","", IFERROR(VLOOKUP(B1472, '基準資産配分（設定）'!$A$2:$C$2001, 2, FALSE)/100, 0))</f>
        <v/>
      </c>
      <c r="S1472" t="str">
        <f>IF(B1472="","", IFERROR(SUMIFS(ベンチマークリターン!$C$2:$C$2001, ベンチマークリターン!$A$2:$A$2001, A1472, ベンチマークリターン!$B$2:$B$2001, Q1472) / 100, 0))</f>
        <v/>
      </c>
      <c r="T1472" t="str">
        <f>IF(A1472="","", SUMIFS($H$2:$H$2000, $A$2:$A$2000, A1472))</f>
        <v/>
      </c>
      <c r="U1472" t="str">
        <f t="shared" si="250"/>
        <v/>
      </c>
      <c r="V1472" t="str">
        <f t="shared" si="251"/>
        <v/>
      </c>
      <c r="W1472" t="str">
        <f t="shared" si="252"/>
        <v/>
      </c>
    </row>
    <row r="1473" spans="1:23" x14ac:dyDescent="0.2">
      <c r="A1473" s="4" t="str">
        <f>IF(ポートフォリオ実績!A1474="","", ポートフォリオ実績!A1474)</f>
        <v/>
      </c>
      <c r="B1473" t="str">
        <f>IF(ポートフォリオ実績!B1474="","", ポートフォリオ実績!B1474)</f>
        <v/>
      </c>
      <c r="C1473" s="10" t="str">
        <f>IF(ポートフォリオ実績!C1474="","", ポートフォリオ実績!C1474)</f>
        <v/>
      </c>
      <c r="D1473" s="10" t="str">
        <f>IF(ポートフォリオ実績!D1474="","", ポートフォリオ実績!D1474)</f>
        <v/>
      </c>
      <c r="E1473" s="10" t="str">
        <f>IF(ポートフォリオ実績!E1474="","", ポートフォリオ実績!E1474)</f>
        <v/>
      </c>
      <c r="F1473" s="10" t="str">
        <f>IF(ポートフォリオ実績!F1474="","", ポートフォリオ実績!F1474)</f>
        <v/>
      </c>
      <c r="G1473" t="str">
        <f t="shared" ref="G1473:G1536" si="253">IF(A1473&lt;&gt;"", EOMONTH(A1473, -1), "")</f>
        <v/>
      </c>
      <c r="H1473">
        <f>IF(B1473&lt;&gt;"", SUMIFS(ポートフォリオ実績!$D$2:$D$2001, ポートフォリオ実績!$B$2:$B$2001, B1473, ポートフォリオ実績!$A$2:$A$2001, G1473), 0)</f>
        <v>0</v>
      </c>
      <c r="I1473">
        <f>IF(B1473&lt;&gt;"", SUMIFS(ポートフォリオ実績!$C$2:$C$2001, ポートフォリオ実績!$B$2:$B$2001, B1473, ポートフォリオ実績!$A$2:$A$2001, G1473), 0)</f>
        <v>0</v>
      </c>
      <c r="J1473">
        <f t="shared" ref="J1473:J1536" si="254">IF(A1473&lt;&gt;"", D1473-C1473, 0)</f>
        <v>0</v>
      </c>
      <c r="K1473">
        <f t="shared" ref="K1473:K1536" si="255">IF(A1473&lt;&gt;"", H1473-I1473, 0)</f>
        <v>0</v>
      </c>
      <c r="L1473">
        <f t="shared" ref="L1473:L1536" si="256">IF(H1473=0, 0, J1473-K1473)</f>
        <v>0</v>
      </c>
      <c r="M1473">
        <f t="shared" ref="M1473:M1536" si="257">IF(A1473&lt;&gt;"", E1473+F1473+L1473, 0)</f>
        <v>0</v>
      </c>
      <c r="N1473">
        <f t="shared" ref="N1473:N1536" si="258">IF(H1473=0, 0, (D1473-H1473)-M1473)</f>
        <v>0</v>
      </c>
      <c r="O1473">
        <f t="shared" ref="O1473:O1536" si="259">IF(A1473&lt;&gt;"", H1473+N1473*0.5, 0)</f>
        <v>0</v>
      </c>
      <c r="P1473" t="str">
        <f t="shared" ref="P1473:P1536" si="260">IF(A1473="","", IF(O1473&gt;0.000001, M1473/O1473, IF(ABS(M1473)&lt;0.000001, 0, 0)))</f>
        <v/>
      </c>
      <c r="Q1473" t="str">
        <f>IF(B1473="","", IFERROR(VLOOKUP(B1473, '基準資産配分（設定）'!$A$2:$C$2001, 3, FALSE), ""))</f>
        <v/>
      </c>
      <c r="R1473" t="str">
        <f>IF(B1473="","", IFERROR(VLOOKUP(B1473, '基準資産配分（設定）'!$A$2:$C$2001, 2, FALSE)/100, 0))</f>
        <v/>
      </c>
      <c r="S1473" t="str">
        <f>IF(B1473="","", IFERROR(SUMIFS(ベンチマークリターン!$C$2:$C$2001, ベンチマークリターン!$A$2:$A$2001, A1473, ベンチマークリターン!$B$2:$B$2001, Q1473) / 100, 0))</f>
        <v/>
      </c>
      <c r="T1473" t="str">
        <f>IF(A1473="","", SUMIFS($H$2:$H$2000, $A$2:$A$2000, A1473))</f>
        <v/>
      </c>
      <c r="U1473" t="str">
        <f t="shared" ref="U1473:U1536" si="261">IF(A1473="","", IFERROR(H1473/T1473, 0))</f>
        <v/>
      </c>
      <c r="V1473" t="str">
        <f t="shared" ref="V1473:V1536" si="262">IF(A1473="","", U1473*P1473)</f>
        <v/>
      </c>
      <c r="W1473" t="str">
        <f t="shared" ref="W1473:W1536" si="263">IF(A1473="","", R1473*S1473)</f>
        <v/>
      </c>
    </row>
    <row r="1474" spans="1:23" x14ac:dyDescent="0.2">
      <c r="A1474" s="4" t="str">
        <f>IF(ポートフォリオ実績!A1475="","", ポートフォリオ実績!A1475)</f>
        <v/>
      </c>
      <c r="B1474" t="str">
        <f>IF(ポートフォリオ実績!B1475="","", ポートフォリオ実績!B1475)</f>
        <v/>
      </c>
      <c r="C1474" s="10" t="str">
        <f>IF(ポートフォリオ実績!C1475="","", ポートフォリオ実績!C1475)</f>
        <v/>
      </c>
      <c r="D1474" s="10" t="str">
        <f>IF(ポートフォリオ実績!D1475="","", ポートフォリオ実績!D1475)</f>
        <v/>
      </c>
      <c r="E1474" s="10" t="str">
        <f>IF(ポートフォリオ実績!E1475="","", ポートフォリオ実績!E1475)</f>
        <v/>
      </c>
      <c r="F1474" s="10" t="str">
        <f>IF(ポートフォリオ実績!F1475="","", ポートフォリオ実績!F1475)</f>
        <v/>
      </c>
      <c r="G1474" t="str">
        <f t="shared" si="253"/>
        <v/>
      </c>
      <c r="H1474">
        <f>IF(B1474&lt;&gt;"", SUMIFS(ポートフォリオ実績!$D$2:$D$2001, ポートフォリオ実績!$B$2:$B$2001, B1474, ポートフォリオ実績!$A$2:$A$2001, G1474), 0)</f>
        <v>0</v>
      </c>
      <c r="I1474">
        <f>IF(B1474&lt;&gt;"", SUMIFS(ポートフォリオ実績!$C$2:$C$2001, ポートフォリオ実績!$B$2:$B$2001, B1474, ポートフォリオ実績!$A$2:$A$2001, G1474), 0)</f>
        <v>0</v>
      </c>
      <c r="J1474">
        <f t="shared" si="254"/>
        <v>0</v>
      </c>
      <c r="K1474">
        <f t="shared" si="255"/>
        <v>0</v>
      </c>
      <c r="L1474">
        <f t="shared" si="256"/>
        <v>0</v>
      </c>
      <c r="M1474">
        <f t="shared" si="257"/>
        <v>0</v>
      </c>
      <c r="N1474">
        <f t="shared" si="258"/>
        <v>0</v>
      </c>
      <c r="O1474">
        <f t="shared" si="259"/>
        <v>0</v>
      </c>
      <c r="P1474" t="str">
        <f t="shared" si="260"/>
        <v/>
      </c>
      <c r="Q1474" t="str">
        <f>IF(B1474="","", IFERROR(VLOOKUP(B1474, '基準資産配分（設定）'!$A$2:$C$2001, 3, FALSE), ""))</f>
        <v/>
      </c>
      <c r="R1474" t="str">
        <f>IF(B1474="","", IFERROR(VLOOKUP(B1474, '基準資産配分（設定）'!$A$2:$C$2001, 2, FALSE)/100, 0))</f>
        <v/>
      </c>
      <c r="S1474" t="str">
        <f>IF(B1474="","", IFERROR(SUMIFS(ベンチマークリターン!$C$2:$C$2001, ベンチマークリターン!$A$2:$A$2001, A1474, ベンチマークリターン!$B$2:$B$2001, Q1474) / 100, 0))</f>
        <v/>
      </c>
      <c r="T1474" t="str">
        <f>IF(A1474="","", SUMIFS($H$2:$H$2000, $A$2:$A$2000, A1474))</f>
        <v/>
      </c>
      <c r="U1474" t="str">
        <f t="shared" si="261"/>
        <v/>
      </c>
      <c r="V1474" t="str">
        <f t="shared" si="262"/>
        <v/>
      </c>
      <c r="W1474" t="str">
        <f t="shared" si="263"/>
        <v/>
      </c>
    </row>
    <row r="1475" spans="1:23" x14ac:dyDescent="0.2">
      <c r="A1475" s="4" t="str">
        <f>IF(ポートフォリオ実績!A1476="","", ポートフォリオ実績!A1476)</f>
        <v/>
      </c>
      <c r="B1475" t="str">
        <f>IF(ポートフォリオ実績!B1476="","", ポートフォリオ実績!B1476)</f>
        <v/>
      </c>
      <c r="C1475" s="10" t="str">
        <f>IF(ポートフォリオ実績!C1476="","", ポートフォリオ実績!C1476)</f>
        <v/>
      </c>
      <c r="D1475" s="10" t="str">
        <f>IF(ポートフォリオ実績!D1476="","", ポートフォリオ実績!D1476)</f>
        <v/>
      </c>
      <c r="E1475" s="10" t="str">
        <f>IF(ポートフォリオ実績!E1476="","", ポートフォリオ実績!E1476)</f>
        <v/>
      </c>
      <c r="F1475" s="10" t="str">
        <f>IF(ポートフォリオ実績!F1476="","", ポートフォリオ実績!F1476)</f>
        <v/>
      </c>
      <c r="G1475" t="str">
        <f t="shared" si="253"/>
        <v/>
      </c>
      <c r="H1475">
        <f>IF(B1475&lt;&gt;"", SUMIFS(ポートフォリオ実績!$D$2:$D$2001, ポートフォリオ実績!$B$2:$B$2001, B1475, ポートフォリオ実績!$A$2:$A$2001, G1475), 0)</f>
        <v>0</v>
      </c>
      <c r="I1475">
        <f>IF(B1475&lt;&gt;"", SUMIFS(ポートフォリオ実績!$C$2:$C$2001, ポートフォリオ実績!$B$2:$B$2001, B1475, ポートフォリオ実績!$A$2:$A$2001, G1475), 0)</f>
        <v>0</v>
      </c>
      <c r="J1475">
        <f t="shared" si="254"/>
        <v>0</v>
      </c>
      <c r="K1475">
        <f t="shared" si="255"/>
        <v>0</v>
      </c>
      <c r="L1475">
        <f t="shared" si="256"/>
        <v>0</v>
      </c>
      <c r="M1475">
        <f t="shared" si="257"/>
        <v>0</v>
      </c>
      <c r="N1475">
        <f t="shared" si="258"/>
        <v>0</v>
      </c>
      <c r="O1475">
        <f t="shared" si="259"/>
        <v>0</v>
      </c>
      <c r="P1475" t="str">
        <f t="shared" si="260"/>
        <v/>
      </c>
      <c r="Q1475" t="str">
        <f>IF(B1475="","", IFERROR(VLOOKUP(B1475, '基準資産配分（設定）'!$A$2:$C$2001, 3, FALSE), ""))</f>
        <v/>
      </c>
      <c r="R1475" t="str">
        <f>IF(B1475="","", IFERROR(VLOOKUP(B1475, '基準資産配分（設定）'!$A$2:$C$2001, 2, FALSE)/100, 0))</f>
        <v/>
      </c>
      <c r="S1475" t="str">
        <f>IF(B1475="","", IFERROR(SUMIFS(ベンチマークリターン!$C$2:$C$2001, ベンチマークリターン!$A$2:$A$2001, A1475, ベンチマークリターン!$B$2:$B$2001, Q1475) / 100, 0))</f>
        <v/>
      </c>
      <c r="T1475" t="str">
        <f>IF(A1475="","", SUMIFS($H$2:$H$2000, $A$2:$A$2000, A1475))</f>
        <v/>
      </c>
      <c r="U1475" t="str">
        <f t="shared" si="261"/>
        <v/>
      </c>
      <c r="V1475" t="str">
        <f t="shared" si="262"/>
        <v/>
      </c>
      <c r="W1475" t="str">
        <f t="shared" si="263"/>
        <v/>
      </c>
    </row>
    <row r="1476" spans="1:23" x14ac:dyDescent="0.2">
      <c r="A1476" s="4" t="str">
        <f>IF(ポートフォリオ実績!A1477="","", ポートフォリオ実績!A1477)</f>
        <v/>
      </c>
      <c r="B1476" t="str">
        <f>IF(ポートフォリオ実績!B1477="","", ポートフォリオ実績!B1477)</f>
        <v/>
      </c>
      <c r="C1476" s="10" t="str">
        <f>IF(ポートフォリオ実績!C1477="","", ポートフォリオ実績!C1477)</f>
        <v/>
      </c>
      <c r="D1476" s="10" t="str">
        <f>IF(ポートフォリオ実績!D1477="","", ポートフォリオ実績!D1477)</f>
        <v/>
      </c>
      <c r="E1476" s="10" t="str">
        <f>IF(ポートフォリオ実績!E1477="","", ポートフォリオ実績!E1477)</f>
        <v/>
      </c>
      <c r="F1476" s="10" t="str">
        <f>IF(ポートフォリオ実績!F1477="","", ポートフォリオ実績!F1477)</f>
        <v/>
      </c>
      <c r="G1476" t="str">
        <f t="shared" si="253"/>
        <v/>
      </c>
      <c r="H1476">
        <f>IF(B1476&lt;&gt;"", SUMIFS(ポートフォリオ実績!$D$2:$D$2001, ポートフォリオ実績!$B$2:$B$2001, B1476, ポートフォリオ実績!$A$2:$A$2001, G1476), 0)</f>
        <v>0</v>
      </c>
      <c r="I1476">
        <f>IF(B1476&lt;&gt;"", SUMIFS(ポートフォリオ実績!$C$2:$C$2001, ポートフォリオ実績!$B$2:$B$2001, B1476, ポートフォリオ実績!$A$2:$A$2001, G1476), 0)</f>
        <v>0</v>
      </c>
      <c r="J1476">
        <f t="shared" si="254"/>
        <v>0</v>
      </c>
      <c r="K1476">
        <f t="shared" si="255"/>
        <v>0</v>
      </c>
      <c r="L1476">
        <f t="shared" si="256"/>
        <v>0</v>
      </c>
      <c r="M1476">
        <f t="shared" si="257"/>
        <v>0</v>
      </c>
      <c r="N1476">
        <f t="shared" si="258"/>
        <v>0</v>
      </c>
      <c r="O1476">
        <f t="shared" si="259"/>
        <v>0</v>
      </c>
      <c r="P1476" t="str">
        <f t="shared" si="260"/>
        <v/>
      </c>
      <c r="Q1476" t="str">
        <f>IF(B1476="","", IFERROR(VLOOKUP(B1476, '基準資産配分（設定）'!$A$2:$C$2001, 3, FALSE), ""))</f>
        <v/>
      </c>
      <c r="R1476" t="str">
        <f>IF(B1476="","", IFERROR(VLOOKUP(B1476, '基準資産配分（設定）'!$A$2:$C$2001, 2, FALSE)/100, 0))</f>
        <v/>
      </c>
      <c r="S1476" t="str">
        <f>IF(B1476="","", IFERROR(SUMIFS(ベンチマークリターン!$C$2:$C$2001, ベンチマークリターン!$A$2:$A$2001, A1476, ベンチマークリターン!$B$2:$B$2001, Q1476) / 100, 0))</f>
        <v/>
      </c>
      <c r="T1476" t="str">
        <f>IF(A1476="","", SUMIFS($H$2:$H$2000, $A$2:$A$2000, A1476))</f>
        <v/>
      </c>
      <c r="U1476" t="str">
        <f t="shared" si="261"/>
        <v/>
      </c>
      <c r="V1476" t="str">
        <f t="shared" si="262"/>
        <v/>
      </c>
      <c r="W1476" t="str">
        <f t="shared" si="263"/>
        <v/>
      </c>
    </row>
    <row r="1477" spans="1:23" x14ac:dyDescent="0.2">
      <c r="A1477" s="4" t="str">
        <f>IF(ポートフォリオ実績!A1478="","", ポートフォリオ実績!A1478)</f>
        <v/>
      </c>
      <c r="B1477" t="str">
        <f>IF(ポートフォリオ実績!B1478="","", ポートフォリオ実績!B1478)</f>
        <v/>
      </c>
      <c r="C1477" s="10" t="str">
        <f>IF(ポートフォリオ実績!C1478="","", ポートフォリオ実績!C1478)</f>
        <v/>
      </c>
      <c r="D1477" s="10" t="str">
        <f>IF(ポートフォリオ実績!D1478="","", ポートフォリオ実績!D1478)</f>
        <v/>
      </c>
      <c r="E1477" s="10" t="str">
        <f>IF(ポートフォリオ実績!E1478="","", ポートフォリオ実績!E1478)</f>
        <v/>
      </c>
      <c r="F1477" s="10" t="str">
        <f>IF(ポートフォリオ実績!F1478="","", ポートフォリオ実績!F1478)</f>
        <v/>
      </c>
      <c r="G1477" t="str">
        <f t="shared" si="253"/>
        <v/>
      </c>
      <c r="H1477">
        <f>IF(B1477&lt;&gt;"", SUMIFS(ポートフォリオ実績!$D$2:$D$2001, ポートフォリオ実績!$B$2:$B$2001, B1477, ポートフォリオ実績!$A$2:$A$2001, G1477), 0)</f>
        <v>0</v>
      </c>
      <c r="I1477">
        <f>IF(B1477&lt;&gt;"", SUMIFS(ポートフォリオ実績!$C$2:$C$2001, ポートフォリオ実績!$B$2:$B$2001, B1477, ポートフォリオ実績!$A$2:$A$2001, G1477), 0)</f>
        <v>0</v>
      </c>
      <c r="J1477">
        <f t="shared" si="254"/>
        <v>0</v>
      </c>
      <c r="K1477">
        <f t="shared" si="255"/>
        <v>0</v>
      </c>
      <c r="L1477">
        <f t="shared" si="256"/>
        <v>0</v>
      </c>
      <c r="M1477">
        <f t="shared" si="257"/>
        <v>0</v>
      </c>
      <c r="N1477">
        <f t="shared" si="258"/>
        <v>0</v>
      </c>
      <c r="O1477">
        <f t="shared" si="259"/>
        <v>0</v>
      </c>
      <c r="P1477" t="str">
        <f t="shared" si="260"/>
        <v/>
      </c>
      <c r="Q1477" t="str">
        <f>IF(B1477="","", IFERROR(VLOOKUP(B1477, '基準資産配分（設定）'!$A$2:$C$2001, 3, FALSE), ""))</f>
        <v/>
      </c>
      <c r="R1477" t="str">
        <f>IF(B1477="","", IFERROR(VLOOKUP(B1477, '基準資産配分（設定）'!$A$2:$C$2001, 2, FALSE)/100, 0))</f>
        <v/>
      </c>
      <c r="S1477" t="str">
        <f>IF(B1477="","", IFERROR(SUMIFS(ベンチマークリターン!$C$2:$C$2001, ベンチマークリターン!$A$2:$A$2001, A1477, ベンチマークリターン!$B$2:$B$2001, Q1477) / 100, 0))</f>
        <v/>
      </c>
      <c r="T1477" t="str">
        <f>IF(A1477="","", SUMIFS($H$2:$H$2000, $A$2:$A$2000, A1477))</f>
        <v/>
      </c>
      <c r="U1477" t="str">
        <f t="shared" si="261"/>
        <v/>
      </c>
      <c r="V1477" t="str">
        <f t="shared" si="262"/>
        <v/>
      </c>
      <c r="W1477" t="str">
        <f t="shared" si="263"/>
        <v/>
      </c>
    </row>
    <row r="1478" spans="1:23" x14ac:dyDescent="0.2">
      <c r="A1478" s="4" t="str">
        <f>IF(ポートフォリオ実績!A1479="","", ポートフォリオ実績!A1479)</f>
        <v/>
      </c>
      <c r="B1478" t="str">
        <f>IF(ポートフォリオ実績!B1479="","", ポートフォリオ実績!B1479)</f>
        <v/>
      </c>
      <c r="C1478" s="10" t="str">
        <f>IF(ポートフォリオ実績!C1479="","", ポートフォリオ実績!C1479)</f>
        <v/>
      </c>
      <c r="D1478" s="10" t="str">
        <f>IF(ポートフォリオ実績!D1479="","", ポートフォリオ実績!D1479)</f>
        <v/>
      </c>
      <c r="E1478" s="10" t="str">
        <f>IF(ポートフォリオ実績!E1479="","", ポートフォリオ実績!E1479)</f>
        <v/>
      </c>
      <c r="F1478" s="10" t="str">
        <f>IF(ポートフォリオ実績!F1479="","", ポートフォリオ実績!F1479)</f>
        <v/>
      </c>
      <c r="G1478" t="str">
        <f t="shared" si="253"/>
        <v/>
      </c>
      <c r="H1478">
        <f>IF(B1478&lt;&gt;"", SUMIFS(ポートフォリオ実績!$D$2:$D$2001, ポートフォリオ実績!$B$2:$B$2001, B1478, ポートフォリオ実績!$A$2:$A$2001, G1478), 0)</f>
        <v>0</v>
      </c>
      <c r="I1478">
        <f>IF(B1478&lt;&gt;"", SUMIFS(ポートフォリオ実績!$C$2:$C$2001, ポートフォリオ実績!$B$2:$B$2001, B1478, ポートフォリオ実績!$A$2:$A$2001, G1478), 0)</f>
        <v>0</v>
      </c>
      <c r="J1478">
        <f t="shared" si="254"/>
        <v>0</v>
      </c>
      <c r="K1478">
        <f t="shared" si="255"/>
        <v>0</v>
      </c>
      <c r="L1478">
        <f t="shared" si="256"/>
        <v>0</v>
      </c>
      <c r="M1478">
        <f t="shared" si="257"/>
        <v>0</v>
      </c>
      <c r="N1478">
        <f t="shared" si="258"/>
        <v>0</v>
      </c>
      <c r="O1478">
        <f t="shared" si="259"/>
        <v>0</v>
      </c>
      <c r="P1478" t="str">
        <f t="shared" si="260"/>
        <v/>
      </c>
      <c r="Q1478" t="str">
        <f>IF(B1478="","", IFERROR(VLOOKUP(B1478, '基準資産配分（設定）'!$A$2:$C$2001, 3, FALSE), ""))</f>
        <v/>
      </c>
      <c r="R1478" t="str">
        <f>IF(B1478="","", IFERROR(VLOOKUP(B1478, '基準資産配分（設定）'!$A$2:$C$2001, 2, FALSE)/100, 0))</f>
        <v/>
      </c>
      <c r="S1478" t="str">
        <f>IF(B1478="","", IFERROR(SUMIFS(ベンチマークリターン!$C$2:$C$2001, ベンチマークリターン!$A$2:$A$2001, A1478, ベンチマークリターン!$B$2:$B$2001, Q1478) / 100, 0))</f>
        <v/>
      </c>
      <c r="T1478" t="str">
        <f>IF(A1478="","", SUMIFS($H$2:$H$2000, $A$2:$A$2000, A1478))</f>
        <v/>
      </c>
      <c r="U1478" t="str">
        <f t="shared" si="261"/>
        <v/>
      </c>
      <c r="V1478" t="str">
        <f t="shared" si="262"/>
        <v/>
      </c>
      <c r="W1478" t="str">
        <f t="shared" si="263"/>
        <v/>
      </c>
    </row>
    <row r="1479" spans="1:23" x14ac:dyDescent="0.2">
      <c r="A1479" s="4" t="str">
        <f>IF(ポートフォリオ実績!A1480="","", ポートフォリオ実績!A1480)</f>
        <v/>
      </c>
      <c r="B1479" t="str">
        <f>IF(ポートフォリオ実績!B1480="","", ポートフォリオ実績!B1480)</f>
        <v/>
      </c>
      <c r="C1479" s="10" t="str">
        <f>IF(ポートフォリオ実績!C1480="","", ポートフォリオ実績!C1480)</f>
        <v/>
      </c>
      <c r="D1479" s="10" t="str">
        <f>IF(ポートフォリオ実績!D1480="","", ポートフォリオ実績!D1480)</f>
        <v/>
      </c>
      <c r="E1479" s="10" t="str">
        <f>IF(ポートフォリオ実績!E1480="","", ポートフォリオ実績!E1480)</f>
        <v/>
      </c>
      <c r="F1479" s="10" t="str">
        <f>IF(ポートフォリオ実績!F1480="","", ポートフォリオ実績!F1480)</f>
        <v/>
      </c>
      <c r="G1479" t="str">
        <f t="shared" si="253"/>
        <v/>
      </c>
      <c r="H1479">
        <f>IF(B1479&lt;&gt;"", SUMIFS(ポートフォリオ実績!$D$2:$D$2001, ポートフォリオ実績!$B$2:$B$2001, B1479, ポートフォリオ実績!$A$2:$A$2001, G1479), 0)</f>
        <v>0</v>
      </c>
      <c r="I1479">
        <f>IF(B1479&lt;&gt;"", SUMIFS(ポートフォリオ実績!$C$2:$C$2001, ポートフォリオ実績!$B$2:$B$2001, B1479, ポートフォリオ実績!$A$2:$A$2001, G1479), 0)</f>
        <v>0</v>
      </c>
      <c r="J1479">
        <f t="shared" si="254"/>
        <v>0</v>
      </c>
      <c r="K1479">
        <f t="shared" si="255"/>
        <v>0</v>
      </c>
      <c r="L1479">
        <f t="shared" si="256"/>
        <v>0</v>
      </c>
      <c r="M1479">
        <f t="shared" si="257"/>
        <v>0</v>
      </c>
      <c r="N1479">
        <f t="shared" si="258"/>
        <v>0</v>
      </c>
      <c r="O1479">
        <f t="shared" si="259"/>
        <v>0</v>
      </c>
      <c r="P1479" t="str">
        <f t="shared" si="260"/>
        <v/>
      </c>
      <c r="Q1479" t="str">
        <f>IF(B1479="","", IFERROR(VLOOKUP(B1479, '基準資産配分（設定）'!$A$2:$C$2001, 3, FALSE), ""))</f>
        <v/>
      </c>
      <c r="R1479" t="str">
        <f>IF(B1479="","", IFERROR(VLOOKUP(B1479, '基準資産配分（設定）'!$A$2:$C$2001, 2, FALSE)/100, 0))</f>
        <v/>
      </c>
      <c r="S1479" t="str">
        <f>IF(B1479="","", IFERROR(SUMIFS(ベンチマークリターン!$C$2:$C$2001, ベンチマークリターン!$A$2:$A$2001, A1479, ベンチマークリターン!$B$2:$B$2001, Q1479) / 100, 0))</f>
        <v/>
      </c>
      <c r="T1479" t="str">
        <f>IF(A1479="","", SUMIFS($H$2:$H$2000, $A$2:$A$2000, A1479))</f>
        <v/>
      </c>
      <c r="U1479" t="str">
        <f t="shared" si="261"/>
        <v/>
      </c>
      <c r="V1479" t="str">
        <f t="shared" si="262"/>
        <v/>
      </c>
      <c r="W1479" t="str">
        <f t="shared" si="263"/>
        <v/>
      </c>
    </row>
    <row r="1480" spans="1:23" x14ac:dyDescent="0.2">
      <c r="A1480" s="4" t="str">
        <f>IF(ポートフォリオ実績!A1481="","", ポートフォリオ実績!A1481)</f>
        <v/>
      </c>
      <c r="B1480" t="str">
        <f>IF(ポートフォリオ実績!B1481="","", ポートフォリオ実績!B1481)</f>
        <v/>
      </c>
      <c r="C1480" s="10" t="str">
        <f>IF(ポートフォリオ実績!C1481="","", ポートフォリオ実績!C1481)</f>
        <v/>
      </c>
      <c r="D1480" s="10" t="str">
        <f>IF(ポートフォリオ実績!D1481="","", ポートフォリオ実績!D1481)</f>
        <v/>
      </c>
      <c r="E1480" s="10" t="str">
        <f>IF(ポートフォリオ実績!E1481="","", ポートフォリオ実績!E1481)</f>
        <v/>
      </c>
      <c r="F1480" s="10" t="str">
        <f>IF(ポートフォリオ実績!F1481="","", ポートフォリオ実績!F1481)</f>
        <v/>
      </c>
      <c r="G1480" t="str">
        <f t="shared" si="253"/>
        <v/>
      </c>
      <c r="H1480">
        <f>IF(B1480&lt;&gt;"", SUMIFS(ポートフォリオ実績!$D$2:$D$2001, ポートフォリオ実績!$B$2:$B$2001, B1480, ポートフォリオ実績!$A$2:$A$2001, G1480), 0)</f>
        <v>0</v>
      </c>
      <c r="I1480">
        <f>IF(B1480&lt;&gt;"", SUMIFS(ポートフォリオ実績!$C$2:$C$2001, ポートフォリオ実績!$B$2:$B$2001, B1480, ポートフォリオ実績!$A$2:$A$2001, G1480), 0)</f>
        <v>0</v>
      </c>
      <c r="J1480">
        <f t="shared" si="254"/>
        <v>0</v>
      </c>
      <c r="K1480">
        <f t="shared" si="255"/>
        <v>0</v>
      </c>
      <c r="L1480">
        <f t="shared" si="256"/>
        <v>0</v>
      </c>
      <c r="M1480">
        <f t="shared" si="257"/>
        <v>0</v>
      </c>
      <c r="N1480">
        <f t="shared" si="258"/>
        <v>0</v>
      </c>
      <c r="O1480">
        <f t="shared" si="259"/>
        <v>0</v>
      </c>
      <c r="P1480" t="str">
        <f t="shared" si="260"/>
        <v/>
      </c>
      <c r="Q1480" t="str">
        <f>IF(B1480="","", IFERROR(VLOOKUP(B1480, '基準資産配分（設定）'!$A$2:$C$2001, 3, FALSE), ""))</f>
        <v/>
      </c>
      <c r="R1480" t="str">
        <f>IF(B1480="","", IFERROR(VLOOKUP(B1480, '基準資産配分（設定）'!$A$2:$C$2001, 2, FALSE)/100, 0))</f>
        <v/>
      </c>
      <c r="S1480" t="str">
        <f>IF(B1480="","", IFERROR(SUMIFS(ベンチマークリターン!$C$2:$C$2001, ベンチマークリターン!$A$2:$A$2001, A1480, ベンチマークリターン!$B$2:$B$2001, Q1480) / 100, 0))</f>
        <v/>
      </c>
      <c r="T1480" t="str">
        <f>IF(A1480="","", SUMIFS($H$2:$H$2000, $A$2:$A$2000, A1480))</f>
        <v/>
      </c>
      <c r="U1480" t="str">
        <f t="shared" si="261"/>
        <v/>
      </c>
      <c r="V1480" t="str">
        <f t="shared" si="262"/>
        <v/>
      </c>
      <c r="W1480" t="str">
        <f t="shared" si="263"/>
        <v/>
      </c>
    </row>
    <row r="1481" spans="1:23" x14ac:dyDescent="0.2">
      <c r="A1481" s="4" t="str">
        <f>IF(ポートフォリオ実績!A1482="","", ポートフォリオ実績!A1482)</f>
        <v/>
      </c>
      <c r="B1481" t="str">
        <f>IF(ポートフォリオ実績!B1482="","", ポートフォリオ実績!B1482)</f>
        <v/>
      </c>
      <c r="C1481" s="10" t="str">
        <f>IF(ポートフォリオ実績!C1482="","", ポートフォリオ実績!C1482)</f>
        <v/>
      </c>
      <c r="D1481" s="10" t="str">
        <f>IF(ポートフォリオ実績!D1482="","", ポートフォリオ実績!D1482)</f>
        <v/>
      </c>
      <c r="E1481" s="10" t="str">
        <f>IF(ポートフォリオ実績!E1482="","", ポートフォリオ実績!E1482)</f>
        <v/>
      </c>
      <c r="F1481" s="10" t="str">
        <f>IF(ポートフォリオ実績!F1482="","", ポートフォリオ実績!F1482)</f>
        <v/>
      </c>
      <c r="G1481" t="str">
        <f t="shared" si="253"/>
        <v/>
      </c>
      <c r="H1481">
        <f>IF(B1481&lt;&gt;"", SUMIFS(ポートフォリオ実績!$D$2:$D$2001, ポートフォリオ実績!$B$2:$B$2001, B1481, ポートフォリオ実績!$A$2:$A$2001, G1481), 0)</f>
        <v>0</v>
      </c>
      <c r="I1481">
        <f>IF(B1481&lt;&gt;"", SUMIFS(ポートフォリオ実績!$C$2:$C$2001, ポートフォリオ実績!$B$2:$B$2001, B1481, ポートフォリオ実績!$A$2:$A$2001, G1481), 0)</f>
        <v>0</v>
      </c>
      <c r="J1481">
        <f t="shared" si="254"/>
        <v>0</v>
      </c>
      <c r="K1481">
        <f t="shared" si="255"/>
        <v>0</v>
      </c>
      <c r="L1481">
        <f t="shared" si="256"/>
        <v>0</v>
      </c>
      <c r="M1481">
        <f t="shared" si="257"/>
        <v>0</v>
      </c>
      <c r="N1481">
        <f t="shared" si="258"/>
        <v>0</v>
      </c>
      <c r="O1481">
        <f t="shared" si="259"/>
        <v>0</v>
      </c>
      <c r="P1481" t="str">
        <f t="shared" si="260"/>
        <v/>
      </c>
      <c r="Q1481" t="str">
        <f>IF(B1481="","", IFERROR(VLOOKUP(B1481, '基準資産配分（設定）'!$A$2:$C$2001, 3, FALSE), ""))</f>
        <v/>
      </c>
      <c r="R1481" t="str">
        <f>IF(B1481="","", IFERROR(VLOOKUP(B1481, '基準資産配分（設定）'!$A$2:$C$2001, 2, FALSE)/100, 0))</f>
        <v/>
      </c>
      <c r="S1481" t="str">
        <f>IF(B1481="","", IFERROR(SUMIFS(ベンチマークリターン!$C$2:$C$2001, ベンチマークリターン!$A$2:$A$2001, A1481, ベンチマークリターン!$B$2:$B$2001, Q1481) / 100, 0))</f>
        <v/>
      </c>
      <c r="T1481" t="str">
        <f>IF(A1481="","", SUMIFS($H$2:$H$2000, $A$2:$A$2000, A1481))</f>
        <v/>
      </c>
      <c r="U1481" t="str">
        <f t="shared" si="261"/>
        <v/>
      </c>
      <c r="V1481" t="str">
        <f t="shared" si="262"/>
        <v/>
      </c>
      <c r="W1481" t="str">
        <f t="shared" si="263"/>
        <v/>
      </c>
    </row>
    <row r="1482" spans="1:23" x14ac:dyDescent="0.2">
      <c r="A1482" s="4" t="str">
        <f>IF(ポートフォリオ実績!A1483="","", ポートフォリオ実績!A1483)</f>
        <v/>
      </c>
      <c r="B1482" t="str">
        <f>IF(ポートフォリオ実績!B1483="","", ポートフォリオ実績!B1483)</f>
        <v/>
      </c>
      <c r="C1482" s="10" t="str">
        <f>IF(ポートフォリオ実績!C1483="","", ポートフォリオ実績!C1483)</f>
        <v/>
      </c>
      <c r="D1482" s="10" t="str">
        <f>IF(ポートフォリオ実績!D1483="","", ポートフォリオ実績!D1483)</f>
        <v/>
      </c>
      <c r="E1482" s="10" t="str">
        <f>IF(ポートフォリオ実績!E1483="","", ポートフォリオ実績!E1483)</f>
        <v/>
      </c>
      <c r="F1482" s="10" t="str">
        <f>IF(ポートフォリオ実績!F1483="","", ポートフォリオ実績!F1483)</f>
        <v/>
      </c>
      <c r="G1482" t="str">
        <f t="shared" si="253"/>
        <v/>
      </c>
      <c r="H1482">
        <f>IF(B1482&lt;&gt;"", SUMIFS(ポートフォリオ実績!$D$2:$D$2001, ポートフォリオ実績!$B$2:$B$2001, B1482, ポートフォリオ実績!$A$2:$A$2001, G1482), 0)</f>
        <v>0</v>
      </c>
      <c r="I1482">
        <f>IF(B1482&lt;&gt;"", SUMIFS(ポートフォリオ実績!$C$2:$C$2001, ポートフォリオ実績!$B$2:$B$2001, B1482, ポートフォリオ実績!$A$2:$A$2001, G1482), 0)</f>
        <v>0</v>
      </c>
      <c r="J1482">
        <f t="shared" si="254"/>
        <v>0</v>
      </c>
      <c r="K1482">
        <f t="shared" si="255"/>
        <v>0</v>
      </c>
      <c r="L1482">
        <f t="shared" si="256"/>
        <v>0</v>
      </c>
      <c r="M1482">
        <f t="shared" si="257"/>
        <v>0</v>
      </c>
      <c r="N1482">
        <f t="shared" si="258"/>
        <v>0</v>
      </c>
      <c r="O1482">
        <f t="shared" si="259"/>
        <v>0</v>
      </c>
      <c r="P1482" t="str">
        <f t="shared" si="260"/>
        <v/>
      </c>
      <c r="Q1482" t="str">
        <f>IF(B1482="","", IFERROR(VLOOKUP(B1482, '基準資産配分（設定）'!$A$2:$C$2001, 3, FALSE), ""))</f>
        <v/>
      </c>
      <c r="R1482" t="str">
        <f>IF(B1482="","", IFERROR(VLOOKUP(B1482, '基準資産配分（設定）'!$A$2:$C$2001, 2, FALSE)/100, 0))</f>
        <v/>
      </c>
      <c r="S1482" t="str">
        <f>IF(B1482="","", IFERROR(SUMIFS(ベンチマークリターン!$C$2:$C$2001, ベンチマークリターン!$A$2:$A$2001, A1482, ベンチマークリターン!$B$2:$B$2001, Q1482) / 100, 0))</f>
        <v/>
      </c>
      <c r="T1482" t="str">
        <f>IF(A1482="","", SUMIFS($H$2:$H$2000, $A$2:$A$2000, A1482))</f>
        <v/>
      </c>
      <c r="U1482" t="str">
        <f t="shared" si="261"/>
        <v/>
      </c>
      <c r="V1482" t="str">
        <f t="shared" si="262"/>
        <v/>
      </c>
      <c r="W1482" t="str">
        <f t="shared" si="263"/>
        <v/>
      </c>
    </row>
    <row r="1483" spans="1:23" x14ac:dyDescent="0.2">
      <c r="A1483" s="4" t="str">
        <f>IF(ポートフォリオ実績!A1484="","", ポートフォリオ実績!A1484)</f>
        <v/>
      </c>
      <c r="B1483" t="str">
        <f>IF(ポートフォリオ実績!B1484="","", ポートフォリオ実績!B1484)</f>
        <v/>
      </c>
      <c r="C1483" s="10" t="str">
        <f>IF(ポートフォリオ実績!C1484="","", ポートフォリオ実績!C1484)</f>
        <v/>
      </c>
      <c r="D1483" s="10" t="str">
        <f>IF(ポートフォリオ実績!D1484="","", ポートフォリオ実績!D1484)</f>
        <v/>
      </c>
      <c r="E1483" s="10" t="str">
        <f>IF(ポートフォリオ実績!E1484="","", ポートフォリオ実績!E1484)</f>
        <v/>
      </c>
      <c r="F1483" s="10" t="str">
        <f>IF(ポートフォリオ実績!F1484="","", ポートフォリオ実績!F1484)</f>
        <v/>
      </c>
      <c r="G1483" t="str">
        <f t="shared" si="253"/>
        <v/>
      </c>
      <c r="H1483">
        <f>IF(B1483&lt;&gt;"", SUMIFS(ポートフォリオ実績!$D$2:$D$2001, ポートフォリオ実績!$B$2:$B$2001, B1483, ポートフォリオ実績!$A$2:$A$2001, G1483), 0)</f>
        <v>0</v>
      </c>
      <c r="I1483">
        <f>IF(B1483&lt;&gt;"", SUMIFS(ポートフォリオ実績!$C$2:$C$2001, ポートフォリオ実績!$B$2:$B$2001, B1483, ポートフォリオ実績!$A$2:$A$2001, G1483), 0)</f>
        <v>0</v>
      </c>
      <c r="J1483">
        <f t="shared" si="254"/>
        <v>0</v>
      </c>
      <c r="K1483">
        <f t="shared" si="255"/>
        <v>0</v>
      </c>
      <c r="L1483">
        <f t="shared" si="256"/>
        <v>0</v>
      </c>
      <c r="M1483">
        <f t="shared" si="257"/>
        <v>0</v>
      </c>
      <c r="N1483">
        <f t="shared" si="258"/>
        <v>0</v>
      </c>
      <c r="O1483">
        <f t="shared" si="259"/>
        <v>0</v>
      </c>
      <c r="P1483" t="str">
        <f t="shared" si="260"/>
        <v/>
      </c>
      <c r="Q1483" t="str">
        <f>IF(B1483="","", IFERROR(VLOOKUP(B1483, '基準資産配分（設定）'!$A$2:$C$2001, 3, FALSE), ""))</f>
        <v/>
      </c>
      <c r="R1483" t="str">
        <f>IF(B1483="","", IFERROR(VLOOKUP(B1483, '基準資産配分（設定）'!$A$2:$C$2001, 2, FALSE)/100, 0))</f>
        <v/>
      </c>
      <c r="S1483" t="str">
        <f>IF(B1483="","", IFERROR(SUMIFS(ベンチマークリターン!$C$2:$C$2001, ベンチマークリターン!$A$2:$A$2001, A1483, ベンチマークリターン!$B$2:$B$2001, Q1483) / 100, 0))</f>
        <v/>
      </c>
      <c r="T1483" t="str">
        <f>IF(A1483="","", SUMIFS($H$2:$H$2000, $A$2:$A$2000, A1483))</f>
        <v/>
      </c>
      <c r="U1483" t="str">
        <f t="shared" si="261"/>
        <v/>
      </c>
      <c r="V1483" t="str">
        <f t="shared" si="262"/>
        <v/>
      </c>
      <c r="W1483" t="str">
        <f t="shared" si="263"/>
        <v/>
      </c>
    </row>
    <row r="1484" spans="1:23" x14ac:dyDescent="0.2">
      <c r="A1484" s="4" t="str">
        <f>IF(ポートフォリオ実績!A1485="","", ポートフォリオ実績!A1485)</f>
        <v/>
      </c>
      <c r="B1484" t="str">
        <f>IF(ポートフォリオ実績!B1485="","", ポートフォリオ実績!B1485)</f>
        <v/>
      </c>
      <c r="C1484" s="10" t="str">
        <f>IF(ポートフォリオ実績!C1485="","", ポートフォリオ実績!C1485)</f>
        <v/>
      </c>
      <c r="D1484" s="10" t="str">
        <f>IF(ポートフォリオ実績!D1485="","", ポートフォリオ実績!D1485)</f>
        <v/>
      </c>
      <c r="E1484" s="10" t="str">
        <f>IF(ポートフォリオ実績!E1485="","", ポートフォリオ実績!E1485)</f>
        <v/>
      </c>
      <c r="F1484" s="10" t="str">
        <f>IF(ポートフォリオ実績!F1485="","", ポートフォリオ実績!F1485)</f>
        <v/>
      </c>
      <c r="G1484" t="str">
        <f t="shared" si="253"/>
        <v/>
      </c>
      <c r="H1484">
        <f>IF(B1484&lt;&gt;"", SUMIFS(ポートフォリオ実績!$D$2:$D$2001, ポートフォリオ実績!$B$2:$B$2001, B1484, ポートフォリオ実績!$A$2:$A$2001, G1484), 0)</f>
        <v>0</v>
      </c>
      <c r="I1484">
        <f>IF(B1484&lt;&gt;"", SUMIFS(ポートフォリオ実績!$C$2:$C$2001, ポートフォリオ実績!$B$2:$B$2001, B1484, ポートフォリオ実績!$A$2:$A$2001, G1484), 0)</f>
        <v>0</v>
      </c>
      <c r="J1484">
        <f t="shared" si="254"/>
        <v>0</v>
      </c>
      <c r="K1484">
        <f t="shared" si="255"/>
        <v>0</v>
      </c>
      <c r="L1484">
        <f t="shared" si="256"/>
        <v>0</v>
      </c>
      <c r="M1484">
        <f t="shared" si="257"/>
        <v>0</v>
      </c>
      <c r="N1484">
        <f t="shared" si="258"/>
        <v>0</v>
      </c>
      <c r="O1484">
        <f t="shared" si="259"/>
        <v>0</v>
      </c>
      <c r="P1484" t="str">
        <f t="shared" si="260"/>
        <v/>
      </c>
      <c r="Q1484" t="str">
        <f>IF(B1484="","", IFERROR(VLOOKUP(B1484, '基準資産配分（設定）'!$A$2:$C$2001, 3, FALSE), ""))</f>
        <v/>
      </c>
      <c r="R1484" t="str">
        <f>IF(B1484="","", IFERROR(VLOOKUP(B1484, '基準資産配分（設定）'!$A$2:$C$2001, 2, FALSE)/100, 0))</f>
        <v/>
      </c>
      <c r="S1484" t="str">
        <f>IF(B1484="","", IFERROR(SUMIFS(ベンチマークリターン!$C$2:$C$2001, ベンチマークリターン!$A$2:$A$2001, A1484, ベンチマークリターン!$B$2:$B$2001, Q1484) / 100, 0))</f>
        <v/>
      </c>
      <c r="T1484" t="str">
        <f>IF(A1484="","", SUMIFS($H$2:$H$2000, $A$2:$A$2000, A1484))</f>
        <v/>
      </c>
      <c r="U1484" t="str">
        <f t="shared" si="261"/>
        <v/>
      </c>
      <c r="V1484" t="str">
        <f t="shared" si="262"/>
        <v/>
      </c>
      <c r="W1484" t="str">
        <f t="shared" si="263"/>
        <v/>
      </c>
    </row>
    <row r="1485" spans="1:23" x14ac:dyDescent="0.2">
      <c r="A1485" s="4" t="str">
        <f>IF(ポートフォリオ実績!A1486="","", ポートフォリオ実績!A1486)</f>
        <v/>
      </c>
      <c r="B1485" t="str">
        <f>IF(ポートフォリオ実績!B1486="","", ポートフォリオ実績!B1486)</f>
        <v/>
      </c>
      <c r="C1485" s="10" t="str">
        <f>IF(ポートフォリオ実績!C1486="","", ポートフォリオ実績!C1486)</f>
        <v/>
      </c>
      <c r="D1485" s="10" t="str">
        <f>IF(ポートフォリオ実績!D1486="","", ポートフォリオ実績!D1486)</f>
        <v/>
      </c>
      <c r="E1485" s="10" t="str">
        <f>IF(ポートフォリオ実績!E1486="","", ポートフォリオ実績!E1486)</f>
        <v/>
      </c>
      <c r="F1485" s="10" t="str">
        <f>IF(ポートフォリオ実績!F1486="","", ポートフォリオ実績!F1486)</f>
        <v/>
      </c>
      <c r="G1485" t="str">
        <f t="shared" si="253"/>
        <v/>
      </c>
      <c r="H1485">
        <f>IF(B1485&lt;&gt;"", SUMIFS(ポートフォリオ実績!$D$2:$D$2001, ポートフォリオ実績!$B$2:$B$2001, B1485, ポートフォリオ実績!$A$2:$A$2001, G1485), 0)</f>
        <v>0</v>
      </c>
      <c r="I1485">
        <f>IF(B1485&lt;&gt;"", SUMIFS(ポートフォリオ実績!$C$2:$C$2001, ポートフォリオ実績!$B$2:$B$2001, B1485, ポートフォリオ実績!$A$2:$A$2001, G1485), 0)</f>
        <v>0</v>
      </c>
      <c r="J1485">
        <f t="shared" si="254"/>
        <v>0</v>
      </c>
      <c r="K1485">
        <f t="shared" si="255"/>
        <v>0</v>
      </c>
      <c r="L1485">
        <f t="shared" si="256"/>
        <v>0</v>
      </c>
      <c r="M1485">
        <f t="shared" si="257"/>
        <v>0</v>
      </c>
      <c r="N1485">
        <f t="shared" si="258"/>
        <v>0</v>
      </c>
      <c r="O1485">
        <f t="shared" si="259"/>
        <v>0</v>
      </c>
      <c r="P1485" t="str">
        <f t="shared" si="260"/>
        <v/>
      </c>
      <c r="Q1485" t="str">
        <f>IF(B1485="","", IFERROR(VLOOKUP(B1485, '基準資産配分（設定）'!$A$2:$C$2001, 3, FALSE), ""))</f>
        <v/>
      </c>
      <c r="R1485" t="str">
        <f>IF(B1485="","", IFERROR(VLOOKUP(B1485, '基準資産配分（設定）'!$A$2:$C$2001, 2, FALSE)/100, 0))</f>
        <v/>
      </c>
      <c r="S1485" t="str">
        <f>IF(B1485="","", IFERROR(SUMIFS(ベンチマークリターン!$C$2:$C$2001, ベンチマークリターン!$A$2:$A$2001, A1485, ベンチマークリターン!$B$2:$B$2001, Q1485) / 100, 0))</f>
        <v/>
      </c>
      <c r="T1485" t="str">
        <f>IF(A1485="","", SUMIFS($H$2:$H$2000, $A$2:$A$2000, A1485))</f>
        <v/>
      </c>
      <c r="U1485" t="str">
        <f t="shared" si="261"/>
        <v/>
      </c>
      <c r="V1485" t="str">
        <f t="shared" si="262"/>
        <v/>
      </c>
      <c r="W1485" t="str">
        <f t="shared" si="263"/>
        <v/>
      </c>
    </row>
    <row r="1486" spans="1:23" x14ac:dyDescent="0.2">
      <c r="A1486" s="4" t="str">
        <f>IF(ポートフォリオ実績!A1487="","", ポートフォリオ実績!A1487)</f>
        <v/>
      </c>
      <c r="B1486" t="str">
        <f>IF(ポートフォリオ実績!B1487="","", ポートフォリオ実績!B1487)</f>
        <v/>
      </c>
      <c r="C1486" s="10" t="str">
        <f>IF(ポートフォリオ実績!C1487="","", ポートフォリオ実績!C1487)</f>
        <v/>
      </c>
      <c r="D1486" s="10" t="str">
        <f>IF(ポートフォリオ実績!D1487="","", ポートフォリオ実績!D1487)</f>
        <v/>
      </c>
      <c r="E1486" s="10" t="str">
        <f>IF(ポートフォリオ実績!E1487="","", ポートフォリオ実績!E1487)</f>
        <v/>
      </c>
      <c r="F1486" s="10" t="str">
        <f>IF(ポートフォリオ実績!F1487="","", ポートフォリオ実績!F1487)</f>
        <v/>
      </c>
      <c r="G1486" t="str">
        <f t="shared" si="253"/>
        <v/>
      </c>
      <c r="H1486">
        <f>IF(B1486&lt;&gt;"", SUMIFS(ポートフォリオ実績!$D$2:$D$2001, ポートフォリオ実績!$B$2:$B$2001, B1486, ポートフォリオ実績!$A$2:$A$2001, G1486), 0)</f>
        <v>0</v>
      </c>
      <c r="I1486">
        <f>IF(B1486&lt;&gt;"", SUMIFS(ポートフォリオ実績!$C$2:$C$2001, ポートフォリオ実績!$B$2:$B$2001, B1486, ポートフォリオ実績!$A$2:$A$2001, G1486), 0)</f>
        <v>0</v>
      </c>
      <c r="J1486">
        <f t="shared" si="254"/>
        <v>0</v>
      </c>
      <c r="K1486">
        <f t="shared" si="255"/>
        <v>0</v>
      </c>
      <c r="L1486">
        <f t="shared" si="256"/>
        <v>0</v>
      </c>
      <c r="M1486">
        <f t="shared" si="257"/>
        <v>0</v>
      </c>
      <c r="N1486">
        <f t="shared" si="258"/>
        <v>0</v>
      </c>
      <c r="O1486">
        <f t="shared" si="259"/>
        <v>0</v>
      </c>
      <c r="P1486" t="str">
        <f t="shared" si="260"/>
        <v/>
      </c>
      <c r="Q1486" t="str">
        <f>IF(B1486="","", IFERROR(VLOOKUP(B1486, '基準資産配分（設定）'!$A$2:$C$2001, 3, FALSE), ""))</f>
        <v/>
      </c>
      <c r="R1486" t="str">
        <f>IF(B1486="","", IFERROR(VLOOKUP(B1486, '基準資産配分（設定）'!$A$2:$C$2001, 2, FALSE)/100, 0))</f>
        <v/>
      </c>
      <c r="S1486" t="str">
        <f>IF(B1486="","", IFERROR(SUMIFS(ベンチマークリターン!$C$2:$C$2001, ベンチマークリターン!$A$2:$A$2001, A1486, ベンチマークリターン!$B$2:$B$2001, Q1486) / 100, 0))</f>
        <v/>
      </c>
      <c r="T1486" t="str">
        <f>IF(A1486="","", SUMIFS($H$2:$H$2000, $A$2:$A$2000, A1486))</f>
        <v/>
      </c>
      <c r="U1486" t="str">
        <f t="shared" si="261"/>
        <v/>
      </c>
      <c r="V1486" t="str">
        <f t="shared" si="262"/>
        <v/>
      </c>
      <c r="W1486" t="str">
        <f t="shared" si="263"/>
        <v/>
      </c>
    </row>
    <row r="1487" spans="1:23" x14ac:dyDescent="0.2">
      <c r="A1487" s="4" t="str">
        <f>IF(ポートフォリオ実績!A1488="","", ポートフォリオ実績!A1488)</f>
        <v/>
      </c>
      <c r="B1487" t="str">
        <f>IF(ポートフォリオ実績!B1488="","", ポートフォリオ実績!B1488)</f>
        <v/>
      </c>
      <c r="C1487" s="10" t="str">
        <f>IF(ポートフォリオ実績!C1488="","", ポートフォリオ実績!C1488)</f>
        <v/>
      </c>
      <c r="D1487" s="10" t="str">
        <f>IF(ポートフォリオ実績!D1488="","", ポートフォリオ実績!D1488)</f>
        <v/>
      </c>
      <c r="E1487" s="10" t="str">
        <f>IF(ポートフォリオ実績!E1488="","", ポートフォリオ実績!E1488)</f>
        <v/>
      </c>
      <c r="F1487" s="10" t="str">
        <f>IF(ポートフォリオ実績!F1488="","", ポートフォリオ実績!F1488)</f>
        <v/>
      </c>
      <c r="G1487" t="str">
        <f t="shared" si="253"/>
        <v/>
      </c>
      <c r="H1487">
        <f>IF(B1487&lt;&gt;"", SUMIFS(ポートフォリオ実績!$D$2:$D$2001, ポートフォリオ実績!$B$2:$B$2001, B1487, ポートフォリオ実績!$A$2:$A$2001, G1487), 0)</f>
        <v>0</v>
      </c>
      <c r="I1487">
        <f>IF(B1487&lt;&gt;"", SUMIFS(ポートフォリオ実績!$C$2:$C$2001, ポートフォリオ実績!$B$2:$B$2001, B1487, ポートフォリオ実績!$A$2:$A$2001, G1487), 0)</f>
        <v>0</v>
      </c>
      <c r="J1487">
        <f t="shared" si="254"/>
        <v>0</v>
      </c>
      <c r="K1487">
        <f t="shared" si="255"/>
        <v>0</v>
      </c>
      <c r="L1487">
        <f t="shared" si="256"/>
        <v>0</v>
      </c>
      <c r="M1487">
        <f t="shared" si="257"/>
        <v>0</v>
      </c>
      <c r="N1487">
        <f t="shared" si="258"/>
        <v>0</v>
      </c>
      <c r="O1487">
        <f t="shared" si="259"/>
        <v>0</v>
      </c>
      <c r="P1487" t="str">
        <f t="shared" si="260"/>
        <v/>
      </c>
      <c r="Q1487" t="str">
        <f>IF(B1487="","", IFERROR(VLOOKUP(B1487, '基準資産配分（設定）'!$A$2:$C$2001, 3, FALSE), ""))</f>
        <v/>
      </c>
      <c r="R1487" t="str">
        <f>IF(B1487="","", IFERROR(VLOOKUP(B1487, '基準資産配分（設定）'!$A$2:$C$2001, 2, FALSE)/100, 0))</f>
        <v/>
      </c>
      <c r="S1487" t="str">
        <f>IF(B1487="","", IFERROR(SUMIFS(ベンチマークリターン!$C$2:$C$2001, ベンチマークリターン!$A$2:$A$2001, A1487, ベンチマークリターン!$B$2:$B$2001, Q1487) / 100, 0))</f>
        <v/>
      </c>
      <c r="T1487" t="str">
        <f>IF(A1487="","", SUMIFS($H$2:$H$2000, $A$2:$A$2000, A1487))</f>
        <v/>
      </c>
      <c r="U1487" t="str">
        <f t="shared" si="261"/>
        <v/>
      </c>
      <c r="V1487" t="str">
        <f t="shared" si="262"/>
        <v/>
      </c>
      <c r="W1487" t="str">
        <f t="shared" si="263"/>
        <v/>
      </c>
    </row>
    <row r="1488" spans="1:23" x14ac:dyDescent="0.2">
      <c r="A1488" s="4" t="str">
        <f>IF(ポートフォリオ実績!A1489="","", ポートフォリオ実績!A1489)</f>
        <v/>
      </c>
      <c r="B1488" t="str">
        <f>IF(ポートフォリオ実績!B1489="","", ポートフォリオ実績!B1489)</f>
        <v/>
      </c>
      <c r="C1488" s="10" t="str">
        <f>IF(ポートフォリオ実績!C1489="","", ポートフォリオ実績!C1489)</f>
        <v/>
      </c>
      <c r="D1488" s="10" t="str">
        <f>IF(ポートフォリオ実績!D1489="","", ポートフォリオ実績!D1489)</f>
        <v/>
      </c>
      <c r="E1488" s="10" t="str">
        <f>IF(ポートフォリオ実績!E1489="","", ポートフォリオ実績!E1489)</f>
        <v/>
      </c>
      <c r="F1488" s="10" t="str">
        <f>IF(ポートフォリオ実績!F1489="","", ポートフォリオ実績!F1489)</f>
        <v/>
      </c>
      <c r="G1488" t="str">
        <f t="shared" si="253"/>
        <v/>
      </c>
      <c r="H1488">
        <f>IF(B1488&lt;&gt;"", SUMIFS(ポートフォリオ実績!$D$2:$D$2001, ポートフォリオ実績!$B$2:$B$2001, B1488, ポートフォリオ実績!$A$2:$A$2001, G1488), 0)</f>
        <v>0</v>
      </c>
      <c r="I1488">
        <f>IF(B1488&lt;&gt;"", SUMIFS(ポートフォリオ実績!$C$2:$C$2001, ポートフォリオ実績!$B$2:$B$2001, B1488, ポートフォリオ実績!$A$2:$A$2001, G1488), 0)</f>
        <v>0</v>
      </c>
      <c r="J1488">
        <f t="shared" si="254"/>
        <v>0</v>
      </c>
      <c r="K1488">
        <f t="shared" si="255"/>
        <v>0</v>
      </c>
      <c r="L1488">
        <f t="shared" si="256"/>
        <v>0</v>
      </c>
      <c r="M1488">
        <f t="shared" si="257"/>
        <v>0</v>
      </c>
      <c r="N1488">
        <f t="shared" si="258"/>
        <v>0</v>
      </c>
      <c r="O1488">
        <f t="shared" si="259"/>
        <v>0</v>
      </c>
      <c r="P1488" t="str">
        <f t="shared" si="260"/>
        <v/>
      </c>
      <c r="Q1488" t="str">
        <f>IF(B1488="","", IFERROR(VLOOKUP(B1488, '基準資産配分（設定）'!$A$2:$C$2001, 3, FALSE), ""))</f>
        <v/>
      </c>
      <c r="R1488" t="str">
        <f>IF(B1488="","", IFERROR(VLOOKUP(B1488, '基準資産配分（設定）'!$A$2:$C$2001, 2, FALSE)/100, 0))</f>
        <v/>
      </c>
      <c r="S1488" t="str">
        <f>IF(B1488="","", IFERROR(SUMIFS(ベンチマークリターン!$C$2:$C$2001, ベンチマークリターン!$A$2:$A$2001, A1488, ベンチマークリターン!$B$2:$B$2001, Q1488) / 100, 0))</f>
        <v/>
      </c>
      <c r="T1488" t="str">
        <f>IF(A1488="","", SUMIFS($H$2:$H$2000, $A$2:$A$2000, A1488))</f>
        <v/>
      </c>
      <c r="U1488" t="str">
        <f t="shared" si="261"/>
        <v/>
      </c>
      <c r="V1488" t="str">
        <f t="shared" si="262"/>
        <v/>
      </c>
      <c r="W1488" t="str">
        <f t="shared" si="263"/>
        <v/>
      </c>
    </row>
    <row r="1489" spans="1:23" x14ac:dyDescent="0.2">
      <c r="A1489" s="4" t="str">
        <f>IF(ポートフォリオ実績!A1490="","", ポートフォリオ実績!A1490)</f>
        <v/>
      </c>
      <c r="B1489" t="str">
        <f>IF(ポートフォリオ実績!B1490="","", ポートフォリオ実績!B1490)</f>
        <v/>
      </c>
      <c r="C1489" s="10" t="str">
        <f>IF(ポートフォリオ実績!C1490="","", ポートフォリオ実績!C1490)</f>
        <v/>
      </c>
      <c r="D1489" s="10" t="str">
        <f>IF(ポートフォリオ実績!D1490="","", ポートフォリオ実績!D1490)</f>
        <v/>
      </c>
      <c r="E1489" s="10" t="str">
        <f>IF(ポートフォリオ実績!E1490="","", ポートフォリオ実績!E1490)</f>
        <v/>
      </c>
      <c r="F1489" s="10" t="str">
        <f>IF(ポートフォリオ実績!F1490="","", ポートフォリオ実績!F1490)</f>
        <v/>
      </c>
      <c r="G1489" t="str">
        <f t="shared" si="253"/>
        <v/>
      </c>
      <c r="H1489">
        <f>IF(B1489&lt;&gt;"", SUMIFS(ポートフォリオ実績!$D$2:$D$2001, ポートフォリオ実績!$B$2:$B$2001, B1489, ポートフォリオ実績!$A$2:$A$2001, G1489), 0)</f>
        <v>0</v>
      </c>
      <c r="I1489">
        <f>IF(B1489&lt;&gt;"", SUMIFS(ポートフォリオ実績!$C$2:$C$2001, ポートフォリオ実績!$B$2:$B$2001, B1489, ポートフォリオ実績!$A$2:$A$2001, G1489), 0)</f>
        <v>0</v>
      </c>
      <c r="J1489">
        <f t="shared" si="254"/>
        <v>0</v>
      </c>
      <c r="K1489">
        <f t="shared" si="255"/>
        <v>0</v>
      </c>
      <c r="L1489">
        <f t="shared" si="256"/>
        <v>0</v>
      </c>
      <c r="M1489">
        <f t="shared" si="257"/>
        <v>0</v>
      </c>
      <c r="N1489">
        <f t="shared" si="258"/>
        <v>0</v>
      </c>
      <c r="O1489">
        <f t="shared" si="259"/>
        <v>0</v>
      </c>
      <c r="P1489" t="str">
        <f t="shared" si="260"/>
        <v/>
      </c>
      <c r="Q1489" t="str">
        <f>IF(B1489="","", IFERROR(VLOOKUP(B1489, '基準資産配分（設定）'!$A$2:$C$2001, 3, FALSE), ""))</f>
        <v/>
      </c>
      <c r="R1489" t="str">
        <f>IF(B1489="","", IFERROR(VLOOKUP(B1489, '基準資産配分（設定）'!$A$2:$C$2001, 2, FALSE)/100, 0))</f>
        <v/>
      </c>
      <c r="S1489" t="str">
        <f>IF(B1489="","", IFERROR(SUMIFS(ベンチマークリターン!$C$2:$C$2001, ベンチマークリターン!$A$2:$A$2001, A1489, ベンチマークリターン!$B$2:$B$2001, Q1489) / 100, 0))</f>
        <v/>
      </c>
      <c r="T1489" t="str">
        <f>IF(A1489="","", SUMIFS($H$2:$H$2000, $A$2:$A$2000, A1489))</f>
        <v/>
      </c>
      <c r="U1489" t="str">
        <f t="shared" si="261"/>
        <v/>
      </c>
      <c r="V1489" t="str">
        <f t="shared" si="262"/>
        <v/>
      </c>
      <c r="W1489" t="str">
        <f t="shared" si="263"/>
        <v/>
      </c>
    </row>
    <row r="1490" spans="1:23" x14ac:dyDescent="0.2">
      <c r="A1490" s="4" t="str">
        <f>IF(ポートフォリオ実績!A1491="","", ポートフォリオ実績!A1491)</f>
        <v/>
      </c>
      <c r="B1490" t="str">
        <f>IF(ポートフォリオ実績!B1491="","", ポートフォリオ実績!B1491)</f>
        <v/>
      </c>
      <c r="C1490" s="10" t="str">
        <f>IF(ポートフォリオ実績!C1491="","", ポートフォリオ実績!C1491)</f>
        <v/>
      </c>
      <c r="D1490" s="10" t="str">
        <f>IF(ポートフォリオ実績!D1491="","", ポートフォリオ実績!D1491)</f>
        <v/>
      </c>
      <c r="E1490" s="10" t="str">
        <f>IF(ポートフォリオ実績!E1491="","", ポートフォリオ実績!E1491)</f>
        <v/>
      </c>
      <c r="F1490" s="10" t="str">
        <f>IF(ポートフォリオ実績!F1491="","", ポートフォリオ実績!F1491)</f>
        <v/>
      </c>
      <c r="G1490" t="str">
        <f t="shared" si="253"/>
        <v/>
      </c>
      <c r="H1490">
        <f>IF(B1490&lt;&gt;"", SUMIFS(ポートフォリオ実績!$D$2:$D$2001, ポートフォリオ実績!$B$2:$B$2001, B1490, ポートフォリオ実績!$A$2:$A$2001, G1490), 0)</f>
        <v>0</v>
      </c>
      <c r="I1490">
        <f>IF(B1490&lt;&gt;"", SUMIFS(ポートフォリオ実績!$C$2:$C$2001, ポートフォリオ実績!$B$2:$B$2001, B1490, ポートフォリオ実績!$A$2:$A$2001, G1490), 0)</f>
        <v>0</v>
      </c>
      <c r="J1490">
        <f t="shared" si="254"/>
        <v>0</v>
      </c>
      <c r="K1490">
        <f t="shared" si="255"/>
        <v>0</v>
      </c>
      <c r="L1490">
        <f t="shared" si="256"/>
        <v>0</v>
      </c>
      <c r="M1490">
        <f t="shared" si="257"/>
        <v>0</v>
      </c>
      <c r="N1490">
        <f t="shared" si="258"/>
        <v>0</v>
      </c>
      <c r="O1490">
        <f t="shared" si="259"/>
        <v>0</v>
      </c>
      <c r="P1490" t="str">
        <f t="shared" si="260"/>
        <v/>
      </c>
      <c r="Q1490" t="str">
        <f>IF(B1490="","", IFERROR(VLOOKUP(B1490, '基準資産配分（設定）'!$A$2:$C$2001, 3, FALSE), ""))</f>
        <v/>
      </c>
      <c r="R1490" t="str">
        <f>IF(B1490="","", IFERROR(VLOOKUP(B1490, '基準資産配分（設定）'!$A$2:$C$2001, 2, FALSE)/100, 0))</f>
        <v/>
      </c>
      <c r="S1490" t="str">
        <f>IF(B1490="","", IFERROR(SUMIFS(ベンチマークリターン!$C$2:$C$2001, ベンチマークリターン!$A$2:$A$2001, A1490, ベンチマークリターン!$B$2:$B$2001, Q1490) / 100, 0))</f>
        <v/>
      </c>
      <c r="T1490" t="str">
        <f>IF(A1490="","", SUMIFS($H$2:$H$2000, $A$2:$A$2000, A1490))</f>
        <v/>
      </c>
      <c r="U1490" t="str">
        <f t="shared" si="261"/>
        <v/>
      </c>
      <c r="V1490" t="str">
        <f t="shared" si="262"/>
        <v/>
      </c>
      <c r="W1490" t="str">
        <f t="shared" si="263"/>
        <v/>
      </c>
    </row>
    <row r="1491" spans="1:23" x14ac:dyDescent="0.2">
      <c r="A1491" s="4" t="str">
        <f>IF(ポートフォリオ実績!A1492="","", ポートフォリオ実績!A1492)</f>
        <v/>
      </c>
      <c r="B1491" t="str">
        <f>IF(ポートフォリオ実績!B1492="","", ポートフォリオ実績!B1492)</f>
        <v/>
      </c>
      <c r="C1491" s="10" t="str">
        <f>IF(ポートフォリオ実績!C1492="","", ポートフォリオ実績!C1492)</f>
        <v/>
      </c>
      <c r="D1491" s="10" t="str">
        <f>IF(ポートフォリオ実績!D1492="","", ポートフォリオ実績!D1492)</f>
        <v/>
      </c>
      <c r="E1491" s="10" t="str">
        <f>IF(ポートフォリオ実績!E1492="","", ポートフォリオ実績!E1492)</f>
        <v/>
      </c>
      <c r="F1491" s="10" t="str">
        <f>IF(ポートフォリオ実績!F1492="","", ポートフォリオ実績!F1492)</f>
        <v/>
      </c>
      <c r="G1491" t="str">
        <f t="shared" si="253"/>
        <v/>
      </c>
      <c r="H1491">
        <f>IF(B1491&lt;&gt;"", SUMIFS(ポートフォリオ実績!$D$2:$D$2001, ポートフォリオ実績!$B$2:$B$2001, B1491, ポートフォリオ実績!$A$2:$A$2001, G1491), 0)</f>
        <v>0</v>
      </c>
      <c r="I1491">
        <f>IF(B1491&lt;&gt;"", SUMIFS(ポートフォリオ実績!$C$2:$C$2001, ポートフォリオ実績!$B$2:$B$2001, B1491, ポートフォリオ実績!$A$2:$A$2001, G1491), 0)</f>
        <v>0</v>
      </c>
      <c r="J1491">
        <f t="shared" si="254"/>
        <v>0</v>
      </c>
      <c r="K1491">
        <f t="shared" si="255"/>
        <v>0</v>
      </c>
      <c r="L1491">
        <f t="shared" si="256"/>
        <v>0</v>
      </c>
      <c r="M1491">
        <f t="shared" si="257"/>
        <v>0</v>
      </c>
      <c r="N1491">
        <f t="shared" si="258"/>
        <v>0</v>
      </c>
      <c r="O1491">
        <f t="shared" si="259"/>
        <v>0</v>
      </c>
      <c r="P1491" t="str">
        <f t="shared" si="260"/>
        <v/>
      </c>
      <c r="Q1491" t="str">
        <f>IF(B1491="","", IFERROR(VLOOKUP(B1491, '基準資産配分（設定）'!$A$2:$C$2001, 3, FALSE), ""))</f>
        <v/>
      </c>
      <c r="R1491" t="str">
        <f>IF(B1491="","", IFERROR(VLOOKUP(B1491, '基準資産配分（設定）'!$A$2:$C$2001, 2, FALSE)/100, 0))</f>
        <v/>
      </c>
      <c r="S1491" t="str">
        <f>IF(B1491="","", IFERROR(SUMIFS(ベンチマークリターン!$C$2:$C$2001, ベンチマークリターン!$A$2:$A$2001, A1491, ベンチマークリターン!$B$2:$B$2001, Q1491) / 100, 0))</f>
        <v/>
      </c>
      <c r="T1491" t="str">
        <f>IF(A1491="","", SUMIFS($H$2:$H$2000, $A$2:$A$2000, A1491))</f>
        <v/>
      </c>
      <c r="U1491" t="str">
        <f t="shared" si="261"/>
        <v/>
      </c>
      <c r="V1491" t="str">
        <f t="shared" si="262"/>
        <v/>
      </c>
      <c r="W1491" t="str">
        <f t="shared" si="263"/>
        <v/>
      </c>
    </row>
    <row r="1492" spans="1:23" x14ac:dyDescent="0.2">
      <c r="A1492" s="4" t="str">
        <f>IF(ポートフォリオ実績!A1493="","", ポートフォリオ実績!A1493)</f>
        <v/>
      </c>
      <c r="B1492" t="str">
        <f>IF(ポートフォリオ実績!B1493="","", ポートフォリオ実績!B1493)</f>
        <v/>
      </c>
      <c r="C1492" s="10" t="str">
        <f>IF(ポートフォリオ実績!C1493="","", ポートフォリオ実績!C1493)</f>
        <v/>
      </c>
      <c r="D1492" s="10" t="str">
        <f>IF(ポートフォリオ実績!D1493="","", ポートフォリオ実績!D1493)</f>
        <v/>
      </c>
      <c r="E1492" s="10" t="str">
        <f>IF(ポートフォリオ実績!E1493="","", ポートフォリオ実績!E1493)</f>
        <v/>
      </c>
      <c r="F1492" s="10" t="str">
        <f>IF(ポートフォリオ実績!F1493="","", ポートフォリオ実績!F1493)</f>
        <v/>
      </c>
      <c r="G1492" t="str">
        <f t="shared" si="253"/>
        <v/>
      </c>
      <c r="H1492">
        <f>IF(B1492&lt;&gt;"", SUMIFS(ポートフォリオ実績!$D$2:$D$2001, ポートフォリオ実績!$B$2:$B$2001, B1492, ポートフォリオ実績!$A$2:$A$2001, G1492), 0)</f>
        <v>0</v>
      </c>
      <c r="I1492">
        <f>IF(B1492&lt;&gt;"", SUMIFS(ポートフォリオ実績!$C$2:$C$2001, ポートフォリオ実績!$B$2:$B$2001, B1492, ポートフォリオ実績!$A$2:$A$2001, G1492), 0)</f>
        <v>0</v>
      </c>
      <c r="J1492">
        <f t="shared" si="254"/>
        <v>0</v>
      </c>
      <c r="K1492">
        <f t="shared" si="255"/>
        <v>0</v>
      </c>
      <c r="L1492">
        <f t="shared" si="256"/>
        <v>0</v>
      </c>
      <c r="M1492">
        <f t="shared" si="257"/>
        <v>0</v>
      </c>
      <c r="N1492">
        <f t="shared" si="258"/>
        <v>0</v>
      </c>
      <c r="O1492">
        <f t="shared" si="259"/>
        <v>0</v>
      </c>
      <c r="P1492" t="str">
        <f t="shared" si="260"/>
        <v/>
      </c>
      <c r="Q1492" t="str">
        <f>IF(B1492="","", IFERROR(VLOOKUP(B1492, '基準資産配分（設定）'!$A$2:$C$2001, 3, FALSE), ""))</f>
        <v/>
      </c>
      <c r="R1492" t="str">
        <f>IF(B1492="","", IFERROR(VLOOKUP(B1492, '基準資産配分（設定）'!$A$2:$C$2001, 2, FALSE)/100, 0))</f>
        <v/>
      </c>
      <c r="S1492" t="str">
        <f>IF(B1492="","", IFERROR(SUMIFS(ベンチマークリターン!$C$2:$C$2001, ベンチマークリターン!$A$2:$A$2001, A1492, ベンチマークリターン!$B$2:$B$2001, Q1492) / 100, 0))</f>
        <v/>
      </c>
      <c r="T1492" t="str">
        <f>IF(A1492="","", SUMIFS($H$2:$H$2000, $A$2:$A$2000, A1492))</f>
        <v/>
      </c>
      <c r="U1492" t="str">
        <f t="shared" si="261"/>
        <v/>
      </c>
      <c r="V1492" t="str">
        <f t="shared" si="262"/>
        <v/>
      </c>
      <c r="W1492" t="str">
        <f t="shared" si="263"/>
        <v/>
      </c>
    </row>
    <row r="1493" spans="1:23" x14ac:dyDescent="0.2">
      <c r="A1493" s="4" t="str">
        <f>IF(ポートフォリオ実績!A1494="","", ポートフォリオ実績!A1494)</f>
        <v/>
      </c>
      <c r="B1493" t="str">
        <f>IF(ポートフォリオ実績!B1494="","", ポートフォリオ実績!B1494)</f>
        <v/>
      </c>
      <c r="C1493" s="10" t="str">
        <f>IF(ポートフォリオ実績!C1494="","", ポートフォリオ実績!C1494)</f>
        <v/>
      </c>
      <c r="D1493" s="10" t="str">
        <f>IF(ポートフォリオ実績!D1494="","", ポートフォリオ実績!D1494)</f>
        <v/>
      </c>
      <c r="E1493" s="10" t="str">
        <f>IF(ポートフォリオ実績!E1494="","", ポートフォリオ実績!E1494)</f>
        <v/>
      </c>
      <c r="F1493" s="10" t="str">
        <f>IF(ポートフォリオ実績!F1494="","", ポートフォリオ実績!F1494)</f>
        <v/>
      </c>
      <c r="G1493" t="str">
        <f t="shared" si="253"/>
        <v/>
      </c>
      <c r="H1493">
        <f>IF(B1493&lt;&gt;"", SUMIFS(ポートフォリオ実績!$D$2:$D$2001, ポートフォリオ実績!$B$2:$B$2001, B1493, ポートフォリオ実績!$A$2:$A$2001, G1493), 0)</f>
        <v>0</v>
      </c>
      <c r="I1493">
        <f>IF(B1493&lt;&gt;"", SUMIFS(ポートフォリオ実績!$C$2:$C$2001, ポートフォリオ実績!$B$2:$B$2001, B1493, ポートフォリオ実績!$A$2:$A$2001, G1493), 0)</f>
        <v>0</v>
      </c>
      <c r="J1493">
        <f t="shared" si="254"/>
        <v>0</v>
      </c>
      <c r="K1493">
        <f t="shared" si="255"/>
        <v>0</v>
      </c>
      <c r="L1493">
        <f t="shared" si="256"/>
        <v>0</v>
      </c>
      <c r="M1493">
        <f t="shared" si="257"/>
        <v>0</v>
      </c>
      <c r="N1493">
        <f t="shared" si="258"/>
        <v>0</v>
      </c>
      <c r="O1493">
        <f t="shared" si="259"/>
        <v>0</v>
      </c>
      <c r="P1493" t="str">
        <f t="shared" si="260"/>
        <v/>
      </c>
      <c r="Q1493" t="str">
        <f>IF(B1493="","", IFERROR(VLOOKUP(B1493, '基準資産配分（設定）'!$A$2:$C$2001, 3, FALSE), ""))</f>
        <v/>
      </c>
      <c r="R1493" t="str">
        <f>IF(B1493="","", IFERROR(VLOOKUP(B1493, '基準資産配分（設定）'!$A$2:$C$2001, 2, FALSE)/100, 0))</f>
        <v/>
      </c>
      <c r="S1493" t="str">
        <f>IF(B1493="","", IFERROR(SUMIFS(ベンチマークリターン!$C$2:$C$2001, ベンチマークリターン!$A$2:$A$2001, A1493, ベンチマークリターン!$B$2:$B$2001, Q1493) / 100, 0))</f>
        <v/>
      </c>
      <c r="T1493" t="str">
        <f>IF(A1493="","", SUMIFS($H$2:$H$2000, $A$2:$A$2000, A1493))</f>
        <v/>
      </c>
      <c r="U1493" t="str">
        <f t="shared" si="261"/>
        <v/>
      </c>
      <c r="V1493" t="str">
        <f t="shared" si="262"/>
        <v/>
      </c>
      <c r="W1493" t="str">
        <f t="shared" si="263"/>
        <v/>
      </c>
    </row>
    <row r="1494" spans="1:23" x14ac:dyDescent="0.2">
      <c r="A1494" s="4" t="str">
        <f>IF(ポートフォリオ実績!A1495="","", ポートフォリオ実績!A1495)</f>
        <v/>
      </c>
      <c r="B1494" t="str">
        <f>IF(ポートフォリオ実績!B1495="","", ポートフォリオ実績!B1495)</f>
        <v/>
      </c>
      <c r="C1494" s="10" t="str">
        <f>IF(ポートフォリオ実績!C1495="","", ポートフォリオ実績!C1495)</f>
        <v/>
      </c>
      <c r="D1494" s="10" t="str">
        <f>IF(ポートフォリオ実績!D1495="","", ポートフォリオ実績!D1495)</f>
        <v/>
      </c>
      <c r="E1494" s="10" t="str">
        <f>IF(ポートフォリオ実績!E1495="","", ポートフォリオ実績!E1495)</f>
        <v/>
      </c>
      <c r="F1494" s="10" t="str">
        <f>IF(ポートフォリオ実績!F1495="","", ポートフォリオ実績!F1495)</f>
        <v/>
      </c>
      <c r="G1494" t="str">
        <f t="shared" si="253"/>
        <v/>
      </c>
      <c r="H1494">
        <f>IF(B1494&lt;&gt;"", SUMIFS(ポートフォリオ実績!$D$2:$D$2001, ポートフォリオ実績!$B$2:$B$2001, B1494, ポートフォリオ実績!$A$2:$A$2001, G1494), 0)</f>
        <v>0</v>
      </c>
      <c r="I1494">
        <f>IF(B1494&lt;&gt;"", SUMIFS(ポートフォリオ実績!$C$2:$C$2001, ポートフォリオ実績!$B$2:$B$2001, B1494, ポートフォリオ実績!$A$2:$A$2001, G1494), 0)</f>
        <v>0</v>
      </c>
      <c r="J1494">
        <f t="shared" si="254"/>
        <v>0</v>
      </c>
      <c r="K1494">
        <f t="shared" si="255"/>
        <v>0</v>
      </c>
      <c r="L1494">
        <f t="shared" si="256"/>
        <v>0</v>
      </c>
      <c r="M1494">
        <f t="shared" si="257"/>
        <v>0</v>
      </c>
      <c r="N1494">
        <f t="shared" si="258"/>
        <v>0</v>
      </c>
      <c r="O1494">
        <f t="shared" si="259"/>
        <v>0</v>
      </c>
      <c r="P1494" t="str">
        <f t="shared" si="260"/>
        <v/>
      </c>
      <c r="Q1494" t="str">
        <f>IF(B1494="","", IFERROR(VLOOKUP(B1494, '基準資産配分（設定）'!$A$2:$C$2001, 3, FALSE), ""))</f>
        <v/>
      </c>
      <c r="R1494" t="str">
        <f>IF(B1494="","", IFERROR(VLOOKUP(B1494, '基準資産配分（設定）'!$A$2:$C$2001, 2, FALSE)/100, 0))</f>
        <v/>
      </c>
      <c r="S1494" t="str">
        <f>IF(B1494="","", IFERROR(SUMIFS(ベンチマークリターン!$C$2:$C$2001, ベンチマークリターン!$A$2:$A$2001, A1494, ベンチマークリターン!$B$2:$B$2001, Q1494) / 100, 0))</f>
        <v/>
      </c>
      <c r="T1494" t="str">
        <f>IF(A1494="","", SUMIFS($H$2:$H$2000, $A$2:$A$2000, A1494))</f>
        <v/>
      </c>
      <c r="U1494" t="str">
        <f t="shared" si="261"/>
        <v/>
      </c>
      <c r="V1494" t="str">
        <f t="shared" si="262"/>
        <v/>
      </c>
      <c r="W1494" t="str">
        <f t="shared" si="263"/>
        <v/>
      </c>
    </row>
    <row r="1495" spans="1:23" x14ac:dyDescent="0.2">
      <c r="A1495" s="4" t="str">
        <f>IF(ポートフォリオ実績!A1496="","", ポートフォリオ実績!A1496)</f>
        <v/>
      </c>
      <c r="B1495" t="str">
        <f>IF(ポートフォリオ実績!B1496="","", ポートフォリオ実績!B1496)</f>
        <v/>
      </c>
      <c r="C1495" s="10" t="str">
        <f>IF(ポートフォリオ実績!C1496="","", ポートフォリオ実績!C1496)</f>
        <v/>
      </c>
      <c r="D1495" s="10" t="str">
        <f>IF(ポートフォリオ実績!D1496="","", ポートフォリオ実績!D1496)</f>
        <v/>
      </c>
      <c r="E1495" s="10" t="str">
        <f>IF(ポートフォリオ実績!E1496="","", ポートフォリオ実績!E1496)</f>
        <v/>
      </c>
      <c r="F1495" s="10" t="str">
        <f>IF(ポートフォリオ実績!F1496="","", ポートフォリオ実績!F1496)</f>
        <v/>
      </c>
      <c r="G1495" t="str">
        <f t="shared" si="253"/>
        <v/>
      </c>
      <c r="H1495">
        <f>IF(B1495&lt;&gt;"", SUMIFS(ポートフォリオ実績!$D$2:$D$2001, ポートフォリオ実績!$B$2:$B$2001, B1495, ポートフォリオ実績!$A$2:$A$2001, G1495), 0)</f>
        <v>0</v>
      </c>
      <c r="I1495">
        <f>IF(B1495&lt;&gt;"", SUMIFS(ポートフォリオ実績!$C$2:$C$2001, ポートフォリオ実績!$B$2:$B$2001, B1495, ポートフォリオ実績!$A$2:$A$2001, G1495), 0)</f>
        <v>0</v>
      </c>
      <c r="J1495">
        <f t="shared" si="254"/>
        <v>0</v>
      </c>
      <c r="K1495">
        <f t="shared" si="255"/>
        <v>0</v>
      </c>
      <c r="L1495">
        <f t="shared" si="256"/>
        <v>0</v>
      </c>
      <c r="M1495">
        <f t="shared" si="257"/>
        <v>0</v>
      </c>
      <c r="N1495">
        <f t="shared" si="258"/>
        <v>0</v>
      </c>
      <c r="O1495">
        <f t="shared" si="259"/>
        <v>0</v>
      </c>
      <c r="P1495" t="str">
        <f t="shared" si="260"/>
        <v/>
      </c>
      <c r="Q1495" t="str">
        <f>IF(B1495="","", IFERROR(VLOOKUP(B1495, '基準資産配分（設定）'!$A$2:$C$2001, 3, FALSE), ""))</f>
        <v/>
      </c>
      <c r="R1495" t="str">
        <f>IF(B1495="","", IFERROR(VLOOKUP(B1495, '基準資産配分（設定）'!$A$2:$C$2001, 2, FALSE)/100, 0))</f>
        <v/>
      </c>
      <c r="S1495" t="str">
        <f>IF(B1495="","", IFERROR(SUMIFS(ベンチマークリターン!$C$2:$C$2001, ベンチマークリターン!$A$2:$A$2001, A1495, ベンチマークリターン!$B$2:$B$2001, Q1495) / 100, 0))</f>
        <v/>
      </c>
      <c r="T1495" t="str">
        <f>IF(A1495="","", SUMIFS($H$2:$H$2000, $A$2:$A$2000, A1495))</f>
        <v/>
      </c>
      <c r="U1495" t="str">
        <f t="shared" si="261"/>
        <v/>
      </c>
      <c r="V1495" t="str">
        <f t="shared" si="262"/>
        <v/>
      </c>
      <c r="W1495" t="str">
        <f t="shared" si="263"/>
        <v/>
      </c>
    </row>
    <row r="1496" spans="1:23" x14ac:dyDescent="0.2">
      <c r="A1496" s="4" t="str">
        <f>IF(ポートフォリオ実績!A1497="","", ポートフォリオ実績!A1497)</f>
        <v/>
      </c>
      <c r="B1496" t="str">
        <f>IF(ポートフォリオ実績!B1497="","", ポートフォリオ実績!B1497)</f>
        <v/>
      </c>
      <c r="C1496" s="10" t="str">
        <f>IF(ポートフォリオ実績!C1497="","", ポートフォリオ実績!C1497)</f>
        <v/>
      </c>
      <c r="D1496" s="10" t="str">
        <f>IF(ポートフォリオ実績!D1497="","", ポートフォリオ実績!D1497)</f>
        <v/>
      </c>
      <c r="E1496" s="10" t="str">
        <f>IF(ポートフォリオ実績!E1497="","", ポートフォリオ実績!E1497)</f>
        <v/>
      </c>
      <c r="F1496" s="10" t="str">
        <f>IF(ポートフォリオ実績!F1497="","", ポートフォリオ実績!F1497)</f>
        <v/>
      </c>
      <c r="G1496" t="str">
        <f t="shared" si="253"/>
        <v/>
      </c>
      <c r="H1496">
        <f>IF(B1496&lt;&gt;"", SUMIFS(ポートフォリオ実績!$D$2:$D$2001, ポートフォリオ実績!$B$2:$B$2001, B1496, ポートフォリオ実績!$A$2:$A$2001, G1496), 0)</f>
        <v>0</v>
      </c>
      <c r="I1496">
        <f>IF(B1496&lt;&gt;"", SUMIFS(ポートフォリオ実績!$C$2:$C$2001, ポートフォリオ実績!$B$2:$B$2001, B1496, ポートフォリオ実績!$A$2:$A$2001, G1496), 0)</f>
        <v>0</v>
      </c>
      <c r="J1496">
        <f t="shared" si="254"/>
        <v>0</v>
      </c>
      <c r="K1496">
        <f t="shared" si="255"/>
        <v>0</v>
      </c>
      <c r="L1496">
        <f t="shared" si="256"/>
        <v>0</v>
      </c>
      <c r="M1496">
        <f t="shared" si="257"/>
        <v>0</v>
      </c>
      <c r="N1496">
        <f t="shared" si="258"/>
        <v>0</v>
      </c>
      <c r="O1496">
        <f t="shared" si="259"/>
        <v>0</v>
      </c>
      <c r="P1496" t="str">
        <f t="shared" si="260"/>
        <v/>
      </c>
      <c r="Q1496" t="str">
        <f>IF(B1496="","", IFERROR(VLOOKUP(B1496, '基準資産配分（設定）'!$A$2:$C$2001, 3, FALSE), ""))</f>
        <v/>
      </c>
      <c r="R1496" t="str">
        <f>IF(B1496="","", IFERROR(VLOOKUP(B1496, '基準資産配分（設定）'!$A$2:$C$2001, 2, FALSE)/100, 0))</f>
        <v/>
      </c>
      <c r="S1496" t="str">
        <f>IF(B1496="","", IFERROR(SUMIFS(ベンチマークリターン!$C$2:$C$2001, ベンチマークリターン!$A$2:$A$2001, A1496, ベンチマークリターン!$B$2:$B$2001, Q1496) / 100, 0))</f>
        <v/>
      </c>
      <c r="T1496" t="str">
        <f>IF(A1496="","", SUMIFS($H$2:$H$2000, $A$2:$A$2000, A1496))</f>
        <v/>
      </c>
      <c r="U1496" t="str">
        <f t="shared" si="261"/>
        <v/>
      </c>
      <c r="V1496" t="str">
        <f t="shared" si="262"/>
        <v/>
      </c>
      <c r="W1496" t="str">
        <f t="shared" si="263"/>
        <v/>
      </c>
    </row>
    <row r="1497" spans="1:23" x14ac:dyDescent="0.2">
      <c r="A1497" s="4" t="str">
        <f>IF(ポートフォリオ実績!A1498="","", ポートフォリオ実績!A1498)</f>
        <v/>
      </c>
      <c r="B1497" t="str">
        <f>IF(ポートフォリオ実績!B1498="","", ポートフォリオ実績!B1498)</f>
        <v/>
      </c>
      <c r="C1497" s="10" t="str">
        <f>IF(ポートフォリオ実績!C1498="","", ポートフォリオ実績!C1498)</f>
        <v/>
      </c>
      <c r="D1497" s="10" t="str">
        <f>IF(ポートフォリオ実績!D1498="","", ポートフォリオ実績!D1498)</f>
        <v/>
      </c>
      <c r="E1497" s="10" t="str">
        <f>IF(ポートフォリオ実績!E1498="","", ポートフォリオ実績!E1498)</f>
        <v/>
      </c>
      <c r="F1497" s="10" t="str">
        <f>IF(ポートフォリオ実績!F1498="","", ポートフォリオ実績!F1498)</f>
        <v/>
      </c>
      <c r="G1497" t="str">
        <f t="shared" si="253"/>
        <v/>
      </c>
      <c r="H1497">
        <f>IF(B1497&lt;&gt;"", SUMIFS(ポートフォリオ実績!$D$2:$D$2001, ポートフォリオ実績!$B$2:$B$2001, B1497, ポートフォリオ実績!$A$2:$A$2001, G1497), 0)</f>
        <v>0</v>
      </c>
      <c r="I1497">
        <f>IF(B1497&lt;&gt;"", SUMIFS(ポートフォリオ実績!$C$2:$C$2001, ポートフォリオ実績!$B$2:$B$2001, B1497, ポートフォリオ実績!$A$2:$A$2001, G1497), 0)</f>
        <v>0</v>
      </c>
      <c r="J1497">
        <f t="shared" si="254"/>
        <v>0</v>
      </c>
      <c r="K1497">
        <f t="shared" si="255"/>
        <v>0</v>
      </c>
      <c r="L1497">
        <f t="shared" si="256"/>
        <v>0</v>
      </c>
      <c r="M1497">
        <f t="shared" si="257"/>
        <v>0</v>
      </c>
      <c r="N1497">
        <f t="shared" si="258"/>
        <v>0</v>
      </c>
      <c r="O1497">
        <f t="shared" si="259"/>
        <v>0</v>
      </c>
      <c r="P1497" t="str">
        <f t="shared" si="260"/>
        <v/>
      </c>
      <c r="Q1497" t="str">
        <f>IF(B1497="","", IFERROR(VLOOKUP(B1497, '基準資産配分（設定）'!$A$2:$C$2001, 3, FALSE), ""))</f>
        <v/>
      </c>
      <c r="R1497" t="str">
        <f>IF(B1497="","", IFERROR(VLOOKUP(B1497, '基準資産配分（設定）'!$A$2:$C$2001, 2, FALSE)/100, 0))</f>
        <v/>
      </c>
      <c r="S1497" t="str">
        <f>IF(B1497="","", IFERROR(SUMIFS(ベンチマークリターン!$C$2:$C$2001, ベンチマークリターン!$A$2:$A$2001, A1497, ベンチマークリターン!$B$2:$B$2001, Q1497) / 100, 0))</f>
        <v/>
      </c>
      <c r="T1497" t="str">
        <f>IF(A1497="","", SUMIFS($H$2:$H$2000, $A$2:$A$2000, A1497))</f>
        <v/>
      </c>
      <c r="U1497" t="str">
        <f t="shared" si="261"/>
        <v/>
      </c>
      <c r="V1497" t="str">
        <f t="shared" si="262"/>
        <v/>
      </c>
      <c r="W1497" t="str">
        <f t="shared" si="263"/>
        <v/>
      </c>
    </row>
    <row r="1498" spans="1:23" x14ac:dyDescent="0.2">
      <c r="A1498" s="4" t="str">
        <f>IF(ポートフォリオ実績!A1499="","", ポートフォリオ実績!A1499)</f>
        <v/>
      </c>
      <c r="B1498" t="str">
        <f>IF(ポートフォリオ実績!B1499="","", ポートフォリオ実績!B1499)</f>
        <v/>
      </c>
      <c r="C1498" s="10" t="str">
        <f>IF(ポートフォリオ実績!C1499="","", ポートフォリオ実績!C1499)</f>
        <v/>
      </c>
      <c r="D1498" s="10" t="str">
        <f>IF(ポートフォリオ実績!D1499="","", ポートフォリオ実績!D1499)</f>
        <v/>
      </c>
      <c r="E1498" s="10" t="str">
        <f>IF(ポートフォリオ実績!E1499="","", ポートフォリオ実績!E1499)</f>
        <v/>
      </c>
      <c r="F1498" s="10" t="str">
        <f>IF(ポートフォリオ実績!F1499="","", ポートフォリオ実績!F1499)</f>
        <v/>
      </c>
      <c r="G1498" t="str">
        <f t="shared" si="253"/>
        <v/>
      </c>
      <c r="H1498">
        <f>IF(B1498&lt;&gt;"", SUMIFS(ポートフォリオ実績!$D$2:$D$2001, ポートフォリオ実績!$B$2:$B$2001, B1498, ポートフォリオ実績!$A$2:$A$2001, G1498), 0)</f>
        <v>0</v>
      </c>
      <c r="I1498">
        <f>IF(B1498&lt;&gt;"", SUMIFS(ポートフォリオ実績!$C$2:$C$2001, ポートフォリオ実績!$B$2:$B$2001, B1498, ポートフォリオ実績!$A$2:$A$2001, G1498), 0)</f>
        <v>0</v>
      </c>
      <c r="J1498">
        <f t="shared" si="254"/>
        <v>0</v>
      </c>
      <c r="K1498">
        <f t="shared" si="255"/>
        <v>0</v>
      </c>
      <c r="L1498">
        <f t="shared" si="256"/>
        <v>0</v>
      </c>
      <c r="M1498">
        <f t="shared" si="257"/>
        <v>0</v>
      </c>
      <c r="N1498">
        <f t="shared" si="258"/>
        <v>0</v>
      </c>
      <c r="O1498">
        <f t="shared" si="259"/>
        <v>0</v>
      </c>
      <c r="P1498" t="str">
        <f t="shared" si="260"/>
        <v/>
      </c>
      <c r="Q1498" t="str">
        <f>IF(B1498="","", IFERROR(VLOOKUP(B1498, '基準資産配分（設定）'!$A$2:$C$2001, 3, FALSE), ""))</f>
        <v/>
      </c>
      <c r="R1498" t="str">
        <f>IF(B1498="","", IFERROR(VLOOKUP(B1498, '基準資産配分（設定）'!$A$2:$C$2001, 2, FALSE)/100, 0))</f>
        <v/>
      </c>
      <c r="S1498" t="str">
        <f>IF(B1498="","", IFERROR(SUMIFS(ベンチマークリターン!$C$2:$C$2001, ベンチマークリターン!$A$2:$A$2001, A1498, ベンチマークリターン!$B$2:$B$2001, Q1498) / 100, 0))</f>
        <v/>
      </c>
      <c r="T1498" t="str">
        <f>IF(A1498="","", SUMIFS($H$2:$H$2000, $A$2:$A$2000, A1498))</f>
        <v/>
      </c>
      <c r="U1498" t="str">
        <f t="shared" si="261"/>
        <v/>
      </c>
      <c r="V1498" t="str">
        <f t="shared" si="262"/>
        <v/>
      </c>
      <c r="W1498" t="str">
        <f t="shared" si="263"/>
        <v/>
      </c>
    </row>
    <row r="1499" spans="1:23" x14ac:dyDescent="0.2">
      <c r="A1499" s="4" t="str">
        <f>IF(ポートフォリオ実績!A1500="","", ポートフォリオ実績!A1500)</f>
        <v/>
      </c>
      <c r="B1499" t="str">
        <f>IF(ポートフォリオ実績!B1500="","", ポートフォリオ実績!B1500)</f>
        <v/>
      </c>
      <c r="C1499" s="10" t="str">
        <f>IF(ポートフォリオ実績!C1500="","", ポートフォリオ実績!C1500)</f>
        <v/>
      </c>
      <c r="D1499" s="10" t="str">
        <f>IF(ポートフォリオ実績!D1500="","", ポートフォリオ実績!D1500)</f>
        <v/>
      </c>
      <c r="E1499" s="10" t="str">
        <f>IF(ポートフォリオ実績!E1500="","", ポートフォリオ実績!E1500)</f>
        <v/>
      </c>
      <c r="F1499" s="10" t="str">
        <f>IF(ポートフォリオ実績!F1500="","", ポートフォリオ実績!F1500)</f>
        <v/>
      </c>
      <c r="G1499" t="str">
        <f t="shared" si="253"/>
        <v/>
      </c>
      <c r="H1499">
        <f>IF(B1499&lt;&gt;"", SUMIFS(ポートフォリオ実績!$D$2:$D$2001, ポートフォリオ実績!$B$2:$B$2001, B1499, ポートフォリオ実績!$A$2:$A$2001, G1499), 0)</f>
        <v>0</v>
      </c>
      <c r="I1499">
        <f>IF(B1499&lt;&gt;"", SUMIFS(ポートフォリオ実績!$C$2:$C$2001, ポートフォリオ実績!$B$2:$B$2001, B1499, ポートフォリオ実績!$A$2:$A$2001, G1499), 0)</f>
        <v>0</v>
      </c>
      <c r="J1499">
        <f t="shared" si="254"/>
        <v>0</v>
      </c>
      <c r="K1499">
        <f t="shared" si="255"/>
        <v>0</v>
      </c>
      <c r="L1499">
        <f t="shared" si="256"/>
        <v>0</v>
      </c>
      <c r="M1499">
        <f t="shared" si="257"/>
        <v>0</v>
      </c>
      <c r="N1499">
        <f t="shared" si="258"/>
        <v>0</v>
      </c>
      <c r="O1499">
        <f t="shared" si="259"/>
        <v>0</v>
      </c>
      <c r="P1499" t="str">
        <f t="shared" si="260"/>
        <v/>
      </c>
      <c r="Q1499" t="str">
        <f>IF(B1499="","", IFERROR(VLOOKUP(B1499, '基準資産配分（設定）'!$A$2:$C$2001, 3, FALSE), ""))</f>
        <v/>
      </c>
      <c r="R1499" t="str">
        <f>IF(B1499="","", IFERROR(VLOOKUP(B1499, '基準資産配分（設定）'!$A$2:$C$2001, 2, FALSE)/100, 0))</f>
        <v/>
      </c>
      <c r="S1499" t="str">
        <f>IF(B1499="","", IFERROR(SUMIFS(ベンチマークリターン!$C$2:$C$2001, ベンチマークリターン!$A$2:$A$2001, A1499, ベンチマークリターン!$B$2:$B$2001, Q1499) / 100, 0))</f>
        <v/>
      </c>
      <c r="T1499" t="str">
        <f>IF(A1499="","", SUMIFS($H$2:$H$2000, $A$2:$A$2000, A1499))</f>
        <v/>
      </c>
      <c r="U1499" t="str">
        <f t="shared" si="261"/>
        <v/>
      </c>
      <c r="V1499" t="str">
        <f t="shared" si="262"/>
        <v/>
      </c>
      <c r="W1499" t="str">
        <f t="shared" si="263"/>
        <v/>
      </c>
    </row>
    <row r="1500" spans="1:23" x14ac:dyDescent="0.2">
      <c r="A1500" s="4" t="str">
        <f>IF(ポートフォリオ実績!A1501="","", ポートフォリオ実績!A1501)</f>
        <v/>
      </c>
      <c r="B1500" t="str">
        <f>IF(ポートフォリオ実績!B1501="","", ポートフォリオ実績!B1501)</f>
        <v/>
      </c>
      <c r="C1500" s="10" t="str">
        <f>IF(ポートフォリオ実績!C1501="","", ポートフォリオ実績!C1501)</f>
        <v/>
      </c>
      <c r="D1500" s="10" t="str">
        <f>IF(ポートフォリオ実績!D1501="","", ポートフォリオ実績!D1501)</f>
        <v/>
      </c>
      <c r="E1500" s="10" t="str">
        <f>IF(ポートフォリオ実績!E1501="","", ポートフォリオ実績!E1501)</f>
        <v/>
      </c>
      <c r="F1500" s="10" t="str">
        <f>IF(ポートフォリオ実績!F1501="","", ポートフォリオ実績!F1501)</f>
        <v/>
      </c>
      <c r="G1500" t="str">
        <f t="shared" si="253"/>
        <v/>
      </c>
      <c r="H1500">
        <f>IF(B1500&lt;&gt;"", SUMIFS(ポートフォリオ実績!$D$2:$D$2001, ポートフォリオ実績!$B$2:$B$2001, B1500, ポートフォリオ実績!$A$2:$A$2001, G1500), 0)</f>
        <v>0</v>
      </c>
      <c r="I1500">
        <f>IF(B1500&lt;&gt;"", SUMIFS(ポートフォリオ実績!$C$2:$C$2001, ポートフォリオ実績!$B$2:$B$2001, B1500, ポートフォリオ実績!$A$2:$A$2001, G1500), 0)</f>
        <v>0</v>
      </c>
      <c r="J1500">
        <f t="shared" si="254"/>
        <v>0</v>
      </c>
      <c r="K1500">
        <f t="shared" si="255"/>
        <v>0</v>
      </c>
      <c r="L1500">
        <f t="shared" si="256"/>
        <v>0</v>
      </c>
      <c r="M1500">
        <f t="shared" si="257"/>
        <v>0</v>
      </c>
      <c r="N1500">
        <f t="shared" si="258"/>
        <v>0</v>
      </c>
      <c r="O1500">
        <f t="shared" si="259"/>
        <v>0</v>
      </c>
      <c r="P1500" t="str">
        <f t="shared" si="260"/>
        <v/>
      </c>
      <c r="Q1500" t="str">
        <f>IF(B1500="","", IFERROR(VLOOKUP(B1500, '基準資産配分（設定）'!$A$2:$C$2001, 3, FALSE), ""))</f>
        <v/>
      </c>
      <c r="R1500" t="str">
        <f>IF(B1500="","", IFERROR(VLOOKUP(B1500, '基準資産配分（設定）'!$A$2:$C$2001, 2, FALSE)/100, 0))</f>
        <v/>
      </c>
      <c r="S1500" t="str">
        <f>IF(B1500="","", IFERROR(SUMIFS(ベンチマークリターン!$C$2:$C$2001, ベンチマークリターン!$A$2:$A$2001, A1500, ベンチマークリターン!$B$2:$B$2001, Q1500) / 100, 0))</f>
        <v/>
      </c>
      <c r="T1500" t="str">
        <f>IF(A1500="","", SUMIFS($H$2:$H$2000, $A$2:$A$2000, A1500))</f>
        <v/>
      </c>
      <c r="U1500" t="str">
        <f t="shared" si="261"/>
        <v/>
      </c>
      <c r="V1500" t="str">
        <f t="shared" si="262"/>
        <v/>
      </c>
      <c r="W1500" t="str">
        <f t="shared" si="263"/>
        <v/>
      </c>
    </row>
    <row r="1501" spans="1:23" x14ac:dyDescent="0.2">
      <c r="A1501" s="4" t="str">
        <f>IF(ポートフォリオ実績!A1502="","", ポートフォリオ実績!A1502)</f>
        <v/>
      </c>
      <c r="B1501" t="str">
        <f>IF(ポートフォリオ実績!B1502="","", ポートフォリオ実績!B1502)</f>
        <v/>
      </c>
      <c r="C1501" s="10" t="str">
        <f>IF(ポートフォリオ実績!C1502="","", ポートフォリオ実績!C1502)</f>
        <v/>
      </c>
      <c r="D1501" s="10" t="str">
        <f>IF(ポートフォリオ実績!D1502="","", ポートフォリオ実績!D1502)</f>
        <v/>
      </c>
      <c r="E1501" s="10" t="str">
        <f>IF(ポートフォリオ実績!E1502="","", ポートフォリオ実績!E1502)</f>
        <v/>
      </c>
      <c r="F1501" s="10" t="str">
        <f>IF(ポートフォリオ実績!F1502="","", ポートフォリオ実績!F1502)</f>
        <v/>
      </c>
      <c r="G1501" t="str">
        <f t="shared" si="253"/>
        <v/>
      </c>
      <c r="H1501">
        <f>IF(B1501&lt;&gt;"", SUMIFS(ポートフォリオ実績!$D$2:$D$2001, ポートフォリオ実績!$B$2:$B$2001, B1501, ポートフォリオ実績!$A$2:$A$2001, G1501), 0)</f>
        <v>0</v>
      </c>
      <c r="I1501">
        <f>IF(B1501&lt;&gt;"", SUMIFS(ポートフォリオ実績!$C$2:$C$2001, ポートフォリオ実績!$B$2:$B$2001, B1501, ポートフォリオ実績!$A$2:$A$2001, G1501), 0)</f>
        <v>0</v>
      </c>
      <c r="J1501">
        <f t="shared" si="254"/>
        <v>0</v>
      </c>
      <c r="K1501">
        <f t="shared" si="255"/>
        <v>0</v>
      </c>
      <c r="L1501">
        <f t="shared" si="256"/>
        <v>0</v>
      </c>
      <c r="M1501">
        <f t="shared" si="257"/>
        <v>0</v>
      </c>
      <c r="N1501">
        <f t="shared" si="258"/>
        <v>0</v>
      </c>
      <c r="O1501">
        <f t="shared" si="259"/>
        <v>0</v>
      </c>
      <c r="P1501" t="str">
        <f t="shared" si="260"/>
        <v/>
      </c>
      <c r="Q1501" t="str">
        <f>IF(B1501="","", IFERROR(VLOOKUP(B1501, '基準資産配分（設定）'!$A$2:$C$2001, 3, FALSE), ""))</f>
        <v/>
      </c>
      <c r="R1501" t="str">
        <f>IF(B1501="","", IFERROR(VLOOKUP(B1501, '基準資産配分（設定）'!$A$2:$C$2001, 2, FALSE)/100, 0))</f>
        <v/>
      </c>
      <c r="S1501" t="str">
        <f>IF(B1501="","", IFERROR(SUMIFS(ベンチマークリターン!$C$2:$C$2001, ベンチマークリターン!$A$2:$A$2001, A1501, ベンチマークリターン!$B$2:$B$2001, Q1501) / 100, 0))</f>
        <v/>
      </c>
      <c r="T1501" t="str">
        <f>IF(A1501="","", SUMIFS($H$2:$H$2000, $A$2:$A$2000, A1501))</f>
        <v/>
      </c>
      <c r="U1501" t="str">
        <f t="shared" si="261"/>
        <v/>
      </c>
      <c r="V1501" t="str">
        <f t="shared" si="262"/>
        <v/>
      </c>
      <c r="W1501" t="str">
        <f t="shared" si="263"/>
        <v/>
      </c>
    </row>
    <row r="1502" spans="1:23" x14ac:dyDescent="0.2">
      <c r="A1502" s="4" t="str">
        <f>IF(ポートフォリオ実績!A1503="","", ポートフォリオ実績!A1503)</f>
        <v/>
      </c>
      <c r="B1502" t="str">
        <f>IF(ポートフォリオ実績!B1503="","", ポートフォリオ実績!B1503)</f>
        <v/>
      </c>
      <c r="C1502" s="10" t="str">
        <f>IF(ポートフォリオ実績!C1503="","", ポートフォリオ実績!C1503)</f>
        <v/>
      </c>
      <c r="D1502" s="10" t="str">
        <f>IF(ポートフォリオ実績!D1503="","", ポートフォリオ実績!D1503)</f>
        <v/>
      </c>
      <c r="E1502" s="10" t="str">
        <f>IF(ポートフォリオ実績!E1503="","", ポートフォリオ実績!E1503)</f>
        <v/>
      </c>
      <c r="F1502" s="10" t="str">
        <f>IF(ポートフォリオ実績!F1503="","", ポートフォリオ実績!F1503)</f>
        <v/>
      </c>
      <c r="G1502" t="str">
        <f t="shared" si="253"/>
        <v/>
      </c>
      <c r="H1502">
        <f>IF(B1502&lt;&gt;"", SUMIFS(ポートフォリオ実績!$D$2:$D$2001, ポートフォリオ実績!$B$2:$B$2001, B1502, ポートフォリオ実績!$A$2:$A$2001, G1502), 0)</f>
        <v>0</v>
      </c>
      <c r="I1502">
        <f>IF(B1502&lt;&gt;"", SUMIFS(ポートフォリオ実績!$C$2:$C$2001, ポートフォリオ実績!$B$2:$B$2001, B1502, ポートフォリオ実績!$A$2:$A$2001, G1502), 0)</f>
        <v>0</v>
      </c>
      <c r="J1502">
        <f t="shared" si="254"/>
        <v>0</v>
      </c>
      <c r="K1502">
        <f t="shared" si="255"/>
        <v>0</v>
      </c>
      <c r="L1502">
        <f t="shared" si="256"/>
        <v>0</v>
      </c>
      <c r="M1502">
        <f t="shared" si="257"/>
        <v>0</v>
      </c>
      <c r="N1502">
        <f t="shared" si="258"/>
        <v>0</v>
      </c>
      <c r="O1502">
        <f t="shared" si="259"/>
        <v>0</v>
      </c>
      <c r="P1502" t="str">
        <f t="shared" si="260"/>
        <v/>
      </c>
      <c r="Q1502" t="str">
        <f>IF(B1502="","", IFERROR(VLOOKUP(B1502, '基準資産配分（設定）'!$A$2:$C$2001, 3, FALSE), ""))</f>
        <v/>
      </c>
      <c r="R1502" t="str">
        <f>IF(B1502="","", IFERROR(VLOOKUP(B1502, '基準資産配分（設定）'!$A$2:$C$2001, 2, FALSE)/100, 0))</f>
        <v/>
      </c>
      <c r="S1502" t="str">
        <f>IF(B1502="","", IFERROR(SUMIFS(ベンチマークリターン!$C$2:$C$2001, ベンチマークリターン!$A$2:$A$2001, A1502, ベンチマークリターン!$B$2:$B$2001, Q1502) / 100, 0))</f>
        <v/>
      </c>
      <c r="T1502" t="str">
        <f>IF(A1502="","", SUMIFS($H$2:$H$2000, $A$2:$A$2000, A1502))</f>
        <v/>
      </c>
      <c r="U1502" t="str">
        <f t="shared" si="261"/>
        <v/>
      </c>
      <c r="V1502" t="str">
        <f t="shared" si="262"/>
        <v/>
      </c>
      <c r="W1502" t="str">
        <f t="shared" si="263"/>
        <v/>
      </c>
    </row>
    <row r="1503" spans="1:23" x14ac:dyDescent="0.2">
      <c r="A1503" s="4" t="str">
        <f>IF(ポートフォリオ実績!A1504="","", ポートフォリオ実績!A1504)</f>
        <v/>
      </c>
      <c r="B1503" t="str">
        <f>IF(ポートフォリオ実績!B1504="","", ポートフォリオ実績!B1504)</f>
        <v/>
      </c>
      <c r="C1503" s="10" t="str">
        <f>IF(ポートフォリオ実績!C1504="","", ポートフォリオ実績!C1504)</f>
        <v/>
      </c>
      <c r="D1503" s="10" t="str">
        <f>IF(ポートフォリオ実績!D1504="","", ポートフォリオ実績!D1504)</f>
        <v/>
      </c>
      <c r="E1503" s="10" t="str">
        <f>IF(ポートフォリオ実績!E1504="","", ポートフォリオ実績!E1504)</f>
        <v/>
      </c>
      <c r="F1503" s="10" t="str">
        <f>IF(ポートフォリオ実績!F1504="","", ポートフォリオ実績!F1504)</f>
        <v/>
      </c>
      <c r="G1503" t="str">
        <f t="shared" si="253"/>
        <v/>
      </c>
      <c r="H1503">
        <f>IF(B1503&lt;&gt;"", SUMIFS(ポートフォリオ実績!$D$2:$D$2001, ポートフォリオ実績!$B$2:$B$2001, B1503, ポートフォリオ実績!$A$2:$A$2001, G1503), 0)</f>
        <v>0</v>
      </c>
      <c r="I1503">
        <f>IF(B1503&lt;&gt;"", SUMIFS(ポートフォリオ実績!$C$2:$C$2001, ポートフォリオ実績!$B$2:$B$2001, B1503, ポートフォリオ実績!$A$2:$A$2001, G1503), 0)</f>
        <v>0</v>
      </c>
      <c r="J1503">
        <f t="shared" si="254"/>
        <v>0</v>
      </c>
      <c r="K1503">
        <f t="shared" si="255"/>
        <v>0</v>
      </c>
      <c r="L1503">
        <f t="shared" si="256"/>
        <v>0</v>
      </c>
      <c r="M1503">
        <f t="shared" si="257"/>
        <v>0</v>
      </c>
      <c r="N1503">
        <f t="shared" si="258"/>
        <v>0</v>
      </c>
      <c r="O1503">
        <f t="shared" si="259"/>
        <v>0</v>
      </c>
      <c r="P1503" t="str">
        <f t="shared" si="260"/>
        <v/>
      </c>
      <c r="Q1503" t="str">
        <f>IF(B1503="","", IFERROR(VLOOKUP(B1503, '基準資産配分（設定）'!$A$2:$C$2001, 3, FALSE), ""))</f>
        <v/>
      </c>
      <c r="R1503" t="str">
        <f>IF(B1503="","", IFERROR(VLOOKUP(B1503, '基準資産配分（設定）'!$A$2:$C$2001, 2, FALSE)/100, 0))</f>
        <v/>
      </c>
      <c r="S1503" t="str">
        <f>IF(B1503="","", IFERROR(SUMIFS(ベンチマークリターン!$C$2:$C$2001, ベンチマークリターン!$A$2:$A$2001, A1503, ベンチマークリターン!$B$2:$B$2001, Q1503) / 100, 0))</f>
        <v/>
      </c>
      <c r="T1503" t="str">
        <f>IF(A1503="","", SUMIFS($H$2:$H$2000, $A$2:$A$2000, A1503))</f>
        <v/>
      </c>
      <c r="U1503" t="str">
        <f t="shared" si="261"/>
        <v/>
      </c>
      <c r="V1503" t="str">
        <f t="shared" si="262"/>
        <v/>
      </c>
      <c r="W1503" t="str">
        <f t="shared" si="263"/>
        <v/>
      </c>
    </row>
    <row r="1504" spans="1:23" x14ac:dyDescent="0.2">
      <c r="A1504" s="4" t="str">
        <f>IF(ポートフォリオ実績!A1505="","", ポートフォリオ実績!A1505)</f>
        <v/>
      </c>
      <c r="B1504" t="str">
        <f>IF(ポートフォリオ実績!B1505="","", ポートフォリオ実績!B1505)</f>
        <v/>
      </c>
      <c r="C1504" s="10" t="str">
        <f>IF(ポートフォリオ実績!C1505="","", ポートフォリオ実績!C1505)</f>
        <v/>
      </c>
      <c r="D1504" s="10" t="str">
        <f>IF(ポートフォリオ実績!D1505="","", ポートフォリオ実績!D1505)</f>
        <v/>
      </c>
      <c r="E1504" s="10" t="str">
        <f>IF(ポートフォリオ実績!E1505="","", ポートフォリオ実績!E1505)</f>
        <v/>
      </c>
      <c r="F1504" s="10" t="str">
        <f>IF(ポートフォリオ実績!F1505="","", ポートフォリオ実績!F1505)</f>
        <v/>
      </c>
      <c r="G1504" t="str">
        <f t="shared" si="253"/>
        <v/>
      </c>
      <c r="H1504">
        <f>IF(B1504&lt;&gt;"", SUMIFS(ポートフォリオ実績!$D$2:$D$2001, ポートフォリオ実績!$B$2:$B$2001, B1504, ポートフォリオ実績!$A$2:$A$2001, G1504), 0)</f>
        <v>0</v>
      </c>
      <c r="I1504">
        <f>IF(B1504&lt;&gt;"", SUMIFS(ポートフォリオ実績!$C$2:$C$2001, ポートフォリオ実績!$B$2:$B$2001, B1504, ポートフォリオ実績!$A$2:$A$2001, G1504), 0)</f>
        <v>0</v>
      </c>
      <c r="J1504">
        <f t="shared" si="254"/>
        <v>0</v>
      </c>
      <c r="K1504">
        <f t="shared" si="255"/>
        <v>0</v>
      </c>
      <c r="L1504">
        <f t="shared" si="256"/>
        <v>0</v>
      </c>
      <c r="M1504">
        <f t="shared" si="257"/>
        <v>0</v>
      </c>
      <c r="N1504">
        <f t="shared" si="258"/>
        <v>0</v>
      </c>
      <c r="O1504">
        <f t="shared" si="259"/>
        <v>0</v>
      </c>
      <c r="P1504" t="str">
        <f t="shared" si="260"/>
        <v/>
      </c>
      <c r="Q1504" t="str">
        <f>IF(B1504="","", IFERROR(VLOOKUP(B1504, '基準資産配分（設定）'!$A$2:$C$2001, 3, FALSE), ""))</f>
        <v/>
      </c>
      <c r="R1504" t="str">
        <f>IF(B1504="","", IFERROR(VLOOKUP(B1504, '基準資産配分（設定）'!$A$2:$C$2001, 2, FALSE)/100, 0))</f>
        <v/>
      </c>
      <c r="S1504" t="str">
        <f>IF(B1504="","", IFERROR(SUMIFS(ベンチマークリターン!$C$2:$C$2001, ベンチマークリターン!$A$2:$A$2001, A1504, ベンチマークリターン!$B$2:$B$2001, Q1504) / 100, 0))</f>
        <v/>
      </c>
      <c r="T1504" t="str">
        <f>IF(A1504="","", SUMIFS($H$2:$H$2000, $A$2:$A$2000, A1504))</f>
        <v/>
      </c>
      <c r="U1504" t="str">
        <f t="shared" si="261"/>
        <v/>
      </c>
      <c r="V1504" t="str">
        <f t="shared" si="262"/>
        <v/>
      </c>
      <c r="W1504" t="str">
        <f t="shared" si="263"/>
        <v/>
      </c>
    </row>
    <row r="1505" spans="1:23" x14ac:dyDescent="0.2">
      <c r="A1505" s="4" t="str">
        <f>IF(ポートフォリオ実績!A1506="","", ポートフォリオ実績!A1506)</f>
        <v/>
      </c>
      <c r="B1505" t="str">
        <f>IF(ポートフォリオ実績!B1506="","", ポートフォリオ実績!B1506)</f>
        <v/>
      </c>
      <c r="C1505" s="10" t="str">
        <f>IF(ポートフォリオ実績!C1506="","", ポートフォリオ実績!C1506)</f>
        <v/>
      </c>
      <c r="D1505" s="10" t="str">
        <f>IF(ポートフォリオ実績!D1506="","", ポートフォリオ実績!D1506)</f>
        <v/>
      </c>
      <c r="E1505" s="10" t="str">
        <f>IF(ポートフォリオ実績!E1506="","", ポートフォリオ実績!E1506)</f>
        <v/>
      </c>
      <c r="F1505" s="10" t="str">
        <f>IF(ポートフォリオ実績!F1506="","", ポートフォリオ実績!F1506)</f>
        <v/>
      </c>
      <c r="G1505" t="str">
        <f t="shared" si="253"/>
        <v/>
      </c>
      <c r="H1505">
        <f>IF(B1505&lt;&gt;"", SUMIFS(ポートフォリオ実績!$D$2:$D$2001, ポートフォリオ実績!$B$2:$B$2001, B1505, ポートフォリオ実績!$A$2:$A$2001, G1505), 0)</f>
        <v>0</v>
      </c>
      <c r="I1505">
        <f>IF(B1505&lt;&gt;"", SUMIFS(ポートフォリオ実績!$C$2:$C$2001, ポートフォリオ実績!$B$2:$B$2001, B1505, ポートフォリオ実績!$A$2:$A$2001, G1505), 0)</f>
        <v>0</v>
      </c>
      <c r="J1505">
        <f t="shared" si="254"/>
        <v>0</v>
      </c>
      <c r="K1505">
        <f t="shared" si="255"/>
        <v>0</v>
      </c>
      <c r="L1505">
        <f t="shared" si="256"/>
        <v>0</v>
      </c>
      <c r="M1505">
        <f t="shared" si="257"/>
        <v>0</v>
      </c>
      <c r="N1505">
        <f t="shared" si="258"/>
        <v>0</v>
      </c>
      <c r="O1505">
        <f t="shared" si="259"/>
        <v>0</v>
      </c>
      <c r="P1505" t="str">
        <f t="shared" si="260"/>
        <v/>
      </c>
      <c r="Q1505" t="str">
        <f>IF(B1505="","", IFERROR(VLOOKUP(B1505, '基準資産配分（設定）'!$A$2:$C$2001, 3, FALSE), ""))</f>
        <v/>
      </c>
      <c r="R1505" t="str">
        <f>IF(B1505="","", IFERROR(VLOOKUP(B1505, '基準資産配分（設定）'!$A$2:$C$2001, 2, FALSE)/100, 0))</f>
        <v/>
      </c>
      <c r="S1505" t="str">
        <f>IF(B1505="","", IFERROR(SUMIFS(ベンチマークリターン!$C$2:$C$2001, ベンチマークリターン!$A$2:$A$2001, A1505, ベンチマークリターン!$B$2:$B$2001, Q1505) / 100, 0))</f>
        <v/>
      </c>
      <c r="T1505" t="str">
        <f>IF(A1505="","", SUMIFS($H$2:$H$2000, $A$2:$A$2000, A1505))</f>
        <v/>
      </c>
      <c r="U1505" t="str">
        <f t="shared" si="261"/>
        <v/>
      </c>
      <c r="V1505" t="str">
        <f t="shared" si="262"/>
        <v/>
      </c>
      <c r="W1505" t="str">
        <f t="shared" si="263"/>
        <v/>
      </c>
    </row>
    <row r="1506" spans="1:23" x14ac:dyDescent="0.2">
      <c r="A1506" s="4" t="str">
        <f>IF(ポートフォリオ実績!A1507="","", ポートフォリオ実績!A1507)</f>
        <v/>
      </c>
      <c r="B1506" t="str">
        <f>IF(ポートフォリオ実績!B1507="","", ポートフォリオ実績!B1507)</f>
        <v/>
      </c>
      <c r="C1506" s="10" t="str">
        <f>IF(ポートフォリオ実績!C1507="","", ポートフォリオ実績!C1507)</f>
        <v/>
      </c>
      <c r="D1506" s="10" t="str">
        <f>IF(ポートフォリオ実績!D1507="","", ポートフォリオ実績!D1507)</f>
        <v/>
      </c>
      <c r="E1506" s="10" t="str">
        <f>IF(ポートフォリオ実績!E1507="","", ポートフォリオ実績!E1507)</f>
        <v/>
      </c>
      <c r="F1506" s="10" t="str">
        <f>IF(ポートフォリオ実績!F1507="","", ポートフォリオ実績!F1507)</f>
        <v/>
      </c>
      <c r="G1506" t="str">
        <f t="shared" si="253"/>
        <v/>
      </c>
      <c r="H1506">
        <f>IF(B1506&lt;&gt;"", SUMIFS(ポートフォリオ実績!$D$2:$D$2001, ポートフォリオ実績!$B$2:$B$2001, B1506, ポートフォリオ実績!$A$2:$A$2001, G1506), 0)</f>
        <v>0</v>
      </c>
      <c r="I1506">
        <f>IF(B1506&lt;&gt;"", SUMIFS(ポートフォリオ実績!$C$2:$C$2001, ポートフォリオ実績!$B$2:$B$2001, B1506, ポートフォリオ実績!$A$2:$A$2001, G1506), 0)</f>
        <v>0</v>
      </c>
      <c r="J1506">
        <f t="shared" si="254"/>
        <v>0</v>
      </c>
      <c r="K1506">
        <f t="shared" si="255"/>
        <v>0</v>
      </c>
      <c r="L1506">
        <f t="shared" si="256"/>
        <v>0</v>
      </c>
      <c r="M1506">
        <f t="shared" si="257"/>
        <v>0</v>
      </c>
      <c r="N1506">
        <f t="shared" si="258"/>
        <v>0</v>
      </c>
      <c r="O1506">
        <f t="shared" si="259"/>
        <v>0</v>
      </c>
      <c r="P1506" t="str">
        <f t="shared" si="260"/>
        <v/>
      </c>
      <c r="Q1506" t="str">
        <f>IF(B1506="","", IFERROR(VLOOKUP(B1506, '基準資産配分（設定）'!$A$2:$C$2001, 3, FALSE), ""))</f>
        <v/>
      </c>
      <c r="R1506" t="str">
        <f>IF(B1506="","", IFERROR(VLOOKUP(B1506, '基準資産配分（設定）'!$A$2:$C$2001, 2, FALSE)/100, 0))</f>
        <v/>
      </c>
      <c r="S1506" t="str">
        <f>IF(B1506="","", IFERROR(SUMIFS(ベンチマークリターン!$C$2:$C$2001, ベンチマークリターン!$A$2:$A$2001, A1506, ベンチマークリターン!$B$2:$B$2001, Q1506) / 100, 0))</f>
        <v/>
      </c>
      <c r="T1506" t="str">
        <f>IF(A1506="","", SUMIFS($H$2:$H$2000, $A$2:$A$2000, A1506))</f>
        <v/>
      </c>
      <c r="U1506" t="str">
        <f t="shared" si="261"/>
        <v/>
      </c>
      <c r="V1506" t="str">
        <f t="shared" si="262"/>
        <v/>
      </c>
      <c r="W1506" t="str">
        <f t="shared" si="263"/>
        <v/>
      </c>
    </row>
    <row r="1507" spans="1:23" x14ac:dyDescent="0.2">
      <c r="A1507" s="4" t="str">
        <f>IF(ポートフォリオ実績!A1508="","", ポートフォリオ実績!A1508)</f>
        <v/>
      </c>
      <c r="B1507" t="str">
        <f>IF(ポートフォリオ実績!B1508="","", ポートフォリオ実績!B1508)</f>
        <v/>
      </c>
      <c r="C1507" s="10" t="str">
        <f>IF(ポートフォリオ実績!C1508="","", ポートフォリオ実績!C1508)</f>
        <v/>
      </c>
      <c r="D1507" s="10" t="str">
        <f>IF(ポートフォリオ実績!D1508="","", ポートフォリオ実績!D1508)</f>
        <v/>
      </c>
      <c r="E1507" s="10" t="str">
        <f>IF(ポートフォリオ実績!E1508="","", ポートフォリオ実績!E1508)</f>
        <v/>
      </c>
      <c r="F1507" s="10" t="str">
        <f>IF(ポートフォリオ実績!F1508="","", ポートフォリオ実績!F1508)</f>
        <v/>
      </c>
      <c r="G1507" t="str">
        <f t="shared" si="253"/>
        <v/>
      </c>
      <c r="H1507">
        <f>IF(B1507&lt;&gt;"", SUMIFS(ポートフォリオ実績!$D$2:$D$2001, ポートフォリオ実績!$B$2:$B$2001, B1507, ポートフォリオ実績!$A$2:$A$2001, G1507), 0)</f>
        <v>0</v>
      </c>
      <c r="I1507">
        <f>IF(B1507&lt;&gt;"", SUMIFS(ポートフォリオ実績!$C$2:$C$2001, ポートフォリオ実績!$B$2:$B$2001, B1507, ポートフォリオ実績!$A$2:$A$2001, G1507), 0)</f>
        <v>0</v>
      </c>
      <c r="J1507">
        <f t="shared" si="254"/>
        <v>0</v>
      </c>
      <c r="K1507">
        <f t="shared" si="255"/>
        <v>0</v>
      </c>
      <c r="L1507">
        <f t="shared" si="256"/>
        <v>0</v>
      </c>
      <c r="M1507">
        <f t="shared" si="257"/>
        <v>0</v>
      </c>
      <c r="N1507">
        <f t="shared" si="258"/>
        <v>0</v>
      </c>
      <c r="O1507">
        <f t="shared" si="259"/>
        <v>0</v>
      </c>
      <c r="P1507" t="str">
        <f t="shared" si="260"/>
        <v/>
      </c>
      <c r="Q1507" t="str">
        <f>IF(B1507="","", IFERROR(VLOOKUP(B1507, '基準資産配分（設定）'!$A$2:$C$2001, 3, FALSE), ""))</f>
        <v/>
      </c>
      <c r="R1507" t="str">
        <f>IF(B1507="","", IFERROR(VLOOKUP(B1507, '基準資産配分（設定）'!$A$2:$C$2001, 2, FALSE)/100, 0))</f>
        <v/>
      </c>
      <c r="S1507" t="str">
        <f>IF(B1507="","", IFERROR(SUMIFS(ベンチマークリターン!$C$2:$C$2001, ベンチマークリターン!$A$2:$A$2001, A1507, ベンチマークリターン!$B$2:$B$2001, Q1507) / 100, 0))</f>
        <v/>
      </c>
      <c r="T1507" t="str">
        <f>IF(A1507="","", SUMIFS($H$2:$H$2000, $A$2:$A$2000, A1507))</f>
        <v/>
      </c>
      <c r="U1507" t="str">
        <f t="shared" si="261"/>
        <v/>
      </c>
      <c r="V1507" t="str">
        <f t="shared" si="262"/>
        <v/>
      </c>
      <c r="W1507" t="str">
        <f t="shared" si="263"/>
        <v/>
      </c>
    </row>
    <row r="1508" spans="1:23" x14ac:dyDescent="0.2">
      <c r="A1508" s="4" t="str">
        <f>IF(ポートフォリオ実績!A1509="","", ポートフォリオ実績!A1509)</f>
        <v/>
      </c>
      <c r="B1508" t="str">
        <f>IF(ポートフォリオ実績!B1509="","", ポートフォリオ実績!B1509)</f>
        <v/>
      </c>
      <c r="C1508" s="10" t="str">
        <f>IF(ポートフォリオ実績!C1509="","", ポートフォリオ実績!C1509)</f>
        <v/>
      </c>
      <c r="D1508" s="10" t="str">
        <f>IF(ポートフォリオ実績!D1509="","", ポートフォリオ実績!D1509)</f>
        <v/>
      </c>
      <c r="E1508" s="10" t="str">
        <f>IF(ポートフォリオ実績!E1509="","", ポートフォリオ実績!E1509)</f>
        <v/>
      </c>
      <c r="F1508" s="10" t="str">
        <f>IF(ポートフォリオ実績!F1509="","", ポートフォリオ実績!F1509)</f>
        <v/>
      </c>
      <c r="G1508" t="str">
        <f t="shared" si="253"/>
        <v/>
      </c>
      <c r="H1508">
        <f>IF(B1508&lt;&gt;"", SUMIFS(ポートフォリオ実績!$D$2:$D$2001, ポートフォリオ実績!$B$2:$B$2001, B1508, ポートフォリオ実績!$A$2:$A$2001, G1508), 0)</f>
        <v>0</v>
      </c>
      <c r="I1508">
        <f>IF(B1508&lt;&gt;"", SUMIFS(ポートフォリオ実績!$C$2:$C$2001, ポートフォリオ実績!$B$2:$B$2001, B1508, ポートフォリオ実績!$A$2:$A$2001, G1508), 0)</f>
        <v>0</v>
      </c>
      <c r="J1508">
        <f t="shared" si="254"/>
        <v>0</v>
      </c>
      <c r="K1508">
        <f t="shared" si="255"/>
        <v>0</v>
      </c>
      <c r="L1508">
        <f t="shared" si="256"/>
        <v>0</v>
      </c>
      <c r="M1508">
        <f t="shared" si="257"/>
        <v>0</v>
      </c>
      <c r="N1508">
        <f t="shared" si="258"/>
        <v>0</v>
      </c>
      <c r="O1508">
        <f t="shared" si="259"/>
        <v>0</v>
      </c>
      <c r="P1508" t="str">
        <f t="shared" si="260"/>
        <v/>
      </c>
      <c r="Q1508" t="str">
        <f>IF(B1508="","", IFERROR(VLOOKUP(B1508, '基準資産配分（設定）'!$A$2:$C$2001, 3, FALSE), ""))</f>
        <v/>
      </c>
      <c r="R1508" t="str">
        <f>IF(B1508="","", IFERROR(VLOOKUP(B1508, '基準資産配分（設定）'!$A$2:$C$2001, 2, FALSE)/100, 0))</f>
        <v/>
      </c>
      <c r="S1508" t="str">
        <f>IF(B1508="","", IFERROR(SUMIFS(ベンチマークリターン!$C$2:$C$2001, ベンチマークリターン!$A$2:$A$2001, A1508, ベンチマークリターン!$B$2:$B$2001, Q1508) / 100, 0))</f>
        <v/>
      </c>
      <c r="T1508" t="str">
        <f>IF(A1508="","", SUMIFS($H$2:$H$2000, $A$2:$A$2000, A1508))</f>
        <v/>
      </c>
      <c r="U1508" t="str">
        <f t="shared" si="261"/>
        <v/>
      </c>
      <c r="V1508" t="str">
        <f t="shared" si="262"/>
        <v/>
      </c>
      <c r="W1508" t="str">
        <f t="shared" si="263"/>
        <v/>
      </c>
    </row>
    <row r="1509" spans="1:23" x14ac:dyDescent="0.2">
      <c r="A1509" s="4" t="str">
        <f>IF(ポートフォリオ実績!A1510="","", ポートフォリオ実績!A1510)</f>
        <v/>
      </c>
      <c r="B1509" t="str">
        <f>IF(ポートフォリオ実績!B1510="","", ポートフォリオ実績!B1510)</f>
        <v/>
      </c>
      <c r="C1509" s="10" t="str">
        <f>IF(ポートフォリオ実績!C1510="","", ポートフォリオ実績!C1510)</f>
        <v/>
      </c>
      <c r="D1509" s="10" t="str">
        <f>IF(ポートフォリオ実績!D1510="","", ポートフォリオ実績!D1510)</f>
        <v/>
      </c>
      <c r="E1509" s="10" t="str">
        <f>IF(ポートフォリオ実績!E1510="","", ポートフォリオ実績!E1510)</f>
        <v/>
      </c>
      <c r="F1509" s="10" t="str">
        <f>IF(ポートフォリオ実績!F1510="","", ポートフォリオ実績!F1510)</f>
        <v/>
      </c>
      <c r="G1509" t="str">
        <f t="shared" si="253"/>
        <v/>
      </c>
      <c r="H1509">
        <f>IF(B1509&lt;&gt;"", SUMIFS(ポートフォリオ実績!$D$2:$D$2001, ポートフォリオ実績!$B$2:$B$2001, B1509, ポートフォリオ実績!$A$2:$A$2001, G1509), 0)</f>
        <v>0</v>
      </c>
      <c r="I1509">
        <f>IF(B1509&lt;&gt;"", SUMIFS(ポートフォリオ実績!$C$2:$C$2001, ポートフォリオ実績!$B$2:$B$2001, B1509, ポートフォリオ実績!$A$2:$A$2001, G1509), 0)</f>
        <v>0</v>
      </c>
      <c r="J1509">
        <f t="shared" si="254"/>
        <v>0</v>
      </c>
      <c r="K1509">
        <f t="shared" si="255"/>
        <v>0</v>
      </c>
      <c r="L1509">
        <f t="shared" si="256"/>
        <v>0</v>
      </c>
      <c r="M1509">
        <f t="shared" si="257"/>
        <v>0</v>
      </c>
      <c r="N1509">
        <f t="shared" si="258"/>
        <v>0</v>
      </c>
      <c r="O1509">
        <f t="shared" si="259"/>
        <v>0</v>
      </c>
      <c r="P1509" t="str">
        <f t="shared" si="260"/>
        <v/>
      </c>
      <c r="Q1509" t="str">
        <f>IF(B1509="","", IFERROR(VLOOKUP(B1509, '基準資産配分（設定）'!$A$2:$C$2001, 3, FALSE), ""))</f>
        <v/>
      </c>
      <c r="R1509" t="str">
        <f>IF(B1509="","", IFERROR(VLOOKUP(B1509, '基準資産配分（設定）'!$A$2:$C$2001, 2, FALSE)/100, 0))</f>
        <v/>
      </c>
      <c r="S1509" t="str">
        <f>IF(B1509="","", IFERROR(SUMIFS(ベンチマークリターン!$C$2:$C$2001, ベンチマークリターン!$A$2:$A$2001, A1509, ベンチマークリターン!$B$2:$B$2001, Q1509) / 100, 0))</f>
        <v/>
      </c>
      <c r="T1509" t="str">
        <f>IF(A1509="","", SUMIFS($H$2:$H$2000, $A$2:$A$2000, A1509))</f>
        <v/>
      </c>
      <c r="U1509" t="str">
        <f t="shared" si="261"/>
        <v/>
      </c>
      <c r="V1509" t="str">
        <f t="shared" si="262"/>
        <v/>
      </c>
      <c r="W1509" t="str">
        <f t="shared" si="263"/>
        <v/>
      </c>
    </row>
    <row r="1510" spans="1:23" x14ac:dyDescent="0.2">
      <c r="A1510" s="4" t="str">
        <f>IF(ポートフォリオ実績!A1511="","", ポートフォリオ実績!A1511)</f>
        <v/>
      </c>
      <c r="B1510" t="str">
        <f>IF(ポートフォリオ実績!B1511="","", ポートフォリオ実績!B1511)</f>
        <v/>
      </c>
      <c r="C1510" s="10" t="str">
        <f>IF(ポートフォリオ実績!C1511="","", ポートフォリオ実績!C1511)</f>
        <v/>
      </c>
      <c r="D1510" s="10" t="str">
        <f>IF(ポートフォリオ実績!D1511="","", ポートフォリオ実績!D1511)</f>
        <v/>
      </c>
      <c r="E1510" s="10" t="str">
        <f>IF(ポートフォリオ実績!E1511="","", ポートフォリオ実績!E1511)</f>
        <v/>
      </c>
      <c r="F1510" s="10" t="str">
        <f>IF(ポートフォリオ実績!F1511="","", ポートフォリオ実績!F1511)</f>
        <v/>
      </c>
      <c r="G1510" t="str">
        <f t="shared" si="253"/>
        <v/>
      </c>
      <c r="H1510">
        <f>IF(B1510&lt;&gt;"", SUMIFS(ポートフォリオ実績!$D$2:$D$2001, ポートフォリオ実績!$B$2:$B$2001, B1510, ポートフォリオ実績!$A$2:$A$2001, G1510), 0)</f>
        <v>0</v>
      </c>
      <c r="I1510">
        <f>IF(B1510&lt;&gt;"", SUMIFS(ポートフォリオ実績!$C$2:$C$2001, ポートフォリオ実績!$B$2:$B$2001, B1510, ポートフォリオ実績!$A$2:$A$2001, G1510), 0)</f>
        <v>0</v>
      </c>
      <c r="J1510">
        <f t="shared" si="254"/>
        <v>0</v>
      </c>
      <c r="K1510">
        <f t="shared" si="255"/>
        <v>0</v>
      </c>
      <c r="L1510">
        <f t="shared" si="256"/>
        <v>0</v>
      </c>
      <c r="M1510">
        <f t="shared" si="257"/>
        <v>0</v>
      </c>
      <c r="N1510">
        <f t="shared" si="258"/>
        <v>0</v>
      </c>
      <c r="O1510">
        <f t="shared" si="259"/>
        <v>0</v>
      </c>
      <c r="P1510" t="str">
        <f t="shared" si="260"/>
        <v/>
      </c>
      <c r="Q1510" t="str">
        <f>IF(B1510="","", IFERROR(VLOOKUP(B1510, '基準資産配分（設定）'!$A$2:$C$2001, 3, FALSE), ""))</f>
        <v/>
      </c>
      <c r="R1510" t="str">
        <f>IF(B1510="","", IFERROR(VLOOKUP(B1510, '基準資産配分（設定）'!$A$2:$C$2001, 2, FALSE)/100, 0))</f>
        <v/>
      </c>
      <c r="S1510" t="str">
        <f>IF(B1510="","", IFERROR(SUMIFS(ベンチマークリターン!$C$2:$C$2001, ベンチマークリターン!$A$2:$A$2001, A1510, ベンチマークリターン!$B$2:$B$2001, Q1510) / 100, 0))</f>
        <v/>
      </c>
      <c r="T1510" t="str">
        <f>IF(A1510="","", SUMIFS($H$2:$H$2000, $A$2:$A$2000, A1510))</f>
        <v/>
      </c>
      <c r="U1510" t="str">
        <f t="shared" si="261"/>
        <v/>
      </c>
      <c r="V1510" t="str">
        <f t="shared" si="262"/>
        <v/>
      </c>
      <c r="W1510" t="str">
        <f t="shared" si="263"/>
        <v/>
      </c>
    </row>
    <row r="1511" spans="1:23" x14ac:dyDescent="0.2">
      <c r="A1511" s="4" t="str">
        <f>IF(ポートフォリオ実績!A1512="","", ポートフォリオ実績!A1512)</f>
        <v/>
      </c>
      <c r="B1511" t="str">
        <f>IF(ポートフォリオ実績!B1512="","", ポートフォリオ実績!B1512)</f>
        <v/>
      </c>
      <c r="C1511" s="10" t="str">
        <f>IF(ポートフォリオ実績!C1512="","", ポートフォリオ実績!C1512)</f>
        <v/>
      </c>
      <c r="D1511" s="10" t="str">
        <f>IF(ポートフォリオ実績!D1512="","", ポートフォリオ実績!D1512)</f>
        <v/>
      </c>
      <c r="E1511" s="10" t="str">
        <f>IF(ポートフォリオ実績!E1512="","", ポートフォリオ実績!E1512)</f>
        <v/>
      </c>
      <c r="F1511" s="10" t="str">
        <f>IF(ポートフォリオ実績!F1512="","", ポートフォリオ実績!F1512)</f>
        <v/>
      </c>
      <c r="G1511" t="str">
        <f t="shared" si="253"/>
        <v/>
      </c>
      <c r="H1511">
        <f>IF(B1511&lt;&gt;"", SUMIFS(ポートフォリオ実績!$D$2:$D$2001, ポートフォリオ実績!$B$2:$B$2001, B1511, ポートフォリオ実績!$A$2:$A$2001, G1511), 0)</f>
        <v>0</v>
      </c>
      <c r="I1511">
        <f>IF(B1511&lt;&gt;"", SUMIFS(ポートフォリオ実績!$C$2:$C$2001, ポートフォリオ実績!$B$2:$B$2001, B1511, ポートフォリオ実績!$A$2:$A$2001, G1511), 0)</f>
        <v>0</v>
      </c>
      <c r="J1511">
        <f t="shared" si="254"/>
        <v>0</v>
      </c>
      <c r="K1511">
        <f t="shared" si="255"/>
        <v>0</v>
      </c>
      <c r="L1511">
        <f t="shared" si="256"/>
        <v>0</v>
      </c>
      <c r="M1511">
        <f t="shared" si="257"/>
        <v>0</v>
      </c>
      <c r="N1511">
        <f t="shared" si="258"/>
        <v>0</v>
      </c>
      <c r="O1511">
        <f t="shared" si="259"/>
        <v>0</v>
      </c>
      <c r="P1511" t="str">
        <f t="shared" si="260"/>
        <v/>
      </c>
      <c r="Q1511" t="str">
        <f>IF(B1511="","", IFERROR(VLOOKUP(B1511, '基準資産配分（設定）'!$A$2:$C$2001, 3, FALSE), ""))</f>
        <v/>
      </c>
      <c r="R1511" t="str">
        <f>IF(B1511="","", IFERROR(VLOOKUP(B1511, '基準資産配分（設定）'!$A$2:$C$2001, 2, FALSE)/100, 0))</f>
        <v/>
      </c>
      <c r="S1511" t="str">
        <f>IF(B1511="","", IFERROR(SUMIFS(ベンチマークリターン!$C$2:$C$2001, ベンチマークリターン!$A$2:$A$2001, A1511, ベンチマークリターン!$B$2:$B$2001, Q1511) / 100, 0))</f>
        <v/>
      </c>
      <c r="T1511" t="str">
        <f>IF(A1511="","", SUMIFS($H$2:$H$2000, $A$2:$A$2000, A1511))</f>
        <v/>
      </c>
      <c r="U1511" t="str">
        <f t="shared" si="261"/>
        <v/>
      </c>
      <c r="V1511" t="str">
        <f t="shared" si="262"/>
        <v/>
      </c>
      <c r="W1511" t="str">
        <f t="shared" si="263"/>
        <v/>
      </c>
    </row>
    <row r="1512" spans="1:23" x14ac:dyDescent="0.2">
      <c r="A1512" s="4" t="str">
        <f>IF(ポートフォリオ実績!A1513="","", ポートフォリオ実績!A1513)</f>
        <v/>
      </c>
      <c r="B1512" t="str">
        <f>IF(ポートフォリオ実績!B1513="","", ポートフォリオ実績!B1513)</f>
        <v/>
      </c>
      <c r="C1512" s="10" t="str">
        <f>IF(ポートフォリオ実績!C1513="","", ポートフォリオ実績!C1513)</f>
        <v/>
      </c>
      <c r="D1512" s="10" t="str">
        <f>IF(ポートフォリオ実績!D1513="","", ポートフォリオ実績!D1513)</f>
        <v/>
      </c>
      <c r="E1512" s="10" t="str">
        <f>IF(ポートフォリオ実績!E1513="","", ポートフォリオ実績!E1513)</f>
        <v/>
      </c>
      <c r="F1512" s="10" t="str">
        <f>IF(ポートフォリオ実績!F1513="","", ポートフォリオ実績!F1513)</f>
        <v/>
      </c>
      <c r="G1512" t="str">
        <f t="shared" si="253"/>
        <v/>
      </c>
      <c r="H1512">
        <f>IF(B1512&lt;&gt;"", SUMIFS(ポートフォリオ実績!$D$2:$D$2001, ポートフォリオ実績!$B$2:$B$2001, B1512, ポートフォリオ実績!$A$2:$A$2001, G1512), 0)</f>
        <v>0</v>
      </c>
      <c r="I1512">
        <f>IF(B1512&lt;&gt;"", SUMIFS(ポートフォリオ実績!$C$2:$C$2001, ポートフォリオ実績!$B$2:$B$2001, B1512, ポートフォリオ実績!$A$2:$A$2001, G1512), 0)</f>
        <v>0</v>
      </c>
      <c r="J1512">
        <f t="shared" si="254"/>
        <v>0</v>
      </c>
      <c r="K1512">
        <f t="shared" si="255"/>
        <v>0</v>
      </c>
      <c r="L1512">
        <f t="shared" si="256"/>
        <v>0</v>
      </c>
      <c r="M1512">
        <f t="shared" si="257"/>
        <v>0</v>
      </c>
      <c r="N1512">
        <f t="shared" si="258"/>
        <v>0</v>
      </c>
      <c r="O1512">
        <f t="shared" si="259"/>
        <v>0</v>
      </c>
      <c r="P1512" t="str">
        <f t="shared" si="260"/>
        <v/>
      </c>
      <c r="Q1512" t="str">
        <f>IF(B1512="","", IFERROR(VLOOKUP(B1512, '基準資産配分（設定）'!$A$2:$C$2001, 3, FALSE), ""))</f>
        <v/>
      </c>
      <c r="R1512" t="str">
        <f>IF(B1512="","", IFERROR(VLOOKUP(B1512, '基準資産配分（設定）'!$A$2:$C$2001, 2, FALSE)/100, 0))</f>
        <v/>
      </c>
      <c r="S1512" t="str">
        <f>IF(B1512="","", IFERROR(SUMIFS(ベンチマークリターン!$C$2:$C$2001, ベンチマークリターン!$A$2:$A$2001, A1512, ベンチマークリターン!$B$2:$B$2001, Q1512) / 100, 0))</f>
        <v/>
      </c>
      <c r="T1512" t="str">
        <f>IF(A1512="","", SUMIFS($H$2:$H$2000, $A$2:$A$2000, A1512))</f>
        <v/>
      </c>
      <c r="U1512" t="str">
        <f t="shared" si="261"/>
        <v/>
      </c>
      <c r="V1512" t="str">
        <f t="shared" si="262"/>
        <v/>
      </c>
      <c r="W1512" t="str">
        <f t="shared" si="263"/>
        <v/>
      </c>
    </row>
    <row r="1513" spans="1:23" x14ac:dyDescent="0.2">
      <c r="A1513" s="4" t="str">
        <f>IF(ポートフォリオ実績!A1514="","", ポートフォリオ実績!A1514)</f>
        <v/>
      </c>
      <c r="B1513" t="str">
        <f>IF(ポートフォリオ実績!B1514="","", ポートフォリオ実績!B1514)</f>
        <v/>
      </c>
      <c r="C1513" s="10" t="str">
        <f>IF(ポートフォリオ実績!C1514="","", ポートフォリオ実績!C1514)</f>
        <v/>
      </c>
      <c r="D1513" s="10" t="str">
        <f>IF(ポートフォリオ実績!D1514="","", ポートフォリオ実績!D1514)</f>
        <v/>
      </c>
      <c r="E1513" s="10" t="str">
        <f>IF(ポートフォリオ実績!E1514="","", ポートフォリオ実績!E1514)</f>
        <v/>
      </c>
      <c r="F1513" s="10" t="str">
        <f>IF(ポートフォリオ実績!F1514="","", ポートフォリオ実績!F1514)</f>
        <v/>
      </c>
      <c r="G1513" t="str">
        <f t="shared" si="253"/>
        <v/>
      </c>
      <c r="H1513">
        <f>IF(B1513&lt;&gt;"", SUMIFS(ポートフォリオ実績!$D$2:$D$2001, ポートフォリオ実績!$B$2:$B$2001, B1513, ポートフォリオ実績!$A$2:$A$2001, G1513), 0)</f>
        <v>0</v>
      </c>
      <c r="I1513">
        <f>IF(B1513&lt;&gt;"", SUMIFS(ポートフォリオ実績!$C$2:$C$2001, ポートフォリオ実績!$B$2:$B$2001, B1513, ポートフォリオ実績!$A$2:$A$2001, G1513), 0)</f>
        <v>0</v>
      </c>
      <c r="J1513">
        <f t="shared" si="254"/>
        <v>0</v>
      </c>
      <c r="K1513">
        <f t="shared" si="255"/>
        <v>0</v>
      </c>
      <c r="L1513">
        <f t="shared" si="256"/>
        <v>0</v>
      </c>
      <c r="M1513">
        <f t="shared" si="257"/>
        <v>0</v>
      </c>
      <c r="N1513">
        <f t="shared" si="258"/>
        <v>0</v>
      </c>
      <c r="O1513">
        <f t="shared" si="259"/>
        <v>0</v>
      </c>
      <c r="P1513" t="str">
        <f t="shared" si="260"/>
        <v/>
      </c>
      <c r="Q1513" t="str">
        <f>IF(B1513="","", IFERROR(VLOOKUP(B1513, '基準資産配分（設定）'!$A$2:$C$2001, 3, FALSE), ""))</f>
        <v/>
      </c>
      <c r="R1513" t="str">
        <f>IF(B1513="","", IFERROR(VLOOKUP(B1513, '基準資産配分（設定）'!$A$2:$C$2001, 2, FALSE)/100, 0))</f>
        <v/>
      </c>
      <c r="S1513" t="str">
        <f>IF(B1513="","", IFERROR(SUMIFS(ベンチマークリターン!$C$2:$C$2001, ベンチマークリターン!$A$2:$A$2001, A1513, ベンチマークリターン!$B$2:$B$2001, Q1513) / 100, 0))</f>
        <v/>
      </c>
      <c r="T1513" t="str">
        <f>IF(A1513="","", SUMIFS($H$2:$H$2000, $A$2:$A$2000, A1513))</f>
        <v/>
      </c>
      <c r="U1513" t="str">
        <f t="shared" si="261"/>
        <v/>
      </c>
      <c r="V1513" t="str">
        <f t="shared" si="262"/>
        <v/>
      </c>
      <c r="W1513" t="str">
        <f t="shared" si="263"/>
        <v/>
      </c>
    </row>
    <row r="1514" spans="1:23" x14ac:dyDescent="0.2">
      <c r="A1514" s="4" t="str">
        <f>IF(ポートフォリオ実績!A1515="","", ポートフォリオ実績!A1515)</f>
        <v/>
      </c>
      <c r="B1514" t="str">
        <f>IF(ポートフォリオ実績!B1515="","", ポートフォリオ実績!B1515)</f>
        <v/>
      </c>
      <c r="C1514" s="10" t="str">
        <f>IF(ポートフォリオ実績!C1515="","", ポートフォリオ実績!C1515)</f>
        <v/>
      </c>
      <c r="D1514" s="10" t="str">
        <f>IF(ポートフォリオ実績!D1515="","", ポートフォリオ実績!D1515)</f>
        <v/>
      </c>
      <c r="E1514" s="10" t="str">
        <f>IF(ポートフォリオ実績!E1515="","", ポートフォリオ実績!E1515)</f>
        <v/>
      </c>
      <c r="F1514" s="10" t="str">
        <f>IF(ポートフォリオ実績!F1515="","", ポートフォリオ実績!F1515)</f>
        <v/>
      </c>
      <c r="G1514" t="str">
        <f t="shared" si="253"/>
        <v/>
      </c>
      <c r="H1514">
        <f>IF(B1514&lt;&gt;"", SUMIFS(ポートフォリオ実績!$D$2:$D$2001, ポートフォリオ実績!$B$2:$B$2001, B1514, ポートフォリオ実績!$A$2:$A$2001, G1514), 0)</f>
        <v>0</v>
      </c>
      <c r="I1514">
        <f>IF(B1514&lt;&gt;"", SUMIFS(ポートフォリオ実績!$C$2:$C$2001, ポートフォリオ実績!$B$2:$B$2001, B1514, ポートフォリオ実績!$A$2:$A$2001, G1514), 0)</f>
        <v>0</v>
      </c>
      <c r="J1514">
        <f t="shared" si="254"/>
        <v>0</v>
      </c>
      <c r="K1514">
        <f t="shared" si="255"/>
        <v>0</v>
      </c>
      <c r="L1514">
        <f t="shared" si="256"/>
        <v>0</v>
      </c>
      <c r="M1514">
        <f t="shared" si="257"/>
        <v>0</v>
      </c>
      <c r="N1514">
        <f t="shared" si="258"/>
        <v>0</v>
      </c>
      <c r="O1514">
        <f t="shared" si="259"/>
        <v>0</v>
      </c>
      <c r="P1514" t="str">
        <f t="shared" si="260"/>
        <v/>
      </c>
      <c r="Q1514" t="str">
        <f>IF(B1514="","", IFERROR(VLOOKUP(B1514, '基準資産配分（設定）'!$A$2:$C$2001, 3, FALSE), ""))</f>
        <v/>
      </c>
      <c r="R1514" t="str">
        <f>IF(B1514="","", IFERROR(VLOOKUP(B1514, '基準資産配分（設定）'!$A$2:$C$2001, 2, FALSE)/100, 0))</f>
        <v/>
      </c>
      <c r="S1514" t="str">
        <f>IF(B1514="","", IFERROR(SUMIFS(ベンチマークリターン!$C$2:$C$2001, ベンチマークリターン!$A$2:$A$2001, A1514, ベンチマークリターン!$B$2:$B$2001, Q1514) / 100, 0))</f>
        <v/>
      </c>
      <c r="T1514" t="str">
        <f>IF(A1514="","", SUMIFS($H$2:$H$2000, $A$2:$A$2000, A1514))</f>
        <v/>
      </c>
      <c r="U1514" t="str">
        <f t="shared" si="261"/>
        <v/>
      </c>
      <c r="V1514" t="str">
        <f t="shared" si="262"/>
        <v/>
      </c>
      <c r="W1514" t="str">
        <f t="shared" si="263"/>
        <v/>
      </c>
    </row>
    <row r="1515" spans="1:23" x14ac:dyDescent="0.2">
      <c r="A1515" s="4" t="str">
        <f>IF(ポートフォリオ実績!A1516="","", ポートフォリオ実績!A1516)</f>
        <v/>
      </c>
      <c r="B1515" t="str">
        <f>IF(ポートフォリオ実績!B1516="","", ポートフォリオ実績!B1516)</f>
        <v/>
      </c>
      <c r="C1515" s="10" t="str">
        <f>IF(ポートフォリオ実績!C1516="","", ポートフォリオ実績!C1516)</f>
        <v/>
      </c>
      <c r="D1515" s="10" t="str">
        <f>IF(ポートフォリオ実績!D1516="","", ポートフォリオ実績!D1516)</f>
        <v/>
      </c>
      <c r="E1515" s="10" t="str">
        <f>IF(ポートフォリオ実績!E1516="","", ポートフォリオ実績!E1516)</f>
        <v/>
      </c>
      <c r="F1515" s="10" t="str">
        <f>IF(ポートフォリオ実績!F1516="","", ポートフォリオ実績!F1516)</f>
        <v/>
      </c>
      <c r="G1515" t="str">
        <f t="shared" si="253"/>
        <v/>
      </c>
      <c r="H1515">
        <f>IF(B1515&lt;&gt;"", SUMIFS(ポートフォリオ実績!$D$2:$D$2001, ポートフォリオ実績!$B$2:$B$2001, B1515, ポートフォリオ実績!$A$2:$A$2001, G1515), 0)</f>
        <v>0</v>
      </c>
      <c r="I1515">
        <f>IF(B1515&lt;&gt;"", SUMIFS(ポートフォリオ実績!$C$2:$C$2001, ポートフォリオ実績!$B$2:$B$2001, B1515, ポートフォリオ実績!$A$2:$A$2001, G1515), 0)</f>
        <v>0</v>
      </c>
      <c r="J1515">
        <f t="shared" si="254"/>
        <v>0</v>
      </c>
      <c r="K1515">
        <f t="shared" si="255"/>
        <v>0</v>
      </c>
      <c r="L1515">
        <f t="shared" si="256"/>
        <v>0</v>
      </c>
      <c r="M1515">
        <f t="shared" si="257"/>
        <v>0</v>
      </c>
      <c r="N1515">
        <f t="shared" si="258"/>
        <v>0</v>
      </c>
      <c r="O1515">
        <f t="shared" si="259"/>
        <v>0</v>
      </c>
      <c r="P1515" t="str">
        <f t="shared" si="260"/>
        <v/>
      </c>
      <c r="Q1515" t="str">
        <f>IF(B1515="","", IFERROR(VLOOKUP(B1515, '基準資産配分（設定）'!$A$2:$C$2001, 3, FALSE), ""))</f>
        <v/>
      </c>
      <c r="R1515" t="str">
        <f>IF(B1515="","", IFERROR(VLOOKUP(B1515, '基準資産配分（設定）'!$A$2:$C$2001, 2, FALSE)/100, 0))</f>
        <v/>
      </c>
      <c r="S1515" t="str">
        <f>IF(B1515="","", IFERROR(SUMIFS(ベンチマークリターン!$C$2:$C$2001, ベンチマークリターン!$A$2:$A$2001, A1515, ベンチマークリターン!$B$2:$B$2001, Q1515) / 100, 0))</f>
        <v/>
      </c>
      <c r="T1515" t="str">
        <f>IF(A1515="","", SUMIFS($H$2:$H$2000, $A$2:$A$2000, A1515))</f>
        <v/>
      </c>
      <c r="U1515" t="str">
        <f t="shared" si="261"/>
        <v/>
      </c>
      <c r="V1515" t="str">
        <f t="shared" si="262"/>
        <v/>
      </c>
      <c r="W1515" t="str">
        <f t="shared" si="263"/>
        <v/>
      </c>
    </row>
    <row r="1516" spans="1:23" x14ac:dyDescent="0.2">
      <c r="A1516" s="4" t="str">
        <f>IF(ポートフォリオ実績!A1517="","", ポートフォリオ実績!A1517)</f>
        <v/>
      </c>
      <c r="B1516" t="str">
        <f>IF(ポートフォリオ実績!B1517="","", ポートフォリオ実績!B1517)</f>
        <v/>
      </c>
      <c r="C1516" s="10" t="str">
        <f>IF(ポートフォリオ実績!C1517="","", ポートフォリオ実績!C1517)</f>
        <v/>
      </c>
      <c r="D1516" s="10" t="str">
        <f>IF(ポートフォリオ実績!D1517="","", ポートフォリオ実績!D1517)</f>
        <v/>
      </c>
      <c r="E1516" s="10" t="str">
        <f>IF(ポートフォリオ実績!E1517="","", ポートフォリオ実績!E1517)</f>
        <v/>
      </c>
      <c r="F1516" s="10" t="str">
        <f>IF(ポートフォリオ実績!F1517="","", ポートフォリオ実績!F1517)</f>
        <v/>
      </c>
      <c r="G1516" t="str">
        <f t="shared" si="253"/>
        <v/>
      </c>
      <c r="H1516">
        <f>IF(B1516&lt;&gt;"", SUMIFS(ポートフォリオ実績!$D$2:$D$2001, ポートフォリオ実績!$B$2:$B$2001, B1516, ポートフォリオ実績!$A$2:$A$2001, G1516), 0)</f>
        <v>0</v>
      </c>
      <c r="I1516">
        <f>IF(B1516&lt;&gt;"", SUMIFS(ポートフォリオ実績!$C$2:$C$2001, ポートフォリオ実績!$B$2:$B$2001, B1516, ポートフォリオ実績!$A$2:$A$2001, G1516), 0)</f>
        <v>0</v>
      </c>
      <c r="J1516">
        <f t="shared" si="254"/>
        <v>0</v>
      </c>
      <c r="K1516">
        <f t="shared" si="255"/>
        <v>0</v>
      </c>
      <c r="L1516">
        <f t="shared" si="256"/>
        <v>0</v>
      </c>
      <c r="M1516">
        <f t="shared" si="257"/>
        <v>0</v>
      </c>
      <c r="N1516">
        <f t="shared" si="258"/>
        <v>0</v>
      </c>
      <c r="O1516">
        <f t="shared" si="259"/>
        <v>0</v>
      </c>
      <c r="P1516" t="str">
        <f t="shared" si="260"/>
        <v/>
      </c>
      <c r="Q1516" t="str">
        <f>IF(B1516="","", IFERROR(VLOOKUP(B1516, '基準資産配分（設定）'!$A$2:$C$2001, 3, FALSE), ""))</f>
        <v/>
      </c>
      <c r="R1516" t="str">
        <f>IF(B1516="","", IFERROR(VLOOKUP(B1516, '基準資産配分（設定）'!$A$2:$C$2001, 2, FALSE)/100, 0))</f>
        <v/>
      </c>
      <c r="S1516" t="str">
        <f>IF(B1516="","", IFERROR(SUMIFS(ベンチマークリターン!$C$2:$C$2001, ベンチマークリターン!$A$2:$A$2001, A1516, ベンチマークリターン!$B$2:$B$2001, Q1516) / 100, 0))</f>
        <v/>
      </c>
      <c r="T1516" t="str">
        <f>IF(A1516="","", SUMIFS($H$2:$H$2000, $A$2:$A$2000, A1516))</f>
        <v/>
      </c>
      <c r="U1516" t="str">
        <f t="shared" si="261"/>
        <v/>
      </c>
      <c r="V1516" t="str">
        <f t="shared" si="262"/>
        <v/>
      </c>
      <c r="W1516" t="str">
        <f t="shared" si="263"/>
        <v/>
      </c>
    </row>
    <row r="1517" spans="1:23" x14ac:dyDescent="0.2">
      <c r="A1517" s="4" t="str">
        <f>IF(ポートフォリオ実績!A1518="","", ポートフォリオ実績!A1518)</f>
        <v/>
      </c>
      <c r="B1517" t="str">
        <f>IF(ポートフォリオ実績!B1518="","", ポートフォリオ実績!B1518)</f>
        <v/>
      </c>
      <c r="C1517" s="10" t="str">
        <f>IF(ポートフォリオ実績!C1518="","", ポートフォリオ実績!C1518)</f>
        <v/>
      </c>
      <c r="D1517" s="10" t="str">
        <f>IF(ポートフォリオ実績!D1518="","", ポートフォリオ実績!D1518)</f>
        <v/>
      </c>
      <c r="E1517" s="10" t="str">
        <f>IF(ポートフォリオ実績!E1518="","", ポートフォリオ実績!E1518)</f>
        <v/>
      </c>
      <c r="F1517" s="10" t="str">
        <f>IF(ポートフォリオ実績!F1518="","", ポートフォリオ実績!F1518)</f>
        <v/>
      </c>
      <c r="G1517" t="str">
        <f t="shared" si="253"/>
        <v/>
      </c>
      <c r="H1517">
        <f>IF(B1517&lt;&gt;"", SUMIFS(ポートフォリオ実績!$D$2:$D$2001, ポートフォリオ実績!$B$2:$B$2001, B1517, ポートフォリオ実績!$A$2:$A$2001, G1517), 0)</f>
        <v>0</v>
      </c>
      <c r="I1517">
        <f>IF(B1517&lt;&gt;"", SUMIFS(ポートフォリオ実績!$C$2:$C$2001, ポートフォリオ実績!$B$2:$B$2001, B1517, ポートフォリオ実績!$A$2:$A$2001, G1517), 0)</f>
        <v>0</v>
      </c>
      <c r="J1517">
        <f t="shared" si="254"/>
        <v>0</v>
      </c>
      <c r="K1517">
        <f t="shared" si="255"/>
        <v>0</v>
      </c>
      <c r="L1517">
        <f t="shared" si="256"/>
        <v>0</v>
      </c>
      <c r="M1517">
        <f t="shared" si="257"/>
        <v>0</v>
      </c>
      <c r="N1517">
        <f t="shared" si="258"/>
        <v>0</v>
      </c>
      <c r="O1517">
        <f t="shared" si="259"/>
        <v>0</v>
      </c>
      <c r="P1517" t="str">
        <f t="shared" si="260"/>
        <v/>
      </c>
      <c r="Q1517" t="str">
        <f>IF(B1517="","", IFERROR(VLOOKUP(B1517, '基準資産配分（設定）'!$A$2:$C$2001, 3, FALSE), ""))</f>
        <v/>
      </c>
      <c r="R1517" t="str">
        <f>IF(B1517="","", IFERROR(VLOOKUP(B1517, '基準資産配分（設定）'!$A$2:$C$2001, 2, FALSE)/100, 0))</f>
        <v/>
      </c>
      <c r="S1517" t="str">
        <f>IF(B1517="","", IFERROR(SUMIFS(ベンチマークリターン!$C$2:$C$2001, ベンチマークリターン!$A$2:$A$2001, A1517, ベンチマークリターン!$B$2:$B$2001, Q1517) / 100, 0))</f>
        <v/>
      </c>
      <c r="T1517" t="str">
        <f>IF(A1517="","", SUMIFS($H$2:$H$2000, $A$2:$A$2000, A1517))</f>
        <v/>
      </c>
      <c r="U1517" t="str">
        <f t="shared" si="261"/>
        <v/>
      </c>
      <c r="V1517" t="str">
        <f t="shared" si="262"/>
        <v/>
      </c>
      <c r="W1517" t="str">
        <f t="shared" si="263"/>
        <v/>
      </c>
    </row>
    <row r="1518" spans="1:23" x14ac:dyDescent="0.2">
      <c r="A1518" s="4" t="str">
        <f>IF(ポートフォリオ実績!A1519="","", ポートフォリオ実績!A1519)</f>
        <v/>
      </c>
      <c r="B1518" t="str">
        <f>IF(ポートフォリオ実績!B1519="","", ポートフォリオ実績!B1519)</f>
        <v/>
      </c>
      <c r="C1518" s="10" t="str">
        <f>IF(ポートフォリオ実績!C1519="","", ポートフォリオ実績!C1519)</f>
        <v/>
      </c>
      <c r="D1518" s="10" t="str">
        <f>IF(ポートフォリオ実績!D1519="","", ポートフォリオ実績!D1519)</f>
        <v/>
      </c>
      <c r="E1518" s="10" t="str">
        <f>IF(ポートフォリオ実績!E1519="","", ポートフォリオ実績!E1519)</f>
        <v/>
      </c>
      <c r="F1518" s="10" t="str">
        <f>IF(ポートフォリオ実績!F1519="","", ポートフォリオ実績!F1519)</f>
        <v/>
      </c>
      <c r="G1518" t="str">
        <f t="shared" si="253"/>
        <v/>
      </c>
      <c r="H1518">
        <f>IF(B1518&lt;&gt;"", SUMIFS(ポートフォリオ実績!$D$2:$D$2001, ポートフォリオ実績!$B$2:$B$2001, B1518, ポートフォリオ実績!$A$2:$A$2001, G1518), 0)</f>
        <v>0</v>
      </c>
      <c r="I1518">
        <f>IF(B1518&lt;&gt;"", SUMIFS(ポートフォリオ実績!$C$2:$C$2001, ポートフォリオ実績!$B$2:$B$2001, B1518, ポートフォリオ実績!$A$2:$A$2001, G1518), 0)</f>
        <v>0</v>
      </c>
      <c r="J1518">
        <f t="shared" si="254"/>
        <v>0</v>
      </c>
      <c r="K1518">
        <f t="shared" si="255"/>
        <v>0</v>
      </c>
      <c r="L1518">
        <f t="shared" si="256"/>
        <v>0</v>
      </c>
      <c r="M1518">
        <f t="shared" si="257"/>
        <v>0</v>
      </c>
      <c r="N1518">
        <f t="shared" si="258"/>
        <v>0</v>
      </c>
      <c r="O1518">
        <f t="shared" si="259"/>
        <v>0</v>
      </c>
      <c r="P1518" t="str">
        <f t="shared" si="260"/>
        <v/>
      </c>
      <c r="Q1518" t="str">
        <f>IF(B1518="","", IFERROR(VLOOKUP(B1518, '基準資産配分（設定）'!$A$2:$C$2001, 3, FALSE), ""))</f>
        <v/>
      </c>
      <c r="R1518" t="str">
        <f>IF(B1518="","", IFERROR(VLOOKUP(B1518, '基準資産配分（設定）'!$A$2:$C$2001, 2, FALSE)/100, 0))</f>
        <v/>
      </c>
      <c r="S1518" t="str">
        <f>IF(B1518="","", IFERROR(SUMIFS(ベンチマークリターン!$C$2:$C$2001, ベンチマークリターン!$A$2:$A$2001, A1518, ベンチマークリターン!$B$2:$B$2001, Q1518) / 100, 0))</f>
        <v/>
      </c>
      <c r="T1518" t="str">
        <f>IF(A1518="","", SUMIFS($H$2:$H$2000, $A$2:$A$2000, A1518))</f>
        <v/>
      </c>
      <c r="U1518" t="str">
        <f t="shared" si="261"/>
        <v/>
      </c>
      <c r="V1518" t="str">
        <f t="shared" si="262"/>
        <v/>
      </c>
      <c r="W1518" t="str">
        <f t="shared" si="263"/>
        <v/>
      </c>
    </row>
    <row r="1519" spans="1:23" x14ac:dyDescent="0.2">
      <c r="A1519" s="4" t="str">
        <f>IF(ポートフォリオ実績!A1520="","", ポートフォリオ実績!A1520)</f>
        <v/>
      </c>
      <c r="B1519" t="str">
        <f>IF(ポートフォリオ実績!B1520="","", ポートフォリオ実績!B1520)</f>
        <v/>
      </c>
      <c r="C1519" s="10" t="str">
        <f>IF(ポートフォリオ実績!C1520="","", ポートフォリオ実績!C1520)</f>
        <v/>
      </c>
      <c r="D1519" s="10" t="str">
        <f>IF(ポートフォリオ実績!D1520="","", ポートフォリオ実績!D1520)</f>
        <v/>
      </c>
      <c r="E1519" s="10" t="str">
        <f>IF(ポートフォリオ実績!E1520="","", ポートフォリオ実績!E1520)</f>
        <v/>
      </c>
      <c r="F1519" s="10" t="str">
        <f>IF(ポートフォリオ実績!F1520="","", ポートフォリオ実績!F1520)</f>
        <v/>
      </c>
      <c r="G1519" t="str">
        <f t="shared" si="253"/>
        <v/>
      </c>
      <c r="H1519">
        <f>IF(B1519&lt;&gt;"", SUMIFS(ポートフォリオ実績!$D$2:$D$2001, ポートフォリオ実績!$B$2:$B$2001, B1519, ポートフォリオ実績!$A$2:$A$2001, G1519), 0)</f>
        <v>0</v>
      </c>
      <c r="I1519">
        <f>IF(B1519&lt;&gt;"", SUMIFS(ポートフォリオ実績!$C$2:$C$2001, ポートフォリオ実績!$B$2:$B$2001, B1519, ポートフォリオ実績!$A$2:$A$2001, G1519), 0)</f>
        <v>0</v>
      </c>
      <c r="J1519">
        <f t="shared" si="254"/>
        <v>0</v>
      </c>
      <c r="K1519">
        <f t="shared" si="255"/>
        <v>0</v>
      </c>
      <c r="L1519">
        <f t="shared" si="256"/>
        <v>0</v>
      </c>
      <c r="M1519">
        <f t="shared" si="257"/>
        <v>0</v>
      </c>
      <c r="N1519">
        <f t="shared" si="258"/>
        <v>0</v>
      </c>
      <c r="O1519">
        <f t="shared" si="259"/>
        <v>0</v>
      </c>
      <c r="P1519" t="str">
        <f t="shared" si="260"/>
        <v/>
      </c>
      <c r="Q1519" t="str">
        <f>IF(B1519="","", IFERROR(VLOOKUP(B1519, '基準資産配分（設定）'!$A$2:$C$2001, 3, FALSE), ""))</f>
        <v/>
      </c>
      <c r="R1519" t="str">
        <f>IF(B1519="","", IFERROR(VLOOKUP(B1519, '基準資産配分（設定）'!$A$2:$C$2001, 2, FALSE)/100, 0))</f>
        <v/>
      </c>
      <c r="S1519" t="str">
        <f>IF(B1519="","", IFERROR(SUMIFS(ベンチマークリターン!$C$2:$C$2001, ベンチマークリターン!$A$2:$A$2001, A1519, ベンチマークリターン!$B$2:$B$2001, Q1519) / 100, 0))</f>
        <v/>
      </c>
      <c r="T1519" t="str">
        <f>IF(A1519="","", SUMIFS($H$2:$H$2000, $A$2:$A$2000, A1519))</f>
        <v/>
      </c>
      <c r="U1519" t="str">
        <f t="shared" si="261"/>
        <v/>
      </c>
      <c r="V1519" t="str">
        <f t="shared" si="262"/>
        <v/>
      </c>
      <c r="W1519" t="str">
        <f t="shared" si="263"/>
        <v/>
      </c>
    </row>
    <row r="1520" spans="1:23" x14ac:dyDescent="0.2">
      <c r="A1520" s="4" t="str">
        <f>IF(ポートフォリオ実績!A1521="","", ポートフォリオ実績!A1521)</f>
        <v/>
      </c>
      <c r="B1520" t="str">
        <f>IF(ポートフォリオ実績!B1521="","", ポートフォリオ実績!B1521)</f>
        <v/>
      </c>
      <c r="C1520" s="10" t="str">
        <f>IF(ポートフォリオ実績!C1521="","", ポートフォリオ実績!C1521)</f>
        <v/>
      </c>
      <c r="D1520" s="10" t="str">
        <f>IF(ポートフォリオ実績!D1521="","", ポートフォリオ実績!D1521)</f>
        <v/>
      </c>
      <c r="E1520" s="10" t="str">
        <f>IF(ポートフォリオ実績!E1521="","", ポートフォリオ実績!E1521)</f>
        <v/>
      </c>
      <c r="F1520" s="10" t="str">
        <f>IF(ポートフォリオ実績!F1521="","", ポートフォリオ実績!F1521)</f>
        <v/>
      </c>
      <c r="G1520" t="str">
        <f t="shared" si="253"/>
        <v/>
      </c>
      <c r="H1520">
        <f>IF(B1520&lt;&gt;"", SUMIFS(ポートフォリオ実績!$D$2:$D$2001, ポートフォリオ実績!$B$2:$B$2001, B1520, ポートフォリオ実績!$A$2:$A$2001, G1520), 0)</f>
        <v>0</v>
      </c>
      <c r="I1520">
        <f>IF(B1520&lt;&gt;"", SUMIFS(ポートフォリオ実績!$C$2:$C$2001, ポートフォリオ実績!$B$2:$B$2001, B1520, ポートフォリオ実績!$A$2:$A$2001, G1520), 0)</f>
        <v>0</v>
      </c>
      <c r="J1520">
        <f t="shared" si="254"/>
        <v>0</v>
      </c>
      <c r="K1520">
        <f t="shared" si="255"/>
        <v>0</v>
      </c>
      <c r="L1520">
        <f t="shared" si="256"/>
        <v>0</v>
      </c>
      <c r="M1520">
        <f t="shared" si="257"/>
        <v>0</v>
      </c>
      <c r="N1520">
        <f t="shared" si="258"/>
        <v>0</v>
      </c>
      <c r="O1520">
        <f t="shared" si="259"/>
        <v>0</v>
      </c>
      <c r="P1520" t="str">
        <f t="shared" si="260"/>
        <v/>
      </c>
      <c r="Q1520" t="str">
        <f>IF(B1520="","", IFERROR(VLOOKUP(B1520, '基準資産配分（設定）'!$A$2:$C$2001, 3, FALSE), ""))</f>
        <v/>
      </c>
      <c r="R1520" t="str">
        <f>IF(B1520="","", IFERROR(VLOOKUP(B1520, '基準資産配分（設定）'!$A$2:$C$2001, 2, FALSE)/100, 0))</f>
        <v/>
      </c>
      <c r="S1520" t="str">
        <f>IF(B1520="","", IFERROR(SUMIFS(ベンチマークリターン!$C$2:$C$2001, ベンチマークリターン!$A$2:$A$2001, A1520, ベンチマークリターン!$B$2:$B$2001, Q1520) / 100, 0))</f>
        <v/>
      </c>
      <c r="T1520" t="str">
        <f>IF(A1520="","", SUMIFS($H$2:$H$2000, $A$2:$A$2000, A1520))</f>
        <v/>
      </c>
      <c r="U1520" t="str">
        <f t="shared" si="261"/>
        <v/>
      </c>
      <c r="V1520" t="str">
        <f t="shared" si="262"/>
        <v/>
      </c>
      <c r="W1520" t="str">
        <f t="shared" si="263"/>
        <v/>
      </c>
    </row>
    <row r="1521" spans="1:23" x14ac:dyDescent="0.2">
      <c r="A1521" s="4" t="str">
        <f>IF(ポートフォリオ実績!A1522="","", ポートフォリオ実績!A1522)</f>
        <v/>
      </c>
      <c r="B1521" t="str">
        <f>IF(ポートフォリオ実績!B1522="","", ポートフォリオ実績!B1522)</f>
        <v/>
      </c>
      <c r="C1521" s="10" t="str">
        <f>IF(ポートフォリオ実績!C1522="","", ポートフォリオ実績!C1522)</f>
        <v/>
      </c>
      <c r="D1521" s="10" t="str">
        <f>IF(ポートフォリオ実績!D1522="","", ポートフォリオ実績!D1522)</f>
        <v/>
      </c>
      <c r="E1521" s="10" t="str">
        <f>IF(ポートフォリオ実績!E1522="","", ポートフォリオ実績!E1522)</f>
        <v/>
      </c>
      <c r="F1521" s="10" t="str">
        <f>IF(ポートフォリオ実績!F1522="","", ポートフォリオ実績!F1522)</f>
        <v/>
      </c>
      <c r="G1521" t="str">
        <f t="shared" si="253"/>
        <v/>
      </c>
      <c r="H1521">
        <f>IF(B1521&lt;&gt;"", SUMIFS(ポートフォリオ実績!$D$2:$D$2001, ポートフォリオ実績!$B$2:$B$2001, B1521, ポートフォリオ実績!$A$2:$A$2001, G1521), 0)</f>
        <v>0</v>
      </c>
      <c r="I1521">
        <f>IF(B1521&lt;&gt;"", SUMIFS(ポートフォリオ実績!$C$2:$C$2001, ポートフォリオ実績!$B$2:$B$2001, B1521, ポートフォリオ実績!$A$2:$A$2001, G1521), 0)</f>
        <v>0</v>
      </c>
      <c r="J1521">
        <f t="shared" si="254"/>
        <v>0</v>
      </c>
      <c r="K1521">
        <f t="shared" si="255"/>
        <v>0</v>
      </c>
      <c r="L1521">
        <f t="shared" si="256"/>
        <v>0</v>
      </c>
      <c r="M1521">
        <f t="shared" si="257"/>
        <v>0</v>
      </c>
      <c r="N1521">
        <f t="shared" si="258"/>
        <v>0</v>
      </c>
      <c r="O1521">
        <f t="shared" si="259"/>
        <v>0</v>
      </c>
      <c r="P1521" t="str">
        <f t="shared" si="260"/>
        <v/>
      </c>
      <c r="Q1521" t="str">
        <f>IF(B1521="","", IFERROR(VLOOKUP(B1521, '基準資産配分（設定）'!$A$2:$C$2001, 3, FALSE), ""))</f>
        <v/>
      </c>
      <c r="R1521" t="str">
        <f>IF(B1521="","", IFERROR(VLOOKUP(B1521, '基準資産配分（設定）'!$A$2:$C$2001, 2, FALSE)/100, 0))</f>
        <v/>
      </c>
      <c r="S1521" t="str">
        <f>IF(B1521="","", IFERROR(SUMIFS(ベンチマークリターン!$C$2:$C$2001, ベンチマークリターン!$A$2:$A$2001, A1521, ベンチマークリターン!$B$2:$B$2001, Q1521) / 100, 0))</f>
        <v/>
      </c>
      <c r="T1521" t="str">
        <f>IF(A1521="","", SUMIFS($H$2:$H$2000, $A$2:$A$2000, A1521))</f>
        <v/>
      </c>
      <c r="U1521" t="str">
        <f t="shared" si="261"/>
        <v/>
      </c>
      <c r="V1521" t="str">
        <f t="shared" si="262"/>
        <v/>
      </c>
      <c r="W1521" t="str">
        <f t="shared" si="263"/>
        <v/>
      </c>
    </row>
    <row r="1522" spans="1:23" x14ac:dyDescent="0.2">
      <c r="A1522" s="4" t="str">
        <f>IF(ポートフォリオ実績!A1523="","", ポートフォリオ実績!A1523)</f>
        <v/>
      </c>
      <c r="B1522" t="str">
        <f>IF(ポートフォリオ実績!B1523="","", ポートフォリオ実績!B1523)</f>
        <v/>
      </c>
      <c r="C1522" s="10" t="str">
        <f>IF(ポートフォリオ実績!C1523="","", ポートフォリオ実績!C1523)</f>
        <v/>
      </c>
      <c r="D1522" s="10" t="str">
        <f>IF(ポートフォリオ実績!D1523="","", ポートフォリオ実績!D1523)</f>
        <v/>
      </c>
      <c r="E1522" s="10" t="str">
        <f>IF(ポートフォリオ実績!E1523="","", ポートフォリオ実績!E1523)</f>
        <v/>
      </c>
      <c r="F1522" s="10" t="str">
        <f>IF(ポートフォリオ実績!F1523="","", ポートフォリオ実績!F1523)</f>
        <v/>
      </c>
      <c r="G1522" t="str">
        <f t="shared" si="253"/>
        <v/>
      </c>
      <c r="H1522">
        <f>IF(B1522&lt;&gt;"", SUMIFS(ポートフォリオ実績!$D$2:$D$2001, ポートフォリオ実績!$B$2:$B$2001, B1522, ポートフォリオ実績!$A$2:$A$2001, G1522), 0)</f>
        <v>0</v>
      </c>
      <c r="I1522">
        <f>IF(B1522&lt;&gt;"", SUMIFS(ポートフォリオ実績!$C$2:$C$2001, ポートフォリオ実績!$B$2:$B$2001, B1522, ポートフォリオ実績!$A$2:$A$2001, G1522), 0)</f>
        <v>0</v>
      </c>
      <c r="J1522">
        <f t="shared" si="254"/>
        <v>0</v>
      </c>
      <c r="K1522">
        <f t="shared" si="255"/>
        <v>0</v>
      </c>
      <c r="L1522">
        <f t="shared" si="256"/>
        <v>0</v>
      </c>
      <c r="M1522">
        <f t="shared" si="257"/>
        <v>0</v>
      </c>
      <c r="N1522">
        <f t="shared" si="258"/>
        <v>0</v>
      </c>
      <c r="O1522">
        <f t="shared" si="259"/>
        <v>0</v>
      </c>
      <c r="P1522" t="str">
        <f t="shared" si="260"/>
        <v/>
      </c>
      <c r="Q1522" t="str">
        <f>IF(B1522="","", IFERROR(VLOOKUP(B1522, '基準資産配分（設定）'!$A$2:$C$2001, 3, FALSE), ""))</f>
        <v/>
      </c>
      <c r="R1522" t="str">
        <f>IF(B1522="","", IFERROR(VLOOKUP(B1522, '基準資産配分（設定）'!$A$2:$C$2001, 2, FALSE)/100, 0))</f>
        <v/>
      </c>
      <c r="S1522" t="str">
        <f>IF(B1522="","", IFERROR(SUMIFS(ベンチマークリターン!$C$2:$C$2001, ベンチマークリターン!$A$2:$A$2001, A1522, ベンチマークリターン!$B$2:$B$2001, Q1522) / 100, 0))</f>
        <v/>
      </c>
      <c r="T1522" t="str">
        <f>IF(A1522="","", SUMIFS($H$2:$H$2000, $A$2:$A$2000, A1522))</f>
        <v/>
      </c>
      <c r="U1522" t="str">
        <f t="shared" si="261"/>
        <v/>
      </c>
      <c r="V1522" t="str">
        <f t="shared" si="262"/>
        <v/>
      </c>
      <c r="W1522" t="str">
        <f t="shared" si="263"/>
        <v/>
      </c>
    </row>
    <row r="1523" spans="1:23" x14ac:dyDescent="0.2">
      <c r="A1523" s="4" t="str">
        <f>IF(ポートフォリオ実績!A1524="","", ポートフォリオ実績!A1524)</f>
        <v/>
      </c>
      <c r="B1523" t="str">
        <f>IF(ポートフォリオ実績!B1524="","", ポートフォリオ実績!B1524)</f>
        <v/>
      </c>
      <c r="C1523" s="10" t="str">
        <f>IF(ポートフォリオ実績!C1524="","", ポートフォリオ実績!C1524)</f>
        <v/>
      </c>
      <c r="D1523" s="10" t="str">
        <f>IF(ポートフォリオ実績!D1524="","", ポートフォリオ実績!D1524)</f>
        <v/>
      </c>
      <c r="E1523" s="10" t="str">
        <f>IF(ポートフォリオ実績!E1524="","", ポートフォリオ実績!E1524)</f>
        <v/>
      </c>
      <c r="F1523" s="10" t="str">
        <f>IF(ポートフォリオ実績!F1524="","", ポートフォリオ実績!F1524)</f>
        <v/>
      </c>
      <c r="G1523" t="str">
        <f t="shared" si="253"/>
        <v/>
      </c>
      <c r="H1523">
        <f>IF(B1523&lt;&gt;"", SUMIFS(ポートフォリオ実績!$D$2:$D$2001, ポートフォリオ実績!$B$2:$B$2001, B1523, ポートフォリオ実績!$A$2:$A$2001, G1523), 0)</f>
        <v>0</v>
      </c>
      <c r="I1523">
        <f>IF(B1523&lt;&gt;"", SUMIFS(ポートフォリオ実績!$C$2:$C$2001, ポートフォリオ実績!$B$2:$B$2001, B1523, ポートフォリオ実績!$A$2:$A$2001, G1523), 0)</f>
        <v>0</v>
      </c>
      <c r="J1523">
        <f t="shared" si="254"/>
        <v>0</v>
      </c>
      <c r="K1523">
        <f t="shared" si="255"/>
        <v>0</v>
      </c>
      <c r="L1523">
        <f t="shared" si="256"/>
        <v>0</v>
      </c>
      <c r="M1523">
        <f t="shared" si="257"/>
        <v>0</v>
      </c>
      <c r="N1523">
        <f t="shared" si="258"/>
        <v>0</v>
      </c>
      <c r="O1523">
        <f t="shared" si="259"/>
        <v>0</v>
      </c>
      <c r="P1523" t="str">
        <f t="shared" si="260"/>
        <v/>
      </c>
      <c r="Q1523" t="str">
        <f>IF(B1523="","", IFERROR(VLOOKUP(B1523, '基準資産配分（設定）'!$A$2:$C$2001, 3, FALSE), ""))</f>
        <v/>
      </c>
      <c r="R1523" t="str">
        <f>IF(B1523="","", IFERROR(VLOOKUP(B1523, '基準資産配分（設定）'!$A$2:$C$2001, 2, FALSE)/100, 0))</f>
        <v/>
      </c>
      <c r="S1523" t="str">
        <f>IF(B1523="","", IFERROR(SUMIFS(ベンチマークリターン!$C$2:$C$2001, ベンチマークリターン!$A$2:$A$2001, A1523, ベンチマークリターン!$B$2:$B$2001, Q1523) / 100, 0))</f>
        <v/>
      </c>
      <c r="T1523" t="str">
        <f>IF(A1523="","", SUMIFS($H$2:$H$2000, $A$2:$A$2000, A1523))</f>
        <v/>
      </c>
      <c r="U1523" t="str">
        <f t="shared" si="261"/>
        <v/>
      </c>
      <c r="V1523" t="str">
        <f t="shared" si="262"/>
        <v/>
      </c>
      <c r="W1523" t="str">
        <f t="shared" si="263"/>
        <v/>
      </c>
    </row>
    <row r="1524" spans="1:23" x14ac:dyDescent="0.2">
      <c r="A1524" s="4" t="str">
        <f>IF(ポートフォリオ実績!A1525="","", ポートフォリオ実績!A1525)</f>
        <v/>
      </c>
      <c r="B1524" t="str">
        <f>IF(ポートフォリオ実績!B1525="","", ポートフォリオ実績!B1525)</f>
        <v/>
      </c>
      <c r="C1524" s="10" t="str">
        <f>IF(ポートフォリオ実績!C1525="","", ポートフォリオ実績!C1525)</f>
        <v/>
      </c>
      <c r="D1524" s="10" t="str">
        <f>IF(ポートフォリオ実績!D1525="","", ポートフォリオ実績!D1525)</f>
        <v/>
      </c>
      <c r="E1524" s="10" t="str">
        <f>IF(ポートフォリオ実績!E1525="","", ポートフォリオ実績!E1525)</f>
        <v/>
      </c>
      <c r="F1524" s="10" t="str">
        <f>IF(ポートフォリオ実績!F1525="","", ポートフォリオ実績!F1525)</f>
        <v/>
      </c>
      <c r="G1524" t="str">
        <f t="shared" si="253"/>
        <v/>
      </c>
      <c r="H1524">
        <f>IF(B1524&lt;&gt;"", SUMIFS(ポートフォリオ実績!$D$2:$D$2001, ポートフォリオ実績!$B$2:$B$2001, B1524, ポートフォリオ実績!$A$2:$A$2001, G1524), 0)</f>
        <v>0</v>
      </c>
      <c r="I1524">
        <f>IF(B1524&lt;&gt;"", SUMIFS(ポートフォリオ実績!$C$2:$C$2001, ポートフォリオ実績!$B$2:$B$2001, B1524, ポートフォリオ実績!$A$2:$A$2001, G1524), 0)</f>
        <v>0</v>
      </c>
      <c r="J1524">
        <f t="shared" si="254"/>
        <v>0</v>
      </c>
      <c r="K1524">
        <f t="shared" si="255"/>
        <v>0</v>
      </c>
      <c r="L1524">
        <f t="shared" si="256"/>
        <v>0</v>
      </c>
      <c r="M1524">
        <f t="shared" si="257"/>
        <v>0</v>
      </c>
      <c r="N1524">
        <f t="shared" si="258"/>
        <v>0</v>
      </c>
      <c r="O1524">
        <f t="shared" si="259"/>
        <v>0</v>
      </c>
      <c r="P1524" t="str">
        <f t="shared" si="260"/>
        <v/>
      </c>
      <c r="Q1524" t="str">
        <f>IF(B1524="","", IFERROR(VLOOKUP(B1524, '基準資産配分（設定）'!$A$2:$C$2001, 3, FALSE), ""))</f>
        <v/>
      </c>
      <c r="R1524" t="str">
        <f>IF(B1524="","", IFERROR(VLOOKUP(B1524, '基準資産配分（設定）'!$A$2:$C$2001, 2, FALSE)/100, 0))</f>
        <v/>
      </c>
      <c r="S1524" t="str">
        <f>IF(B1524="","", IFERROR(SUMIFS(ベンチマークリターン!$C$2:$C$2001, ベンチマークリターン!$A$2:$A$2001, A1524, ベンチマークリターン!$B$2:$B$2001, Q1524) / 100, 0))</f>
        <v/>
      </c>
      <c r="T1524" t="str">
        <f>IF(A1524="","", SUMIFS($H$2:$H$2000, $A$2:$A$2000, A1524))</f>
        <v/>
      </c>
      <c r="U1524" t="str">
        <f t="shared" si="261"/>
        <v/>
      </c>
      <c r="V1524" t="str">
        <f t="shared" si="262"/>
        <v/>
      </c>
      <c r="W1524" t="str">
        <f t="shared" si="263"/>
        <v/>
      </c>
    </row>
    <row r="1525" spans="1:23" x14ac:dyDescent="0.2">
      <c r="A1525" s="4" t="str">
        <f>IF(ポートフォリオ実績!A1526="","", ポートフォリオ実績!A1526)</f>
        <v/>
      </c>
      <c r="B1525" t="str">
        <f>IF(ポートフォリオ実績!B1526="","", ポートフォリオ実績!B1526)</f>
        <v/>
      </c>
      <c r="C1525" s="10" t="str">
        <f>IF(ポートフォリオ実績!C1526="","", ポートフォリオ実績!C1526)</f>
        <v/>
      </c>
      <c r="D1525" s="10" t="str">
        <f>IF(ポートフォリオ実績!D1526="","", ポートフォリオ実績!D1526)</f>
        <v/>
      </c>
      <c r="E1525" s="10" t="str">
        <f>IF(ポートフォリオ実績!E1526="","", ポートフォリオ実績!E1526)</f>
        <v/>
      </c>
      <c r="F1525" s="10" t="str">
        <f>IF(ポートフォリオ実績!F1526="","", ポートフォリオ実績!F1526)</f>
        <v/>
      </c>
      <c r="G1525" t="str">
        <f t="shared" si="253"/>
        <v/>
      </c>
      <c r="H1525">
        <f>IF(B1525&lt;&gt;"", SUMIFS(ポートフォリオ実績!$D$2:$D$2001, ポートフォリオ実績!$B$2:$B$2001, B1525, ポートフォリオ実績!$A$2:$A$2001, G1525), 0)</f>
        <v>0</v>
      </c>
      <c r="I1525">
        <f>IF(B1525&lt;&gt;"", SUMIFS(ポートフォリオ実績!$C$2:$C$2001, ポートフォリオ実績!$B$2:$B$2001, B1525, ポートフォリオ実績!$A$2:$A$2001, G1525), 0)</f>
        <v>0</v>
      </c>
      <c r="J1525">
        <f t="shared" si="254"/>
        <v>0</v>
      </c>
      <c r="K1525">
        <f t="shared" si="255"/>
        <v>0</v>
      </c>
      <c r="L1525">
        <f t="shared" si="256"/>
        <v>0</v>
      </c>
      <c r="M1525">
        <f t="shared" si="257"/>
        <v>0</v>
      </c>
      <c r="N1525">
        <f t="shared" si="258"/>
        <v>0</v>
      </c>
      <c r="O1525">
        <f t="shared" si="259"/>
        <v>0</v>
      </c>
      <c r="P1525" t="str">
        <f t="shared" si="260"/>
        <v/>
      </c>
      <c r="Q1525" t="str">
        <f>IF(B1525="","", IFERROR(VLOOKUP(B1525, '基準資産配分（設定）'!$A$2:$C$2001, 3, FALSE), ""))</f>
        <v/>
      </c>
      <c r="R1525" t="str">
        <f>IF(B1525="","", IFERROR(VLOOKUP(B1525, '基準資産配分（設定）'!$A$2:$C$2001, 2, FALSE)/100, 0))</f>
        <v/>
      </c>
      <c r="S1525" t="str">
        <f>IF(B1525="","", IFERROR(SUMIFS(ベンチマークリターン!$C$2:$C$2001, ベンチマークリターン!$A$2:$A$2001, A1525, ベンチマークリターン!$B$2:$B$2001, Q1525) / 100, 0))</f>
        <v/>
      </c>
      <c r="T1525" t="str">
        <f>IF(A1525="","", SUMIFS($H$2:$H$2000, $A$2:$A$2000, A1525))</f>
        <v/>
      </c>
      <c r="U1525" t="str">
        <f t="shared" si="261"/>
        <v/>
      </c>
      <c r="V1525" t="str">
        <f t="shared" si="262"/>
        <v/>
      </c>
      <c r="W1525" t="str">
        <f t="shared" si="263"/>
        <v/>
      </c>
    </row>
    <row r="1526" spans="1:23" x14ac:dyDescent="0.2">
      <c r="A1526" s="4" t="str">
        <f>IF(ポートフォリオ実績!A1527="","", ポートフォリオ実績!A1527)</f>
        <v/>
      </c>
      <c r="B1526" t="str">
        <f>IF(ポートフォリオ実績!B1527="","", ポートフォリオ実績!B1527)</f>
        <v/>
      </c>
      <c r="C1526" s="10" t="str">
        <f>IF(ポートフォリオ実績!C1527="","", ポートフォリオ実績!C1527)</f>
        <v/>
      </c>
      <c r="D1526" s="10" t="str">
        <f>IF(ポートフォリオ実績!D1527="","", ポートフォリオ実績!D1527)</f>
        <v/>
      </c>
      <c r="E1526" s="10" t="str">
        <f>IF(ポートフォリオ実績!E1527="","", ポートフォリオ実績!E1527)</f>
        <v/>
      </c>
      <c r="F1526" s="10" t="str">
        <f>IF(ポートフォリオ実績!F1527="","", ポートフォリオ実績!F1527)</f>
        <v/>
      </c>
      <c r="G1526" t="str">
        <f t="shared" si="253"/>
        <v/>
      </c>
      <c r="H1526">
        <f>IF(B1526&lt;&gt;"", SUMIFS(ポートフォリオ実績!$D$2:$D$2001, ポートフォリオ実績!$B$2:$B$2001, B1526, ポートフォリオ実績!$A$2:$A$2001, G1526), 0)</f>
        <v>0</v>
      </c>
      <c r="I1526">
        <f>IF(B1526&lt;&gt;"", SUMIFS(ポートフォリオ実績!$C$2:$C$2001, ポートフォリオ実績!$B$2:$B$2001, B1526, ポートフォリオ実績!$A$2:$A$2001, G1526), 0)</f>
        <v>0</v>
      </c>
      <c r="J1526">
        <f t="shared" si="254"/>
        <v>0</v>
      </c>
      <c r="K1526">
        <f t="shared" si="255"/>
        <v>0</v>
      </c>
      <c r="L1526">
        <f t="shared" si="256"/>
        <v>0</v>
      </c>
      <c r="M1526">
        <f t="shared" si="257"/>
        <v>0</v>
      </c>
      <c r="N1526">
        <f t="shared" si="258"/>
        <v>0</v>
      </c>
      <c r="O1526">
        <f t="shared" si="259"/>
        <v>0</v>
      </c>
      <c r="P1526" t="str">
        <f t="shared" si="260"/>
        <v/>
      </c>
      <c r="Q1526" t="str">
        <f>IF(B1526="","", IFERROR(VLOOKUP(B1526, '基準資産配分（設定）'!$A$2:$C$2001, 3, FALSE), ""))</f>
        <v/>
      </c>
      <c r="R1526" t="str">
        <f>IF(B1526="","", IFERROR(VLOOKUP(B1526, '基準資産配分（設定）'!$A$2:$C$2001, 2, FALSE)/100, 0))</f>
        <v/>
      </c>
      <c r="S1526" t="str">
        <f>IF(B1526="","", IFERROR(SUMIFS(ベンチマークリターン!$C$2:$C$2001, ベンチマークリターン!$A$2:$A$2001, A1526, ベンチマークリターン!$B$2:$B$2001, Q1526) / 100, 0))</f>
        <v/>
      </c>
      <c r="T1526" t="str">
        <f>IF(A1526="","", SUMIFS($H$2:$H$2000, $A$2:$A$2000, A1526))</f>
        <v/>
      </c>
      <c r="U1526" t="str">
        <f t="shared" si="261"/>
        <v/>
      </c>
      <c r="V1526" t="str">
        <f t="shared" si="262"/>
        <v/>
      </c>
      <c r="W1526" t="str">
        <f t="shared" si="263"/>
        <v/>
      </c>
    </row>
    <row r="1527" spans="1:23" x14ac:dyDescent="0.2">
      <c r="A1527" s="4" t="str">
        <f>IF(ポートフォリオ実績!A1528="","", ポートフォリオ実績!A1528)</f>
        <v/>
      </c>
      <c r="B1527" t="str">
        <f>IF(ポートフォリオ実績!B1528="","", ポートフォリオ実績!B1528)</f>
        <v/>
      </c>
      <c r="C1527" s="10" t="str">
        <f>IF(ポートフォリオ実績!C1528="","", ポートフォリオ実績!C1528)</f>
        <v/>
      </c>
      <c r="D1527" s="10" t="str">
        <f>IF(ポートフォリオ実績!D1528="","", ポートフォリオ実績!D1528)</f>
        <v/>
      </c>
      <c r="E1527" s="10" t="str">
        <f>IF(ポートフォリオ実績!E1528="","", ポートフォリオ実績!E1528)</f>
        <v/>
      </c>
      <c r="F1527" s="10" t="str">
        <f>IF(ポートフォリオ実績!F1528="","", ポートフォリオ実績!F1528)</f>
        <v/>
      </c>
      <c r="G1527" t="str">
        <f t="shared" si="253"/>
        <v/>
      </c>
      <c r="H1527">
        <f>IF(B1527&lt;&gt;"", SUMIFS(ポートフォリオ実績!$D$2:$D$2001, ポートフォリオ実績!$B$2:$B$2001, B1527, ポートフォリオ実績!$A$2:$A$2001, G1527), 0)</f>
        <v>0</v>
      </c>
      <c r="I1527">
        <f>IF(B1527&lt;&gt;"", SUMIFS(ポートフォリオ実績!$C$2:$C$2001, ポートフォリオ実績!$B$2:$B$2001, B1527, ポートフォリオ実績!$A$2:$A$2001, G1527), 0)</f>
        <v>0</v>
      </c>
      <c r="J1527">
        <f t="shared" si="254"/>
        <v>0</v>
      </c>
      <c r="K1527">
        <f t="shared" si="255"/>
        <v>0</v>
      </c>
      <c r="L1527">
        <f t="shared" si="256"/>
        <v>0</v>
      </c>
      <c r="M1527">
        <f t="shared" si="257"/>
        <v>0</v>
      </c>
      <c r="N1527">
        <f t="shared" si="258"/>
        <v>0</v>
      </c>
      <c r="O1527">
        <f t="shared" si="259"/>
        <v>0</v>
      </c>
      <c r="P1527" t="str">
        <f t="shared" si="260"/>
        <v/>
      </c>
      <c r="Q1527" t="str">
        <f>IF(B1527="","", IFERROR(VLOOKUP(B1527, '基準資産配分（設定）'!$A$2:$C$2001, 3, FALSE), ""))</f>
        <v/>
      </c>
      <c r="R1527" t="str">
        <f>IF(B1527="","", IFERROR(VLOOKUP(B1527, '基準資産配分（設定）'!$A$2:$C$2001, 2, FALSE)/100, 0))</f>
        <v/>
      </c>
      <c r="S1527" t="str">
        <f>IF(B1527="","", IFERROR(SUMIFS(ベンチマークリターン!$C$2:$C$2001, ベンチマークリターン!$A$2:$A$2001, A1527, ベンチマークリターン!$B$2:$B$2001, Q1527) / 100, 0))</f>
        <v/>
      </c>
      <c r="T1527" t="str">
        <f>IF(A1527="","", SUMIFS($H$2:$H$2000, $A$2:$A$2000, A1527))</f>
        <v/>
      </c>
      <c r="U1527" t="str">
        <f t="shared" si="261"/>
        <v/>
      </c>
      <c r="V1527" t="str">
        <f t="shared" si="262"/>
        <v/>
      </c>
      <c r="W1527" t="str">
        <f t="shared" si="263"/>
        <v/>
      </c>
    </row>
    <row r="1528" spans="1:23" x14ac:dyDescent="0.2">
      <c r="A1528" s="4" t="str">
        <f>IF(ポートフォリオ実績!A1529="","", ポートフォリオ実績!A1529)</f>
        <v/>
      </c>
      <c r="B1528" t="str">
        <f>IF(ポートフォリオ実績!B1529="","", ポートフォリオ実績!B1529)</f>
        <v/>
      </c>
      <c r="C1528" s="10" t="str">
        <f>IF(ポートフォリオ実績!C1529="","", ポートフォリオ実績!C1529)</f>
        <v/>
      </c>
      <c r="D1528" s="10" t="str">
        <f>IF(ポートフォリオ実績!D1529="","", ポートフォリオ実績!D1529)</f>
        <v/>
      </c>
      <c r="E1528" s="10" t="str">
        <f>IF(ポートフォリオ実績!E1529="","", ポートフォリオ実績!E1529)</f>
        <v/>
      </c>
      <c r="F1528" s="10" t="str">
        <f>IF(ポートフォリオ実績!F1529="","", ポートフォリオ実績!F1529)</f>
        <v/>
      </c>
      <c r="G1528" t="str">
        <f t="shared" si="253"/>
        <v/>
      </c>
      <c r="H1528">
        <f>IF(B1528&lt;&gt;"", SUMIFS(ポートフォリオ実績!$D$2:$D$2001, ポートフォリオ実績!$B$2:$B$2001, B1528, ポートフォリオ実績!$A$2:$A$2001, G1528), 0)</f>
        <v>0</v>
      </c>
      <c r="I1528">
        <f>IF(B1528&lt;&gt;"", SUMIFS(ポートフォリオ実績!$C$2:$C$2001, ポートフォリオ実績!$B$2:$B$2001, B1528, ポートフォリオ実績!$A$2:$A$2001, G1528), 0)</f>
        <v>0</v>
      </c>
      <c r="J1528">
        <f t="shared" si="254"/>
        <v>0</v>
      </c>
      <c r="K1528">
        <f t="shared" si="255"/>
        <v>0</v>
      </c>
      <c r="L1528">
        <f t="shared" si="256"/>
        <v>0</v>
      </c>
      <c r="M1528">
        <f t="shared" si="257"/>
        <v>0</v>
      </c>
      <c r="N1528">
        <f t="shared" si="258"/>
        <v>0</v>
      </c>
      <c r="O1528">
        <f t="shared" si="259"/>
        <v>0</v>
      </c>
      <c r="P1528" t="str">
        <f t="shared" si="260"/>
        <v/>
      </c>
      <c r="Q1528" t="str">
        <f>IF(B1528="","", IFERROR(VLOOKUP(B1528, '基準資産配分（設定）'!$A$2:$C$2001, 3, FALSE), ""))</f>
        <v/>
      </c>
      <c r="R1528" t="str">
        <f>IF(B1528="","", IFERROR(VLOOKUP(B1528, '基準資産配分（設定）'!$A$2:$C$2001, 2, FALSE)/100, 0))</f>
        <v/>
      </c>
      <c r="S1528" t="str">
        <f>IF(B1528="","", IFERROR(SUMIFS(ベンチマークリターン!$C$2:$C$2001, ベンチマークリターン!$A$2:$A$2001, A1528, ベンチマークリターン!$B$2:$B$2001, Q1528) / 100, 0))</f>
        <v/>
      </c>
      <c r="T1528" t="str">
        <f>IF(A1528="","", SUMIFS($H$2:$H$2000, $A$2:$A$2000, A1528))</f>
        <v/>
      </c>
      <c r="U1528" t="str">
        <f t="shared" si="261"/>
        <v/>
      </c>
      <c r="V1528" t="str">
        <f t="shared" si="262"/>
        <v/>
      </c>
      <c r="W1528" t="str">
        <f t="shared" si="263"/>
        <v/>
      </c>
    </row>
    <row r="1529" spans="1:23" x14ac:dyDescent="0.2">
      <c r="A1529" s="4" t="str">
        <f>IF(ポートフォリオ実績!A1530="","", ポートフォリオ実績!A1530)</f>
        <v/>
      </c>
      <c r="B1529" t="str">
        <f>IF(ポートフォリオ実績!B1530="","", ポートフォリオ実績!B1530)</f>
        <v/>
      </c>
      <c r="C1529" s="10" t="str">
        <f>IF(ポートフォリオ実績!C1530="","", ポートフォリオ実績!C1530)</f>
        <v/>
      </c>
      <c r="D1529" s="10" t="str">
        <f>IF(ポートフォリオ実績!D1530="","", ポートフォリオ実績!D1530)</f>
        <v/>
      </c>
      <c r="E1529" s="10" t="str">
        <f>IF(ポートフォリオ実績!E1530="","", ポートフォリオ実績!E1530)</f>
        <v/>
      </c>
      <c r="F1529" s="10" t="str">
        <f>IF(ポートフォリオ実績!F1530="","", ポートフォリオ実績!F1530)</f>
        <v/>
      </c>
      <c r="G1529" t="str">
        <f t="shared" si="253"/>
        <v/>
      </c>
      <c r="H1529">
        <f>IF(B1529&lt;&gt;"", SUMIFS(ポートフォリオ実績!$D$2:$D$2001, ポートフォリオ実績!$B$2:$B$2001, B1529, ポートフォリオ実績!$A$2:$A$2001, G1529), 0)</f>
        <v>0</v>
      </c>
      <c r="I1529">
        <f>IF(B1529&lt;&gt;"", SUMIFS(ポートフォリオ実績!$C$2:$C$2001, ポートフォリオ実績!$B$2:$B$2001, B1529, ポートフォリオ実績!$A$2:$A$2001, G1529), 0)</f>
        <v>0</v>
      </c>
      <c r="J1529">
        <f t="shared" si="254"/>
        <v>0</v>
      </c>
      <c r="K1529">
        <f t="shared" si="255"/>
        <v>0</v>
      </c>
      <c r="L1529">
        <f t="shared" si="256"/>
        <v>0</v>
      </c>
      <c r="M1529">
        <f t="shared" si="257"/>
        <v>0</v>
      </c>
      <c r="N1529">
        <f t="shared" si="258"/>
        <v>0</v>
      </c>
      <c r="O1529">
        <f t="shared" si="259"/>
        <v>0</v>
      </c>
      <c r="P1529" t="str">
        <f t="shared" si="260"/>
        <v/>
      </c>
      <c r="Q1529" t="str">
        <f>IF(B1529="","", IFERROR(VLOOKUP(B1529, '基準資産配分（設定）'!$A$2:$C$2001, 3, FALSE), ""))</f>
        <v/>
      </c>
      <c r="R1529" t="str">
        <f>IF(B1529="","", IFERROR(VLOOKUP(B1529, '基準資産配分（設定）'!$A$2:$C$2001, 2, FALSE)/100, 0))</f>
        <v/>
      </c>
      <c r="S1529" t="str">
        <f>IF(B1529="","", IFERROR(SUMIFS(ベンチマークリターン!$C$2:$C$2001, ベンチマークリターン!$A$2:$A$2001, A1529, ベンチマークリターン!$B$2:$B$2001, Q1529) / 100, 0))</f>
        <v/>
      </c>
      <c r="T1529" t="str">
        <f>IF(A1529="","", SUMIFS($H$2:$H$2000, $A$2:$A$2000, A1529))</f>
        <v/>
      </c>
      <c r="U1529" t="str">
        <f t="shared" si="261"/>
        <v/>
      </c>
      <c r="V1529" t="str">
        <f t="shared" si="262"/>
        <v/>
      </c>
      <c r="W1529" t="str">
        <f t="shared" si="263"/>
        <v/>
      </c>
    </row>
    <row r="1530" spans="1:23" x14ac:dyDescent="0.2">
      <c r="A1530" s="4" t="str">
        <f>IF(ポートフォリオ実績!A1531="","", ポートフォリオ実績!A1531)</f>
        <v/>
      </c>
      <c r="B1530" t="str">
        <f>IF(ポートフォリオ実績!B1531="","", ポートフォリオ実績!B1531)</f>
        <v/>
      </c>
      <c r="C1530" s="10" t="str">
        <f>IF(ポートフォリオ実績!C1531="","", ポートフォリオ実績!C1531)</f>
        <v/>
      </c>
      <c r="D1530" s="10" t="str">
        <f>IF(ポートフォリオ実績!D1531="","", ポートフォリオ実績!D1531)</f>
        <v/>
      </c>
      <c r="E1530" s="10" t="str">
        <f>IF(ポートフォリオ実績!E1531="","", ポートフォリオ実績!E1531)</f>
        <v/>
      </c>
      <c r="F1530" s="10" t="str">
        <f>IF(ポートフォリオ実績!F1531="","", ポートフォリオ実績!F1531)</f>
        <v/>
      </c>
      <c r="G1530" t="str">
        <f t="shared" si="253"/>
        <v/>
      </c>
      <c r="H1530">
        <f>IF(B1530&lt;&gt;"", SUMIFS(ポートフォリオ実績!$D$2:$D$2001, ポートフォリオ実績!$B$2:$B$2001, B1530, ポートフォリオ実績!$A$2:$A$2001, G1530), 0)</f>
        <v>0</v>
      </c>
      <c r="I1530">
        <f>IF(B1530&lt;&gt;"", SUMIFS(ポートフォリオ実績!$C$2:$C$2001, ポートフォリオ実績!$B$2:$B$2001, B1530, ポートフォリオ実績!$A$2:$A$2001, G1530), 0)</f>
        <v>0</v>
      </c>
      <c r="J1530">
        <f t="shared" si="254"/>
        <v>0</v>
      </c>
      <c r="K1530">
        <f t="shared" si="255"/>
        <v>0</v>
      </c>
      <c r="L1530">
        <f t="shared" si="256"/>
        <v>0</v>
      </c>
      <c r="M1530">
        <f t="shared" si="257"/>
        <v>0</v>
      </c>
      <c r="N1530">
        <f t="shared" si="258"/>
        <v>0</v>
      </c>
      <c r="O1530">
        <f t="shared" si="259"/>
        <v>0</v>
      </c>
      <c r="P1530" t="str">
        <f t="shared" si="260"/>
        <v/>
      </c>
      <c r="Q1530" t="str">
        <f>IF(B1530="","", IFERROR(VLOOKUP(B1530, '基準資産配分（設定）'!$A$2:$C$2001, 3, FALSE), ""))</f>
        <v/>
      </c>
      <c r="R1530" t="str">
        <f>IF(B1530="","", IFERROR(VLOOKUP(B1530, '基準資産配分（設定）'!$A$2:$C$2001, 2, FALSE)/100, 0))</f>
        <v/>
      </c>
      <c r="S1530" t="str">
        <f>IF(B1530="","", IFERROR(SUMIFS(ベンチマークリターン!$C$2:$C$2001, ベンチマークリターン!$A$2:$A$2001, A1530, ベンチマークリターン!$B$2:$B$2001, Q1530) / 100, 0))</f>
        <v/>
      </c>
      <c r="T1530" t="str">
        <f>IF(A1530="","", SUMIFS($H$2:$H$2000, $A$2:$A$2000, A1530))</f>
        <v/>
      </c>
      <c r="U1530" t="str">
        <f t="shared" si="261"/>
        <v/>
      </c>
      <c r="V1530" t="str">
        <f t="shared" si="262"/>
        <v/>
      </c>
      <c r="W1530" t="str">
        <f t="shared" si="263"/>
        <v/>
      </c>
    </row>
    <row r="1531" spans="1:23" x14ac:dyDescent="0.2">
      <c r="A1531" s="4" t="str">
        <f>IF(ポートフォリオ実績!A1532="","", ポートフォリオ実績!A1532)</f>
        <v/>
      </c>
      <c r="B1531" t="str">
        <f>IF(ポートフォリオ実績!B1532="","", ポートフォリオ実績!B1532)</f>
        <v/>
      </c>
      <c r="C1531" s="10" t="str">
        <f>IF(ポートフォリオ実績!C1532="","", ポートフォリオ実績!C1532)</f>
        <v/>
      </c>
      <c r="D1531" s="10" t="str">
        <f>IF(ポートフォリオ実績!D1532="","", ポートフォリオ実績!D1532)</f>
        <v/>
      </c>
      <c r="E1531" s="10" t="str">
        <f>IF(ポートフォリオ実績!E1532="","", ポートフォリオ実績!E1532)</f>
        <v/>
      </c>
      <c r="F1531" s="10" t="str">
        <f>IF(ポートフォリオ実績!F1532="","", ポートフォリオ実績!F1532)</f>
        <v/>
      </c>
      <c r="G1531" t="str">
        <f t="shared" si="253"/>
        <v/>
      </c>
      <c r="H1531">
        <f>IF(B1531&lt;&gt;"", SUMIFS(ポートフォリオ実績!$D$2:$D$2001, ポートフォリオ実績!$B$2:$B$2001, B1531, ポートフォリオ実績!$A$2:$A$2001, G1531), 0)</f>
        <v>0</v>
      </c>
      <c r="I1531">
        <f>IF(B1531&lt;&gt;"", SUMIFS(ポートフォリオ実績!$C$2:$C$2001, ポートフォリオ実績!$B$2:$B$2001, B1531, ポートフォリオ実績!$A$2:$A$2001, G1531), 0)</f>
        <v>0</v>
      </c>
      <c r="J1531">
        <f t="shared" si="254"/>
        <v>0</v>
      </c>
      <c r="K1531">
        <f t="shared" si="255"/>
        <v>0</v>
      </c>
      <c r="L1531">
        <f t="shared" si="256"/>
        <v>0</v>
      </c>
      <c r="M1531">
        <f t="shared" si="257"/>
        <v>0</v>
      </c>
      <c r="N1531">
        <f t="shared" si="258"/>
        <v>0</v>
      </c>
      <c r="O1531">
        <f t="shared" si="259"/>
        <v>0</v>
      </c>
      <c r="P1531" t="str">
        <f t="shared" si="260"/>
        <v/>
      </c>
      <c r="Q1531" t="str">
        <f>IF(B1531="","", IFERROR(VLOOKUP(B1531, '基準資産配分（設定）'!$A$2:$C$2001, 3, FALSE), ""))</f>
        <v/>
      </c>
      <c r="R1531" t="str">
        <f>IF(B1531="","", IFERROR(VLOOKUP(B1531, '基準資産配分（設定）'!$A$2:$C$2001, 2, FALSE)/100, 0))</f>
        <v/>
      </c>
      <c r="S1531" t="str">
        <f>IF(B1531="","", IFERROR(SUMIFS(ベンチマークリターン!$C$2:$C$2001, ベンチマークリターン!$A$2:$A$2001, A1531, ベンチマークリターン!$B$2:$B$2001, Q1531) / 100, 0))</f>
        <v/>
      </c>
      <c r="T1531" t="str">
        <f>IF(A1531="","", SUMIFS($H$2:$H$2000, $A$2:$A$2000, A1531))</f>
        <v/>
      </c>
      <c r="U1531" t="str">
        <f t="shared" si="261"/>
        <v/>
      </c>
      <c r="V1531" t="str">
        <f t="shared" si="262"/>
        <v/>
      </c>
      <c r="W1531" t="str">
        <f t="shared" si="263"/>
        <v/>
      </c>
    </row>
    <row r="1532" spans="1:23" x14ac:dyDescent="0.2">
      <c r="A1532" s="4" t="str">
        <f>IF(ポートフォリオ実績!A1533="","", ポートフォリオ実績!A1533)</f>
        <v/>
      </c>
      <c r="B1532" t="str">
        <f>IF(ポートフォリオ実績!B1533="","", ポートフォリオ実績!B1533)</f>
        <v/>
      </c>
      <c r="C1532" s="10" t="str">
        <f>IF(ポートフォリオ実績!C1533="","", ポートフォリオ実績!C1533)</f>
        <v/>
      </c>
      <c r="D1532" s="10" t="str">
        <f>IF(ポートフォリオ実績!D1533="","", ポートフォリオ実績!D1533)</f>
        <v/>
      </c>
      <c r="E1532" s="10" t="str">
        <f>IF(ポートフォリオ実績!E1533="","", ポートフォリオ実績!E1533)</f>
        <v/>
      </c>
      <c r="F1532" s="10" t="str">
        <f>IF(ポートフォリオ実績!F1533="","", ポートフォリオ実績!F1533)</f>
        <v/>
      </c>
      <c r="G1532" t="str">
        <f t="shared" si="253"/>
        <v/>
      </c>
      <c r="H1532">
        <f>IF(B1532&lt;&gt;"", SUMIFS(ポートフォリオ実績!$D$2:$D$2001, ポートフォリオ実績!$B$2:$B$2001, B1532, ポートフォリオ実績!$A$2:$A$2001, G1532), 0)</f>
        <v>0</v>
      </c>
      <c r="I1532">
        <f>IF(B1532&lt;&gt;"", SUMIFS(ポートフォリオ実績!$C$2:$C$2001, ポートフォリオ実績!$B$2:$B$2001, B1532, ポートフォリオ実績!$A$2:$A$2001, G1532), 0)</f>
        <v>0</v>
      </c>
      <c r="J1532">
        <f t="shared" si="254"/>
        <v>0</v>
      </c>
      <c r="K1532">
        <f t="shared" si="255"/>
        <v>0</v>
      </c>
      <c r="L1532">
        <f t="shared" si="256"/>
        <v>0</v>
      </c>
      <c r="M1532">
        <f t="shared" si="257"/>
        <v>0</v>
      </c>
      <c r="N1532">
        <f t="shared" si="258"/>
        <v>0</v>
      </c>
      <c r="O1532">
        <f t="shared" si="259"/>
        <v>0</v>
      </c>
      <c r="P1532" t="str">
        <f t="shared" si="260"/>
        <v/>
      </c>
      <c r="Q1532" t="str">
        <f>IF(B1532="","", IFERROR(VLOOKUP(B1532, '基準資産配分（設定）'!$A$2:$C$2001, 3, FALSE), ""))</f>
        <v/>
      </c>
      <c r="R1532" t="str">
        <f>IF(B1532="","", IFERROR(VLOOKUP(B1532, '基準資産配分（設定）'!$A$2:$C$2001, 2, FALSE)/100, 0))</f>
        <v/>
      </c>
      <c r="S1532" t="str">
        <f>IF(B1532="","", IFERROR(SUMIFS(ベンチマークリターン!$C$2:$C$2001, ベンチマークリターン!$A$2:$A$2001, A1532, ベンチマークリターン!$B$2:$B$2001, Q1532) / 100, 0))</f>
        <v/>
      </c>
      <c r="T1532" t="str">
        <f>IF(A1532="","", SUMIFS($H$2:$H$2000, $A$2:$A$2000, A1532))</f>
        <v/>
      </c>
      <c r="U1532" t="str">
        <f t="shared" si="261"/>
        <v/>
      </c>
      <c r="V1532" t="str">
        <f t="shared" si="262"/>
        <v/>
      </c>
      <c r="W1532" t="str">
        <f t="shared" si="263"/>
        <v/>
      </c>
    </row>
    <row r="1533" spans="1:23" x14ac:dyDescent="0.2">
      <c r="A1533" s="4" t="str">
        <f>IF(ポートフォリオ実績!A1534="","", ポートフォリオ実績!A1534)</f>
        <v/>
      </c>
      <c r="B1533" t="str">
        <f>IF(ポートフォリオ実績!B1534="","", ポートフォリオ実績!B1534)</f>
        <v/>
      </c>
      <c r="C1533" s="10" t="str">
        <f>IF(ポートフォリオ実績!C1534="","", ポートフォリオ実績!C1534)</f>
        <v/>
      </c>
      <c r="D1533" s="10" t="str">
        <f>IF(ポートフォリオ実績!D1534="","", ポートフォリオ実績!D1534)</f>
        <v/>
      </c>
      <c r="E1533" s="10" t="str">
        <f>IF(ポートフォリオ実績!E1534="","", ポートフォリオ実績!E1534)</f>
        <v/>
      </c>
      <c r="F1533" s="10" t="str">
        <f>IF(ポートフォリオ実績!F1534="","", ポートフォリオ実績!F1534)</f>
        <v/>
      </c>
      <c r="G1533" t="str">
        <f t="shared" si="253"/>
        <v/>
      </c>
      <c r="H1533">
        <f>IF(B1533&lt;&gt;"", SUMIFS(ポートフォリオ実績!$D$2:$D$2001, ポートフォリオ実績!$B$2:$B$2001, B1533, ポートフォリオ実績!$A$2:$A$2001, G1533), 0)</f>
        <v>0</v>
      </c>
      <c r="I1533">
        <f>IF(B1533&lt;&gt;"", SUMIFS(ポートフォリオ実績!$C$2:$C$2001, ポートフォリオ実績!$B$2:$B$2001, B1533, ポートフォリオ実績!$A$2:$A$2001, G1533), 0)</f>
        <v>0</v>
      </c>
      <c r="J1533">
        <f t="shared" si="254"/>
        <v>0</v>
      </c>
      <c r="K1533">
        <f t="shared" si="255"/>
        <v>0</v>
      </c>
      <c r="L1533">
        <f t="shared" si="256"/>
        <v>0</v>
      </c>
      <c r="M1533">
        <f t="shared" si="257"/>
        <v>0</v>
      </c>
      <c r="N1533">
        <f t="shared" si="258"/>
        <v>0</v>
      </c>
      <c r="O1533">
        <f t="shared" si="259"/>
        <v>0</v>
      </c>
      <c r="P1533" t="str">
        <f t="shared" si="260"/>
        <v/>
      </c>
      <c r="Q1533" t="str">
        <f>IF(B1533="","", IFERROR(VLOOKUP(B1533, '基準資産配分（設定）'!$A$2:$C$2001, 3, FALSE), ""))</f>
        <v/>
      </c>
      <c r="R1533" t="str">
        <f>IF(B1533="","", IFERROR(VLOOKUP(B1533, '基準資産配分（設定）'!$A$2:$C$2001, 2, FALSE)/100, 0))</f>
        <v/>
      </c>
      <c r="S1533" t="str">
        <f>IF(B1533="","", IFERROR(SUMIFS(ベンチマークリターン!$C$2:$C$2001, ベンチマークリターン!$A$2:$A$2001, A1533, ベンチマークリターン!$B$2:$B$2001, Q1533) / 100, 0))</f>
        <v/>
      </c>
      <c r="T1533" t="str">
        <f>IF(A1533="","", SUMIFS($H$2:$H$2000, $A$2:$A$2000, A1533))</f>
        <v/>
      </c>
      <c r="U1533" t="str">
        <f t="shared" si="261"/>
        <v/>
      </c>
      <c r="V1533" t="str">
        <f t="shared" si="262"/>
        <v/>
      </c>
      <c r="W1533" t="str">
        <f t="shared" si="263"/>
        <v/>
      </c>
    </row>
    <row r="1534" spans="1:23" x14ac:dyDescent="0.2">
      <c r="A1534" s="4" t="str">
        <f>IF(ポートフォリオ実績!A1535="","", ポートフォリオ実績!A1535)</f>
        <v/>
      </c>
      <c r="B1534" t="str">
        <f>IF(ポートフォリオ実績!B1535="","", ポートフォリオ実績!B1535)</f>
        <v/>
      </c>
      <c r="C1534" s="10" t="str">
        <f>IF(ポートフォリオ実績!C1535="","", ポートフォリオ実績!C1535)</f>
        <v/>
      </c>
      <c r="D1534" s="10" t="str">
        <f>IF(ポートフォリオ実績!D1535="","", ポートフォリオ実績!D1535)</f>
        <v/>
      </c>
      <c r="E1534" s="10" t="str">
        <f>IF(ポートフォリオ実績!E1535="","", ポートフォリオ実績!E1535)</f>
        <v/>
      </c>
      <c r="F1534" s="10" t="str">
        <f>IF(ポートフォリオ実績!F1535="","", ポートフォリオ実績!F1535)</f>
        <v/>
      </c>
      <c r="G1534" t="str">
        <f t="shared" si="253"/>
        <v/>
      </c>
      <c r="H1534">
        <f>IF(B1534&lt;&gt;"", SUMIFS(ポートフォリオ実績!$D$2:$D$2001, ポートフォリオ実績!$B$2:$B$2001, B1534, ポートフォリオ実績!$A$2:$A$2001, G1534), 0)</f>
        <v>0</v>
      </c>
      <c r="I1534">
        <f>IF(B1534&lt;&gt;"", SUMIFS(ポートフォリオ実績!$C$2:$C$2001, ポートフォリオ実績!$B$2:$B$2001, B1534, ポートフォリオ実績!$A$2:$A$2001, G1534), 0)</f>
        <v>0</v>
      </c>
      <c r="J1534">
        <f t="shared" si="254"/>
        <v>0</v>
      </c>
      <c r="K1534">
        <f t="shared" si="255"/>
        <v>0</v>
      </c>
      <c r="L1534">
        <f t="shared" si="256"/>
        <v>0</v>
      </c>
      <c r="M1534">
        <f t="shared" si="257"/>
        <v>0</v>
      </c>
      <c r="N1534">
        <f t="shared" si="258"/>
        <v>0</v>
      </c>
      <c r="O1534">
        <f t="shared" si="259"/>
        <v>0</v>
      </c>
      <c r="P1534" t="str">
        <f t="shared" si="260"/>
        <v/>
      </c>
      <c r="Q1534" t="str">
        <f>IF(B1534="","", IFERROR(VLOOKUP(B1534, '基準資産配分（設定）'!$A$2:$C$2001, 3, FALSE), ""))</f>
        <v/>
      </c>
      <c r="R1534" t="str">
        <f>IF(B1534="","", IFERROR(VLOOKUP(B1534, '基準資産配分（設定）'!$A$2:$C$2001, 2, FALSE)/100, 0))</f>
        <v/>
      </c>
      <c r="S1534" t="str">
        <f>IF(B1534="","", IFERROR(SUMIFS(ベンチマークリターン!$C$2:$C$2001, ベンチマークリターン!$A$2:$A$2001, A1534, ベンチマークリターン!$B$2:$B$2001, Q1534) / 100, 0))</f>
        <v/>
      </c>
      <c r="T1534" t="str">
        <f>IF(A1534="","", SUMIFS($H$2:$H$2000, $A$2:$A$2000, A1534))</f>
        <v/>
      </c>
      <c r="U1534" t="str">
        <f t="shared" si="261"/>
        <v/>
      </c>
      <c r="V1534" t="str">
        <f t="shared" si="262"/>
        <v/>
      </c>
      <c r="W1534" t="str">
        <f t="shared" si="263"/>
        <v/>
      </c>
    </row>
    <row r="1535" spans="1:23" x14ac:dyDescent="0.2">
      <c r="A1535" s="4" t="str">
        <f>IF(ポートフォリオ実績!A1536="","", ポートフォリオ実績!A1536)</f>
        <v/>
      </c>
      <c r="B1535" t="str">
        <f>IF(ポートフォリオ実績!B1536="","", ポートフォリオ実績!B1536)</f>
        <v/>
      </c>
      <c r="C1535" s="10" t="str">
        <f>IF(ポートフォリオ実績!C1536="","", ポートフォリオ実績!C1536)</f>
        <v/>
      </c>
      <c r="D1535" s="10" t="str">
        <f>IF(ポートフォリオ実績!D1536="","", ポートフォリオ実績!D1536)</f>
        <v/>
      </c>
      <c r="E1535" s="10" t="str">
        <f>IF(ポートフォリオ実績!E1536="","", ポートフォリオ実績!E1536)</f>
        <v/>
      </c>
      <c r="F1535" s="10" t="str">
        <f>IF(ポートフォリオ実績!F1536="","", ポートフォリオ実績!F1536)</f>
        <v/>
      </c>
      <c r="G1535" t="str">
        <f t="shared" si="253"/>
        <v/>
      </c>
      <c r="H1535">
        <f>IF(B1535&lt;&gt;"", SUMIFS(ポートフォリオ実績!$D$2:$D$2001, ポートフォリオ実績!$B$2:$B$2001, B1535, ポートフォリオ実績!$A$2:$A$2001, G1535), 0)</f>
        <v>0</v>
      </c>
      <c r="I1535">
        <f>IF(B1535&lt;&gt;"", SUMIFS(ポートフォリオ実績!$C$2:$C$2001, ポートフォリオ実績!$B$2:$B$2001, B1535, ポートフォリオ実績!$A$2:$A$2001, G1535), 0)</f>
        <v>0</v>
      </c>
      <c r="J1535">
        <f t="shared" si="254"/>
        <v>0</v>
      </c>
      <c r="K1535">
        <f t="shared" si="255"/>
        <v>0</v>
      </c>
      <c r="L1535">
        <f t="shared" si="256"/>
        <v>0</v>
      </c>
      <c r="M1535">
        <f t="shared" si="257"/>
        <v>0</v>
      </c>
      <c r="N1535">
        <f t="shared" si="258"/>
        <v>0</v>
      </c>
      <c r="O1535">
        <f t="shared" si="259"/>
        <v>0</v>
      </c>
      <c r="P1535" t="str">
        <f t="shared" si="260"/>
        <v/>
      </c>
      <c r="Q1535" t="str">
        <f>IF(B1535="","", IFERROR(VLOOKUP(B1535, '基準資産配分（設定）'!$A$2:$C$2001, 3, FALSE), ""))</f>
        <v/>
      </c>
      <c r="R1535" t="str">
        <f>IF(B1535="","", IFERROR(VLOOKUP(B1535, '基準資産配分（設定）'!$A$2:$C$2001, 2, FALSE)/100, 0))</f>
        <v/>
      </c>
      <c r="S1535" t="str">
        <f>IF(B1535="","", IFERROR(SUMIFS(ベンチマークリターン!$C$2:$C$2001, ベンチマークリターン!$A$2:$A$2001, A1535, ベンチマークリターン!$B$2:$B$2001, Q1535) / 100, 0))</f>
        <v/>
      </c>
      <c r="T1535" t="str">
        <f>IF(A1535="","", SUMIFS($H$2:$H$2000, $A$2:$A$2000, A1535))</f>
        <v/>
      </c>
      <c r="U1535" t="str">
        <f t="shared" si="261"/>
        <v/>
      </c>
      <c r="V1535" t="str">
        <f t="shared" si="262"/>
        <v/>
      </c>
      <c r="W1535" t="str">
        <f t="shared" si="263"/>
        <v/>
      </c>
    </row>
    <row r="1536" spans="1:23" x14ac:dyDescent="0.2">
      <c r="A1536" s="4" t="str">
        <f>IF(ポートフォリオ実績!A1537="","", ポートフォリオ実績!A1537)</f>
        <v/>
      </c>
      <c r="B1536" t="str">
        <f>IF(ポートフォリオ実績!B1537="","", ポートフォリオ実績!B1537)</f>
        <v/>
      </c>
      <c r="C1536" s="10" t="str">
        <f>IF(ポートフォリオ実績!C1537="","", ポートフォリオ実績!C1537)</f>
        <v/>
      </c>
      <c r="D1536" s="10" t="str">
        <f>IF(ポートフォリオ実績!D1537="","", ポートフォリオ実績!D1537)</f>
        <v/>
      </c>
      <c r="E1536" s="10" t="str">
        <f>IF(ポートフォリオ実績!E1537="","", ポートフォリオ実績!E1537)</f>
        <v/>
      </c>
      <c r="F1536" s="10" t="str">
        <f>IF(ポートフォリオ実績!F1537="","", ポートフォリオ実績!F1537)</f>
        <v/>
      </c>
      <c r="G1536" t="str">
        <f t="shared" si="253"/>
        <v/>
      </c>
      <c r="H1536">
        <f>IF(B1536&lt;&gt;"", SUMIFS(ポートフォリオ実績!$D$2:$D$2001, ポートフォリオ実績!$B$2:$B$2001, B1536, ポートフォリオ実績!$A$2:$A$2001, G1536), 0)</f>
        <v>0</v>
      </c>
      <c r="I1536">
        <f>IF(B1536&lt;&gt;"", SUMIFS(ポートフォリオ実績!$C$2:$C$2001, ポートフォリオ実績!$B$2:$B$2001, B1536, ポートフォリオ実績!$A$2:$A$2001, G1536), 0)</f>
        <v>0</v>
      </c>
      <c r="J1536">
        <f t="shared" si="254"/>
        <v>0</v>
      </c>
      <c r="K1536">
        <f t="shared" si="255"/>
        <v>0</v>
      </c>
      <c r="L1536">
        <f t="shared" si="256"/>
        <v>0</v>
      </c>
      <c r="M1536">
        <f t="shared" si="257"/>
        <v>0</v>
      </c>
      <c r="N1536">
        <f t="shared" si="258"/>
        <v>0</v>
      </c>
      <c r="O1536">
        <f t="shared" si="259"/>
        <v>0</v>
      </c>
      <c r="P1536" t="str">
        <f t="shared" si="260"/>
        <v/>
      </c>
      <c r="Q1536" t="str">
        <f>IF(B1536="","", IFERROR(VLOOKUP(B1536, '基準資産配分（設定）'!$A$2:$C$2001, 3, FALSE), ""))</f>
        <v/>
      </c>
      <c r="R1536" t="str">
        <f>IF(B1536="","", IFERROR(VLOOKUP(B1536, '基準資産配分（設定）'!$A$2:$C$2001, 2, FALSE)/100, 0))</f>
        <v/>
      </c>
      <c r="S1536" t="str">
        <f>IF(B1536="","", IFERROR(SUMIFS(ベンチマークリターン!$C$2:$C$2001, ベンチマークリターン!$A$2:$A$2001, A1536, ベンチマークリターン!$B$2:$B$2001, Q1536) / 100, 0))</f>
        <v/>
      </c>
      <c r="T1536" t="str">
        <f>IF(A1536="","", SUMIFS($H$2:$H$2000, $A$2:$A$2000, A1536))</f>
        <v/>
      </c>
      <c r="U1536" t="str">
        <f t="shared" si="261"/>
        <v/>
      </c>
      <c r="V1536" t="str">
        <f t="shared" si="262"/>
        <v/>
      </c>
      <c r="W1536" t="str">
        <f t="shared" si="263"/>
        <v/>
      </c>
    </row>
    <row r="1537" spans="1:23" x14ac:dyDescent="0.2">
      <c r="A1537" s="4" t="str">
        <f>IF(ポートフォリオ実績!A1538="","", ポートフォリオ実績!A1538)</f>
        <v/>
      </c>
      <c r="B1537" t="str">
        <f>IF(ポートフォリオ実績!B1538="","", ポートフォリオ実績!B1538)</f>
        <v/>
      </c>
      <c r="C1537" s="10" t="str">
        <f>IF(ポートフォリオ実績!C1538="","", ポートフォリオ実績!C1538)</f>
        <v/>
      </c>
      <c r="D1537" s="10" t="str">
        <f>IF(ポートフォリオ実績!D1538="","", ポートフォリオ実績!D1538)</f>
        <v/>
      </c>
      <c r="E1537" s="10" t="str">
        <f>IF(ポートフォリオ実績!E1538="","", ポートフォリオ実績!E1538)</f>
        <v/>
      </c>
      <c r="F1537" s="10" t="str">
        <f>IF(ポートフォリオ実績!F1538="","", ポートフォリオ実績!F1538)</f>
        <v/>
      </c>
      <c r="G1537" t="str">
        <f t="shared" ref="G1537:G1600" si="264">IF(A1537&lt;&gt;"", EOMONTH(A1537, -1), "")</f>
        <v/>
      </c>
      <c r="H1537">
        <f>IF(B1537&lt;&gt;"", SUMIFS(ポートフォリオ実績!$D$2:$D$2001, ポートフォリオ実績!$B$2:$B$2001, B1537, ポートフォリオ実績!$A$2:$A$2001, G1537), 0)</f>
        <v>0</v>
      </c>
      <c r="I1537">
        <f>IF(B1537&lt;&gt;"", SUMIFS(ポートフォリオ実績!$C$2:$C$2001, ポートフォリオ実績!$B$2:$B$2001, B1537, ポートフォリオ実績!$A$2:$A$2001, G1537), 0)</f>
        <v>0</v>
      </c>
      <c r="J1537">
        <f t="shared" ref="J1537:J1600" si="265">IF(A1537&lt;&gt;"", D1537-C1537, 0)</f>
        <v>0</v>
      </c>
      <c r="K1537">
        <f t="shared" ref="K1537:K1600" si="266">IF(A1537&lt;&gt;"", H1537-I1537, 0)</f>
        <v>0</v>
      </c>
      <c r="L1537">
        <f t="shared" ref="L1537:L1600" si="267">IF(H1537=0, 0, J1537-K1537)</f>
        <v>0</v>
      </c>
      <c r="M1537">
        <f t="shared" ref="M1537:M1600" si="268">IF(A1537&lt;&gt;"", E1537+F1537+L1537, 0)</f>
        <v>0</v>
      </c>
      <c r="N1537">
        <f t="shared" ref="N1537:N1600" si="269">IF(H1537=0, 0, (D1537-H1537)-M1537)</f>
        <v>0</v>
      </c>
      <c r="O1537">
        <f t="shared" ref="O1537:O1600" si="270">IF(A1537&lt;&gt;"", H1537+N1537*0.5, 0)</f>
        <v>0</v>
      </c>
      <c r="P1537" t="str">
        <f t="shared" ref="P1537:P1600" si="271">IF(A1537="","", IF(O1537&gt;0.000001, M1537/O1537, IF(ABS(M1537)&lt;0.000001, 0, 0)))</f>
        <v/>
      </c>
      <c r="Q1537" t="str">
        <f>IF(B1537="","", IFERROR(VLOOKUP(B1537, '基準資産配分（設定）'!$A$2:$C$2001, 3, FALSE), ""))</f>
        <v/>
      </c>
      <c r="R1537" t="str">
        <f>IF(B1537="","", IFERROR(VLOOKUP(B1537, '基準資産配分（設定）'!$A$2:$C$2001, 2, FALSE)/100, 0))</f>
        <v/>
      </c>
      <c r="S1537" t="str">
        <f>IF(B1537="","", IFERROR(SUMIFS(ベンチマークリターン!$C$2:$C$2001, ベンチマークリターン!$A$2:$A$2001, A1537, ベンチマークリターン!$B$2:$B$2001, Q1537) / 100, 0))</f>
        <v/>
      </c>
      <c r="T1537" t="str">
        <f>IF(A1537="","", SUMIFS($H$2:$H$2000, $A$2:$A$2000, A1537))</f>
        <v/>
      </c>
      <c r="U1537" t="str">
        <f t="shared" ref="U1537:U1600" si="272">IF(A1537="","", IFERROR(H1537/T1537, 0))</f>
        <v/>
      </c>
      <c r="V1537" t="str">
        <f t="shared" ref="V1537:V1600" si="273">IF(A1537="","", U1537*P1537)</f>
        <v/>
      </c>
      <c r="W1537" t="str">
        <f t="shared" ref="W1537:W1600" si="274">IF(A1537="","", R1537*S1537)</f>
        <v/>
      </c>
    </row>
    <row r="1538" spans="1:23" x14ac:dyDescent="0.2">
      <c r="A1538" s="4" t="str">
        <f>IF(ポートフォリオ実績!A1539="","", ポートフォリオ実績!A1539)</f>
        <v/>
      </c>
      <c r="B1538" t="str">
        <f>IF(ポートフォリオ実績!B1539="","", ポートフォリオ実績!B1539)</f>
        <v/>
      </c>
      <c r="C1538" s="10" t="str">
        <f>IF(ポートフォリオ実績!C1539="","", ポートフォリオ実績!C1539)</f>
        <v/>
      </c>
      <c r="D1538" s="10" t="str">
        <f>IF(ポートフォリオ実績!D1539="","", ポートフォリオ実績!D1539)</f>
        <v/>
      </c>
      <c r="E1538" s="10" t="str">
        <f>IF(ポートフォリオ実績!E1539="","", ポートフォリオ実績!E1539)</f>
        <v/>
      </c>
      <c r="F1538" s="10" t="str">
        <f>IF(ポートフォリオ実績!F1539="","", ポートフォリオ実績!F1539)</f>
        <v/>
      </c>
      <c r="G1538" t="str">
        <f t="shared" si="264"/>
        <v/>
      </c>
      <c r="H1538">
        <f>IF(B1538&lt;&gt;"", SUMIFS(ポートフォリオ実績!$D$2:$D$2001, ポートフォリオ実績!$B$2:$B$2001, B1538, ポートフォリオ実績!$A$2:$A$2001, G1538), 0)</f>
        <v>0</v>
      </c>
      <c r="I1538">
        <f>IF(B1538&lt;&gt;"", SUMIFS(ポートフォリオ実績!$C$2:$C$2001, ポートフォリオ実績!$B$2:$B$2001, B1538, ポートフォリオ実績!$A$2:$A$2001, G1538), 0)</f>
        <v>0</v>
      </c>
      <c r="J1538">
        <f t="shared" si="265"/>
        <v>0</v>
      </c>
      <c r="K1538">
        <f t="shared" si="266"/>
        <v>0</v>
      </c>
      <c r="L1538">
        <f t="shared" si="267"/>
        <v>0</v>
      </c>
      <c r="M1538">
        <f t="shared" si="268"/>
        <v>0</v>
      </c>
      <c r="N1538">
        <f t="shared" si="269"/>
        <v>0</v>
      </c>
      <c r="O1538">
        <f t="shared" si="270"/>
        <v>0</v>
      </c>
      <c r="P1538" t="str">
        <f t="shared" si="271"/>
        <v/>
      </c>
      <c r="Q1538" t="str">
        <f>IF(B1538="","", IFERROR(VLOOKUP(B1538, '基準資産配分（設定）'!$A$2:$C$2001, 3, FALSE), ""))</f>
        <v/>
      </c>
      <c r="R1538" t="str">
        <f>IF(B1538="","", IFERROR(VLOOKUP(B1538, '基準資産配分（設定）'!$A$2:$C$2001, 2, FALSE)/100, 0))</f>
        <v/>
      </c>
      <c r="S1538" t="str">
        <f>IF(B1538="","", IFERROR(SUMIFS(ベンチマークリターン!$C$2:$C$2001, ベンチマークリターン!$A$2:$A$2001, A1538, ベンチマークリターン!$B$2:$B$2001, Q1538) / 100, 0))</f>
        <v/>
      </c>
      <c r="T1538" t="str">
        <f>IF(A1538="","", SUMIFS($H$2:$H$2000, $A$2:$A$2000, A1538))</f>
        <v/>
      </c>
      <c r="U1538" t="str">
        <f t="shared" si="272"/>
        <v/>
      </c>
      <c r="V1538" t="str">
        <f t="shared" si="273"/>
        <v/>
      </c>
      <c r="W1538" t="str">
        <f t="shared" si="274"/>
        <v/>
      </c>
    </row>
    <row r="1539" spans="1:23" x14ac:dyDescent="0.2">
      <c r="A1539" s="4" t="str">
        <f>IF(ポートフォリオ実績!A1540="","", ポートフォリオ実績!A1540)</f>
        <v/>
      </c>
      <c r="B1539" t="str">
        <f>IF(ポートフォリオ実績!B1540="","", ポートフォリオ実績!B1540)</f>
        <v/>
      </c>
      <c r="C1539" s="10" t="str">
        <f>IF(ポートフォリオ実績!C1540="","", ポートフォリオ実績!C1540)</f>
        <v/>
      </c>
      <c r="D1539" s="10" t="str">
        <f>IF(ポートフォリオ実績!D1540="","", ポートフォリオ実績!D1540)</f>
        <v/>
      </c>
      <c r="E1539" s="10" t="str">
        <f>IF(ポートフォリオ実績!E1540="","", ポートフォリオ実績!E1540)</f>
        <v/>
      </c>
      <c r="F1539" s="10" t="str">
        <f>IF(ポートフォリオ実績!F1540="","", ポートフォリオ実績!F1540)</f>
        <v/>
      </c>
      <c r="G1539" t="str">
        <f t="shared" si="264"/>
        <v/>
      </c>
      <c r="H1539">
        <f>IF(B1539&lt;&gt;"", SUMIFS(ポートフォリオ実績!$D$2:$D$2001, ポートフォリオ実績!$B$2:$B$2001, B1539, ポートフォリオ実績!$A$2:$A$2001, G1539), 0)</f>
        <v>0</v>
      </c>
      <c r="I1539">
        <f>IF(B1539&lt;&gt;"", SUMIFS(ポートフォリオ実績!$C$2:$C$2001, ポートフォリオ実績!$B$2:$B$2001, B1539, ポートフォリオ実績!$A$2:$A$2001, G1539), 0)</f>
        <v>0</v>
      </c>
      <c r="J1539">
        <f t="shared" si="265"/>
        <v>0</v>
      </c>
      <c r="K1539">
        <f t="shared" si="266"/>
        <v>0</v>
      </c>
      <c r="L1539">
        <f t="shared" si="267"/>
        <v>0</v>
      </c>
      <c r="M1539">
        <f t="shared" si="268"/>
        <v>0</v>
      </c>
      <c r="N1539">
        <f t="shared" si="269"/>
        <v>0</v>
      </c>
      <c r="O1539">
        <f t="shared" si="270"/>
        <v>0</v>
      </c>
      <c r="P1539" t="str">
        <f t="shared" si="271"/>
        <v/>
      </c>
      <c r="Q1539" t="str">
        <f>IF(B1539="","", IFERROR(VLOOKUP(B1539, '基準資産配分（設定）'!$A$2:$C$2001, 3, FALSE), ""))</f>
        <v/>
      </c>
      <c r="R1539" t="str">
        <f>IF(B1539="","", IFERROR(VLOOKUP(B1539, '基準資産配分（設定）'!$A$2:$C$2001, 2, FALSE)/100, 0))</f>
        <v/>
      </c>
      <c r="S1539" t="str">
        <f>IF(B1539="","", IFERROR(SUMIFS(ベンチマークリターン!$C$2:$C$2001, ベンチマークリターン!$A$2:$A$2001, A1539, ベンチマークリターン!$B$2:$B$2001, Q1539) / 100, 0))</f>
        <v/>
      </c>
      <c r="T1539" t="str">
        <f>IF(A1539="","", SUMIFS($H$2:$H$2000, $A$2:$A$2000, A1539))</f>
        <v/>
      </c>
      <c r="U1539" t="str">
        <f t="shared" si="272"/>
        <v/>
      </c>
      <c r="V1539" t="str">
        <f t="shared" si="273"/>
        <v/>
      </c>
      <c r="W1539" t="str">
        <f t="shared" si="274"/>
        <v/>
      </c>
    </row>
    <row r="1540" spans="1:23" x14ac:dyDescent="0.2">
      <c r="A1540" s="4" t="str">
        <f>IF(ポートフォリオ実績!A1541="","", ポートフォリオ実績!A1541)</f>
        <v/>
      </c>
      <c r="B1540" t="str">
        <f>IF(ポートフォリオ実績!B1541="","", ポートフォリオ実績!B1541)</f>
        <v/>
      </c>
      <c r="C1540" s="10" t="str">
        <f>IF(ポートフォリオ実績!C1541="","", ポートフォリオ実績!C1541)</f>
        <v/>
      </c>
      <c r="D1540" s="10" t="str">
        <f>IF(ポートフォリオ実績!D1541="","", ポートフォリオ実績!D1541)</f>
        <v/>
      </c>
      <c r="E1540" s="10" t="str">
        <f>IF(ポートフォリオ実績!E1541="","", ポートフォリオ実績!E1541)</f>
        <v/>
      </c>
      <c r="F1540" s="10" t="str">
        <f>IF(ポートフォリオ実績!F1541="","", ポートフォリオ実績!F1541)</f>
        <v/>
      </c>
      <c r="G1540" t="str">
        <f t="shared" si="264"/>
        <v/>
      </c>
      <c r="H1540">
        <f>IF(B1540&lt;&gt;"", SUMIFS(ポートフォリオ実績!$D$2:$D$2001, ポートフォリオ実績!$B$2:$B$2001, B1540, ポートフォリオ実績!$A$2:$A$2001, G1540), 0)</f>
        <v>0</v>
      </c>
      <c r="I1540">
        <f>IF(B1540&lt;&gt;"", SUMIFS(ポートフォリオ実績!$C$2:$C$2001, ポートフォリオ実績!$B$2:$B$2001, B1540, ポートフォリオ実績!$A$2:$A$2001, G1540), 0)</f>
        <v>0</v>
      </c>
      <c r="J1540">
        <f t="shared" si="265"/>
        <v>0</v>
      </c>
      <c r="K1540">
        <f t="shared" si="266"/>
        <v>0</v>
      </c>
      <c r="L1540">
        <f t="shared" si="267"/>
        <v>0</v>
      </c>
      <c r="M1540">
        <f t="shared" si="268"/>
        <v>0</v>
      </c>
      <c r="N1540">
        <f t="shared" si="269"/>
        <v>0</v>
      </c>
      <c r="O1540">
        <f t="shared" si="270"/>
        <v>0</v>
      </c>
      <c r="P1540" t="str">
        <f t="shared" si="271"/>
        <v/>
      </c>
      <c r="Q1540" t="str">
        <f>IF(B1540="","", IFERROR(VLOOKUP(B1540, '基準資産配分（設定）'!$A$2:$C$2001, 3, FALSE), ""))</f>
        <v/>
      </c>
      <c r="R1540" t="str">
        <f>IF(B1540="","", IFERROR(VLOOKUP(B1540, '基準資産配分（設定）'!$A$2:$C$2001, 2, FALSE)/100, 0))</f>
        <v/>
      </c>
      <c r="S1540" t="str">
        <f>IF(B1540="","", IFERROR(SUMIFS(ベンチマークリターン!$C$2:$C$2001, ベンチマークリターン!$A$2:$A$2001, A1540, ベンチマークリターン!$B$2:$B$2001, Q1540) / 100, 0))</f>
        <v/>
      </c>
      <c r="T1540" t="str">
        <f>IF(A1540="","", SUMIFS($H$2:$H$2000, $A$2:$A$2000, A1540))</f>
        <v/>
      </c>
      <c r="U1540" t="str">
        <f t="shared" si="272"/>
        <v/>
      </c>
      <c r="V1540" t="str">
        <f t="shared" si="273"/>
        <v/>
      </c>
      <c r="W1540" t="str">
        <f t="shared" si="274"/>
        <v/>
      </c>
    </row>
    <row r="1541" spans="1:23" x14ac:dyDescent="0.2">
      <c r="A1541" s="4" t="str">
        <f>IF(ポートフォリオ実績!A1542="","", ポートフォリオ実績!A1542)</f>
        <v/>
      </c>
      <c r="B1541" t="str">
        <f>IF(ポートフォリオ実績!B1542="","", ポートフォリオ実績!B1542)</f>
        <v/>
      </c>
      <c r="C1541" s="10" t="str">
        <f>IF(ポートフォリオ実績!C1542="","", ポートフォリオ実績!C1542)</f>
        <v/>
      </c>
      <c r="D1541" s="10" t="str">
        <f>IF(ポートフォリオ実績!D1542="","", ポートフォリオ実績!D1542)</f>
        <v/>
      </c>
      <c r="E1541" s="10" t="str">
        <f>IF(ポートフォリオ実績!E1542="","", ポートフォリオ実績!E1542)</f>
        <v/>
      </c>
      <c r="F1541" s="10" t="str">
        <f>IF(ポートフォリオ実績!F1542="","", ポートフォリオ実績!F1542)</f>
        <v/>
      </c>
      <c r="G1541" t="str">
        <f t="shared" si="264"/>
        <v/>
      </c>
      <c r="H1541">
        <f>IF(B1541&lt;&gt;"", SUMIFS(ポートフォリオ実績!$D$2:$D$2001, ポートフォリオ実績!$B$2:$B$2001, B1541, ポートフォリオ実績!$A$2:$A$2001, G1541), 0)</f>
        <v>0</v>
      </c>
      <c r="I1541">
        <f>IF(B1541&lt;&gt;"", SUMIFS(ポートフォリオ実績!$C$2:$C$2001, ポートフォリオ実績!$B$2:$B$2001, B1541, ポートフォリオ実績!$A$2:$A$2001, G1541), 0)</f>
        <v>0</v>
      </c>
      <c r="J1541">
        <f t="shared" si="265"/>
        <v>0</v>
      </c>
      <c r="K1541">
        <f t="shared" si="266"/>
        <v>0</v>
      </c>
      <c r="L1541">
        <f t="shared" si="267"/>
        <v>0</v>
      </c>
      <c r="M1541">
        <f t="shared" si="268"/>
        <v>0</v>
      </c>
      <c r="N1541">
        <f t="shared" si="269"/>
        <v>0</v>
      </c>
      <c r="O1541">
        <f t="shared" si="270"/>
        <v>0</v>
      </c>
      <c r="P1541" t="str">
        <f t="shared" si="271"/>
        <v/>
      </c>
      <c r="Q1541" t="str">
        <f>IF(B1541="","", IFERROR(VLOOKUP(B1541, '基準資産配分（設定）'!$A$2:$C$2001, 3, FALSE), ""))</f>
        <v/>
      </c>
      <c r="R1541" t="str">
        <f>IF(B1541="","", IFERROR(VLOOKUP(B1541, '基準資産配分（設定）'!$A$2:$C$2001, 2, FALSE)/100, 0))</f>
        <v/>
      </c>
      <c r="S1541" t="str">
        <f>IF(B1541="","", IFERROR(SUMIFS(ベンチマークリターン!$C$2:$C$2001, ベンチマークリターン!$A$2:$A$2001, A1541, ベンチマークリターン!$B$2:$B$2001, Q1541) / 100, 0))</f>
        <v/>
      </c>
      <c r="T1541" t="str">
        <f>IF(A1541="","", SUMIFS($H$2:$H$2000, $A$2:$A$2000, A1541))</f>
        <v/>
      </c>
      <c r="U1541" t="str">
        <f t="shared" si="272"/>
        <v/>
      </c>
      <c r="V1541" t="str">
        <f t="shared" si="273"/>
        <v/>
      </c>
      <c r="W1541" t="str">
        <f t="shared" si="274"/>
        <v/>
      </c>
    </row>
    <row r="1542" spans="1:23" x14ac:dyDescent="0.2">
      <c r="A1542" s="4" t="str">
        <f>IF(ポートフォリオ実績!A1543="","", ポートフォリオ実績!A1543)</f>
        <v/>
      </c>
      <c r="B1542" t="str">
        <f>IF(ポートフォリオ実績!B1543="","", ポートフォリオ実績!B1543)</f>
        <v/>
      </c>
      <c r="C1542" s="10" t="str">
        <f>IF(ポートフォリオ実績!C1543="","", ポートフォリオ実績!C1543)</f>
        <v/>
      </c>
      <c r="D1542" s="10" t="str">
        <f>IF(ポートフォリオ実績!D1543="","", ポートフォリオ実績!D1543)</f>
        <v/>
      </c>
      <c r="E1542" s="10" t="str">
        <f>IF(ポートフォリオ実績!E1543="","", ポートフォリオ実績!E1543)</f>
        <v/>
      </c>
      <c r="F1542" s="10" t="str">
        <f>IF(ポートフォリオ実績!F1543="","", ポートフォリオ実績!F1543)</f>
        <v/>
      </c>
      <c r="G1542" t="str">
        <f t="shared" si="264"/>
        <v/>
      </c>
      <c r="H1542">
        <f>IF(B1542&lt;&gt;"", SUMIFS(ポートフォリオ実績!$D$2:$D$2001, ポートフォリオ実績!$B$2:$B$2001, B1542, ポートフォリオ実績!$A$2:$A$2001, G1542), 0)</f>
        <v>0</v>
      </c>
      <c r="I1542">
        <f>IF(B1542&lt;&gt;"", SUMIFS(ポートフォリオ実績!$C$2:$C$2001, ポートフォリオ実績!$B$2:$B$2001, B1542, ポートフォリオ実績!$A$2:$A$2001, G1542), 0)</f>
        <v>0</v>
      </c>
      <c r="J1542">
        <f t="shared" si="265"/>
        <v>0</v>
      </c>
      <c r="K1542">
        <f t="shared" si="266"/>
        <v>0</v>
      </c>
      <c r="L1542">
        <f t="shared" si="267"/>
        <v>0</v>
      </c>
      <c r="M1542">
        <f t="shared" si="268"/>
        <v>0</v>
      </c>
      <c r="N1542">
        <f t="shared" si="269"/>
        <v>0</v>
      </c>
      <c r="O1542">
        <f t="shared" si="270"/>
        <v>0</v>
      </c>
      <c r="P1542" t="str">
        <f t="shared" si="271"/>
        <v/>
      </c>
      <c r="Q1542" t="str">
        <f>IF(B1542="","", IFERROR(VLOOKUP(B1542, '基準資産配分（設定）'!$A$2:$C$2001, 3, FALSE), ""))</f>
        <v/>
      </c>
      <c r="R1542" t="str">
        <f>IF(B1542="","", IFERROR(VLOOKUP(B1542, '基準資産配分（設定）'!$A$2:$C$2001, 2, FALSE)/100, 0))</f>
        <v/>
      </c>
      <c r="S1542" t="str">
        <f>IF(B1542="","", IFERROR(SUMIFS(ベンチマークリターン!$C$2:$C$2001, ベンチマークリターン!$A$2:$A$2001, A1542, ベンチマークリターン!$B$2:$B$2001, Q1542) / 100, 0))</f>
        <v/>
      </c>
      <c r="T1542" t="str">
        <f>IF(A1542="","", SUMIFS($H$2:$H$2000, $A$2:$A$2000, A1542))</f>
        <v/>
      </c>
      <c r="U1542" t="str">
        <f t="shared" si="272"/>
        <v/>
      </c>
      <c r="V1542" t="str">
        <f t="shared" si="273"/>
        <v/>
      </c>
      <c r="W1542" t="str">
        <f t="shared" si="274"/>
        <v/>
      </c>
    </row>
    <row r="1543" spans="1:23" x14ac:dyDescent="0.2">
      <c r="A1543" s="4" t="str">
        <f>IF(ポートフォリオ実績!A1544="","", ポートフォリオ実績!A1544)</f>
        <v/>
      </c>
      <c r="B1543" t="str">
        <f>IF(ポートフォリオ実績!B1544="","", ポートフォリオ実績!B1544)</f>
        <v/>
      </c>
      <c r="C1543" s="10" t="str">
        <f>IF(ポートフォリオ実績!C1544="","", ポートフォリオ実績!C1544)</f>
        <v/>
      </c>
      <c r="D1543" s="10" t="str">
        <f>IF(ポートフォリオ実績!D1544="","", ポートフォリオ実績!D1544)</f>
        <v/>
      </c>
      <c r="E1543" s="10" t="str">
        <f>IF(ポートフォリオ実績!E1544="","", ポートフォリオ実績!E1544)</f>
        <v/>
      </c>
      <c r="F1543" s="10" t="str">
        <f>IF(ポートフォリオ実績!F1544="","", ポートフォリオ実績!F1544)</f>
        <v/>
      </c>
      <c r="G1543" t="str">
        <f t="shared" si="264"/>
        <v/>
      </c>
      <c r="H1543">
        <f>IF(B1543&lt;&gt;"", SUMIFS(ポートフォリオ実績!$D$2:$D$2001, ポートフォリオ実績!$B$2:$B$2001, B1543, ポートフォリオ実績!$A$2:$A$2001, G1543), 0)</f>
        <v>0</v>
      </c>
      <c r="I1543">
        <f>IF(B1543&lt;&gt;"", SUMIFS(ポートフォリオ実績!$C$2:$C$2001, ポートフォリオ実績!$B$2:$B$2001, B1543, ポートフォリオ実績!$A$2:$A$2001, G1543), 0)</f>
        <v>0</v>
      </c>
      <c r="J1543">
        <f t="shared" si="265"/>
        <v>0</v>
      </c>
      <c r="K1543">
        <f t="shared" si="266"/>
        <v>0</v>
      </c>
      <c r="L1543">
        <f t="shared" si="267"/>
        <v>0</v>
      </c>
      <c r="M1543">
        <f t="shared" si="268"/>
        <v>0</v>
      </c>
      <c r="N1543">
        <f t="shared" si="269"/>
        <v>0</v>
      </c>
      <c r="O1543">
        <f t="shared" si="270"/>
        <v>0</v>
      </c>
      <c r="P1543" t="str">
        <f t="shared" si="271"/>
        <v/>
      </c>
      <c r="Q1543" t="str">
        <f>IF(B1543="","", IFERROR(VLOOKUP(B1543, '基準資産配分（設定）'!$A$2:$C$2001, 3, FALSE), ""))</f>
        <v/>
      </c>
      <c r="R1543" t="str">
        <f>IF(B1543="","", IFERROR(VLOOKUP(B1543, '基準資産配分（設定）'!$A$2:$C$2001, 2, FALSE)/100, 0))</f>
        <v/>
      </c>
      <c r="S1543" t="str">
        <f>IF(B1543="","", IFERROR(SUMIFS(ベンチマークリターン!$C$2:$C$2001, ベンチマークリターン!$A$2:$A$2001, A1543, ベンチマークリターン!$B$2:$B$2001, Q1543) / 100, 0))</f>
        <v/>
      </c>
      <c r="T1543" t="str">
        <f>IF(A1543="","", SUMIFS($H$2:$H$2000, $A$2:$A$2000, A1543))</f>
        <v/>
      </c>
      <c r="U1543" t="str">
        <f t="shared" si="272"/>
        <v/>
      </c>
      <c r="V1543" t="str">
        <f t="shared" si="273"/>
        <v/>
      </c>
      <c r="W1543" t="str">
        <f t="shared" si="274"/>
        <v/>
      </c>
    </row>
    <row r="1544" spans="1:23" x14ac:dyDescent="0.2">
      <c r="A1544" s="4" t="str">
        <f>IF(ポートフォリオ実績!A1545="","", ポートフォリオ実績!A1545)</f>
        <v/>
      </c>
      <c r="B1544" t="str">
        <f>IF(ポートフォリオ実績!B1545="","", ポートフォリオ実績!B1545)</f>
        <v/>
      </c>
      <c r="C1544" s="10" t="str">
        <f>IF(ポートフォリオ実績!C1545="","", ポートフォリオ実績!C1545)</f>
        <v/>
      </c>
      <c r="D1544" s="10" t="str">
        <f>IF(ポートフォリオ実績!D1545="","", ポートフォリオ実績!D1545)</f>
        <v/>
      </c>
      <c r="E1544" s="10" t="str">
        <f>IF(ポートフォリオ実績!E1545="","", ポートフォリオ実績!E1545)</f>
        <v/>
      </c>
      <c r="F1544" s="10" t="str">
        <f>IF(ポートフォリオ実績!F1545="","", ポートフォリオ実績!F1545)</f>
        <v/>
      </c>
      <c r="G1544" t="str">
        <f t="shared" si="264"/>
        <v/>
      </c>
      <c r="H1544">
        <f>IF(B1544&lt;&gt;"", SUMIFS(ポートフォリオ実績!$D$2:$D$2001, ポートフォリオ実績!$B$2:$B$2001, B1544, ポートフォリオ実績!$A$2:$A$2001, G1544), 0)</f>
        <v>0</v>
      </c>
      <c r="I1544">
        <f>IF(B1544&lt;&gt;"", SUMIFS(ポートフォリオ実績!$C$2:$C$2001, ポートフォリオ実績!$B$2:$B$2001, B1544, ポートフォリオ実績!$A$2:$A$2001, G1544), 0)</f>
        <v>0</v>
      </c>
      <c r="J1544">
        <f t="shared" si="265"/>
        <v>0</v>
      </c>
      <c r="K1544">
        <f t="shared" si="266"/>
        <v>0</v>
      </c>
      <c r="L1544">
        <f t="shared" si="267"/>
        <v>0</v>
      </c>
      <c r="M1544">
        <f t="shared" si="268"/>
        <v>0</v>
      </c>
      <c r="N1544">
        <f t="shared" si="269"/>
        <v>0</v>
      </c>
      <c r="O1544">
        <f t="shared" si="270"/>
        <v>0</v>
      </c>
      <c r="P1544" t="str">
        <f t="shared" si="271"/>
        <v/>
      </c>
      <c r="Q1544" t="str">
        <f>IF(B1544="","", IFERROR(VLOOKUP(B1544, '基準資産配分（設定）'!$A$2:$C$2001, 3, FALSE), ""))</f>
        <v/>
      </c>
      <c r="R1544" t="str">
        <f>IF(B1544="","", IFERROR(VLOOKUP(B1544, '基準資産配分（設定）'!$A$2:$C$2001, 2, FALSE)/100, 0))</f>
        <v/>
      </c>
      <c r="S1544" t="str">
        <f>IF(B1544="","", IFERROR(SUMIFS(ベンチマークリターン!$C$2:$C$2001, ベンチマークリターン!$A$2:$A$2001, A1544, ベンチマークリターン!$B$2:$B$2001, Q1544) / 100, 0))</f>
        <v/>
      </c>
      <c r="T1544" t="str">
        <f>IF(A1544="","", SUMIFS($H$2:$H$2000, $A$2:$A$2000, A1544))</f>
        <v/>
      </c>
      <c r="U1544" t="str">
        <f t="shared" si="272"/>
        <v/>
      </c>
      <c r="V1544" t="str">
        <f t="shared" si="273"/>
        <v/>
      </c>
      <c r="W1544" t="str">
        <f t="shared" si="274"/>
        <v/>
      </c>
    </row>
    <row r="1545" spans="1:23" x14ac:dyDescent="0.2">
      <c r="A1545" s="4" t="str">
        <f>IF(ポートフォリオ実績!A1546="","", ポートフォリオ実績!A1546)</f>
        <v/>
      </c>
      <c r="B1545" t="str">
        <f>IF(ポートフォリオ実績!B1546="","", ポートフォリオ実績!B1546)</f>
        <v/>
      </c>
      <c r="C1545" s="10" t="str">
        <f>IF(ポートフォリオ実績!C1546="","", ポートフォリオ実績!C1546)</f>
        <v/>
      </c>
      <c r="D1545" s="10" t="str">
        <f>IF(ポートフォリオ実績!D1546="","", ポートフォリオ実績!D1546)</f>
        <v/>
      </c>
      <c r="E1545" s="10" t="str">
        <f>IF(ポートフォリオ実績!E1546="","", ポートフォリオ実績!E1546)</f>
        <v/>
      </c>
      <c r="F1545" s="10" t="str">
        <f>IF(ポートフォリオ実績!F1546="","", ポートフォリオ実績!F1546)</f>
        <v/>
      </c>
      <c r="G1545" t="str">
        <f t="shared" si="264"/>
        <v/>
      </c>
      <c r="H1545">
        <f>IF(B1545&lt;&gt;"", SUMIFS(ポートフォリオ実績!$D$2:$D$2001, ポートフォリオ実績!$B$2:$B$2001, B1545, ポートフォリオ実績!$A$2:$A$2001, G1545), 0)</f>
        <v>0</v>
      </c>
      <c r="I1545">
        <f>IF(B1545&lt;&gt;"", SUMIFS(ポートフォリオ実績!$C$2:$C$2001, ポートフォリオ実績!$B$2:$B$2001, B1545, ポートフォリオ実績!$A$2:$A$2001, G1545), 0)</f>
        <v>0</v>
      </c>
      <c r="J1545">
        <f t="shared" si="265"/>
        <v>0</v>
      </c>
      <c r="K1545">
        <f t="shared" si="266"/>
        <v>0</v>
      </c>
      <c r="L1545">
        <f t="shared" si="267"/>
        <v>0</v>
      </c>
      <c r="M1545">
        <f t="shared" si="268"/>
        <v>0</v>
      </c>
      <c r="N1545">
        <f t="shared" si="269"/>
        <v>0</v>
      </c>
      <c r="O1545">
        <f t="shared" si="270"/>
        <v>0</v>
      </c>
      <c r="P1545" t="str">
        <f t="shared" si="271"/>
        <v/>
      </c>
      <c r="Q1545" t="str">
        <f>IF(B1545="","", IFERROR(VLOOKUP(B1545, '基準資産配分（設定）'!$A$2:$C$2001, 3, FALSE), ""))</f>
        <v/>
      </c>
      <c r="R1545" t="str">
        <f>IF(B1545="","", IFERROR(VLOOKUP(B1545, '基準資産配分（設定）'!$A$2:$C$2001, 2, FALSE)/100, 0))</f>
        <v/>
      </c>
      <c r="S1545" t="str">
        <f>IF(B1545="","", IFERROR(SUMIFS(ベンチマークリターン!$C$2:$C$2001, ベンチマークリターン!$A$2:$A$2001, A1545, ベンチマークリターン!$B$2:$B$2001, Q1545) / 100, 0))</f>
        <v/>
      </c>
      <c r="T1545" t="str">
        <f>IF(A1545="","", SUMIFS($H$2:$H$2000, $A$2:$A$2000, A1545))</f>
        <v/>
      </c>
      <c r="U1545" t="str">
        <f t="shared" si="272"/>
        <v/>
      </c>
      <c r="V1545" t="str">
        <f t="shared" si="273"/>
        <v/>
      </c>
      <c r="W1545" t="str">
        <f t="shared" si="274"/>
        <v/>
      </c>
    </row>
    <row r="1546" spans="1:23" x14ac:dyDescent="0.2">
      <c r="A1546" s="4" t="str">
        <f>IF(ポートフォリオ実績!A1547="","", ポートフォリオ実績!A1547)</f>
        <v/>
      </c>
      <c r="B1546" t="str">
        <f>IF(ポートフォリオ実績!B1547="","", ポートフォリオ実績!B1547)</f>
        <v/>
      </c>
      <c r="C1546" s="10" t="str">
        <f>IF(ポートフォリオ実績!C1547="","", ポートフォリオ実績!C1547)</f>
        <v/>
      </c>
      <c r="D1546" s="10" t="str">
        <f>IF(ポートフォリオ実績!D1547="","", ポートフォリオ実績!D1547)</f>
        <v/>
      </c>
      <c r="E1546" s="10" t="str">
        <f>IF(ポートフォリオ実績!E1547="","", ポートフォリオ実績!E1547)</f>
        <v/>
      </c>
      <c r="F1546" s="10" t="str">
        <f>IF(ポートフォリオ実績!F1547="","", ポートフォリオ実績!F1547)</f>
        <v/>
      </c>
      <c r="G1546" t="str">
        <f t="shared" si="264"/>
        <v/>
      </c>
      <c r="H1546">
        <f>IF(B1546&lt;&gt;"", SUMIFS(ポートフォリオ実績!$D$2:$D$2001, ポートフォリオ実績!$B$2:$B$2001, B1546, ポートフォリオ実績!$A$2:$A$2001, G1546), 0)</f>
        <v>0</v>
      </c>
      <c r="I1546">
        <f>IF(B1546&lt;&gt;"", SUMIFS(ポートフォリオ実績!$C$2:$C$2001, ポートフォリオ実績!$B$2:$B$2001, B1546, ポートフォリオ実績!$A$2:$A$2001, G1546), 0)</f>
        <v>0</v>
      </c>
      <c r="J1546">
        <f t="shared" si="265"/>
        <v>0</v>
      </c>
      <c r="K1546">
        <f t="shared" si="266"/>
        <v>0</v>
      </c>
      <c r="L1546">
        <f t="shared" si="267"/>
        <v>0</v>
      </c>
      <c r="M1546">
        <f t="shared" si="268"/>
        <v>0</v>
      </c>
      <c r="N1546">
        <f t="shared" si="269"/>
        <v>0</v>
      </c>
      <c r="O1546">
        <f t="shared" si="270"/>
        <v>0</v>
      </c>
      <c r="P1546" t="str">
        <f t="shared" si="271"/>
        <v/>
      </c>
      <c r="Q1546" t="str">
        <f>IF(B1546="","", IFERROR(VLOOKUP(B1546, '基準資産配分（設定）'!$A$2:$C$2001, 3, FALSE), ""))</f>
        <v/>
      </c>
      <c r="R1546" t="str">
        <f>IF(B1546="","", IFERROR(VLOOKUP(B1546, '基準資産配分（設定）'!$A$2:$C$2001, 2, FALSE)/100, 0))</f>
        <v/>
      </c>
      <c r="S1546" t="str">
        <f>IF(B1546="","", IFERROR(SUMIFS(ベンチマークリターン!$C$2:$C$2001, ベンチマークリターン!$A$2:$A$2001, A1546, ベンチマークリターン!$B$2:$B$2001, Q1546) / 100, 0))</f>
        <v/>
      </c>
      <c r="T1546" t="str">
        <f>IF(A1546="","", SUMIFS($H$2:$H$2000, $A$2:$A$2000, A1546))</f>
        <v/>
      </c>
      <c r="U1546" t="str">
        <f t="shared" si="272"/>
        <v/>
      </c>
      <c r="V1546" t="str">
        <f t="shared" si="273"/>
        <v/>
      </c>
      <c r="W1546" t="str">
        <f t="shared" si="274"/>
        <v/>
      </c>
    </row>
    <row r="1547" spans="1:23" x14ac:dyDescent="0.2">
      <c r="A1547" s="4" t="str">
        <f>IF(ポートフォリオ実績!A1548="","", ポートフォリオ実績!A1548)</f>
        <v/>
      </c>
      <c r="B1547" t="str">
        <f>IF(ポートフォリオ実績!B1548="","", ポートフォリオ実績!B1548)</f>
        <v/>
      </c>
      <c r="C1547" s="10" t="str">
        <f>IF(ポートフォリオ実績!C1548="","", ポートフォリオ実績!C1548)</f>
        <v/>
      </c>
      <c r="D1547" s="10" t="str">
        <f>IF(ポートフォリオ実績!D1548="","", ポートフォリオ実績!D1548)</f>
        <v/>
      </c>
      <c r="E1547" s="10" t="str">
        <f>IF(ポートフォリオ実績!E1548="","", ポートフォリオ実績!E1548)</f>
        <v/>
      </c>
      <c r="F1547" s="10" t="str">
        <f>IF(ポートフォリオ実績!F1548="","", ポートフォリオ実績!F1548)</f>
        <v/>
      </c>
      <c r="G1547" t="str">
        <f t="shared" si="264"/>
        <v/>
      </c>
      <c r="H1547">
        <f>IF(B1547&lt;&gt;"", SUMIFS(ポートフォリオ実績!$D$2:$D$2001, ポートフォリオ実績!$B$2:$B$2001, B1547, ポートフォリオ実績!$A$2:$A$2001, G1547), 0)</f>
        <v>0</v>
      </c>
      <c r="I1547">
        <f>IF(B1547&lt;&gt;"", SUMIFS(ポートフォリオ実績!$C$2:$C$2001, ポートフォリオ実績!$B$2:$B$2001, B1547, ポートフォリオ実績!$A$2:$A$2001, G1547), 0)</f>
        <v>0</v>
      </c>
      <c r="J1547">
        <f t="shared" si="265"/>
        <v>0</v>
      </c>
      <c r="K1547">
        <f t="shared" si="266"/>
        <v>0</v>
      </c>
      <c r="L1547">
        <f t="shared" si="267"/>
        <v>0</v>
      </c>
      <c r="M1547">
        <f t="shared" si="268"/>
        <v>0</v>
      </c>
      <c r="N1547">
        <f t="shared" si="269"/>
        <v>0</v>
      </c>
      <c r="O1547">
        <f t="shared" si="270"/>
        <v>0</v>
      </c>
      <c r="P1547" t="str">
        <f t="shared" si="271"/>
        <v/>
      </c>
      <c r="Q1547" t="str">
        <f>IF(B1547="","", IFERROR(VLOOKUP(B1547, '基準資産配分（設定）'!$A$2:$C$2001, 3, FALSE), ""))</f>
        <v/>
      </c>
      <c r="R1547" t="str">
        <f>IF(B1547="","", IFERROR(VLOOKUP(B1547, '基準資産配分（設定）'!$A$2:$C$2001, 2, FALSE)/100, 0))</f>
        <v/>
      </c>
      <c r="S1547" t="str">
        <f>IF(B1547="","", IFERROR(SUMIFS(ベンチマークリターン!$C$2:$C$2001, ベンチマークリターン!$A$2:$A$2001, A1547, ベンチマークリターン!$B$2:$B$2001, Q1547) / 100, 0))</f>
        <v/>
      </c>
      <c r="T1547" t="str">
        <f>IF(A1547="","", SUMIFS($H$2:$H$2000, $A$2:$A$2000, A1547))</f>
        <v/>
      </c>
      <c r="U1547" t="str">
        <f t="shared" si="272"/>
        <v/>
      </c>
      <c r="V1547" t="str">
        <f t="shared" si="273"/>
        <v/>
      </c>
      <c r="W1547" t="str">
        <f t="shared" si="274"/>
        <v/>
      </c>
    </row>
    <row r="1548" spans="1:23" x14ac:dyDescent="0.2">
      <c r="A1548" s="4" t="str">
        <f>IF(ポートフォリオ実績!A1549="","", ポートフォリオ実績!A1549)</f>
        <v/>
      </c>
      <c r="B1548" t="str">
        <f>IF(ポートフォリオ実績!B1549="","", ポートフォリオ実績!B1549)</f>
        <v/>
      </c>
      <c r="C1548" s="10" t="str">
        <f>IF(ポートフォリオ実績!C1549="","", ポートフォリオ実績!C1549)</f>
        <v/>
      </c>
      <c r="D1548" s="10" t="str">
        <f>IF(ポートフォリオ実績!D1549="","", ポートフォリオ実績!D1549)</f>
        <v/>
      </c>
      <c r="E1548" s="10" t="str">
        <f>IF(ポートフォリオ実績!E1549="","", ポートフォリオ実績!E1549)</f>
        <v/>
      </c>
      <c r="F1548" s="10" t="str">
        <f>IF(ポートフォリオ実績!F1549="","", ポートフォリオ実績!F1549)</f>
        <v/>
      </c>
      <c r="G1548" t="str">
        <f t="shared" si="264"/>
        <v/>
      </c>
      <c r="H1548">
        <f>IF(B1548&lt;&gt;"", SUMIFS(ポートフォリオ実績!$D$2:$D$2001, ポートフォリオ実績!$B$2:$B$2001, B1548, ポートフォリオ実績!$A$2:$A$2001, G1548), 0)</f>
        <v>0</v>
      </c>
      <c r="I1548">
        <f>IF(B1548&lt;&gt;"", SUMIFS(ポートフォリオ実績!$C$2:$C$2001, ポートフォリオ実績!$B$2:$B$2001, B1548, ポートフォリオ実績!$A$2:$A$2001, G1548), 0)</f>
        <v>0</v>
      </c>
      <c r="J1548">
        <f t="shared" si="265"/>
        <v>0</v>
      </c>
      <c r="K1548">
        <f t="shared" si="266"/>
        <v>0</v>
      </c>
      <c r="L1548">
        <f t="shared" si="267"/>
        <v>0</v>
      </c>
      <c r="M1548">
        <f t="shared" si="268"/>
        <v>0</v>
      </c>
      <c r="N1548">
        <f t="shared" si="269"/>
        <v>0</v>
      </c>
      <c r="O1548">
        <f t="shared" si="270"/>
        <v>0</v>
      </c>
      <c r="P1548" t="str">
        <f t="shared" si="271"/>
        <v/>
      </c>
      <c r="Q1548" t="str">
        <f>IF(B1548="","", IFERROR(VLOOKUP(B1548, '基準資産配分（設定）'!$A$2:$C$2001, 3, FALSE), ""))</f>
        <v/>
      </c>
      <c r="R1548" t="str">
        <f>IF(B1548="","", IFERROR(VLOOKUP(B1548, '基準資産配分（設定）'!$A$2:$C$2001, 2, FALSE)/100, 0))</f>
        <v/>
      </c>
      <c r="S1548" t="str">
        <f>IF(B1548="","", IFERROR(SUMIFS(ベンチマークリターン!$C$2:$C$2001, ベンチマークリターン!$A$2:$A$2001, A1548, ベンチマークリターン!$B$2:$B$2001, Q1548) / 100, 0))</f>
        <v/>
      </c>
      <c r="T1548" t="str">
        <f>IF(A1548="","", SUMIFS($H$2:$H$2000, $A$2:$A$2000, A1548))</f>
        <v/>
      </c>
      <c r="U1548" t="str">
        <f t="shared" si="272"/>
        <v/>
      </c>
      <c r="V1548" t="str">
        <f t="shared" si="273"/>
        <v/>
      </c>
      <c r="W1548" t="str">
        <f t="shared" si="274"/>
        <v/>
      </c>
    </row>
    <row r="1549" spans="1:23" x14ac:dyDescent="0.2">
      <c r="A1549" s="4" t="str">
        <f>IF(ポートフォリオ実績!A1550="","", ポートフォリオ実績!A1550)</f>
        <v/>
      </c>
      <c r="B1549" t="str">
        <f>IF(ポートフォリオ実績!B1550="","", ポートフォリオ実績!B1550)</f>
        <v/>
      </c>
      <c r="C1549" s="10" t="str">
        <f>IF(ポートフォリオ実績!C1550="","", ポートフォリオ実績!C1550)</f>
        <v/>
      </c>
      <c r="D1549" s="10" t="str">
        <f>IF(ポートフォリオ実績!D1550="","", ポートフォリオ実績!D1550)</f>
        <v/>
      </c>
      <c r="E1549" s="10" t="str">
        <f>IF(ポートフォリオ実績!E1550="","", ポートフォリオ実績!E1550)</f>
        <v/>
      </c>
      <c r="F1549" s="10" t="str">
        <f>IF(ポートフォリオ実績!F1550="","", ポートフォリオ実績!F1550)</f>
        <v/>
      </c>
      <c r="G1549" t="str">
        <f t="shared" si="264"/>
        <v/>
      </c>
      <c r="H1549">
        <f>IF(B1549&lt;&gt;"", SUMIFS(ポートフォリオ実績!$D$2:$D$2001, ポートフォリオ実績!$B$2:$B$2001, B1549, ポートフォリオ実績!$A$2:$A$2001, G1549), 0)</f>
        <v>0</v>
      </c>
      <c r="I1549">
        <f>IF(B1549&lt;&gt;"", SUMIFS(ポートフォリオ実績!$C$2:$C$2001, ポートフォリオ実績!$B$2:$B$2001, B1549, ポートフォリオ実績!$A$2:$A$2001, G1549), 0)</f>
        <v>0</v>
      </c>
      <c r="J1549">
        <f t="shared" si="265"/>
        <v>0</v>
      </c>
      <c r="K1549">
        <f t="shared" si="266"/>
        <v>0</v>
      </c>
      <c r="L1549">
        <f t="shared" si="267"/>
        <v>0</v>
      </c>
      <c r="M1549">
        <f t="shared" si="268"/>
        <v>0</v>
      </c>
      <c r="N1549">
        <f t="shared" si="269"/>
        <v>0</v>
      </c>
      <c r="O1549">
        <f t="shared" si="270"/>
        <v>0</v>
      </c>
      <c r="P1549" t="str">
        <f t="shared" si="271"/>
        <v/>
      </c>
      <c r="Q1549" t="str">
        <f>IF(B1549="","", IFERROR(VLOOKUP(B1549, '基準資産配分（設定）'!$A$2:$C$2001, 3, FALSE), ""))</f>
        <v/>
      </c>
      <c r="R1549" t="str">
        <f>IF(B1549="","", IFERROR(VLOOKUP(B1549, '基準資産配分（設定）'!$A$2:$C$2001, 2, FALSE)/100, 0))</f>
        <v/>
      </c>
      <c r="S1549" t="str">
        <f>IF(B1549="","", IFERROR(SUMIFS(ベンチマークリターン!$C$2:$C$2001, ベンチマークリターン!$A$2:$A$2001, A1549, ベンチマークリターン!$B$2:$B$2001, Q1549) / 100, 0))</f>
        <v/>
      </c>
      <c r="T1549" t="str">
        <f>IF(A1549="","", SUMIFS($H$2:$H$2000, $A$2:$A$2000, A1549))</f>
        <v/>
      </c>
      <c r="U1549" t="str">
        <f t="shared" si="272"/>
        <v/>
      </c>
      <c r="V1549" t="str">
        <f t="shared" si="273"/>
        <v/>
      </c>
      <c r="W1549" t="str">
        <f t="shared" si="274"/>
        <v/>
      </c>
    </row>
    <row r="1550" spans="1:23" x14ac:dyDescent="0.2">
      <c r="A1550" s="4" t="str">
        <f>IF(ポートフォリオ実績!A1551="","", ポートフォリオ実績!A1551)</f>
        <v/>
      </c>
      <c r="B1550" t="str">
        <f>IF(ポートフォリオ実績!B1551="","", ポートフォリオ実績!B1551)</f>
        <v/>
      </c>
      <c r="C1550" s="10" t="str">
        <f>IF(ポートフォリオ実績!C1551="","", ポートフォリオ実績!C1551)</f>
        <v/>
      </c>
      <c r="D1550" s="10" t="str">
        <f>IF(ポートフォリオ実績!D1551="","", ポートフォリオ実績!D1551)</f>
        <v/>
      </c>
      <c r="E1550" s="10" t="str">
        <f>IF(ポートフォリオ実績!E1551="","", ポートフォリオ実績!E1551)</f>
        <v/>
      </c>
      <c r="F1550" s="10" t="str">
        <f>IF(ポートフォリオ実績!F1551="","", ポートフォリオ実績!F1551)</f>
        <v/>
      </c>
      <c r="G1550" t="str">
        <f t="shared" si="264"/>
        <v/>
      </c>
      <c r="H1550">
        <f>IF(B1550&lt;&gt;"", SUMIFS(ポートフォリオ実績!$D$2:$D$2001, ポートフォリオ実績!$B$2:$B$2001, B1550, ポートフォリオ実績!$A$2:$A$2001, G1550), 0)</f>
        <v>0</v>
      </c>
      <c r="I1550">
        <f>IF(B1550&lt;&gt;"", SUMIFS(ポートフォリオ実績!$C$2:$C$2001, ポートフォリオ実績!$B$2:$B$2001, B1550, ポートフォリオ実績!$A$2:$A$2001, G1550), 0)</f>
        <v>0</v>
      </c>
      <c r="J1550">
        <f t="shared" si="265"/>
        <v>0</v>
      </c>
      <c r="K1550">
        <f t="shared" si="266"/>
        <v>0</v>
      </c>
      <c r="L1550">
        <f t="shared" si="267"/>
        <v>0</v>
      </c>
      <c r="M1550">
        <f t="shared" si="268"/>
        <v>0</v>
      </c>
      <c r="N1550">
        <f t="shared" si="269"/>
        <v>0</v>
      </c>
      <c r="O1550">
        <f t="shared" si="270"/>
        <v>0</v>
      </c>
      <c r="P1550" t="str">
        <f t="shared" si="271"/>
        <v/>
      </c>
      <c r="Q1550" t="str">
        <f>IF(B1550="","", IFERROR(VLOOKUP(B1550, '基準資産配分（設定）'!$A$2:$C$2001, 3, FALSE), ""))</f>
        <v/>
      </c>
      <c r="R1550" t="str">
        <f>IF(B1550="","", IFERROR(VLOOKUP(B1550, '基準資産配分（設定）'!$A$2:$C$2001, 2, FALSE)/100, 0))</f>
        <v/>
      </c>
      <c r="S1550" t="str">
        <f>IF(B1550="","", IFERROR(SUMIFS(ベンチマークリターン!$C$2:$C$2001, ベンチマークリターン!$A$2:$A$2001, A1550, ベンチマークリターン!$B$2:$B$2001, Q1550) / 100, 0))</f>
        <v/>
      </c>
      <c r="T1550" t="str">
        <f>IF(A1550="","", SUMIFS($H$2:$H$2000, $A$2:$A$2000, A1550))</f>
        <v/>
      </c>
      <c r="U1550" t="str">
        <f t="shared" si="272"/>
        <v/>
      </c>
      <c r="V1550" t="str">
        <f t="shared" si="273"/>
        <v/>
      </c>
      <c r="W1550" t="str">
        <f t="shared" si="274"/>
        <v/>
      </c>
    </row>
    <row r="1551" spans="1:23" x14ac:dyDescent="0.2">
      <c r="A1551" s="4" t="str">
        <f>IF(ポートフォリオ実績!A1552="","", ポートフォリオ実績!A1552)</f>
        <v/>
      </c>
      <c r="B1551" t="str">
        <f>IF(ポートフォリオ実績!B1552="","", ポートフォリオ実績!B1552)</f>
        <v/>
      </c>
      <c r="C1551" s="10" t="str">
        <f>IF(ポートフォリオ実績!C1552="","", ポートフォリオ実績!C1552)</f>
        <v/>
      </c>
      <c r="D1551" s="10" t="str">
        <f>IF(ポートフォリオ実績!D1552="","", ポートフォリオ実績!D1552)</f>
        <v/>
      </c>
      <c r="E1551" s="10" t="str">
        <f>IF(ポートフォリオ実績!E1552="","", ポートフォリオ実績!E1552)</f>
        <v/>
      </c>
      <c r="F1551" s="10" t="str">
        <f>IF(ポートフォリオ実績!F1552="","", ポートフォリオ実績!F1552)</f>
        <v/>
      </c>
      <c r="G1551" t="str">
        <f t="shared" si="264"/>
        <v/>
      </c>
      <c r="H1551">
        <f>IF(B1551&lt;&gt;"", SUMIFS(ポートフォリオ実績!$D$2:$D$2001, ポートフォリオ実績!$B$2:$B$2001, B1551, ポートフォリオ実績!$A$2:$A$2001, G1551), 0)</f>
        <v>0</v>
      </c>
      <c r="I1551">
        <f>IF(B1551&lt;&gt;"", SUMIFS(ポートフォリオ実績!$C$2:$C$2001, ポートフォリオ実績!$B$2:$B$2001, B1551, ポートフォリオ実績!$A$2:$A$2001, G1551), 0)</f>
        <v>0</v>
      </c>
      <c r="J1551">
        <f t="shared" si="265"/>
        <v>0</v>
      </c>
      <c r="K1551">
        <f t="shared" si="266"/>
        <v>0</v>
      </c>
      <c r="L1551">
        <f t="shared" si="267"/>
        <v>0</v>
      </c>
      <c r="M1551">
        <f t="shared" si="268"/>
        <v>0</v>
      </c>
      <c r="N1551">
        <f t="shared" si="269"/>
        <v>0</v>
      </c>
      <c r="O1551">
        <f t="shared" si="270"/>
        <v>0</v>
      </c>
      <c r="P1551" t="str">
        <f t="shared" si="271"/>
        <v/>
      </c>
      <c r="Q1551" t="str">
        <f>IF(B1551="","", IFERROR(VLOOKUP(B1551, '基準資産配分（設定）'!$A$2:$C$2001, 3, FALSE), ""))</f>
        <v/>
      </c>
      <c r="R1551" t="str">
        <f>IF(B1551="","", IFERROR(VLOOKUP(B1551, '基準資産配分（設定）'!$A$2:$C$2001, 2, FALSE)/100, 0))</f>
        <v/>
      </c>
      <c r="S1551" t="str">
        <f>IF(B1551="","", IFERROR(SUMIFS(ベンチマークリターン!$C$2:$C$2001, ベンチマークリターン!$A$2:$A$2001, A1551, ベンチマークリターン!$B$2:$B$2001, Q1551) / 100, 0))</f>
        <v/>
      </c>
      <c r="T1551" t="str">
        <f>IF(A1551="","", SUMIFS($H$2:$H$2000, $A$2:$A$2000, A1551))</f>
        <v/>
      </c>
      <c r="U1551" t="str">
        <f t="shared" si="272"/>
        <v/>
      </c>
      <c r="V1551" t="str">
        <f t="shared" si="273"/>
        <v/>
      </c>
      <c r="W1551" t="str">
        <f t="shared" si="274"/>
        <v/>
      </c>
    </row>
    <row r="1552" spans="1:23" x14ac:dyDescent="0.2">
      <c r="A1552" s="4" t="str">
        <f>IF(ポートフォリオ実績!A1553="","", ポートフォリオ実績!A1553)</f>
        <v/>
      </c>
      <c r="B1552" t="str">
        <f>IF(ポートフォリオ実績!B1553="","", ポートフォリオ実績!B1553)</f>
        <v/>
      </c>
      <c r="C1552" s="10" t="str">
        <f>IF(ポートフォリオ実績!C1553="","", ポートフォリオ実績!C1553)</f>
        <v/>
      </c>
      <c r="D1552" s="10" t="str">
        <f>IF(ポートフォリオ実績!D1553="","", ポートフォリオ実績!D1553)</f>
        <v/>
      </c>
      <c r="E1552" s="10" t="str">
        <f>IF(ポートフォリオ実績!E1553="","", ポートフォリオ実績!E1553)</f>
        <v/>
      </c>
      <c r="F1552" s="10" t="str">
        <f>IF(ポートフォリオ実績!F1553="","", ポートフォリオ実績!F1553)</f>
        <v/>
      </c>
      <c r="G1552" t="str">
        <f t="shared" si="264"/>
        <v/>
      </c>
      <c r="H1552">
        <f>IF(B1552&lt;&gt;"", SUMIFS(ポートフォリオ実績!$D$2:$D$2001, ポートフォリオ実績!$B$2:$B$2001, B1552, ポートフォリオ実績!$A$2:$A$2001, G1552), 0)</f>
        <v>0</v>
      </c>
      <c r="I1552">
        <f>IF(B1552&lt;&gt;"", SUMIFS(ポートフォリオ実績!$C$2:$C$2001, ポートフォリオ実績!$B$2:$B$2001, B1552, ポートフォリオ実績!$A$2:$A$2001, G1552), 0)</f>
        <v>0</v>
      </c>
      <c r="J1552">
        <f t="shared" si="265"/>
        <v>0</v>
      </c>
      <c r="K1552">
        <f t="shared" si="266"/>
        <v>0</v>
      </c>
      <c r="L1552">
        <f t="shared" si="267"/>
        <v>0</v>
      </c>
      <c r="M1552">
        <f t="shared" si="268"/>
        <v>0</v>
      </c>
      <c r="N1552">
        <f t="shared" si="269"/>
        <v>0</v>
      </c>
      <c r="O1552">
        <f t="shared" si="270"/>
        <v>0</v>
      </c>
      <c r="P1552" t="str">
        <f t="shared" si="271"/>
        <v/>
      </c>
      <c r="Q1552" t="str">
        <f>IF(B1552="","", IFERROR(VLOOKUP(B1552, '基準資産配分（設定）'!$A$2:$C$2001, 3, FALSE), ""))</f>
        <v/>
      </c>
      <c r="R1552" t="str">
        <f>IF(B1552="","", IFERROR(VLOOKUP(B1552, '基準資産配分（設定）'!$A$2:$C$2001, 2, FALSE)/100, 0))</f>
        <v/>
      </c>
      <c r="S1552" t="str">
        <f>IF(B1552="","", IFERROR(SUMIFS(ベンチマークリターン!$C$2:$C$2001, ベンチマークリターン!$A$2:$A$2001, A1552, ベンチマークリターン!$B$2:$B$2001, Q1552) / 100, 0))</f>
        <v/>
      </c>
      <c r="T1552" t="str">
        <f>IF(A1552="","", SUMIFS($H$2:$H$2000, $A$2:$A$2000, A1552))</f>
        <v/>
      </c>
      <c r="U1552" t="str">
        <f t="shared" si="272"/>
        <v/>
      </c>
      <c r="V1552" t="str">
        <f t="shared" si="273"/>
        <v/>
      </c>
      <c r="W1552" t="str">
        <f t="shared" si="274"/>
        <v/>
      </c>
    </row>
    <row r="1553" spans="1:23" x14ac:dyDescent="0.2">
      <c r="A1553" s="4" t="str">
        <f>IF(ポートフォリオ実績!A1554="","", ポートフォリオ実績!A1554)</f>
        <v/>
      </c>
      <c r="B1553" t="str">
        <f>IF(ポートフォリオ実績!B1554="","", ポートフォリオ実績!B1554)</f>
        <v/>
      </c>
      <c r="C1553" s="10" t="str">
        <f>IF(ポートフォリオ実績!C1554="","", ポートフォリオ実績!C1554)</f>
        <v/>
      </c>
      <c r="D1553" s="10" t="str">
        <f>IF(ポートフォリオ実績!D1554="","", ポートフォリオ実績!D1554)</f>
        <v/>
      </c>
      <c r="E1553" s="10" t="str">
        <f>IF(ポートフォリオ実績!E1554="","", ポートフォリオ実績!E1554)</f>
        <v/>
      </c>
      <c r="F1553" s="10" t="str">
        <f>IF(ポートフォリオ実績!F1554="","", ポートフォリオ実績!F1554)</f>
        <v/>
      </c>
      <c r="G1553" t="str">
        <f t="shared" si="264"/>
        <v/>
      </c>
      <c r="H1553">
        <f>IF(B1553&lt;&gt;"", SUMIFS(ポートフォリオ実績!$D$2:$D$2001, ポートフォリオ実績!$B$2:$B$2001, B1553, ポートフォリオ実績!$A$2:$A$2001, G1553), 0)</f>
        <v>0</v>
      </c>
      <c r="I1553">
        <f>IF(B1553&lt;&gt;"", SUMIFS(ポートフォリオ実績!$C$2:$C$2001, ポートフォリオ実績!$B$2:$B$2001, B1553, ポートフォリオ実績!$A$2:$A$2001, G1553), 0)</f>
        <v>0</v>
      </c>
      <c r="J1553">
        <f t="shared" si="265"/>
        <v>0</v>
      </c>
      <c r="K1553">
        <f t="shared" si="266"/>
        <v>0</v>
      </c>
      <c r="L1553">
        <f t="shared" si="267"/>
        <v>0</v>
      </c>
      <c r="M1553">
        <f t="shared" si="268"/>
        <v>0</v>
      </c>
      <c r="N1553">
        <f t="shared" si="269"/>
        <v>0</v>
      </c>
      <c r="O1553">
        <f t="shared" si="270"/>
        <v>0</v>
      </c>
      <c r="P1553" t="str">
        <f t="shared" si="271"/>
        <v/>
      </c>
      <c r="Q1553" t="str">
        <f>IF(B1553="","", IFERROR(VLOOKUP(B1553, '基準資産配分（設定）'!$A$2:$C$2001, 3, FALSE), ""))</f>
        <v/>
      </c>
      <c r="R1553" t="str">
        <f>IF(B1553="","", IFERROR(VLOOKUP(B1553, '基準資産配分（設定）'!$A$2:$C$2001, 2, FALSE)/100, 0))</f>
        <v/>
      </c>
      <c r="S1553" t="str">
        <f>IF(B1553="","", IFERROR(SUMIFS(ベンチマークリターン!$C$2:$C$2001, ベンチマークリターン!$A$2:$A$2001, A1553, ベンチマークリターン!$B$2:$B$2001, Q1553) / 100, 0))</f>
        <v/>
      </c>
      <c r="T1553" t="str">
        <f>IF(A1553="","", SUMIFS($H$2:$H$2000, $A$2:$A$2000, A1553))</f>
        <v/>
      </c>
      <c r="U1553" t="str">
        <f t="shared" si="272"/>
        <v/>
      </c>
      <c r="V1553" t="str">
        <f t="shared" si="273"/>
        <v/>
      </c>
      <c r="W1553" t="str">
        <f t="shared" si="274"/>
        <v/>
      </c>
    </row>
    <row r="1554" spans="1:23" x14ac:dyDescent="0.2">
      <c r="A1554" s="4" t="str">
        <f>IF(ポートフォリオ実績!A1555="","", ポートフォリオ実績!A1555)</f>
        <v/>
      </c>
      <c r="B1554" t="str">
        <f>IF(ポートフォリオ実績!B1555="","", ポートフォリオ実績!B1555)</f>
        <v/>
      </c>
      <c r="C1554" s="10" t="str">
        <f>IF(ポートフォリオ実績!C1555="","", ポートフォリオ実績!C1555)</f>
        <v/>
      </c>
      <c r="D1554" s="10" t="str">
        <f>IF(ポートフォリオ実績!D1555="","", ポートフォリオ実績!D1555)</f>
        <v/>
      </c>
      <c r="E1554" s="10" t="str">
        <f>IF(ポートフォリオ実績!E1555="","", ポートフォリオ実績!E1555)</f>
        <v/>
      </c>
      <c r="F1554" s="10" t="str">
        <f>IF(ポートフォリオ実績!F1555="","", ポートフォリオ実績!F1555)</f>
        <v/>
      </c>
      <c r="G1554" t="str">
        <f t="shared" si="264"/>
        <v/>
      </c>
      <c r="H1554">
        <f>IF(B1554&lt;&gt;"", SUMIFS(ポートフォリオ実績!$D$2:$D$2001, ポートフォリオ実績!$B$2:$B$2001, B1554, ポートフォリオ実績!$A$2:$A$2001, G1554), 0)</f>
        <v>0</v>
      </c>
      <c r="I1554">
        <f>IF(B1554&lt;&gt;"", SUMIFS(ポートフォリオ実績!$C$2:$C$2001, ポートフォリオ実績!$B$2:$B$2001, B1554, ポートフォリオ実績!$A$2:$A$2001, G1554), 0)</f>
        <v>0</v>
      </c>
      <c r="J1554">
        <f t="shared" si="265"/>
        <v>0</v>
      </c>
      <c r="K1554">
        <f t="shared" si="266"/>
        <v>0</v>
      </c>
      <c r="L1554">
        <f t="shared" si="267"/>
        <v>0</v>
      </c>
      <c r="M1554">
        <f t="shared" si="268"/>
        <v>0</v>
      </c>
      <c r="N1554">
        <f t="shared" si="269"/>
        <v>0</v>
      </c>
      <c r="O1554">
        <f t="shared" si="270"/>
        <v>0</v>
      </c>
      <c r="P1554" t="str">
        <f t="shared" si="271"/>
        <v/>
      </c>
      <c r="Q1554" t="str">
        <f>IF(B1554="","", IFERROR(VLOOKUP(B1554, '基準資産配分（設定）'!$A$2:$C$2001, 3, FALSE), ""))</f>
        <v/>
      </c>
      <c r="R1554" t="str">
        <f>IF(B1554="","", IFERROR(VLOOKUP(B1554, '基準資産配分（設定）'!$A$2:$C$2001, 2, FALSE)/100, 0))</f>
        <v/>
      </c>
      <c r="S1554" t="str">
        <f>IF(B1554="","", IFERROR(SUMIFS(ベンチマークリターン!$C$2:$C$2001, ベンチマークリターン!$A$2:$A$2001, A1554, ベンチマークリターン!$B$2:$B$2001, Q1554) / 100, 0))</f>
        <v/>
      </c>
      <c r="T1554" t="str">
        <f>IF(A1554="","", SUMIFS($H$2:$H$2000, $A$2:$A$2000, A1554))</f>
        <v/>
      </c>
      <c r="U1554" t="str">
        <f t="shared" si="272"/>
        <v/>
      </c>
      <c r="V1554" t="str">
        <f t="shared" si="273"/>
        <v/>
      </c>
      <c r="W1554" t="str">
        <f t="shared" si="274"/>
        <v/>
      </c>
    </row>
    <row r="1555" spans="1:23" x14ac:dyDescent="0.2">
      <c r="A1555" s="4" t="str">
        <f>IF(ポートフォリオ実績!A1556="","", ポートフォリオ実績!A1556)</f>
        <v/>
      </c>
      <c r="B1555" t="str">
        <f>IF(ポートフォリオ実績!B1556="","", ポートフォリオ実績!B1556)</f>
        <v/>
      </c>
      <c r="C1555" s="10" t="str">
        <f>IF(ポートフォリオ実績!C1556="","", ポートフォリオ実績!C1556)</f>
        <v/>
      </c>
      <c r="D1555" s="10" t="str">
        <f>IF(ポートフォリオ実績!D1556="","", ポートフォリオ実績!D1556)</f>
        <v/>
      </c>
      <c r="E1555" s="10" t="str">
        <f>IF(ポートフォリオ実績!E1556="","", ポートフォリオ実績!E1556)</f>
        <v/>
      </c>
      <c r="F1555" s="10" t="str">
        <f>IF(ポートフォリオ実績!F1556="","", ポートフォリオ実績!F1556)</f>
        <v/>
      </c>
      <c r="G1555" t="str">
        <f t="shared" si="264"/>
        <v/>
      </c>
      <c r="H1555">
        <f>IF(B1555&lt;&gt;"", SUMIFS(ポートフォリオ実績!$D$2:$D$2001, ポートフォリオ実績!$B$2:$B$2001, B1555, ポートフォリオ実績!$A$2:$A$2001, G1555), 0)</f>
        <v>0</v>
      </c>
      <c r="I1555">
        <f>IF(B1555&lt;&gt;"", SUMIFS(ポートフォリオ実績!$C$2:$C$2001, ポートフォリオ実績!$B$2:$B$2001, B1555, ポートフォリオ実績!$A$2:$A$2001, G1555), 0)</f>
        <v>0</v>
      </c>
      <c r="J1555">
        <f t="shared" si="265"/>
        <v>0</v>
      </c>
      <c r="K1555">
        <f t="shared" si="266"/>
        <v>0</v>
      </c>
      <c r="L1555">
        <f t="shared" si="267"/>
        <v>0</v>
      </c>
      <c r="M1555">
        <f t="shared" si="268"/>
        <v>0</v>
      </c>
      <c r="N1555">
        <f t="shared" si="269"/>
        <v>0</v>
      </c>
      <c r="O1555">
        <f t="shared" si="270"/>
        <v>0</v>
      </c>
      <c r="P1555" t="str">
        <f t="shared" si="271"/>
        <v/>
      </c>
      <c r="Q1555" t="str">
        <f>IF(B1555="","", IFERROR(VLOOKUP(B1555, '基準資産配分（設定）'!$A$2:$C$2001, 3, FALSE), ""))</f>
        <v/>
      </c>
      <c r="R1555" t="str">
        <f>IF(B1555="","", IFERROR(VLOOKUP(B1555, '基準資産配分（設定）'!$A$2:$C$2001, 2, FALSE)/100, 0))</f>
        <v/>
      </c>
      <c r="S1555" t="str">
        <f>IF(B1555="","", IFERROR(SUMIFS(ベンチマークリターン!$C$2:$C$2001, ベンチマークリターン!$A$2:$A$2001, A1555, ベンチマークリターン!$B$2:$B$2001, Q1555) / 100, 0))</f>
        <v/>
      </c>
      <c r="T1555" t="str">
        <f>IF(A1555="","", SUMIFS($H$2:$H$2000, $A$2:$A$2000, A1555))</f>
        <v/>
      </c>
      <c r="U1555" t="str">
        <f t="shared" si="272"/>
        <v/>
      </c>
      <c r="V1555" t="str">
        <f t="shared" si="273"/>
        <v/>
      </c>
      <c r="W1555" t="str">
        <f t="shared" si="274"/>
        <v/>
      </c>
    </row>
    <row r="1556" spans="1:23" x14ac:dyDescent="0.2">
      <c r="A1556" s="4" t="str">
        <f>IF(ポートフォリオ実績!A1557="","", ポートフォリオ実績!A1557)</f>
        <v/>
      </c>
      <c r="B1556" t="str">
        <f>IF(ポートフォリオ実績!B1557="","", ポートフォリオ実績!B1557)</f>
        <v/>
      </c>
      <c r="C1556" s="10" t="str">
        <f>IF(ポートフォリオ実績!C1557="","", ポートフォリオ実績!C1557)</f>
        <v/>
      </c>
      <c r="D1556" s="10" t="str">
        <f>IF(ポートフォリオ実績!D1557="","", ポートフォリオ実績!D1557)</f>
        <v/>
      </c>
      <c r="E1556" s="10" t="str">
        <f>IF(ポートフォリオ実績!E1557="","", ポートフォリオ実績!E1557)</f>
        <v/>
      </c>
      <c r="F1556" s="10" t="str">
        <f>IF(ポートフォリオ実績!F1557="","", ポートフォリオ実績!F1557)</f>
        <v/>
      </c>
      <c r="G1556" t="str">
        <f t="shared" si="264"/>
        <v/>
      </c>
      <c r="H1556">
        <f>IF(B1556&lt;&gt;"", SUMIFS(ポートフォリオ実績!$D$2:$D$2001, ポートフォリオ実績!$B$2:$B$2001, B1556, ポートフォリオ実績!$A$2:$A$2001, G1556), 0)</f>
        <v>0</v>
      </c>
      <c r="I1556">
        <f>IF(B1556&lt;&gt;"", SUMIFS(ポートフォリオ実績!$C$2:$C$2001, ポートフォリオ実績!$B$2:$B$2001, B1556, ポートフォリオ実績!$A$2:$A$2001, G1556), 0)</f>
        <v>0</v>
      </c>
      <c r="J1556">
        <f t="shared" si="265"/>
        <v>0</v>
      </c>
      <c r="K1556">
        <f t="shared" si="266"/>
        <v>0</v>
      </c>
      <c r="L1556">
        <f t="shared" si="267"/>
        <v>0</v>
      </c>
      <c r="M1556">
        <f t="shared" si="268"/>
        <v>0</v>
      </c>
      <c r="N1556">
        <f t="shared" si="269"/>
        <v>0</v>
      </c>
      <c r="O1556">
        <f t="shared" si="270"/>
        <v>0</v>
      </c>
      <c r="P1556" t="str">
        <f t="shared" si="271"/>
        <v/>
      </c>
      <c r="Q1556" t="str">
        <f>IF(B1556="","", IFERROR(VLOOKUP(B1556, '基準資産配分（設定）'!$A$2:$C$2001, 3, FALSE), ""))</f>
        <v/>
      </c>
      <c r="R1556" t="str">
        <f>IF(B1556="","", IFERROR(VLOOKUP(B1556, '基準資産配分（設定）'!$A$2:$C$2001, 2, FALSE)/100, 0))</f>
        <v/>
      </c>
      <c r="S1556" t="str">
        <f>IF(B1556="","", IFERROR(SUMIFS(ベンチマークリターン!$C$2:$C$2001, ベンチマークリターン!$A$2:$A$2001, A1556, ベンチマークリターン!$B$2:$B$2001, Q1556) / 100, 0))</f>
        <v/>
      </c>
      <c r="T1556" t="str">
        <f>IF(A1556="","", SUMIFS($H$2:$H$2000, $A$2:$A$2000, A1556))</f>
        <v/>
      </c>
      <c r="U1556" t="str">
        <f t="shared" si="272"/>
        <v/>
      </c>
      <c r="V1556" t="str">
        <f t="shared" si="273"/>
        <v/>
      </c>
      <c r="W1556" t="str">
        <f t="shared" si="274"/>
        <v/>
      </c>
    </row>
    <row r="1557" spans="1:23" x14ac:dyDescent="0.2">
      <c r="A1557" s="4" t="str">
        <f>IF(ポートフォリオ実績!A1558="","", ポートフォリオ実績!A1558)</f>
        <v/>
      </c>
      <c r="B1557" t="str">
        <f>IF(ポートフォリオ実績!B1558="","", ポートフォリオ実績!B1558)</f>
        <v/>
      </c>
      <c r="C1557" s="10" t="str">
        <f>IF(ポートフォリオ実績!C1558="","", ポートフォリオ実績!C1558)</f>
        <v/>
      </c>
      <c r="D1557" s="10" t="str">
        <f>IF(ポートフォリオ実績!D1558="","", ポートフォリオ実績!D1558)</f>
        <v/>
      </c>
      <c r="E1557" s="10" t="str">
        <f>IF(ポートフォリオ実績!E1558="","", ポートフォリオ実績!E1558)</f>
        <v/>
      </c>
      <c r="F1557" s="10" t="str">
        <f>IF(ポートフォリオ実績!F1558="","", ポートフォリオ実績!F1558)</f>
        <v/>
      </c>
      <c r="G1557" t="str">
        <f t="shared" si="264"/>
        <v/>
      </c>
      <c r="H1557">
        <f>IF(B1557&lt;&gt;"", SUMIFS(ポートフォリオ実績!$D$2:$D$2001, ポートフォリオ実績!$B$2:$B$2001, B1557, ポートフォリオ実績!$A$2:$A$2001, G1557), 0)</f>
        <v>0</v>
      </c>
      <c r="I1557">
        <f>IF(B1557&lt;&gt;"", SUMIFS(ポートフォリオ実績!$C$2:$C$2001, ポートフォリオ実績!$B$2:$B$2001, B1557, ポートフォリオ実績!$A$2:$A$2001, G1557), 0)</f>
        <v>0</v>
      </c>
      <c r="J1557">
        <f t="shared" si="265"/>
        <v>0</v>
      </c>
      <c r="K1557">
        <f t="shared" si="266"/>
        <v>0</v>
      </c>
      <c r="L1557">
        <f t="shared" si="267"/>
        <v>0</v>
      </c>
      <c r="M1557">
        <f t="shared" si="268"/>
        <v>0</v>
      </c>
      <c r="N1557">
        <f t="shared" si="269"/>
        <v>0</v>
      </c>
      <c r="O1557">
        <f t="shared" si="270"/>
        <v>0</v>
      </c>
      <c r="P1557" t="str">
        <f t="shared" si="271"/>
        <v/>
      </c>
      <c r="Q1557" t="str">
        <f>IF(B1557="","", IFERROR(VLOOKUP(B1557, '基準資産配分（設定）'!$A$2:$C$2001, 3, FALSE), ""))</f>
        <v/>
      </c>
      <c r="R1557" t="str">
        <f>IF(B1557="","", IFERROR(VLOOKUP(B1557, '基準資産配分（設定）'!$A$2:$C$2001, 2, FALSE)/100, 0))</f>
        <v/>
      </c>
      <c r="S1557" t="str">
        <f>IF(B1557="","", IFERROR(SUMIFS(ベンチマークリターン!$C$2:$C$2001, ベンチマークリターン!$A$2:$A$2001, A1557, ベンチマークリターン!$B$2:$B$2001, Q1557) / 100, 0))</f>
        <v/>
      </c>
      <c r="T1557" t="str">
        <f>IF(A1557="","", SUMIFS($H$2:$H$2000, $A$2:$A$2000, A1557))</f>
        <v/>
      </c>
      <c r="U1557" t="str">
        <f t="shared" si="272"/>
        <v/>
      </c>
      <c r="V1557" t="str">
        <f t="shared" si="273"/>
        <v/>
      </c>
      <c r="W1557" t="str">
        <f t="shared" si="274"/>
        <v/>
      </c>
    </row>
    <row r="1558" spans="1:23" x14ac:dyDescent="0.2">
      <c r="A1558" s="4" t="str">
        <f>IF(ポートフォリオ実績!A1559="","", ポートフォリオ実績!A1559)</f>
        <v/>
      </c>
      <c r="B1558" t="str">
        <f>IF(ポートフォリオ実績!B1559="","", ポートフォリオ実績!B1559)</f>
        <v/>
      </c>
      <c r="C1558" s="10" t="str">
        <f>IF(ポートフォリオ実績!C1559="","", ポートフォリオ実績!C1559)</f>
        <v/>
      </c>
      <c r="D1558" s="10" t="str">
        <f>IF(ポートフォリオ実績!D1559="","", ポートフォリオ実績!D1559)</f>
        <v/>
      </c>
      <c r="E1558" s="10" t="str">
        <f>IF(ポートフォリオ実績!E1559="","", ポートフォリオ実績!E1559)</f>
        <v/>
      </c>
      <c r="F1558" s="10" t="str">
        <f>IF(ポートフォリオ実績!F1559="","", ポートフォリオ実績!F1559)</f>
        <v/>
      </c>
      <c r="G1558" t="str">
        <f t="shared" si="264"/>
        <v/>
      </c>
      <c r="H1558">
        <f>IF(B1558&lt;&gt;"", SUMIFS(ポートフォリオ実績!$D$2:$D$2001, ポートフォリオ実績!$B$2:$B$2001, B1558, ポートフォリオ実績!$A$2:$A$2001, G1558), 0)</f>
        <v>0</v>
      </c>
      <c r="I1558">
        <f>IF(B1558&lt;&gt;"", SUMIFS(ポートフォリオ実績!$C$2:$C$2001, ポートフォリオ実績!$B$2:$B$2001, B1558, ポートフォリオ実績!$A$2:$A$2001, G1558), 0)</f>
        <v>0</v>
      </c>
      <c r="J1558">
        <f t="shared" si="265"/>
        <v>0</v>
      </c>
      <c r="K1558">
        <f t="shared" si="266"/>
        <v>0</v>
      </c>
      <c r="L1558">
        <f t="shared" si="267"/>
        <v>0</v>
      </c>
      <c r="M1558">
        <f t="shared" si="268"/>
        <v>0</v>
      </c>
      <c r="N1558">
        <f t="shared" si="269"/>
        <v>0</v>
      </c>
      <c r="O1558">
        <f t="shared" si="270"/>
        <v>0</v>
      </c>
      <c r="P1558" t="str">
        <f t="shared" si="271"/>
        <v/>
      </c>
      <c r="Q1558" t="str">
        <f>IF(B1558="","", IFERROR(VLOOKUP(B1558, '基準資産配分（設定）'!$A$2:$C$2001, 3, FALSE), ""))</f>
        <v/>
      </c>
      <c r="R1558" t="str">
        <f>IF(B1558="","", IFERROR(VLOOKUP(B1558, '基準資産配分（設定）'!$A$2:$C$2001, 2, FALSE)/100, 0))</f>
        <v/>
      </c>
      <c r="S1558" t="str">
        <f>IF(B1558="","", IFERROR(SUMIFS(ベンチマークリターン!$C$2:$C$2001, ベンチマークリターン!$A$2:$A$2001, A1558, ベンチマークリターン!$B$2:$B$2001, Q1558) / 100, 0))</f>
        <v/>
      </c>
      <c r="T1558" t="str">
        <f>IF(A1558="","", SUMIFS($H$2:$H$2000, $A$2:$A$2000, A1558))</f>
        <v/>
      </c>
      <c r="U1558" t="str">
        <f t="shared" si="272"/>
        <v/>
      </c>
      <c r="V1558" t="str">
        <f t="shared" si="273"/>
        <v/>
      </c>
      <c r="W1558" t="str">
        <f t="shared" si="274"/>
        <v/>
      </c>
    </row>
    <row r="1559" spans="1:23" x14ac:dyDescent="0.2">
      <c r="A1559" s="4" t="str">
        <f>IF(ポートフォリオ実績!A1560="","", ポートフォリオ実績!A1560)</f>
        <v/>
      </c>
      <c r="B1559" t="str">
        <f>IF(ポートフォリオ実績!B1560="","", ポートフォリオ実績!B1560)</f>
        <v/>
      </c>
      <c r="C1559" s="10" t="str">
        <f>IF(ポートフォリオ実績!C1560="","", ポートフォリオ実績!C1560)</f>
        <v/>
      </c>
      <c r="D1559" s="10" t="str">
        <f>IF(ポートフォリオ実績!D1560="","", ポートフォリオ実績!D1560)</f>
        <v/>
      </c>
      <c r="E1559" s="10" t="str">
        <f>IF(ポートフォリオ実績!E1560="","", ポートフォリオ実績!E1560)</f>
        <v/>
      </c>
      <c r="F1559" s="10" t="str">
        <f>IF(ポートフォリオ実績!F1560="","", ポートフォリオ実績!F1560)</f>
        <v/>
      </c>
      <c r="G1559" t="str">
        <f t="shared" si="264"/>
        <v/>
      </c>
      <c r="H1559">
        <f>IF(B1559&lt;&gt;"", SUMIFS(ポートフォリオ実績!$D$2:$D$2001, ポートフォリオ実績!$B$2:$B$2001, B1559, ポートフォリオ実績!$A$2:$A$2001, G1559), 0)</f>
        <v>0</v>
      </c>
      <c r="I1559">
        <f>IF(B1559&lt;&gt;"", SUMIFS(ポートフォリオ実績!$C$2:$C$2001, ポートフォリオ実績!$B$2:$B$2001, B1559, ポートフォリオ実績!$A$2:$A$2001, G1559), 0)</f>
        <v>0</v>
      </c>
      <c r="J1559">
        <f t="shared" si="265"/>
        <v>0</v>
      </c>
      <c r="K1559">
        <f t="shared" si="266"/>
        <v>0</v>
      </c>
      <c r="L1559">
        <f t="shared" si="267"/>
        <v>0</v>
      </c>
      <c r="M1559">
        <f t="shared" si="268"/>
        <v>0</v>
      </c>
      <c r="N1559">
        <f t="shared" si="269"/>
        <v>0</v>
      </c>
      <c r="O1559">
        <f t="shared" si="270"/>
        <v>0</v>
      </c>
      <c r="P1559" t="str">
        <f t="shared" si="271"/>
        <v/>
      </c>
      <c r="Q1559" t="str">
        <f>IF(B1559="","", IFERROR(VLOOKUP(B1559, '基準資産配分（設定）'!$A$2:$C$2001, 3, FALSE), ""))</f>
        <v/>
      </c>
      <c r="R1559" t="str">
        <f>IF(B1559="","", IFERROR(VLOOKUP(B1559, '基準資産配分（設定）'!$A$2:$C$2001, 2, FALSE)/100, 0))</f>
        <v/>
      </c>
      <c r="S1559" t="str">
        <f>IF(B1559="","", IFERROR(SUMIFS(ベンチマークリターン!$C$2:$C$2001, ベンチマークリターン!$A$2:$A$2001, A1559, ベンチマークリターン!$B$2:$B$2001, Q1559) / 100, 0))</f>
        <v/>
      </c>
      <c r="T1559" t="str">
        <f>IF(A1559="","", SUMIFS($H$2:$H$2000, $A$2:$A$2000, A1559))</f>
        <v/>
      </c>
      <c r="U1559" t="str">
        <f t="shared" si="272"/>
        <v/>
      </c>
      <c r="V1559" t="str">
        <f t="shared" si="273"/>
        <v/>
      </c>
      <c r="W1559" t="str">
        <f t="shared" si="274"/>
        <v/>
      </c>
    </row>
    <row r="1560" spans="1:23" x14ac:dyDescent="0.2">
      <c r="A1560" s="4" t="str">
        <f>IF(ポートフォリオ実績!A1561="","", ポートフォリオ実績!A1561)</f>
        <v/>
      </c>
      <c r="B1560" t="str">
        <f>IF(ポートフォリオ実績!B1561="","", ポートフォリオ実績!B1561)</f>
        <v/>
      </c>
      <c r="C1560" s="10" t="str">
        <f>IF(ポートフォリオ実績!C1561="","", ポートフォリオ実績!C1561)</f>
        <v/>
      </c>
      <c r="D1560" s="10" t="str">
        <f>IF(ポートフォリオ実績!D1561="","", ポートフォリオ実績!D1561)</f>
        <v/>
      </c>
      <c r="E1560" s="10" t="str">
        <f>IF(ポートフォリオ実績!E1561="","", ポートフォリオ実績!E1561)</f>
        <v/>
      </c>
      <c r="F1560" s="10" t="str">
        <f>IF(ポートフォリオ実績!F1561="","", ポートフォリオ実績!F1561)</f>
        <v/>
      </c>
      <c r="G1560" t="str">
        <f t="shared" si="264"/>
        <v/>
      </c>
      <c r="H1560">
        <f>IF(B1560&lt;&gt;"", SUMIFS(ポートフォリオ実績!$D$2:$D$2001, ポートフォリオ実績!$B$2:$B$2001, B1560, ポートフォリオ実績!$A$2:$A$2001, G1560), 0)</f>
        <v>0</v>
      </c>
      <c r="I1560">
        <f>IF(B1560&lt;&gt;"", SUMIFS(ポートフォリオ実績!$C$2:$C$2001, ポートフォリオ実績!$B$2:$B$2001, B1560, ポートフォリオ実績!$A$2:$A$2001, G1560), 0)</f>
        <v>0</v>
      </c>
      <c r="J1560">
        <f t="shared" si="265"/>
        <v>0</v>
      </c>
      <c r="K1560">
        <f t="shared" si="266"/>
        <v>0</v>
      </c>
      <c r="L1560">
        <f t="shared" si="267"/>
        <v>0</v>
      </c>
      <c r="M1560">
        <f t="shared" si="268"/>
        <v>0</v>
      </c>
      <c r="N1560">
        <f t="shared" si="269"/>
        <v>0</v>
      </c>
      <c r="O1560">
        <f t="shared" si="270"/>
        <v>0</v>
      </c>
      <c r="P1560" t="str">
        <f t="shared" si="271"/>
        <v/>
      </c>
      <c r="Q1560" t="str">
        <f>IF(B1560="","", IFERROR(VLOOKUP(B1560, '基準資産配分（設定）'!$A$2:$C$2001, 3, FALSE), ""))</f>
        <v/>
      </c>
      <c r="R1560" t="str">
        <f>IF(B1560="","", IFERROR(VLOOKUP(B1560, '基準資産配分（設定）'!$A$2:$C$2001, 2, FALSE)/100, 0))</f>
        <v/>
      </c>
      <c r="S1560" t="str">
        <f>IF(B1560="","", IFERROR(SUMIFS(ベンチマークリターン!$C$2:$C$2001, ベンチマークリターン!$A$2:$A$2001, A1560, ベンチマークリターン!$B$2:$B$2001, Q1560) / 100, 0))</f>
        <v/>
      </c>
      <c r="T1560" t="str">
        <f>IF(A1560="","", SUMIFS($H$2:$H$2000, $A$2:$A$2000, A1560))</f>
        <v/>
      </c>
      <c r="U1560" t="str">
        <f t="shared" si="272"/>
        <v/>
      </c>
      <c r="V1560" t="str">
        <f t="shared" si="273"/>
        <v/>
      </c>
      <c r="W1560" t="str">
        <f t="shared" si="274"/>
        <v/>
      </c>
    </row>
    <row r="1561" spans="1:23" x14ac:dyDescent="0.2">
      <c r="A1561" s="4" t="str">
        <f>IF(ポートフォリオ実績!A1562="","", ポートフォリオ実績!A1562)</f>
        <v/>
      </c>
      <c r="B1561" t="str">
        <f>IF(ポートフォリオ実績!B1562="","", ポートフォリオ実績!B1562)</f>
        <v/>
      </c>
      <c r="C1561" s="10" t="str">
        <f>IF(ポートフォリオ実績!C1562="","", ポートフォリオ実績!C1562)</f>
        <v/>
      </c>
      <c r="D1561" s="10" t="str">
        <f>IF(ポートフォリオ実績!D1562="","", ポートフォリオ実績!D1562)</f>
        <v/>
      </c>
      <c r="E1561" s="10" t="str">
        <f>IF(ポートフォリオ実績!E1562="","", ポートフォリオ実績!E1562)</f>
        <v/>
      </c>
      <c r="F1561" s="10" t="str">
        <f>IF(ポートフォリオ実績!F1562="","", ポートフォリオ実績!F1562)</f>
        <v/>
      </c>
      <c r="G1561" t="str">
        <f t="shared" si="264"/>
        <v/>
      </c>
      <c r="H1561">
        <f>IF(B1561&lt;&gt;"", SUMIFS(ポートフォリオ実績!$D$2:$D$2001, ポートフォリオ実績!$B$2:$B$2001, B1561, ポートフォリオ実績!$A$2:$A$2001, G1561), 0)</f>
        <v>0</v>
      </c>
      <c r="I1561">
        <f>IF(B1561&lt;&gt;"", SUMIFS(ポートフォリオ実績!$C$2:$C$2001, ポートフォリオ実績!$B$2:$B$2001, B1561, ポートフォリオ実績!$A$2:$A$2001, G1561), 0)</f>
        <v>0</v>
      </c>
      <c r="J1561">
        <f t="shared" si="265"/>
        <v>0</v>
      </c>
      <c r="K1561">
        <f t="shared" si="266"/>
        <v>0</v>
      </c>
      <c r="L1561">
        <f t="shared" si="267"/>
        <v>0</v>
      </c>
      <c r="M1561">
        <f t="shared" si="268"/>
        <v>0</v>
      </c>
      <c r="N1561">
        <f t="shared" si="269"/>
        <v>0</v>
      </c>
      <c r="O1561">
        <f t="shared" si="270"/>
        <v>0</v>
      </c>
      <c r="P1561" t="str">
        <f t="shared" si="271"/>
        <v/>
      </c>
      <c r="Q1561" t="str">
        <f>IF(B1561="","", IFERROR(VLOOKUP(B1561, '基準資産配分（設定）'!$A$2:$C$2001, 3, FALSE), ""))</f>
        <v/>
      </c>
      <c r="R1561" t="str">
        <f>IF(B1561="","", IFERROR(VLOOKUP(B1561, '基準資産配分（設定）'!$A$2:$C$2001, 2, FALSE)/100, 0))</f>
        <v/>
      </c>
      <c r="S1561" t="str">
        <f>IF(B1561="","", IFERROR(SUMIFS(ベンチマークリターン!$C$2:$C$2001, ベンチマークリターン!$A$2:$A$2001, A1561, ベンチマークリターン!$B$2:$B$2001, Q1561) / 100, 0))</f>
        <v/>
      </c>
      <c r="T1561" t="str">
        <f>IF(A1561="","", SUMIFS($H$2:$H$2000, $A$2:$A$2000, A1561))</f>
        <v/>
      </c>
      <c r="U1561" t="str">
        <f t="shared" si="272"/>
        <v/>
      </c>
      <c r="V1561" t="str">
        <f t="shared" si="273"/>
        <v/>
      </c>
      <c r="W1561" t="str">
        <f t="shared" si="274"/>
        <v/>
      </c>
    </row>
    <row r="1562" spans="1:23" x14ac:dyDescent="0.2">
      <c r="A1562" s="4" t="str">
        <f>IF(ポートフォリオ実績!A1563="","", ポートフォリオ実績!A1563)</f>
        <v/>
      </c>
      <c r="B1562" t="str">
        <f>IF(ポートフォリオ実績!B1563="","", ポートフォリオ実績!B1563)</f>
        <v/>
      </c>
      <c r="C1562" s="10" t="str">
        <f>IF(ポートフォリオ実績!C1563="","", ポートフォリオ実績!C1563)</f>
        <v/>
      </c>
      <c r="D1562" s="10" t="str">
        <f>IF(ポートフォリオ実績!D1563="","", ポートフォリオ実績!D1563)</f>
        <v/>
      </c>
      <c r="E1562" s="10" t="str">
        <f>IF(ポートフォリオ実績!E1563="","", ポートフォリオ実績!E1563)</f>
        <v/>
      </c>
      <c r="F1562" s="10" t="str">
        <f>IF(ポートフォリオ実績!F1563="","", ポートフォリオ実績!F1563)</f>
        <v/>
      </c>
      <c r="G1562" t="str">
        <f t="shared" si="264"/>
        <v/>
      </c>
      <c r="H1562">
        <f>IF(B1562&lt;&gt;"", SUMIFS(ポートフォリオ実績!$D$2:$D$2001, ポートフォリオ実績!$B$2:$B$2001, B1562, ポートフォリオ実績!$A$2:$A$2001, G1562), 0)</f>
        <v>0</v>
      </c>
      <c r="I1562">
        <f>IF(B1562&lt;&gt;"", SUMIFS(ポートフォリオ実績!$C$2:$C$2001, ポートフォリオ実績!$B$2:$B$2001, B1562, ポートフォリオ実績!$A$2:$A$2001, G1562), 0)</f>
        <v>0</v>
      </c>
      <c r="J1562">
        <f t="shared" si="265"/>
        <v>0</v>
      </c>
      <c r="K1562">
        <f t="shared" si="266"/>
        <v>0</v>
      </c>
      <c r="L1562">
        <f t="shared" si="267"/>
        <v>0</v>
      </c>
      <c r="M1562">
        <f t="shared" si="268"/>
        <v>0</v>
      </c>
      <c r="N1562">
        <f t="shared" si="269"/>
        <v>0</v>
      </c>
      <c r="O1562">
        <f t="shared" si="270"/>
        <v>0</v>
      </c>
      <c r="P1562" t="str">
        <f t="shared" si="271"/>
        <v/>
      </c>
      <c r="Q1562" t="str">
        <f>IF(B1562="","", IFERROR(VLOOKUP(B1562, '基準資産配分（設定）'!$A$2:$C$2001, 3, FALSE), ""))</f>
        <v/>
      </c>
      <c r="R1562" t="str">
        <f>IF(B1562="","", IFERROR(VLOOKUP(B1562, '基準資産配分（設定）'!$A$2:$C$2001, 2, FALSE)/100, 0))</f>
        <v/>
      </c>
      <c r="S1562" t="str">
        <f>IF(B1562="","", IFERROR(SUMIFS(ベンチマークリターン!$C$2:$C$2001, ベンチマークリターン!$A$2:$A$2001, A1562, ベンチマークリターン!$B$2:$B$2001, Q1562) / 100, 0))</f>
        <v/>
      </c>
      <c r="T1562" t="str">
        <f>IF(A1562="","", SUMIFS($H$2:$H$2000, $A$2:$A$2000, A1562))</f>
        <v/>
      </c>
      <c r="U1562" t="str">
        <f t="shared" si="272"/>
        <v/>
      </c>
      <c r="V1562" t="str">
        <f t="shared" si="273"/>
        <v/>
      </c>
      <c r="W1562" t="str">
        <f t="shared" si="274"/>
        <v/>
      </c>
    </row>
    <row r="1563" spans="1:23" x14ac:dyDescent="0.2">
      <c r="A1563" s="4" t="str">
        <f>IF(ポートフォリオ実績!A1564="","", ポートフォリオ実績!A1564)</f>
        <v/>
      </c>
      <c r="B1563" t="str">
        <f>IF(ポートフォリオ実績!B1564="","", ポートフォリオ実績!B1564)</f>
        <v/>
      </c>
      <c r="C1563" s="10" t="str">
        <f>IF(ポートフォリオ実績!C1564="","", ポートフォリオ実績!C1564)</f>
        <v/>
      </c>
      <c r="D1563" s="10" t="str">
        <f>IF(ポートフォリオ実績!D1564="","", ポートフォリオ実績!D1564)</f>
        <v/>
      </c>
      <c r="E1563" s="10" t="str">
        <f>IF(ポートフォリオ実績!E1564="","", ポートフォリオ実績!E1564)</f>
        <v/>
      </c>
      <c r="F1563" s="10" t="str">
        <f>IF(ポートフォリオ実績!F1564="","", ポートフォリオ実績!F1564)</f>
        <v/>
      </c>
      <c r="G1563" t="str">
        <f t="shared" si="264"/>
        <v/>
      </c>
      <c r="H1563">
        <f>IF(B1563&lt;&gt;"", SUMIFS(ポートフォリオ実績!$D$2:$D$2001, ポートフォリオ実績!$B$2:$B$2001, B1563, ポートフォリオ実績!$A$2:$A$2001, G1563), 0)</f>
        <v>0</v>
      </c>
      <c r="I1563">
        <f>IF(B1563&lt;&gt;"", SUMIFS(ポートフォリオ実績!$C$2:$C$2001, ポートフォリオ実績!$B$2:$B$2001, B1563, ポートフォリオ実績!$A$2:$A$2001, G1563), 0)</f>
        <v>0</v>
      </c>
      <c r="J1563">
        <f t="shared" si="265"/>
        <v>0</v>
      </c>
      <c r="K1563">
        <f t="shared" si="266"/>
        <v>0</v>
      </c>
      <c r="L1563">
        <f t="shared" si="267"/>
        <v>0</v>
      </c>
      <c r="M1563">
        <f t="shared" si="268"/>
        <v>0</v>
      </c>
      <c r="N1563">
        <f t="shared" si="269"/>
        <v>0</v>
      </c>
      <c r="O1563">
        <f t="shared" si="270"/>
        <v>0</v>
      </c>
      <c r="P1563" t="str">
        <f t="shared" si="271"/>
        <v/>
      </c>
      <c r="Q1563" t="str">
        <f>IF(B1563="","", IFERROR(VLOOKUP(B1563, '基準資産配分（設定）'!$A$2:$C$2001, 3, FALSE), ""))</f>
        <v/>
      </c>
      <c r="R1563" t="str">
        <f>IF(B1563="","", IFERROR(VLOOKUP(B1563, '基準資産配分（設定）'!$A$2:$C$2001, 2, FALSE)/100, 0))</f>
        <v/>
      </c>
      <c r="S1563" t="str">
        <f>IF(B1563="","", IFERROR(SUMIFS(ベンチマークリターン!$C$2:$C$2001, ベンチマークリターン!$A$2:$A$2001, A1563, ベンチマークリターン!$B$2:$B$2001, Q1563) / 100, 0))</f>
        <v/>
      </c>
      <c r="T1563" t="str">
        <f>IF(A1563="","", SUMIFS($H$2:$H$2000, $A$2:$A$2000, A1563))</f>
        <v/>
      </c>
      <c r="U1563" t="str">
        <f t="shared" si="272"/>
        <v/>
      </c>
      <c r="V1563" t="str">
        <f t="shared" si="273"/>
        <v/>
      </c>
      <c r="W1563" t="str">
        <f t="shared" si="274"/>
        <v/>
      </c>
    </row>
    <row r="1564" spans="1:23" x14ac:dyDescent="0.2">
      <c r="A1564" s="4" t="str">
        <f>IF(ポートフォリオ実績!A1565="","", ポートフォリオ実績!A1565)</f>
        <v/>
      </c>
      <c r="B1564" t="str">
        <f>IF(ポートフォリオ実績!B1565="","", ポートフォリオ実績!B1565)</f>
        <v/>
      </c>
      <c r="C1564" s="10" t="str">
        <f>IF(ポートフォリオ実績!C1565="","", ポートフォリオ実績!C1565)</f>
        <v/>
      </c>
      <c r="D1564" s="10" t="str">
        <f>IF(ポートフォリオ実績!D1565="","", ポートフォリオ実績!D1565)</f>
        <v/>
      </c>
      <c r="E1564" s="10" t="str">
        <f>IF(ポートフォリオ実績!E1565="","", ポートフォリオ実績!E1565)</f>
        <v/>
      </c>
      <c r="F1564" s="10" t="str">
        <f>IF(ポートフォリオ実績!F1565="","", ポートフォリオ実績!F1565)</f>
        <v/>
      </c>
      <c r="G1564" t="str">
        <f t="shared" si="264"/>
        <v/>
      </c>
      <c r="H1564">
        <f>IF(B1564&lt;&gt;"", SUMIFS(ポートフォリオ実績!$D$2:$D$2001, ポートフォリオ実績!$B$2:$B$2001, B1564, ポートフォリオ実績!$A$2:$A$2001, G1564), 0)</f>
        <v>0</v>
      </c>
      <c r="I1564">
        <f>IF(B1564&lt;&gt;"", SUMIFS(ポートフォリオ実績!$C$2:$C$2001, ポートフォリオ実績!$B$2:$B$2001, B1564, ポートフォリオ実績!$A$2:$A$2001, G1564), 0)</f>
        <v>0</v>
      </c>
      <c r="J1564">
        <f t="shared" si="265"/>
        <v>0</v>
      </c>
      <c r="K1564">
        <f t="shared" si="266"/>
        <v>0</v>
      </c>
      <c r="L1564">
        <f t="shared" si="267"/>
        <v>0</v>
      </c>
      <c r="M1564">
        <f t="shared" si="268"/>
        <v>0</v>
      </c>
      <c r="N1564">
        <f t="shared" si="269"/>
        <v>0</v>
      </c>
      <c r="O1564">
        <f t="shared" si="270"/>
        <v>0</v>
      </c>
      <c r="P1564" t="str">
        <f t="shared" si="271"/>
        <v/>
      </c>
      <c r="Q1564" t="str">
        <f>IF(B1564="","", IFERROR(VLOOKUP(B1564, '基準資産配分（設定）'!$A$2:$C$2001, 3, FALSE), ""))</f>
        <v/>
      </c>
      <c r="R1564" t="str">
        <f>IF(B1564="","", IFERROR(VLOOKUP(B1564, '基準資産配分（設定）'!$A$2:$C$2001, 2, FALSE)/100, 0))</f>
        <v/>
      </c>
      <c r="S1564" t="str">
        <f>IF(B1564="","", IFERROR(SUMIFS(ベンチマークリターン!$C$2:$C$2001, ベンチマークリターン!$A$2:$A$2001, A1564, ベンチマークリターン!$B$2:$B$2001, Q1564) / 100, 0))</f>
        <v/>
      </c>
      <c r="T1564" t="str">
        <f>IF(A1564="","", SUMIFS($H$2:$H$2000, $A$2:$A$2000, A1564))</f>
        <v/>
      </c>
      <c r="U1564" t="str">
        <f t="shared" si="272"/>
        <v/>
      </c>
      <c r="V1564" t="str">
        <f t="shared" si="273"/>
        <v/>
      </c>
      <c r="W1564" t="str">
        <f t="shared" si="274"/>
        <v/>
      </c>
    </row>
    <row r="1565" spans="1:23" x14ac:dyDescent="0.2">
      <c r="A1565" s="4" t="str">
        <f>IF(ポートフォリオ実績!A1566="","", ポートフォリオ実績!A1566)</f>
        <v/>
      </c>
      <c r="B1565" t="str">
        <f>IF(ポートフォリオ実績!B1566="","", ポートフォリオ実績!B1566)</f>
        <v/>
      </c>
      <c r="C1565" s="10" t="str">
        <f>IF(ポートフォリオ実績!C1566="","", ポートフォリオ実績!C1566)</f>
        <v/>
      </c>
      <c r="D1565" s="10" t="str">
        <f>IF(ポートフォリオ実績!D1566="","", ポートフォリオ実績!D1566)</f>
        <v/>
      </c>
      <c r="E1565" s="10" t="str">
        <f>IF(ポートフォリオ実績!E1566="","", ポートフォリオ実績!E1566)</f>
        <v/>
      </c>
      <c r="F1565" s="10" t="str">
        <f>IF(ポートフォリオ実績!F1566="","", ポートフォリオ実績!F1566)</f>
        <v/>
      </c>
      <c r="G1565" t="str">
        <f t="shared" si="264"/>
        <v/>
      </c>
      <c r="H1565">
        <f>IF(B1565&lt;&gt;"", SUMIFS(ポートフォリオ実績!$D$2:$D$2001, ポートフォリオ実績!$B$2:$B$2001, B1565, ポートフォリオ実績!$A$2:$A$2001, G1565), 0)</f>
        <v>0</v>
      </c>
      <c r="I1565">
        <f>IF(B1565&lt;&gt;"", SUMIFS(ポートフォリオ実績!$C$2:$C$2001, ポートフォリオ実績!$B$2:$B$2001, B1565, ポートフォリオ実績!$A$2:$A$2001, G1565), 0)</f>
        <v>0</v>
      </c>
      <c r="J1565">
        <f t="shared" si="265"/>
        <v>0</v>
      </c>
      <c r="K1565">
        <f t="shared" si="266"/>
        <v>0</v>
      </c>
      <c r="L1565">
        <f t="shared" si="267"/>
        <v>0</v>
      </c>
      <c r="M1565">
        <f t="shared" si="268"/>
        <v>0</v>
      </c>
      <c r="N1565">
        <f t="shared" si="269"/>
        <v>0</v>
      </c>
      <c r="O1565">
        <f t="shared" si="270"/>
        <v>0</v>
      </c>
      <c r="P1565" t="str">
        <f t="shared" si="271"/>
        <v/>
      </c>
      <c r="Q1565" t="str">
        <f>IF(B1565="","", IFERROR(VLOOKUP(B1565, '基準資産配分（設定）'!$A$2:$C$2001, 3, FALSE), ""))</f>
        <v/>
      </c>
      <c r="R1565" t="str">
        <f>IF(B1565="","", IFERROR(VLOOKUP(B1565, '基準資産配分（設定）'!$A$2:$C$2001, 2, FALSE)/100, 0))</f>
        <v/>
      </c>
      <c r="S1565" t="str">
        <f>IF(B1565="","", IFERROR(SUMIFS(ベンチマークリターン!$C$2:$C$2001, ベンチマークリターン!$A$2:$A$2001, A1565, ベンチマークリターン!$B$2:$B$2001, Q1565) / 100, 0))</f>
        <v/>
      </c>
      <c r="T1565" t="str">
        <f>IF(A1565="","", SUMIFS($H$2:$H$2000, $A$2:$A$2000, A1565))</f>
        <v/>
      </c>
      <c r="U1565" t="str">
        <f t="shared" si="272"/>
        <v/>
      </c>
      <c r="V1565" t="str">
        <f t="shared" si="273"/>
        <v/>
      </c>
      <c r="W1565" t="str">
        <f t="shared" si="274"/>
        <v/>
      </c>
    </row>
    <row r="1566" spans="1:23" x14ac:dyDescent="0.2">
      <c r="A1566" s="4" t="str">
        <f>IF(ポートフォリオ実績!A1567="","", ポートフォリオ実績!A1567)</f>
        <v/>
      </c>
      <c r="B1566" t="str">
        <f>IF(ポートフォリオ実績!B1567="","", ポートフォリオ実績!B1567)</f>
        <v/>
      </c>
      <c r="C1566" s="10" t="str">
        <f>IF(ポートフォリオ実績!C1567="","", ポートフォリオ実績!C1567)</f>
        <v/>
      </c>
      <c r="D1566" s="10" t="str">
        <f>IF(ポートフォリオ実績!D1567="","", ポートフォリオ実績!D1567)</f>
        <v/>
      </c>
      <c r="E1566" s="10" t="str">
        <f>IF(ポートフォリオ実績!E1567="","", ポートフォリオ実績!E1567)</f>
        <v/>
      </c>
      <c r="F1566" s="10" t="str">
        <f>IF(ポートフォリオ実績!F1567="","", ポートフォリオ実績!F1567)</f>
        <v/>
      </c>
      <c r="G1566" t="str">
        <f t="shared" si="264"/>
        <v/>
      </c>
      <c r="H1566">
        <f>IF(B1566&lt;&gt;"", SUMIFS(ポートフォリオ実績!$D$2:$D$2001, ポートフォリオ実績!$B$2:$B$2001, B1566, ポートフォリオ実績!$A$2:$A$2001, G1566), 0)</f>
        <v>0</v>
      </c>
      <c r="I1566">
        <f>IF(B1566&lt;&gt;"", SUMIFS(ポートフォリオ実績!$C$2:$C$2001, ポートフォリオ実績!$B$2:$B$2001, B1566, ポートフォリオ実績!$A$2:$A$2001, G1566), 0)</f>
        <v>0</v>
      </c>
      <c r="J1566">
        <f t="shared" si="265"/>
        <v>0</v>
      </c>
      <c r="K1566">
        <f t="shared" si="266"/>
        <v>0</v>
      </c>
      <c r="L1566">
        <f t="shared" si="267"/>
        <v>0</v>
      </c>
      <c r="M1566">
        <f t="shared" si="268"/>
        <v>0</v>
      </c>
      <c r="N1566">
        <f t="shared" si="269"/>
        <v>0</v>
      </c>
      <c r="O1566">
        <f t="shared" si="270"/>
        <v>0</v>
      </c>
      <c r="P1566" t="str">
        <f t="shared" si="271"/>
        <v/>
      </c>
      <c r="Q1566" t="str">
        <f>IF(B1566="","", IFERROR(VLOOKUP(B1566, '基準資産配分（設定）'!$A$2:$C$2001, 3, FALSE), ""))</f>
        <v/>
      </c>
      <c r="R1566" t="str">
        <f>IF(B1566="","", IFERROR(VLOOKUP(B1566, '基準資産配分（設定）'!$A$2:$C$2001, 2, FALSE)/100, 0))</f>
        <v/>
      </c>
      <c r="S1566" t="str">
        <f>IF(B1566="","", IFERROR(SUMIFS(ベンチマークリターン!$C$2:$C$2001, ベンチマークリターン!$A$2:$A$2001, A1566, ベンチマークリターン!$B$2:$B$2001, Q1566) / 100, 0))</f>
        <v/>
      </c>
      <c r="T1566" t="str">
        <f>IF(A1566="","", SUMIFS($H$2:$H$2000, $A$2:$A$2000, A1566))</f>
        <v/>
      </c>
      <c r="U1566" t="str">
        <f t="shared" si="272"/>
        <v/>
      </c>
      <c r="V1566" t="str">
        <f t="shared" si="273"/>
        <v/>
      </c>
      <c r="W1566" t="str">
        <f t="shared" si="274"/>
        <v/>
      </c>
    </row>
    <row r="1567" spans="1:23" x14ac:dyDescent="0.2">
      <c r="A1567" s="4" t="str">
        <f>IF(ポートフォリオ実績!A1568="","", ポートフォリオ実績!A1568)</f>
        <v/>
      </c>
      <c r="B1567" t="str">
        <f>IF(ポートフォリオ実績!B1568="","", ポートフォリオ実績!B1568)</f>
        <v/>
      </c>
      <c r="C1567" s="10" t="str">
        <f>IF(ポートフォリオ実績!C1568="","", ポートフォリオ実績!C1568)</f>
        <v/>
      </c>
      <c r="D1567" s="10" t="str">
        <f>IF(ポートフォリオ実績!D1568="","", ポートフォリオ実績!D1568)</f>
        <v/>
      </c>
      <c r="E1567" s="10" t="str">
        <f>IF(ポートフォリオ実績!E1568="","", ポートフォリオ実績!E1568)</f>
        <v/>
      </c>
      <c r="F1567" s="10" t="str">
        <f>IF(ポートフォリオ実績!F1568="","", ポートフォリオ実績!F1568)</f>
        <v/>
      </c>
      <c r="G1567" t="str">
        <f t="shared" si="264"/>
        <v/>
      </c>
      <c r="H1567">
        <f>IF(B1567&lt;&gt;"", SUMIFS(ポートフォリオ実績!$D$2:$D$2001, ポートフォリオ実績!$B$2:$B$2001, B1567, ポートフォリオ実績!$A$2:$A$2001, G1567), 0)</f>
        <v>0</v>
      </c>
      <c r="I1567">
        <f>IF(B1567&lt;&gt;"", SUMIFS(ポートフォリオ実績!$C$2:$C$2001, ポートフォリオ実績!$B$2:$B$2001, B1567, ポートフォリオ実績!$A$2:$A$2001, G1567), 0)</f>
        <v>0</v>
      </c>
      <c r="J1567">
        <f t="shared" si="265"/>
        <v>0</v>
      </c>
      <c r="K1567">
        <f t="shared" si="266"/>
        <v>0</v>
      </c>
      <c r="L1567">
        <f t="shared" si="267"/>
        <v>0</v>
      </c>
      <c r="M1567">
        <f t="shared" si="268"/>
        <v>0</v>
      </c>
      <c r="N1567">
        <f t="shared" si="269"/>
        <v>0</v>
      </c>
      <c r="O1567">
        <f t="shared" si="270"/>
        <v>0</v>
      </c>
      <c r="P1567" t="str">
        <f t="shared" si="271"/>
        <v/>
      </c>
      <c r="Q1567" t="str">
        <f>IF(B1567="","", IFERROR(VLOOKUP(B1567, '基準資産配分（設定）'!$A$2:$C$2001, 3, FALSE), ""))</f>
        <v/>
      </c>
      <c r="R1567" t="str">
        <f>IF(B1567="","", IFERROR(VLOOKUP(B1567, '基準資産配分（設定）'!$A$2:$C$2001, 2, FALSE)/100, 0))</f>
        <v/>
      </c>
      <c r="S1567" t="str">
        <f>IF(B1567="","", IFERROR(SUMIFS(ベンチマークリターン!$C$2:$C$2001, ベンチマークリターン!$A$2:$A$2001, A1567, ベンチマークリターン!$B$2:$B$2001, Q1567) / 100, 0))</f>
        <v/>
      </c>
      <c r="T1567" t="str">
        <f>IF(A1567="","", SUMIFS($H$2:$H$2000, $A$2:$A$2000, A1567))</f>
        <v/>
      </c>
      <c r="U1567" t="str">
        <f t="shared" si="272"/>
        <v/>
      </c>
      <c r="V1567" t="str">
        <f t="shared" si="273"/>
        <v/>
      </c>
      <c r="W1567" t="str">
        <f t="shared" si="274"/>
        <v/>
      </c>
    </row>
    <row r="1568" spans="1:23" x14ac:dyDescent="0.2">
      <c r="A1568" s="4" t="str">
        <f>IF(ポートフォリオ実績!A1569="","", ポートフォリオ実績!A1569)</f>
        <v/>
      </c>
      <c r="B1568" t="str">
        <f>IF(ポートフォリオ実績!B1569="","", ポートフォリオ実績!B1569)</f>
        <v/>
      </c>
      <c r="C1568" s="10" t="str">
        <f>IF(ポートフォリオ実績!C1569="","", ポートフォリオ実績!C1569)</f>
        <v/>
      </c>
      <c r="D1568" s="10" t="str">
        <f>IF(ポートフォリオ実績!D1569="","", ポートフォリオ実績!D1569)</f>
        <v/>
      </c>
      <c r="E1568" s="10" t="str">
        <f>IF(ポートフォリオ実績!E1569="","", ポートフォリオ実績!E1569)</f>
        <v/>
      </c>
      <c r="F1568" s="10" t="str">
        <f>IF(ポートフォリオ実績!F1569="","", ポートフォリオ実績!F1569)</f>
        <v/>
      </c>
      <c r="G1568" t="str">
        <f t="shared" si="264"/>
        <v/>
      </c>
      <c r="H1568">
        <f>IF(B1568&lt;&gt;"", SUMIFS(ポートフォリオ実績!$D$2:$D$2001, ポートフォリオ実績!$B$2:$B$2001, B1568, ポートフォリオ実績!$A$2:$A$2001, G1568), 0)</f>
        <v>0</v>
      </c>
      <c r="I1568">
        <f>IF(B1568&lt;&gt;"", SUMIFS(ポートフォリオ実績!$C$2:$C$2001, ポートフォリオ実績!$B$2:$B$2001, B1568, ポートフォリオ実績!$A$2:$A$2001, G1568), 0)</f>
        <v>0</v>
      </c>
      <c r="J1568">
        <f t="shared" si="265"/>
        <v>0</v>
      </c>
      <c r="K1568">
        <f t="shared" si="266"/>
        <v>0</v>
      </c>
      <c r="L1568">
        <f t="shared" si="267"/>
        <v>0</v>
      </c>
      <c r="M1568">
        <f t="shared" si="268"/>
        <v>0</v>
      </c>
      <c r="N1568">
        <f t="shared" si="269"/>
        <v>0</v>
      </c>
      <c r="O1568">
        <f t="shared" si="270"/>
        <v>0</v>
      </c>
      <c r="P1568" t="str">
        <f t="shared" si="271"/>
        <v/>
      </c>
      <c r="Q1568" t="str">
        <f>IF(B1568="","", IFERROR(VLOOKUP(B1568, '基準資産配分（設定）'!$A$2:$C$2001, 3, FALSE), ""))</f>
        <v/>
      </c>
      <c r="R1568" t="str">
        <f>IF(B1568="","", IFERROR(VLOOKUP(B1568, '基準資産配分（設定）'!$A$2:$C$2001, 2, FALSE)/100, 0))</f>
        <v/>
      </c>
      <c r="S1568" t="str">
        <f>IF(B1568="","", IFERROR(SUMIFS(ベンチマークリターン!$C$2:$C$2001, ベンチマークリターン!$A$2:$A$2001, A1568, ベンチマークリターン!$B$2:$B$2001, Q1568) / 100, 0))</f>
        <v/>
      </c>
      <c r="T1568" t="str">
        <f>IF(A1568="","", SUMIFS($H$2:$H$2000, $A$2:$A$2000, A1568))</f>
        <v/>
      </c>
      <c r="U1568" t="str">
        <f t="shared" si="272"/>
        <v/>
      </c>
      <c r="V1568" t="str">
        <f t="shared" si="273"/>
        <v/>
      </c>
      <c r="W1568" t="str">
        <f t="shared" si="274"/>
        <v/>
      </c>
    </row>
    <row r="1569" spans="1:23" x14ac:dyDescent="0.2">
      <c r="A1569" s="4" t="str">
        <f>IF(ポートフォリオ実績!A1570="","", ポートフォリオ実績!A1570)</f>
        <v/>
      </c>
      <c r="B1569" t="str">
        <f>IF(ポートフォリオ実績!B1570="","", ポートフォリオ実績!B1570)</f>
        <v/>
      </c>
      <c r="C1569" s="10" t="str">
        <f>IF(ポートフォリオ実績!C1570="","", ポートフォリオ実績!C1570)</f>
        <v/>
      </c>
      <c r="D1569" s="10" t="str">
        <f>IF(ポートフォリオ実績!D1570="","", ポートフォリオ実績!D1570)</f>
        <v/>
      </c>
      <c r="E1569" s="10" t="str">
        <f>IF(ポートフォリオ実績!E1570="","", ポートフォリオ実績!E1570)</f>
        <v/>
      </c>
      <c r="F1569" s="10" t="str">
        <f>IF(ポートフォリオ実績!F1570="","", ポートフォリオ実績!F1570)</f>
        <v/>
      </c>
      <c r="G1569" t="str">
        <f t="shared" si="264"/>
        <v/>
      </c>
      <c r="H1569">
        <f>IF(B1569&lt;&gt;"", SUMIFS(ポートフォリオ実績!$D$2:$D$2001, ポートフォリオ実績!$B$2:$B$2001, B1569, ポートフォリオ実績!$A$2:$A$2001, G1569), 0)</f>
        <v>0</v>
      </c>
      <c r="I1569">
        <f>IF(B1569&lt;&gt;"", SUMIFS(ポートフォリオ実績!$C$2:$C$2001, ポートフォリオ実績!$B$2:$B$2001, B1569, ポートフォリオ実績!$A$2:$A$2001, G1569), 0)</f>
        <v>0</v>
      </c>
      <c r="J1569">
        <f t="shared" si="265"/>
        <v>0</v>
      </c>
      <c r="K1569">
        <f t="shared" si="266"/>
        <v>0</v>
      </c>
      <c r="L1569">
        <f t="shared" si="267"/>
        <v>0</v>
      </c>
      <c r="M1569">
        <f t="shared" si="268"/>
        <v>0</v>
      </c>
      <c r="N1569">
        <f t="shared" si="269"/>
        <v>0</v>
      </c>
      <c r="O1569">
        <f t="shared" si="270"/>
        <v>0</v>
      </c>
      <c r="P1569" t="str">
        <f t="shared" si="271"/>
        <v/>
      </c>
      <c r="Q1569" t="str">
        <f>IF(B1569="","", IFERROR(VLOOKUP(B1569, '基準資産配分（設定）'!$A$2:$C$2001, 3, FALSE), ""))</f>
        <v/>
      </c>
      <c r="R1569" t="str">
        <f>IF(B1569="","", IFERROR(VLOOKUP(B1569, '基準資産配分（設定）'!$A$2:$C$2001, 2, FALSE)/100, 0))</f>
        <v/>
      </c>
      <c r="S1569" t="str">
        <f>IF(B1569="","", IFERROR(SUMIFS(ベンチマークリターン!$C$2:$C$2001, ベンチマークリターン!$A$2:$A$2001, A1569, ベンチマークリターン!$B$2:$B$2001, Q1569) / 100, 0))</f>
        <v/>
      </c>
      <c r="T1569" t="str">
        <f>IF(A1569="","", SUMIFS($H$2:$H$2000, $A$2:$A$2000, A1569))</f>
        <v/>
      </c>
      <c r="U1569" t="str">
        <f t="shared" si="272"/>
        <v/>
      </c>
      <c r="V1569" t="str">
        <f t="shared" si="273"/>
        <v/>
      </c>
      <c r="W1569" t="str">
        <f t="shared" si="274"/>
        <v/>
      </c>
    </row>
    <row r="1570" spans="1:23" x14ac:dyDescent="0.2">
      <c r="A1570" s="4" t="str">
        <f>IF(ポートフォリオ実績!A1571="","", ポートフォリオ実績!A1571)</f>
        <v/>
      </c>
      <c r="B1570" t="str">
        <f>IF(ポートフォリオ実績!B1571="","", ポートフォリオ実績!B1571)</f>
        <v/>
      </c>
      <c r="C1570" s="10" t="str">
        <f>IF(ポートフォリオ実績!C1571="","", ポートフォリオ実績!C1571)</f>
        <v/>
      </c>
      <c r="D1570" s="10" t="str">
        <f>IF(ポートフォリオ実績!D1571="","", ポートフォリオ実績!D1571)</f>
        <v/>
      </c>
      <c r="E1570" s="10" t="str">
        <f>IF(ポートフォリオ実績!E1571="","", ポートフォリオ実績!E1571)</f>
        <v/>
      </c>
      <c r="F1570" s="10" t="str">
        <f>IF(ポートフォリオ実績!F1571="","", ポートフォリオ実績!F1571)</f>
        <v/>
      </c>
      <c r="G1570" t="str">
        <f t="shared" si="264"/>
        <v/>
      </c>
      <c r="H1570">
        <f>IF(B1570&lt;&gt;"", SUMIFS(ポートフォリオ実績!$D$2:$D$2001, ポートフォリオ実績!$B$2:$B$2001, B1570, ポートフォリオ実績!$A$2:$A$2001, G1570), 0)</f>
        <v>0</v>
      </c>
      <c r="I1570">
        <f>IF(B1570&lt;&gt;"", SUMIFS(ポートフォリオ実績!$C$2:$C$2001, ポートフォリオ実績!$B$2:$B$2001, B1570, ポートフォリオ実績!$A$2:$A$2001, G1570), 0)</f>
        <v>0</v>
      </c>
      <c r="J1570">
        <f t="shared" si="265"/>
        <v>0</v>
      </c>
      <c r="K1570">
        <f t="shared" si="266"/>
        <v>0</v>
      </c>
      <c r="L1570">
        <f t="shared" si="267"/>
        <v>0</v>
      </c>
      <c r="M1570">
        <f t="shared" si="268"/>
        <v>0</v>
      </c>
      <c r="N1570">
        <f t="shared" si="269"/>
        <v>0</v>
      </c>
      <c r="O1570">
        <f t="shared" si="270"/>
        <v>0</v>
      </c>
      <c r="P1570" t="str">
        <f t="shared" si="271"/>
        <v/>
      </c>
      <c r="Q1570" t="str">
        <f>IF(B1570="","", IFERROR(VLOOKUP(B1570, '基準資産配分（設定）'!$A$2:$C$2001, 3, FALSE), ""))</f>
        <v/>
      </c>
      <c r="R1570" t="str">
        <f>IF(B1570="","", IFERROR(VLOOKUP(B1570, '基準資産配分（設定）'!$A$2:$C$2001, 2, FALSE)/100, 0))</f>
        <v/>
      </c>
      <c r="S1570" t="str">
        <f>IF(B1570="","", IFERROR(SUMIFS(ベンチマークリターン!$C$2:$C$2001, ベンチマークリターン!$A$2:$A$2001, A1570, ベンチマークリターン!$B$2:$B$2001, Q1570) / 100, 0))</f>
        <v/>
      </c>
      <c r="T1570" t="str">
        <f>IF(A1570="","", SUMIFS($H$2:$H$2000, $A$2:$A$2000, A1570))</f>
        <v/>
      </c>
      <c r="U1570" t="str">
        <f t="shared" si="272"/>
        <v/>
      </c>
      <c r="V1570" t="str">
        <f t="shared" si="273"/>
        <v/>
      </c>
      <c r="W1570" t="str">
        <f t="shared" si="274"/>
        <v/>
      </c>
    </row>
    <row r="1571" spans="1:23" x14ac:dyDescent="0.2">
      <c r="A1571" s="4" t="str">
        <f>IF(ポートフォリオ実績!A1572="","", ポートフォリオ実績!A1572)</f>
        <v/>
      </c>
      <c r="B1571" t="str">
        <f>IF(ポートフォリオ実績!B1572="","", ポートフォリオ実績!B1572)</f>
        <v/>
      </c>
      <c r="C1571" s="10" t="str">
        <f>IF(ポートフォリオ実績!C1572="","", ポートフォリオ実績!C1572)</f>
        <v/>
      </c>
      <c r="D1571" s="10" t="str">
        <f>IF(ポートフォリオ実績!D1572="","", ポートフォリオ実績!D1572)</f>
        <v/>
      </c>
      <c r="E1571" s="10" t="str">
        <f>IF(ポートフォリオ実績!E1572="","", ポートフォリオ実績!E1572)</f>
        <v/>
      </c>
      <c r="F1571" s="10" t="str">
        <f>IF(ポートフォリオ実績!F1572="","", ポートフォリオ実績!F1572)</f>
        <v/>
      </c>
      <c r="G1571" t="str">
        <f t="shared" si="264"/>
        <v/>
      </c>
      <c r="H1571">
        <f>IF(B1571&lt;&gt;"", SUMIFS(ポートフォリオ実績!$D$2:$D$2001, ポートフォリオ実績!$B$2:$B$2001, B1571, ポートフォリオ実績!$A$2:$A$2001, G1571), 0)</f>
        <v>0</v>
      </c>
      <c r="I1571">
        <f>IF(B1571&lt;&gt;"", SUMIFS(ポートフォリオ実績!$C$2:$C$2001, ポートフォリオ実績!$B$2:$B$2001, B1571, ポートフォリオ実績!$A$2:$A$2001, G1571), 0)</f>
        <v>0</v>
      </c>
      <c r="J1571">
        <f t="shared" si="265"/>
        <v>0</v>
      </c>
      <c r="K1571">
        <f t="shared" si="266"/>
        <v>0</v>
      </c>
      <c r="L1571">
        <f t="shared" si="267"/>
        <v>0</v>
      </c>
      <c r="M1571">
        <f t="shared" si="268"/>
        <v>0</v>
      </c>
      <c r="N1571">
        <f t="shared" si="269"/>
        <v>0</v>
      </c>
      <c r="O1571">
        <f t="shared" si="270"/>
        <v>0</v>
      </c>
      <c r="P1571" t="str">
        <f t="shared" si="271"/>
        <v/>
      </c>
      <c r="Q1571" t="str">
        <f>IF(B1571="","", IFERROR(VLOOKUP(B1571, '基準資産配分（設定）'!$A$2:$C$2001, 3, FALSE), ""))</f>
        <v/>
      </c>
      <c r="R1571" t="str">
        <f>IF(B1571="","", IFERROR(VLOOKUP(B1571, '基準資産配分（設定）'!$A$2:$C$2001, 2, FALSE)/100, 0))</f>
        <v/>
      </c>
      <c r="S1571" t="str">
        <f>IF(B1571="","", IFERROR(SUMIFS(ベンチマークリターン!$C$2:$C$2001, ベンチマークリターン!$A$2:$A$2001, A1571, ベンチマークリターン!$B$2:$B$2001, Q1571) / 100, 0))</f>
        <v/>
      </c>
      <c r="T1571" t="str">
        <f>IF(A1571="","", SUMIFS($H$2:$H$2000, $A$2:$A$2000, A1571))</f>
        <v/>
      </c>
      <c r="U1571" t="str">
        <f t="shared" si="272"/>
        <v/>
      </c>
      <c r="V1571" t="str">
        <f t="shared" si="273"/>
        <v/>
      </c>
      <c r="W1571" t="str">
        <f t="shared" si="274"/>
        <v/>
      </c>
    </row>
    <row r="1572" spans="1:23" x14ac:dyDescent="0.2">
      <c r="A1572" s="4" t="str">
        <f>IF(ポートフォリオ実績!A1573="","", ポートフォリオ実績!A1573)</f>
        <v/>
      </c>
      <c r="B1572" t="str">
        <f>IF(ポートフォリオ実績!B1573="","", ポートフォリオ実績!B1573)</f>
        <v/>
      </c>
      <c r="C1572" s="10" t="str">
        <f>IF(ポートフォリオ実績!C1573="","", ポートフォリオ実績!C1573)</f>
        <v/>
      </c>
      <c r="D1572" s="10" t="str">
        <f>IF(ポートフォリオ実績!D1573="","", ポートフォリオ実績!D1573)</f>
        <v/>
      </c>
      <c r="E1572" s="10" t="str">
        <f>IF(ポートフォリオ実績!E1573="","", ポートフォリオ実績!E1573)</f>
        <v/>
      </c>
      <c r="F1572" s="10" t="str">
        <f>IF(ポートフォリオ実績!F1573="","", ポートフォリオ実績!F1573)</f>
        <v/>
      </c>
      <c r="G1572" t="str">
        <f t="shared" si="264"/>
        <v/>
      </c>
      <c r="H1572">
        <f>IF(B1572&lt;&gt;"", SUMIFS(ポートフォリオ実績!$D$2:$D$2001, ポートフォリオ実績!$B$2:$B$2001, B1572, ポートフォリオ実績!$A$2:$A$2001, G1572), 0)</f>
        <v>0</v>
      </c>
      <c r="I1572">
        <f>IF(B1572&lt;&gt;"", SUMIFS(ポートフォリオ実績!$C$2:$C$2001, ポートフォリオ実績!$B$2:$B$2001, B1572, ポートフォリオ実績!$A$2:$A$2001, G1572), 0)</f>
        <v>0</v>
      </c>
      <c r="J1572">
        <f t="shared" si="265"/>
        <v>0</v>
      </c>
      <c r="K1572">
        <f t="shared" si="266"/>
        <v>0</v>
      </c>
      <c r="L1572">
        <f t="shared" si="267"/>
        <v>0</v>
      </c>
      <c r="M1572">
        <f t="shared" si="268"/>
        <v>0</v>
      </c>
      <c r="N1572">
        <f t="shared" si="269"/>
        <v>0</v>
      </c>
      <c r="O1572">
        <f t="shared" si="270"/>
        <v>0</v>
      </c>
      <c r="P1572" t="str">
        <f t="shared" si="271"/>
        <v/>
      </c>
      <c r="Q1572" t="str">
        <f>IF(B1572="","", IFERROR(VLOOKUP(B1572, '基準資産配分（設定）'!$A$2:$C$2001, 3, FALSE), ""))</f>
        <v/>
      </c>
      <c r="R1572" t="str">
        <f>IF(B1572="","", IFERROR(VLOOKUP(B1572, '基準資産配分（設定）'!$A$2:$C$2001, 2, FALSE)/100, 0))</f>
        <v/>
      </c>
      <c r="S1572" t="str">
        <f>IF(B1572="","", IFERROR(SUMIFS(ベンチマークリターン!$C$2:$C$2001, ベンチマークリターン!$A$2:$A$2001, A1572, ベンチマークリターン!$B$2:$B$2001, Q1572) / 100, 0))</f>
        <v/>
      </c>
      <c r="T1572" t="str">
        <f>IF(A1572="","", SUMIFS($H$2:$H$2000, $A$2:$A$2000, A1572))</f>
        <v/>
      </c>
      <c r="U1572" t="str">
        <f t="shared" si="272"/>
        <v/>
      </c>
      <c r="V1572" t="str">
        <f t="shared" si="273"/>
        <v/>
      </c>
      <c r="W1572" t="str">
        <f t="shared" si="274"/>
        <v/>
      </c>
    </row>
    <row r="1573" spans="1:23" x14ac:dyDescent="0.2">
      <c r="A1573" s="4" t="str">
        <f>IF(ポートフォリオ実績!A1574="","", ポートフォリオ実績!A1574)</f>
        <v/>
      </c>
      <c r="B1573" t="str">
        <f>IF(ポートフォリオ実績!B1574="","", ポートフォリオ実績!B1574)</f>
        <v/>
      </c>
      <c r="C1573" s="10" t="str">
        <f>IF(ポートフォリオ実績!C1574="","", ポートフォリオ実績!C1574)</f>
        <v/>
      </c>
      <c r="D1573" s="10" t="str">
        <f>IF(ポートフォリオ実績!D1574="","", ポートフォリオ実績!D1574)</f>
        <v/>
      </c>
      <c r="E1573" s="10" t="str">
        <f>IF(ポートフォリオ実績!E1574="","", ポートフォリオ実績!E1574)</f>
        <v/>
      </c>
      <c r="F1573" s="10" t="str">
        <f>IF(ポートフォリオ実績!F1574="","", ポートフォリオ実績!F1574)</f>
        <v/>
      </c>
      <c r="G1573" t="str">
        <f t="shared" si="264"/>
        <v/>
      </c>
      <c r="H1573">
        <f>IF(B1573&lt;&gt;"", SUMIFS(ポートフォリオ実績!$D$2:$D$2001, ポートフォリオ実績!$B$2:$B$2001, B1573, ポートフォリオ実績!$A$2:$A$2001, G1573), 0)</f>
        <v>0</v>
      </c>
      <c r="I1573">
        <f>IF(B1573&lt;&gt;"", SUMIFS(ポートフォリオ実績!$C$2:$C$2001, ポートフォリオ実績!$B$2:$B$2001, B1573, ポートフォリオ実績!$A$2:$A$2001, G1573), 0)</f>
        <v>0</v>
      </c>
      <c r="J1573">
        <f t="shared" si="265"/>
        <v>0</v>
      </c>
      <c r="K1573">
        <f t="shared" si="266"/>
        <v>0</v>
      </c>
      <c r="L1573">
        <f t="shared" si="267"/>
        <v>0</v>
      </c>
      <c r="M1573">
        <f t="shared" si="268"/>
        <v>0</v>
      </c>
      <c r="N1573">
        <f t="shared" si="269"/>
        <v>0</v>
      </c>
      <c r="O1573">
        <f t="shared" si="270"/>
        <v>0</v>
      </c>
      <c r="P1573" t="str">
        <f t="shared" si="271"/>
        <v/>
      </c>
      <c r="Q1573" t="str">
        <f>IF(B1573="","", IFERROR(VLOOKUP(B1573, '基準資産配分（設定）'!$A$2:$C$2001, 3, FALSE), ""))</f>
        <v/>
      </c>
      <c r="R1573" t="str">
        <f>IF(B1573="","", IFERROR(VLOOKUP(B1573, '基準資産配分（設定）'!$A$2:$C$2001, 2, FALSE)/100, 0))</f>
        <v/>
      </c>
      <c r="S1573" t="str">
        <f>IF(B1573="","", IFERROR(SUMIFS(ベンチマークリターン!$C$2:$C$2001, ベンチマークリターン!$A$2:$A$2001, A1573, ベンチマークリターン!$B$2:$B$2001, Q1573) / 100, 0))</f>
        <v/>
      </c>
      <c r="T1573" t="str">
        <f>IF(A1573="","", SUMIFS($H$2:$H$2000, $A$2:$A$2000, A1573))</f>
        <v/>
      </c>
      <c r="U1573" t="str">
        <f t="shared" si="272"/>
        <v/>
      </c>
      <c r="V1573" t="str">
        <f t="shared" si="273"/>
        <v/>
      </c>
      <c r="W1573" t="str">
        <f t="shared" si="274"/>
        <v/>
      </c>
    </row>
    <row r="1574" spans="1:23" x14ac:dyDescent="0.2">
      <c r="A1574" s="4" t="str">
        <f>IF(ポートフォリオ実績!A1575="","", ポートフォリオ実績!A1575)</f>
        <v/>
      </c>
      <c r="B1574" t="str">
        <f>IF(ポートフォリオ実績!B1575="","", ポートフォリオ実績!B1575)</f>
        <v/>
      </c>
      <c r="C1574" s="10" t="str">
        <f>IF(ポートフォリオ実績!C1575="","", ポートフォリオ実績!C1575)</f>
        <v/>
      </c>
      <c r="D1574" s="10" t="str">
        <f>IF(ポートフォリオ実績!D1575="","", ポートフォリオ実績!D1575)</f>
        <v/>
      </c>
      <c r="E1574" s="10" t="str">
        <f>IF(ポートフォリオ実績!E1575="","", ポートフォリオ実績!E1575)</f>
        <v/>
      </c>
      <c r="F1574" s="10" t="str">
        <f>IF(ポートフォリオ実績!F1575="","", ポートフォリオ実績!F1575)</f>
        <v/>
      </c>
      <c r="G1574" t="str">
        <f t="shared" si="264"/>
        <v/>
      </c>
      <c r="H1574">
        <f>IF(B1574&lt;&gt;"", SUMIFS(ポートフォリオ実績!$D$2:$D$2001, ポートフォリオ実績!$B$2:$B$2001, B1574, ポートフォリオ実績!$A$2:$A$2001, G1574), 0)</f>
        <v>0</v>
      </c>
      <c r="I1574">
        <f>IF(B1574&lt;&gt;"", SUMIFS(ポートフォリオ実績!$C$2:$C$2001, ポートフォリオ実績!$B$2:$B$2001, B1574, ポートフォリオ実績!$A$2:$A$2001, G1574), 0)</f>
        <v>0</v>
      </c>
      <c r="J1574">
        <f t="shared" si="265"/>
        <v>0</v>
      </c>
      <c r="K1574">
        <f t="shared" si="266"/>
        <v>0</v>
      </c>
      <c r="L1574">
        <f t="shared" si="267"/>
        <v>0</v>
      </c>
      <c r="M1574">
        <f t="shared" si="268"/>
        <v>0</v>
      </c>
      <c r="N1574">
        <f t="shared" si="269"/>
        <v>0</v>
      </c>
      <c r="O1574">
        <f t="shared" si="270"/>
        <v>0</v>
      </c>
      <c r="P1574" t="str">
        <f t="shared" si="271"/>
        <v/>
      </c>
      <c r="Q1574" t="str">
        <f>IF(B1574="","", IFERROR(VLOOKUP(B1574, '基準資産配分（設定）'!$A$2:$C$2001, 3, FALSE), ""))</f>
        <v/>
      </c>
      <c r="R1574" t="str">
        <f>IF(B1574="","", IFERROR(VLOOKUP(B1574, '基準資産配分（設定）'!$A$2:$C$2001, 2, FALSE)/100, 0))</f>
        <v/>
      </c>
      <c r="S1574" t="str">
        <f>IF(B1574="","", IFERROR(SUMIFS(ベンチマークリターン!$C$2:$C$2001, ベンチマークリターン!$A$2:$A$2001, A1574, ベンチマークリターン!$B$2:$B$2001, Q1574) / 100, 0))</f>
        <v/>
      </c>
      <c r="T1574" t="str">
        <f>IF(A1574="","", SUMIFS($H$2:$H$2000, $A$2:$A$2000, A1574))</f>
        <v/>
      </c>
      <c r="U1574" t="str">
        <f t="shared" si="272"/>
        <v/>
      </c>
      <c r="V1574" t="str">
        <f t="shared" si="273"/>
        <v/>
      </c>
      <c r="W1574" t="str">
        <f t="shared" si="274"/>
        <v/>
      </c>
    </row>
    <row r="1575" spans="1:23" x14ac:dyDescent="0.2">
      <c r="A1575" s="4" t="str">
        <f>IF(ポートフォリオ実績!A1576="","", ポートフォリオ実績!A1576)</f>
        <v/>
      </c>
      <c r="B1575" t="str">
        <f>IF(ポートフォリオ実績!B1576="","", ポートフォリオ実績!B1576)</f>
        <v/>
      </c>
      <c r="C1575" s="10" t="str">
        <f>IF(ポートフォリオ実績!C1576="","", ポートフォリオ実績!C1576)</f>
        <v/>
      </c>
      <c r="D1575" s="10" t="str">
        <f>IF(ポートフォリオ実績!D1576="","", ポートフォリオ実績!D1576)</f>
        <v/>
      </c>
      <c r="E1575" s="10" t="str">
        <f>IF(ポートフォリオ実績!E1576="","", ポートフォリオ実績!E1576)</f>
        <v/>
      </c>
      <c r="F1575" s="10" t="str">
        <f>IF(ポートフォリオ実績!F1576="","", ポートフォリオ実績!F1576)</f>
        <v/>
      </c>
      <c r="G1575" t="str">
        <f t="shared" si="264"/>
        <v/>
      </c>
      <c r="H1575">
        <f>IF(B1575&lt;&gt;"", SUMIFS(ポートフォリオ実績!$D$2:$D$2001, ポートフォリオ実績!$B$2:$B$2001, B1575, ポートフォリオ実績!$A$2:$A$2001, G1575), 0)</f>
        <v>0</v>
      </c>
      <c r="I1575">
        <f>IF(B1575&lt;&gt;"", SUMIFS(ポートフォリオ実績!$C$2:$C$2001, ポートフォリオ実績!$B$2:$B$2001, B1575, ポートフォリオ実績!$A$2:$A$2001, G1575), 0)</f>
        <v>0</v>
      </c>
      <c r="J1575">
        <f t="shared" si="265"/>
        <v>0</v>
      </c>
      <c r="K1575">
        <f t="shared" si="266"/>
        <v>0</v>
      </c>
      <c r="L1575">
        <f t="shared" si="267"/>
        <v>0</v>
      </c>
      <c r="M1575">
        <f t="shared" si="268"/>
        <v>0</v>
      </c>
      <c r="N1575">
        <f t="shared" si="269"/>
        <v>0</v>
      </c>
      <c r="O1575">
        <f t="shared" si="270"/>
        <v>0</v>
      </c>
      <c r="P1575" t="str">
        <f t="shared" si="271"/>
        <v/>
      </c>
      <c r="Q1575" t="str">
        <f>IF(B1575="","", IFERROR(VLOOKUP(B1575, '基準資産配分（設定）'!$A$2:$C$2001, 3, FALSE), ""))</f>
        <v/>
      </c>
      <c r="R1575" t="str">
        <f>IF(B1575="","", IFERROR(VLOOKUP(B1575, '基準資産配分（設定）'!$A$2:$C$2001, 2, FALSE)/100, 0))</f>
        <v/>
      </c>
      <c r="S1575" t="str">
        <f>IF(B1575="","", IFERROR(SUMIFS(ベンチマークリターン!$C$2:$C$2001, ベンチマークリターン!$A$2:$A$2001, A1575, ベンチマークリターン!$B$2:$B$2001, Q1575) / 100, 0))</f>
        <v/>
      </c>
      <c r="T1575" t="str">
        <f>IF(A1575="","", SUMIFS($H$2:$H$2000, $A$2:$A$2000, A1575))</f>
        <v/>
      </c>
      <c r="U1575" t="str">
        <f t="shared" si="272"/>
        <v/>
      </c>
      <c r="V1575" t="str">
        <f t="shared" si="273"/>
        <v/>
      </c>
      <c r="W1575" t="str">
        <f t="shared" si="274"/>
        <v/>
      </c>
    </row>
    <row r="1576" spans="1:23" x14ac:dyDescent="0.2">
      <c r="A1576" s="4" t="str">
        <f>IF(ポートフォリオ実績!A1577="","", ポートフォリオ実績!A1577)</f>
        <v/>
      </c>
      <c r="B1576" t="str">
        <f>IF(ポートフォリオ実績!B1577="","", ポートフォリオ実績!B1577)</f>
        <v/>
      </c>
      <c r="C1576" s="10" t="str">
        <f>IF(ポートフォリオ実績!C1577="","", ポートフォリオ実績!C1577)</f>
        <v/>
      </c>
      <c r="D1576" s="10" t="str">
        <f>IF(ポートフォリオ実績!D1577="","", ポートフォリオ実績!D1577)</f>
        <v/>
      </c>
      <c r="E1576" s="10" t="str">
        <f>IF(ポートフォリオ実績!E1577="","", ポートフォリオ実績!E1577)</f>
        <v/>
      </c>
      <c r="F1576" s="10" t="str">
        <f>IF(ポートフォリオ実績!F1577="","", ポートフォリオ実績!F1577)</f>
        <v/>
      </c>
      <c r="G1576" t="str">
        <f t="shared" si="264"/>
        <v/>
      </c>
      <c r="H1576">
        <f>IF(B1576&lt;&gt;"", SUMIFS(ポートフォリオ実績!$D$2:$D$2001, ポートフォリオ実績!$B$2:$B$2001, B1576, ポートフォリオ実績!$A$2:$A$2001, G1576), 0)</f>
        <v>0</v>
      </c>
      <c r="I1576">
        <f>IF(B1576&lt;&gt;"", SUMIFS(ポートフォリオ実績!$C$2:$C$2001, ポートフォリオ実績!$B$2:$B$2001, B1576, ポートフォリオ実績!$A$2:$A$2001, G1576), 0)</f>
        <v>0</v>
      </c>
      <c r="J1576">
        <f t="shared" si="265"/>
        <v>0</v>
      </c>
      <c r="K1576">
        <f t="shared" si="266"/>
        <v>0</v>
      </c>
      <c r="L1576">
        <f t="shared" si="267"/>
        <v>0</v>
      </c>
      <c r="M1576">
        <f t="shared" si="268"/>
        <v>0</v>
      </c>
      <c r="N1576">
        <f t="shared" si="269"/>
        <v>0</v>
      </c>
      <c r="O1576">
        <f t="shared" si="270"/>
        <v>0</v>
      </c>
      <c r="P1576" t="str">
        <f t="shared" si="271"/>
        <v/>
      </c>
      <c r="Q1576" t="str">
        <f>IF(B1576="","", IFERROR(VLOOKUP(B1576, '基準資産配分（設定）'!$A$2:$C$2001, 3, FALSE), ""))</f>
        <v/>
      </c>
      <c r="R1576" t="str">
        <f>IF(B1576="","", IFERROR(VLOOKUP(B1576, '基準資産配分（設定）'!$A$2:$C$2001, 2, FALSE)/100, 0))</f>
        <v/>
      </c>
      <c r="S1576" t="str">
        <f>IF(B1576="","", IFERROR(SUMIFS(ベンチマークリターン!$C$2:$C$2001, ベンチマークリターン!$A$2:$A$2001, A1576, ベンチマークリターン!$B$2:$B$2001, Q1576) / 100, 0))</f>
        <v/>
      </c>
      <c r="T1576" t="str">
        <f>IF(A1576="","", SUMIFS($H$2:$H$2000, $A$2:$A$2000, A1576))</f>
        <v/>
      </c>
      <c r="U1576" t="str">
        <f t="shared" si="272"/>
        <v/>
      </c>
      <c r="V1576" t="str">
        <f t="shared" si="273"/>
        <v/>
      </c>
      <c r="W1576" t="str">
        <f t="shared" si="274"/>
        <v/>
      </c>
    </row>
    <row r="1577" spans="1:23" x14ac:dyDescent="0.2">
      <c r="A1577" s="4" t="str">
        <f>IF(ポートフォリオ実績!A1578="","", ポートフォリオ実績!A1578)</f>
        <v/>
      </c>
      <c r="B1577" t="str">
        <f>IF(ポートフォリオ実績!B1578="","", ポートフォリオ実績!B1578)</f>
        <v/>
      </c>
      <c r="C1577" s="10" t="str">
        <f>IF(ポートフォリオ実績!C1578="","", ポートフォリオ実績!C1578)</f>
        <v/>
      </c>
      <c r="D1577" s="10" t="str">
        <f>IF(ポートフォリオ実績!D1578="","", ポートフォリオ実績!D1578)</f>
        <v/>
      </c>
      <c r="E1577" s="10" t="str">
        <f>IF(ポートフォリオ実績!E1578="","", ポートフォリオ実績!E1578)</f>
        <v/>
      </c>
      <c r="F1577" s="10" t="str">
        <f>IF(ポートフォリオ実績!F1578="","", ポートフォリオ実績!F1578)</f>
        <v/>
      </c>
      <c r="G1577" t="str">
        <f t="shared" si="264"/>
        <v/>
      </c>
      <c r="H1577">
        <f>IF(B1577&lt;&gt;"", SUMIFS(ポートフォリオ実績!$D$2:$D$2001, ポートフォリオ実績!$B$2:$B$2001, B1577, ポートフォリオ実績!$A$2:$A$2001, G1577), 0)</f>
        <v>0</v>
      </c>
      <c r="I1577">
        <f>IF(B1577&lt;&gt;"", SUMIFS(ポートフォリオ実績!$C$2:$C$2001, ポートフォリオ実績!$B$2:$B$2001, B1577, ポートフォリオ実績!$A$2:$A$2001, G1577), 0)</f>
        <v>0</v>
      </c>
      <c r="J1577">
        <f t="shared" si="265"/>
        <v>0</v>
      </c>
      <c r="K1577">
        <f t="shared" si="266"/>
        <v>0</v>
      </c>
      <c r="L1577">
        <f t="shared" si="267"/>
        <v>0</v>
      </c>
      <c r="M1577">
        <f t="shared" si="268"/>
        <v>0</v>
      </c>
      <c r="N1577">
        <f t="shared" si="269"/>
        <v>0</v>
      </c>
      <c r="O1577">
        <f t="shared" si="270"/>
        <v>0</v>
      </c>
      <c r="P1577" t="str">
        <f t="shared" si="271"/>
        <v/>
      </c>
      <c r="Q1577" t="str">
        <f>IF(B1577="","", IFERROR(VLOOKUP(B1577, '基準資産配分（設定）'!$A$2:$C$2001, 3, FALSE), ""))</f>
        <v/>
      </c>
      <c r="R1577" t="str">
        <f>IF(B1577="","", IFERROR(VLOOKUP(B1577, '基準資産配分（設定）'!$A$2:$C$2001, 2, FALSE)/100, 0))</f>
        <v/>
      </c>
      <c r="S1577" t="str">
        <f>IF(B1577="","", IFERROR(SUMIFS(ベンチマークリターン!$C$2:$C$2001, ベンチマークリターン!$A$2:$A$2001, A1577, ベンチマークリターン!$B$2:$B$2001, Q1577) / 100, 0))</f>
        <v/>
      </c>
      <c r="T1577" t="str">
        <f>IF(A1577="","", SUMIFS($H$2:$H$2000, $A$2:$A$2000, A1577))</f>
        <v/>
      </c>
      <c r="U1577" t="str">
        <f t="shared" si="272"/>
        <v/>
      </c>
      <c r="V1577" t="str">
        <f t="shared" si="273"/>
        <v/>
      </c>
      <c r="W1577" t="str">
        <f t="shared" si="274"/>
        <v/>
      </c>
    </row>
    <row r="1578" spans="1:23" x14ac:dyDescent="0.2">
      <c r="A1578" s="4" t="str">
        <f>IF(ポートフォリオ実績!A1579="","", ポートフォリオ実績!A1579)</f>
        <v/>
      </c>
      <c r="B1578" t="str">
        <f>IF(ポートフォリオ実績!B1579="","", ポートフォリオ実績!B1579)</f>
        <v/>
      </c>
      <c r="C1578" s="10" t="str">
        <f>IF(ポートフォリオ実績!C1579="","", ポートフォリオ実績!C1579)</f>
        <v/>
      </c>
      <c r="D1578" s="10" t="str">
        <f>IF(ポートフォリオ実績!D1579="","", ポートフォリオ実績!D1579)</f>
        <v/>
      </c>
      <c r="E1578" s="10" t="str">
        <f>IF(ポートフォリオ実績!E1579="","", ポートフォリオ実績!E1579)</f>
        <v/>
      </c>
      <c r="F1578" s="10" t="str">
        <f>IF(ポートフォリオ実績!F1579="","", ポートフォリオ実績!F1579)</f>
        <v/>
      </c>
      <c r="G1578" t="str">
        <f t="shared" si="264"/>
        <v/>
      </c>
      <c r="H1578">
        <f>IF(B1578&lt;&gt;"", SUMIFS(ポートフォリオ実績!$D$2:$D$2001, ポートフォリオ実績!$B$2:$B$2001, B1578, ポートフォリオ実績!$A$2:$A$2001, G1578), 0)</f>
        <v>0</v>
      </c>
      <c r="I1578">
        <f>IF(B1578&lt;&gt;"", SUMIFS(ポートフォリオ実績!$C$2:$C$2001, ポートフォリオ実績!$B$2:$B$2001, B1578, ポートフォリオ実績!$A$2:$A$2001, G1578), 0)</f>
        <v>0</v>
      </c>
      <c r="J1578">
        <f t="shared" si="265"/>
        <v>0</v>
      </c>
      <c r="K1578">
        <f t="shared" si="266"/>
        <v>0</v>
      </c>
      <c r="L1578">
        <f t="shared" si="267"/>
        <v>0</v>
      </c>
      <c r="M1578">
        <f t="shared" si="268"/>
        <v>0</v>
      </c>
      <c r="N1578">
        <f t="shared" si="269"/>
        <v>0</v>
      </c>
      <c r="O1578">
        <f t="shared" si="270"/>
        <v>0</v>
      </c>
      <c r="P1578" t="str">
        <f t="shared" si="271"/>
        <v/>
      </c>
      <c r="Q1578" t="str">
        <f>IF(B1578="","", IFERROR(VLOOKUP(B1578, '基準資産配分（設定）'!$A$2:$C$2001, 3, FALSE), ""))</f>
        <v/>
      </c>
      <c r="R1578" t="str">
        <f>IF(B1578="","", IFERROR(VLOOKUP(B1578, '基準資産配分（設定）'!$A$2:$C$2001, 2, FALSE)/100, 0))</f>
        <v/>
      </c>
      <c r="S1578" t="str">
        <f>IF(B1578="","", IFERROR(SUMIFS(ベンチマークリターン!$C$2:$C$2001, ベンチマークリターン!$A$2:$A$2001, A1578, ベンチマークリターン!$B$2:$B$2001, Q1578) / 100, 0))</f>
        <v/>
      </c>
      <c r="T1578" t="str">
        <f>IF(A1578="","", SUMIFS($H$2:$H$2000, $A$2:$A$2000, A1578))</f>
        <v/>
      </c>
      <c r="U1578" t="str">
        <f t="shared" si="272"/>
        <v/>
      </c>
      <c r="V1578" t="str">
        <f t="shared" si="273"/>
        <v/>
      </c>
      <c r="W1578" t="str">
        <f t="shared" si="274"/>
        <v/>
      </c>
    </row>
    <row r="1579" spans="1:23" x14ac:dyDescent="0.2">
      <c r="A1579" s="4" t="str">
        <f>IF(ポートフォリオ実績!A1580="","", ポートフォリオ実績!A1580)</f>
        <v/>
      </c>
      <c r="B1579" t="str">
        <f>IF(ポートフォリオ実績!B1580="","", ポートフォリオ実績!B1580)</f>
        <v/>
      </c>
      <c r="C1579" s="10" t="str">
        <f>IF(ポートフォリオ実績!C1580="","", ポートフォリオ実績!C1580)</f>
        <v/>
      </c>
      <c r="D1579" s="10" t="str">
        <f>IF(ポートフォリオ実績!D1580="","", ポートフォリオ実績!D1580)</f>
        <v/>
      </c>
      <c r="E1579" s="10" t="str">
        <f>IF(ポートフォリオ実績!E1580="","", ポートフォリオ実績!E1580)</f>
        <v/>
      </c>
      <c r="F1579" s="10" t="str">
        <f>IF(ポートフォリオ実績!F1580="","", ポートフォリオ実績!F1580)</f>
        <v/>
      </c>
      <c r="G1579" t="str">
        <f t="shared" si="264"/>
        <v/>
      </c>
      <c r="H1579">
        <f>IF(B1579&lt;&gt;"", SUMIFS(ポートフォリオ実績!$D$2:$D$2001, ポートフォリオ実績!$B$2:$B$2001, B1579, ポートフォリオ実績!$A$2:$A$2001, G1579), 0)</f>
        <v>0</v>
      </c>
      <c r="I1579">
        <f>IF(B1579&lt;&gt;"", SUMIFS(ポートフォリオ実績!$C$2:$C$2001, ポートフォリオ実績!$B$2:$B$2001, B1579, ポートフォリオ実績!$A$2:$A$2001, G1579), 0)</f>
        <v>0</v>
      </c>
      <c r="J1579">
        <f t="shared" si="265"/>
        <v>0</v>
      </c>
      <c r="K1579">
        <f t="shared" si="266"/>
        <v>0</v>
      </c>
      <c r="L1579">
        <f t="shared" si="267"/>
        <v>0</v>
      </c>
      <c r="M1579">
        <f t="shared" si="268"/>
        <v>0</v>
      </c>
      <c r="N1579">
        <f t="shared" si="269"/>
        <v>0</v>
      </c>
      <c r="O1579">
        <f t="shared" si="270"/>
        <v>0</v>
      </c>
      <c r="P1579" t="str">
        <f t="shared" si="271"/>
        <v/>
      </c>
      <c r="Q1579" t="str">
        <f>IF(B1579="","", IFERROR(VLOOKUP(B1579, '基準資産配分（設定）'!$A$2:$C$2001, 3, FALSE), ""))</f>
        <v/>
      </c>
      <c r="R1579" t="str">
        <f>IF(B1579="","", IFERROR(VLOOKUP(B1579, '基準資産配分（設定）'!$A$2:$C$2001, 2, FALSE)/100, 0))</f>
        <v/>
      </c>
      <c r="S1579" t="str">
        <f>IF(B1579="","", IFERROR(SUMIFS(ベンチマークリターン!$C$2:$C$2001, ベンチマークリターン!$A$2:$A$2001, A1579, ベンチマークリターン!$B$2:$B$2001, Q1579) / 100, 0))</f>
        <v/>
      </c>
      <c r="T1579" t="str">
        <f>IF(A1579="","", SUMIFS($H$2:$H$2000, $A$2:$A$2000, A1579))</f>
        <v/>
      </c>
      <c r="U1579" t="str">
        <f t="shared" si="272"/>
        <v/>
      </c>
      <c r="V1579" t="str">
        <f t="shared" si="273"/>
        <v/>
      </c>
      <c r="W1579" t="str">
        <f t="shared" si="274"/>
        <v/>
      </c>
    </row>
    <row r="1580" spans="1:23" x14ac:dyDescent="0.2">
      <c r="A1580" s="4" t="str">
        <f>IF(ポートフォリオ実績!A1581="","", ポートフォリオ実績!A1581)</f>
        <v/>
      </c>
      <c r="B1580" t="str">
        <f>IF(ポートフォリオ実績!B1581="","", ポートフォリオ実績!B1581)</f>
        <v/>
      </c>
      <c r="C1580" s="10" t="str">
        <f>IF(ポートフォリオ実績!C1581="","", ポートフォリオ実績!C1581)</f>
        <v/>
      </c>
      <c r="D1580" s="10" t="str">
        <f>IF(ポートフォリオ実績!D1581="","", ポートフォリオ実績!D1581)</f>
        <v/>
      </c>
      <c r="E1580" s="10" t="str">
        <f>IF(ポートフォリオ実績!E1581="","", ポートフォリオ実績!E1581)</f>
        <v/>
      </c>
      <c r="F1580" s="10" t="str">
        <f>IF(ポートフォリオ実績!F1581="","", ポートフォリオ実績!F1581)</f>
        <v/>
      </c>
      <c r="G1580" t="str">
        <f t="shared" si="264"/>
        <v/>
      </c>
      <c r="H1580">
        <f>IF(B1580&lt;&gt;"", SUMIFS(ポートフォリオ実績!$D$2:$D$2001, ポートフォリオ実績!$B$2:$B$2001, B1580, ポートフォリオ実績!$A$2:$A$2001, G1580), 0)</f>
        <v>0</v>
      </c>
      <c r="I1580">
        <f>IF(B1580&lt;&gt;"", SUMIFS(ポートフォリオ実績!$C$2:$C$2001, ポートフォリオ実績!$B$2:$B$2001, B1580, ポートフォリオ実績!$A$2:$A$2001, G1580), 0)</f>
        <v>0</v>
      </c>
      <c r="J1580">
        <f t="shared" si="265"/>
        <v>0</v>
      </c>
      <c r="K1580">
        <f t="shared" si="266"/>
        <v>0</v>
      </c>
      <c r="L1580">
        <f t="shared" si="267"/>
        <v>0</v>
      </c>
      <c r="M1580">
        <f t="shared" si="268"/>
        <v>0</v>
      </c>
      <c r="N1580">
        <f t="shared" si="269"/>
        <v>0</v>
      </c>
      <c r="O1580">
        <f t="shared" si="270"/>
        <v>0</v>
      </c>
      <c r="P1580" t="str">
        <f t="shared" si="271"/>
        <v/>
      </c>
      <c r="Q1580" t="str">
        <f>IF(B1580="","", IFERROR(VLOOKUP(B1580, '基準資産配分（設定）'!$A$2:$C$2001, 3, FALSE), ""))</f>
        <v/>
      </c>
      <c r="R1580" t="str">
        <f>IF(B1580="","", IFERROR(VLOOKUP(B1580, '基準資産配分（設定）'!$A$2:$C$2001, 2, FALSE)/100, 0))</f>
        <v/>
      </c>
      <c r="S1580" t="str">
        <f>IF(B1580="","", IFERROR(SUMIFS(ベンチマークリターン!$C$2:$C$2001, ベンチマークリターン!$A$2:$A$2001, A1580, ベンチマークリターン!$B$2:$B$2001, Q1580) / 100, 0))</f>
        <v/>
      </c>
      <c r="T1580" t="str">
        <f>IF(A1580="","", SUMIFS($H$2:$H$2000, $A$2:$A$2000, A1580))</f>
        <v/>
      </c>
      <c r="U1580" t="str">
        <f t="shared" si="272"/>
        <v/>
      </c>
      <c r="V1580" t="str">
        <f t="shared" si="273"/>
        <v/>
      </c>
      <c r="W1580" t="str">
        <f t="shared" si="274"/>
        <v/>
      </c>
    </row>
    <row r="1581" spans="1:23" x14ac:dyDescent="0.2">
      <c r="A1581" s="4" t="str">
        <f>IF(ポートフォリオ実績!A1582="","", ポートフォリオ実績!A1582)</f>
        <v/>
      </c>
      <c r="B1581" t="str">
        <f>IF(ポートフォリオ実績!B1582="","", ポートフォリオ実績!B1582)</f>
        <v/>
      </c>
      <c r="C1581" s="10" t="str">
        <f>IF(ポートフォリオ実績!C1582="","", ポートフォリオ実績!C1582)</f>
        <v/>
      </c>
      <c r="D1581" s="10" t="str">
        <f>IF(ポートフォリオ実績!D1582="","", ポートフォリオ実績!D1582)</f>
        <v/>
      </c>
      <c r="E1581" s="10" t="str">
        <f>IF(ポートフォリオ実績!E1582="","", ポートフォリオ実績!E1582)</f>
        <v/>
      </c>
      <c r="F1581" s="10" t="str">
        <f>IF(ポートフォリオ実績!F1582="","", ポートフォリオ実績!F1582)</f>
        <v/>
      </c>
      <c r="G1581" t="str">
        <f t="shared" si="264"/>
        <v/>
      </c>
      <c r="H1581">
        <f>IF(B1581&lt;&gt;"", SUMIFS(ポートフォリオ実績!$D$2:$D$2001, ポートフォリオ実績!$B$2:$B$2001, B1581, ポートフォリオ実績!$A$2:$A$2001, G1581), 0)</f>
        <v>0</v>
      </c>
      <c r="I1581">
        <f>IF(B1581&lt;&gt;"", SUMIFS(ポートフォリオ実績!$C$2:$C$2001, ポートフォリオ実績!$B$2:$B$2001, B1581, ポートフォリオ実績!$A$2:$A$2001, G1581), 0)</f>
        <v>0</v>
      </c>
      <c r="J1581">
        <f t="shared" si="265"/>
        <v>0</v>
      </c>
      <c r="K1581">
        <f t="shared" si="266"/>
        <v>0</v>
      </c>
      <c r="L1581">
        <f t="shared" si="267"/>
        <v>0</v>
      </c>
      <c r="M1581">
        <f t="shared" si="268"/>
        <v>0</v>
      </c>
      <c r="N1581">
        <f t="shared" si="269"/>
        <v>0</v>
      </c>
      <c r="O1581">
        <f t="shared" si="270"/>
        <v>0</v>
      </c>
      <c r="P1581" t="str">
        <f t="shared" si="271"/>
        <v/>
      </c>
      <c r="Q1581" t="str">
        <f>IF(B1581="","", IFERROR(VLOOKUP(B1581, '基準資産配分（設定）'!$A$2:$C$2001, 3, FALSE), ""))</f>
        <v/>
      </c>
      <c r="R1581" t="str">
        <f>IF(B1581="","", IFERROR(VLOOKUP(B1581, '基準資産配分（設定）'!$A$2:$C$2001, 2, FALSE)/100, 0))</f>
        <v/>
      </c>
      <c r="S1581" t="str">
        <f>IF(B1581="","", IFERROR(SUMIFS(ベンチマークリターン!$C$2:$C$2001, ベンチマークリターン!$A$2:$A$2001, A1581, ベンチマークリターン!$B$2:$B$2001, Q1581) / 100, 0))</f>
        <v/>
      </c>
      <c r="T1581" t="str">
        <f>IF(A1581="","", SUMIFS($H$2:$H$2000, $A$2:$A$2000, A1581))</f>
        <v/>
      </c>
      <c r="U1581" t="str">
        <f t="shared" si="272"/>
        <v/>
      </c>
      <c r="V1581" t="str">
        <f t="shared" si="273"/>
        <v/>
      </c>
      <c r="W1581" t="str">
        <f t="shared" si="274"/>
        <v/>
      </c>
    </row>
    <row r="1582" spans="1:23" x14ac:dyDescent="0.2">
      <c r="A1582" s="4" t="str">
        <f>IF(ポートフォリオ実績!A1583="","", ポートフォリオ実績!A1583)</f>
        <v/>
      </c>
      <c r="B1582" t="str">
        <f>IF(ポートフォリオ実績!B1583="","", ポートフォリオ実績!B1583)</f>
        <v/>
      </c>
      <c r="C1582" s="10" t="str">
        <f>IF(ポートフォリオ実績!C1583="","", ポートフォリオ実績!C1583)</f>
        <v/>
      </c>
      <c r="D1582" s="10" t="str">
        <f>IF(ポートフォリオ実績!D1583="","", ポートフォリオ実績!D1583)</f>
        <v/>
      </c>
      <c r="E1582" s="10" t="str">
        <f>IF(ポートフォリオ実績!E1583="","", ポートフォリオ実績!E1583)</f>
        <v/>
      </c>
      <c r="F1582" s="10" t="str">
        <f>IF(ポートフォリオ実績!F1583="","", ポートフォリオ実績!F1583)</f>
        <v/>
      </c>
      <c r="G1582" t="str">
        <f t="shared" si="264"/>
        <v/>
      </c>
      <c r="H1582">
        <f>IF(B1582&lt;&gt;"", SUMIFS(ポートフォリオ実績!$D$2:$D$2001, ポートフォリオ実績!$B$2:$B$2001, B1582, ポートフォリオ実績!$A$2:$A$2001, G1582), 0)</f>
        <v>0</v>
      </c>
      <c r="I1582">
        <f>IF(B1582&lt;&gt;"", SUMIFS(ポートフォリオ実績!$C$2:$C$2001, ポートフォリオ実績!$B$2:$B$2001, B1582, ポートフォリオ実績!$A$2:$A$2001, G1582), 0)</f>
        <v>0</v>
      </c>
      <c r="J1582">
        <f t="shared" si="265"/>
        <v>0</v>
      </c>
      <c r="K1582">
        <f t="shared" si="266"/>
        <v>0</v>
      </c>
      <c r="L1582">
        <f t="shared" si="267"/>
        <v>0</v>
      </c>
      <c r="M1582">
        <f t="shared" si="268"/>
        <v>0</v>
      </c>
      <c r="N1582">
        <f t="shared" si="269"/>
        <v>0</v>
      </c>
      <c r="O1582">
        <f t="shared" si="270"/>
        <v>0</v>
      </c>
      <c r="P1582" t="str">
        <f t="shared" si="271"/>
        <v/>
      </c>
      <c r="Q1582" t="str">
        <f>IF(B1582="","", IFERROR(VLOOKUP(B1582, '基準資産配分（設定）'!$A$2:$C$2001, 3, FALSE), ""))</f>
        <v/>
      </c>
      <c r="R1582" t="str">
        <f>IF(B1582="","", IFERROR(VLOOKUP(B1582, '基準資産配分（設定）'!$A$2:$C$2001, 2, FALSE)/100, 0))</f>
        <v/>
      </c>
      <c r="S1582" t="str">
        <f>IF(B1582="","", IFERROR(SUMIFS(ベンチマークリターン!$C$2:$C$2001, ベンチマークリターン!$A$2:$A$2001, A1582, ベンチマークリターン!$B$2:$B$2001, Q1582) / 100, 0))</f>
        <v/>
      </c>
      <c r="T1582" t="str">
        <f>IF(A1582="","", SUMIFS($H$2:$H$2000, $A$2:$A$2000, A1582))</f>
        <v/>
      </c>
      <c r="U1582" t="str">
        <f t="shared" si="272"/>
        <v/>
      </c>
      <c r="V1582" t="str">
        <f t="shared" si="273"/>
        <v/>
      </c>
      <c r="W1582" t="str">
        <f t="shared" si="274"/>
        <v/>
      </c>
    </row>
    <row r="1583" spans="1:23" x14ac:dyDescent="0.2">
      <c r="A1583" s="4" t="str">
        <f>IF(ポートフォリオ実績!A1584="","", ポートフォリオ実績!A1584)</f>
        <v/>
      </c>
      <c r="B1583" t="str">
        <f>IF(ポートフォリオ実績!B1584="","", ポートフォリオ実績!B1584)</f>
        <v/>
      </c>
      <c r="C1583" s="10" t="str">
        <f>IF(ポートフォリオ実績!C1584="","", ポートフォリオ実績!C1584)</f>
        <v/>
      </c>
      <c r="D1583" s="10" t="str">
        <f>IF(ポートフォリオ実績!D1584="","", ポートフォリオ実績!D1584)</f>
        <v/>
      </c>
      <c r="E1583" s="10" t="str">
        <f>IF(ポートフォリオ実績!E1584="","", ポートフォリオ実績!E1584)</f>
        <v/>
      </c>
      <c r="F1583" s="10" t="str">
        <f>IF(ポートフォリオ実績!F1584="","", ポートフォリオ実績!F1584)</f>
        <v/>
      </c>
      <c r="G1583" t="str">
        <f t="shared" si="264"/>
        <v/>
      </c>
      <c r="H1583">
        <f>IF(B1583&lt;&gt;"", SUMIFS(ポートフォリオ実績!$D$2:$D$2001, ポートフォリオ実績!$B$2:$B$2001, B1583, ポートフォリオ実績!$A$2:$A$2001, G1583), 0)</f>
        <v>0</v>
      </c>
      <c r="I1583">
        <f>IF(B1583&lt;&gt;"", SUMIFS(ポートフォリオ実績!$C$2:$C$2001, ポートフォリオ実績!$B$2:$B$2001, B1583, ポートフォリオ実績!$A$2:$A$2001, G1583), 0)</f>
        <v>0</v>
      </c>
      <c r="J1583">
        <f t="shared" si="265"/>
        <v>0</v>
      </c>
      <c r="K1583">
        <f t="shared" si="266"/>
        <v>0</v>
      </c>
      <c r="L1583">
        <f t="shared" si="267"/>
        <v>0</v>
      </c>
      <c r="M1583">
        <f t="shared" si="268"/>
        <v>0</v>
      </c>
      <c r="N1583">
        <f t="shared" si="269"/>
        <v>0</v>
      </c>
      <c r="O1583">
        <f t="shared" si="270"/>
        <v>0</v>
      </c>
      <c r="P1583" t="str">
        <f t="shared" si="271"/>
        <v/>
      </c>
      <c r="Q1583" t="str">
        <f>IF(B1583="","", IFERROR(VLOOKUP(B1583, '基準資産配分（設定）'!$A$2:$C$2001, 3, FALSE), ""))</f>
        <v/>
      </c>
      <c r="R1583" t="str">
        <f>IF(B1583="","", IFERROR(VLOOKUP(B1583, '基準資産配分（設定）'!$A$2:$C$2001, 2, FALSE)/100, 0))</f>
        <v/>
      </c>
      <c r="S1583" t="str">
        <f>IF(B1583="","", IFERROR(SUMIFS(ベンチマークリターン!$C$2:$C$2001, ベンチマークリターン!$A$2:$A$2001, A1583, ベンチマークリターン!$B$2:$B$2001, Q1583) / 100, 0))</f>
        <v/>
      </c>
      <c r="T1583" t="str">
        <f>IF(A1583="","", SUMIFS($H$2:$H$2000, $A$2:$A$2000, A1583))</f>
        <v/>
      </c>
      <c r="U1583" t="str">
        <f t="shared" si="272"/>
        <v/>
      </c>
      <c r="V1583" t="str">
        <f t="shared" si="273"/>
        <v/>
      </c>
      <c r="W1583" t="str">
        <f t="shared" si="274"/>
        <v/>
      </c>
    </row>
    <row r="1584" spans="1:23" x14ac:dyDescent="0.2">
      <c r="A1584" s="4" t="str">
        <f>IF(ポートフォリオ実績!A1585="","", ポートフォリオ実績!A1585)</f>
        <v/>
      </c>
      <c r="B1584" t="str">
        <f>IF(ポートフォリオ実績!B1585="","", ポートフォリオ実績!B1585)</f>
        <v/>
      </c>
      <c r="C1584" s="10" t="str">
        <f>IF(ポートフォリオ実績!C1585="","", ポートフォリオ実績!C1585)</f>
        <v/>
      </c>
      <c r="D1584" s="10" t="str">
        <f>IF(ポートフォリオ実績!D1585="","", ポートフォリオ実績!D1585)</f>
        <v/>
      </c>
      <c r="E1584" s="10" t="str">
        <f>IF(ポートフォリオ実績!E1585="","", ポートフォリオ実績!E1585)</f>
        <v/>
      </c>
      <c r="F1584" s="10" t="str">
        <f>IF(ポートフォリオ実績!F1585="","", ポートフォリオ実績!F1585)</f>
        <v/>
      </c>
      <c r="G1584" t="str">
        <f t="shared" si="264"/>
        <v/>
      </c>
      <c r="H1584">
        <f>IF(B1584&lt;&gt;"", SUMIFS(ポートフォリオ実績!$D$2:$D$2001, ポートフォリオ実績!$B$2:$B$2001, B1584, ポートフォリオ実績!$A$2:$A$2001, G1584), 0)</f>
        <v>0</v>
      </c>
      <c r="I1584">
        <f>IF(B1584&lt;&gt;"", SUMIFS(ポートフォリオ実績!$C$2:$C$2001, ポートフォリオ実績!$B$2:$B$2001, B1584, ポートフォリオ実績!$A$2:$A$2001, G1584), 0)</f>
        <v>0</v>
      </c>
      <c r="J1584">
        <f t="shared" si="265"/>
        <v>0</v>
      </c>
      <c r="K1584">
        <f t="shared" si="266"/>
        <v>0</v>
      </c>
      <c r="L1584">
        <f t="shared" si="267"/>
        <v>0</v>
      </c>
      <c r="M1584">
        <f t="shared" si="268"/>
        <v>0</v>
      </c>
      <c r="N1584">
        <f t="shared" si="269"/>
        <v>0</v>
      </c>
      <c r="O1584">
        <f t="shared" si="270"/>
        <v>0</v>
      </c>
      <c r="P1584" t="str">
        <f t="shared" si="271"/>
        <v/>
      </c>
      <c r="Q1584" t="str">
        <f>IF(B1584="","", IFERROR(VLOOKUP(B1584, '基準資産配分（設定）'!$A$2:$C$2001, 3, FALSE), ""))</f>
        <v/>
      </c>
      <c r="R1584" t="str">
        <f>IF(B1584="","", IFERROR(VLOOKUP(B1584, '基準資産配分（設定）'!$A$2:$C$2001, 2, FALSE)/100, 0))</f>
        <v/>
      </c>
      <c r="S1584" t="str">
        <f>IF(B1584="","", IFERROR(SUMIFS(ベンチマークリターン!$C$2:$C$2001, ベンチマークリターン!$A$2:$A$2001, A1584, ベンチマークリターン!$B$2:$B$2001, Q1584) / 100, 0))</f>
        <v/>
      </c>
      <c r="T1584" t="str">
        <f>IF(A1584="","", SUMIFS($H$2:$H$2000, $A$2:$A$2000, A1584))</f>
        <v/>
      </c>
      <c r="U1584" t="str">
        <f t="shared" si="272"/>
        <v/>
      </c>
      <c r="V1584" t="str">
        <f t="shared" si="273"/>
        <v/>
      </c>
      <c r="W1584" t="str">
        <f t="shared" si="274"/>
        <v/>
      </c>
    </row>
    <row r="1585" spans="1:23" x14ac:dyDescent="0.2">
      <c r="A1585" s="4" t="str">
        <f>IF(ポートフォリオ実績!A1586="","", ポートフォリオ実績!A1586)</f>
        <v/>
      </c>
      <c r="B1585" t="str">
        <f>IF(ポートフォリオ実績!B1586="","", ポートフォリオ実績!B1586)</f>
        <v/>
      </c>
      <c r="C1585" s="10" t="str">
        <f>IF(ポートフォリオ実績!C1586="","", ポートフォリオ実績!C1586)</f>
        <v/>
      </c>
      <c r="D1585" s="10" t="str">
        <f>IF(ポートフォリオ実績!D1586="","", ポートフォリオ実績!D1586)</f>
        <v/>
      </c>
      <c r="E1585" s="10" t="str">
        <f>IF(ポートフォリオ実績!E1586="","", ポートフォリオ実績!E1586)</f>
        <v/>
      </c>
      <c r="F1585" s="10" t="str">
        <f>IF(ポートフォリオ実績!F1586="","", ポートフォリオ実績!F1586)</f>
        <v/>
      </c>
      <c r="G1585" t="str">
        <f t="shared" si="264"/>
        <v/>
      </c>
      <c r="H1585">
        <f>IF(B1585&lt;&gt;"", SUMIFS(ポートフォリオ実績!$D$2:$D$2001, ポートフォリオ実績!$B$2:$B$2001, B1585, ポートフォリオ実績!$A$2:$A$2001, G1585), 0)</f>
        <v>0</v>
      </c>
      <c r="I1585">
        <f>IF(B1585&lt;&gt;"", SUMIFS(ポートフォリオ実績!$C$2:$C$2001, ポートフォリオ実績!$B$2:$B$2001, B1585, ポートフォリオ実績!$A$2:$A$2001, G1585), 0)</f>
        <v>0</v>
      </c>
      <c r="J1585">
        <f t="shared" si="265"/>
        <v>0</v>
      </c>
      <c r="K1585">
        <f t="shared" si="266"/>
        <v>0</v>
      </c>
      <c r="L1585">
        <f t="shared" si="267"/>
        <v>0</v>
      </c>
      <c r="M1585">
        <f t="shared" si="268"/>
        <v>0</v>
      </c>
      <c r="N1585">
        <f t="shared" si="269"/>
        <v>0</v>
      </c>
      <c r="O1585">
        <f t="shared" si="270"/>
        <v>0</v>
      </c>
      <c r="P1585" t="str">
        <f t="shared" si="271"/>
        <v/>
      </c>
      <c r="Q1585" t="str">
        <f>IF(B1585="","", IFERROR(VLOOKUP(B1585, '基準資産配分（設定）'!$A$2:$C$2001, 3, FALSE), ""))</f>
        <v/>
      </c>
      <c r="R1585" t="str">
        <f>IF(B1585="","", IFERROR(VLOOKUP(B1585, '基準資産配分（設定）'!$A$2:$C$2001, 2, FALSE)/100, 0))</f>
        <v/>
      </c>
      <c r="S1585" t="str">
        <f>IF(B1585="","", IFERROR(SUMIFS(ベンチマークリターン!$C$2:$C$2001, ベンチマークリターン!$A$2:$A$2001, A1585, ベンチマークリターン!$B$2:$B$2001, Q1585) / 100, 0))</f>
        <v/>
      </c>
      <c r="T1585" t="str">
        <f>IF(A1585="","", SUMIFS($H$2:$H$2000, $A$2:$A$2000, A1585))</f>
        <v/>
      </c>
      <c r="U1585" t="str">
        <f t="shared" si="272"/>
        <v/>
      </c>
      <c r="V1585" t="str">
        <f t="shared" si="273"/>
        <v/>
      </c>
      <c r="W1585" t="str">
        <f t="shared" si="274"/>
        <v/>
      </c>
    </row>
    <row r="1586" spans="1:23" x14ac:dyDescent="0.2">
      <c r="A1586" s="4" t="str">
        <f>IF(ポートフォリオ実績!A1587="","", ポートフォリオ実績!A1587)</f>
        <v/>
      </c>
      <c r="B1586" t="str">
        <f>IF(ポートフォリオ実績!B1587="","", ポートフォリオ実績!B1587)</f>
        <v/>
      </c>
      <c r="C1586" s="10" t="str">
        <f>IF(ポートフォリオ実績!C1587="","", ポートフォリオ実績!C1587)</f>
        <v/>
      </c>
      <c r="D1586" s="10" t="str">
        <f>IF(ポートフォリオ実績!D1587="","", ポートフォリオ実績!D1587)</f>
        <v/>
      </c>
      <c r="E1586" s="10" t="str">
        <f>IF(ポートフォリオ実績!E1587="","", ポートフォリオ実績!E1587)</f>
        <v/>
      </c>
      <c r="F1586" s="10" t="str">
        <f>IF(ポートフォリオ実績!F1587="","", ポートフォリオ実績!F1587)</f>
        <v/>
      </c>
      <c r="G1586" t="str">
        <f t="shared" si="264"/>
        <v/>
      </c>
      <c r="H1586">
        <f>IF(B1586&lt;&gt;"", SUMIFS(ポートフォリオ実績!$D$2:$D$2001, ポートフォリオ実績!$B$2:$B$2001, B1586, ポートフォリオ実績!$A$2:$A$2001, G1586), 0)</f>
        <v>0</v>
      </c>
      <c r="I1586">
        <f>IF(B1586&lt;&gt;"", SUMIFS(ポートフォリオ実績!$C$2:$C$2001, ポートフォリオ実績!$B$2:$B$2001, B1586, ポートフォリオ実績!$A$2:$A$2001, G1586), 0)</f>
        <v>0</v>
      </c>
      <c r="J1586">
        <f t="shared" si="265"/>
        <v>0</v>
      </c>
      <c r="K1586">
        <f t="shared" si="266"/>
        <v>0</v>
      </c>
      <c r="L1586">
        <f t="shared" si="267"/>
        <v>0</v>
      </c>
      <c r="M1586">
        <f t="shared" si="268"/>
        <v>0</v>
      </c>
      <c r="N1586">
        <f t="shared" si="269"/>
        <v>0</v>
      </c>
      <c r="O1586">
        <f t="shared" si="270"/>
        <v>0</v>
      </c>
      <c r="P1586" t="str">
        <f t="shared" si="271"/>
        <v/>
      </c>
      <c r="Q1586" t="str">
        <f>IF(B1586="","", IFERROR(VLOOKUP(B1586, '基準資産配分（設定）'!$A$2:$C$2001, 3, FALSE), ""))</f>
        <v/>
      </c>
      <c r="R1586" t="str">
        <f>IF(B1586="","", IFERROR(VLOOKUP(B1586, '基準資産配分（設定）'!$A$2:$C$2001, 2, FALSE)/100, 0))</f>
        <v/>
      </c>
      <c r="S1586" t="str">
        <f>IF(B1586="","", IFERROR(SUMIFS(ベンチマークリターン!$C$2:$C$2001, ベンチマークリターン!$A$2:$A$2001, A1586, ベンチマークリターン!$B$2:$B$2001, Q1586) / 100, 0))</f>
        <v/>
      </c>
      <c r="T1586" t="str">
        <f>IF(A1586="","", SUMIFS($H$2:$H$2000, $A$2:$A$2000, A1586))</f>
        <v/>
      </c>
      <c r="U1586" t="str">
        <f t="shared" si="272"/>
        <v/>
      </c>
      <c r="V1586" t="str">
        <f t="shared" si="273"/>
        <v/>
      </c>
      <c r="W1586" t="str">
        <f t="shared" si="274"/>
        <v/>
      </c>
    </row>
    <row r="1587" spans="1:23" x14ac:dyDescent="0.2">
      <c r="A1587" s="4" t="str">
        <f>IF(ポートフォリオ実績!A1588="","", ポートフォリオ実績!A1588)</f>
        <v/>
      </c>
      <c r="B1587" t="str">
        <f>IF(ポートフォリオ実績!B1588="","", ポートフォリオ実績!B1588)</f>
        <v/>
      </c>
      <c r="C1587" s="10" t="str">
        <f>IF(ポートフォリオ実績!C1588="","", ポートフォリオ実績!C1588)</f>
        <v/>
      </c>
      <c r="D1587" s="10" t="str">
        <f>IF(ポートフォリオ実績!D1588="","", ポートフォリオ実績!D1588)</f>
        <v/>
      </c>
      <c r="E1587" s="10" t="str">
        <f>IF(ポートフォリオ実績!E1588="","", ポートフォリオ実績!E1588)</f>
        <v/>
      </c>
      <c r="F1587" s="10" t="str">
        <f>IF(ポートフォリオ実績!F1588="","", ポートフォリオ実績!F1588)</f>
        <v/>
      </c>
      <c r="G1587" t="str">
        <f t="shared" si="264"/>
        <v/>
      </c>
      <c r="H1587">
        <f>IF(B1587&lt;&gt;"", SUMIFS(ポートフォリオ実績!$D$2:$D$2001, ポートフォリオ実績!$B$2:$B$2001, B1587, ポートフォリオ実績!$A$2:$A$2001, G1587), 0)</f>
        <v>0</v>
      </c>
      <c r="I1587">
        <f>IF(B1587&lt;&gt;"", SUMIFS(ポートフォリオ実績!$C$2:$C$2001, ポートフォリオ実績!$B$2:$B$2001, B1587, ポートフォリオ実績!$A$2:$A$2001, G1587), 0)</f>
        <v>0</v>
      </c>
      <c r="J1587">
        <f t="shared" si="265"/>
        <v>0</v>
      </c>
      <c r="K1587">
        <f t="shared" si="266"/>
        <v>0</v>
      </c>
      <c r="L1587">
        <f t="shared" si="267"/>
        <v>0</v>
      </c>
      <c r="M1587">
        <f t="shared" si="268"/>
        <v>0</v>
      </c>
      <c r="N1587">
        <f t="shared" si="269"/>
        <v>0</v>
      </c>
      <c r="O1587">
        <f t="shared" si="270"/>
        <v>0</v>
      </c>
      <c r="P1587" t="str">
        <f t="shared" si="271"/>
        <v/>
      </c>
      <c r="Q1587" t="str">
        <f>IF(B1587="","", IFERROR(VLOOKUP(B1587, '基準資産配分（設定）'!$A$2:$C$2001, 3, FALSE), ""))</f>
        <v/>
      </c>
      <c r="R1587" t="str">
        <f>IF(B1587="","", IFERROR(VLOOKUP(B1587, '基準資産配分（設定）'!$A$2:$C$2001, 2, FALSE)/100, 0))</f>
        <v/>
      </c>
      <c r="S1587" t="str">
        <f>IF(B1587="","", IFERROR(SUMIFS(ベンチマークリターン!$C$2:$C$2001, ベンチマークリターン!$A$2:$A$2001, A1587, ベンチマークリターン!$B$2:$B$2001, Q1587) / 100, 0))</f>
        <v/>
      </c>
      <c r="T1587" t="str">
        <f>IF(A1587="","", SUMIFS($H$2:$H$2000, $A$2:$A$2000, A1587))</f>
        <v/>
      </c>
      <c r="U1587" t="str">
        <f t="shared" si="272"/>
        <v/>
      </c>
      <c r="V1587" t="str">
        <f t="shared" si="273"/>
        <v/>
      </c>
      <c r="W1587" t="str">
        <f t="shared" si="274"/>
        <v/>
      </c>
    </row>
    <row r="1588" spans="1:23" x14ac:dyDescent="0.2">
      <c r="A1588" s="4" t="str">
        <f>IF(ポートフォリオ実績!A1589="","", ポートフォリオ実績!A1589)</f>
        <v/>
      </c>
      <c r="B1588" t="str">
        <f>IF(ポートフォリオ実績!B1589="","", ポートフォリオ実績!B1589)</f>
        <v/>
      </c>
      <c r="C1588" s="10" t="str">
        <f>IF(ポートフォリオ実績!C1589="","", ポートフォリオ実績!C1589)</f>
        <v/>
      </c>
      <c r="D1588" s="10" t="str">
        <f>IF(ポートフォリオ実績!D1589="","", ポートフォリオ実績!D1589)</f>
        <v/>
      </c>
      <c r="E1588" s="10" t="str">
        <f>IF(ポートフォリオ実績!E1589="","", ポートフォリオ実績!E1589)</f>
        <v/>
      </c>
      <c r="F1588" s="10" t="str">
        <f>IF(ポートフォリオ実績!F1589="","", ポートフォリオ実績!F1589)</f>
        <v/>
      </c>
      <c r="G1588" t="str">
        <f t="shared" si="264"/>
        <v/>
      </c>
      <c r="H1588">
        <f>IF(B1588&lt;&gt;"", SUMIFS(ポートフォリオ実績!$D$2:$D$2001, ポートフォリオ実績!$B$2:$B$2001, B1588, ポートフォリオ実績!$A$2:$A$2001, G1588), 0)</f>
        <v>0</v>
      </c>
      <c r="I1588">
        <f>IF(B1588&lt;&gt;"", SUMIFS(ポートフォリオ実績!$C$2:$C$2001, ポートフォリオ実績!$B$2:$B$2001, B1588, ポートフォリオ実績!$A$2:$A$2001, G1588), 0)</f>
        <v>0</v>
      </c>
      <c r="J1588">
        <f t="shared" si="265"/>
        <v>0</v>
      </c>
      <c r="K1588">
        <f t="shared" si="266"/>
        <v>0</v>
      </c>
      <c r="L1588">
        <f t="shared" si="267"/>
        <v>0</v>
      </c>
      <c r="M1588">
        <f t="shared" si="268"/>
        <v>0</v>
      </c>
      <c r="N1588">
        <f t="shared" si="269"/>
        <v>0</v>
      </c>
      <c r="O1588">
        <f t="shared" si="270"/>
        <v>0</v>
      </c>
      <c r="P1588" t="str">
        <f t="shared" si="271"/>
        <v/>
      </c>
      <c r="Q1588" t="str">
        <f>IF(B1588="","", IFERROR(VLOOKUP(B1588, '基準資産配分（設定）'!$A$2:$C$2001, 3, FALSE), ""))</f>
        <v/>
      </c>
      <c r="R1588" t="str">
        <f>IF(B1588="","", IFERROR(VLOOKUP(B1588, '基準資産配分（設定）'!$A$2:$C$2001, 2, FALSE)/100, 0))</f>
        <v/>
      </c>
      <c r="S1588" t="str">
        <f>IF(B1588="","", IFERROR(SUMIFS(ベンチマークリターン!$C$2:$C$2001, ベンチマークリターン!$A$2:$A$2001, A1588, ベンチマークリターン!$B$2:$B$2001, Q1588) / 100, 0))</f>
        <v/>
      </c>
      <c r="T1588" t="str">
        <f>IF(A1588="","", SUMIFS($H$2:$H$2000, $A$2:$A$2000, A1588))</f>
        <v/>
      </c>
      <c r="U1588" t="str">
        <f t="shared" si="272"/>
        <v/>
      </c>
      <c r="V1588" t="str">
        <f t="shared" si="273"/>
        <v/>
      </c>
      <c r="W1588" t="str">
        <f t="shared" si="274"/>
        <v/>
      </c>
    </row>
    <row r="1589" spans="1:23" x14ac:dyDescent="0.2">
      <c r="A1589" s="4" t="str">
        <f>IF(ポートフォリオ実績!A1590="","", ポートフォリオ実績!A1590)</f>
        <v/>
      </c>
      <c r="B1589" t="str">
        <f>IF(ポートフォリオ実績!B1590="","", ポートフォリオ実績!B1590)</f>
        <v/>
      </c>
      <c r="C1589" s="10" t="str">
        <f>IF(ポートフォリオ実績!C1590="","", ポートフォリオ実績!C1590)</f>
        <v/>
      </c>
      <c r="D1589" s="10" t="str">
        <f>IF(ポートフォリオ実績!D1590="","", ポートフォリオ実績!D1590)</f>
        <v/>
      </c>
      <c r="E1589" s="10" t="str">
        <f>IF(ポートフォリオ実績!E1590="","", ポートフォリオ実績!E1590)</f>
        <v/>
      </c>
      <c r="F1589" s="10" t="str">
        <f>IF(ポートフォリオ実績!F1590="","", ポートフォリオ実績!F1590)</f>
        <v/>
      </c>
      <c r="G1589" t="str">
        <f t="shared" si="264"/>
        <v/>
      </c>
      <c r="H1589">
        <f>IF(B1589&lt;&gt;"", SUMIFS(ポートフォリオ実績!$D$2:$D$2001, ポートフォリオ実績!$B$2:$B$2001, B1589, ポートフォリオ実績!$A$2:$A$2001, G1589), 0)</f>
        <v>0</v>
      </c>
      <c r="I1589">
        <f>IF(B1589&lt;&gt;"", SUMIFS(ポートフォリオ実績!$C$2:$C$2001, ポートフォリオ実績!$B$2:$B$2001, B1589, ポートフォリオ実績!$A$2:$A$2001, G1589), 0)</f>
        <v>0</v>
      </c>
      <c r="J1589">
        <f t="shared" si="265"/>
        <v>0</v>
      </c>
      <c r="K1589">
        <f t="shared" si="266"/>
        <v>0</v>
      </c>
      <c r="L1589">
        <f t="shared" si="267"/>
        <v>0</v>
      </c>
      <c r="M1589">
        <f t="shared" si="268"/>
        <v>0</v>
      </c>
      <c r="N1589">
        <f t="shared" si="269"/>
        <v>0</v>
      </c>
      <c r="O1589">
        <f t="shared" si="270"/>
        <v>0</v>
      </c>
      <c r="P1589" t="str">
        <f t="shared" si="271"/>
        <v/>
      </c>
      <c r="Q1589" t="str">
        <f>IF(B1589="","", IFERROR(VLOOKUP(B1589, '基準資産配分（設定）'!$A$2:$C$2001, 3, FALSE), ""))</f>
        <v/>
      </c>
      <c r="R1589" t="str">
        <f>IF(B1589="","", IFERROR(VLOOKUP(B1589, '基準資産配分（設定）'!$A$2:$C$2001, 2, FALSE)/100, 0))</f>
        <v/>
      </c>
      <c r="S1589" t="str">
        <f>IF(B1589="","", IFERROR(SUMIFS(ベンチマークリターン!$C$2:$C$2001, ベンチマークリターン!$A$2:$A$2001, A1589, ベンチマークリターン!$B$2:$B$2001, Q1589) / 100, 0))</f>
        <v/>
      </c>
      <c r="T1589" t="str">
        <f>IF(A1589="","", SUMIFS($H$2:$H$2000, $A$2:$A$2000, A1589))</f>
        <v/>
      </c>
      <c r="U1589" t="str">
        <f t="shared" si="272"/>
        <v/>
      </c>
      <c r="V1589" t="str">
        <f t="shared" si="273"/>
        <v/>
      </c>
      <c r="W1589" t="str">
        <f t="shared" si="274"/>
        <v/>
      </c>
    </row>
    <row r="1590" spans="1:23" x14ac:dyDescent="0.2">
      <c r="A1590" s="4" t="str">
        <f>IF(ポートフォリオ実績!A1591="","", ポートフォリオ実績!A1591)</f>
        <v/>
      </c>
      <c r="B1590" t="str">
        <f>IF(ポートフォリオ実績!B1591="","", ポートフォリオ実績!B1591)</f>
        <v/>
      </c>
      <c r="C1590" s="10" t="str">
        <f>IF(ポートフォリオ実績!C1591="","", ポートフォリオ実績!C1591)</f>
        <v/>
      </c>
      <c r="D1590" s="10" t="str">
        <f>IF(ポートフォリオ実績!D1591="","", ポートフォリオ実績!D1591)</f>
        <v/>
      </c>
      <c r="E1590" s="10" t="str">
        <f>IF(ポートフォリオ実績!E1591="","", ポートフォリオ実績!E1591)</f>
        <v/>
      </c>
      <c r="F1590" s="10" t="str">
        <f>IF(ポートフォリオ実績!F1591="","", ポートフォリオ実績!F1591)</f>
        <v/>
      </c>
      <c r="G1590" t="str">
        <f t="shared" si="264"/>
        <v/>
      </c>
      <c r="H1590">
        <f>IF(B1590&lt;&gt;"", SUMIFS(ポートフォリオ実績!$D$2:$D$2001, ポートフォリオ実績!$B$2:$B$2001, B1590, ポートフォリオ実績!$A$2:$A$2001, G1590), 0)</f>
        <v>0</v>
      </c>
      <c r="I1590">
        <f>IF(B1590&lt;&gt;"", SUMIFS(ポートフォリオ実績!$C$2:$C$2001, ポートフォリオ実績!$B$2:$B$2001, B1590, ポートフォリオ実績!$A$2:$A$2001, G1590), 0)</f>
        <v>0</v>
      </c>
      <c r="J1590">
        <f t="shared" si="265"/>
        <v>0</v>
      </c>
      <c r="K1590">
        <f t="shared" si="266"/>
        <v>0</v>
      </c>
      <c r="L1590">
        <f t="shared" si="267"/>
        <v>0</v>
      </c>
      <c r="M1590">
        <f t="shared" si="268"/>
        <v>0</v>
      </c>
      <c r="N1590">
        <f t="shared" si="269"/>
        <v>0</v>
      </c>
      <c r="O1590">
        <f t="shared" si="270"/>
        <v>0</v>
      </c>
      <c r="P1590" t="str">
        <f t="shared" si="271"/>
        <v/>
      </c>
      <c r="Q1590" t="str">
        <f>IF(B1590="","", IFERROR(VLOOKUP(B1590, '基準資産配分（設定）'!$A$2:$C$2001, 3, FALSE), ""))</f>
        <v/>
      </c>
      <c r="R1590" t="str">
        <f>IF(B1590="","", IFERROR(VLOOKUP(B1590, '基準資産配分（設定）'!$A$2:$C$2001, 2, FALSE)/100, 0))</f>
        <v/>
      </c>
      <c r="S1590" t="str">
        <f>IF(B1590="","", IFERROR(SUMIFS(ベンチマークリターン!$C$2:$C$2001, ベンチマークリターン!$A$2:$A$2001, A1590, ベンチマークリターン!$B$2:$B$2001, Q1590) / 100, 0))</f>
        <v/>
      </c>
      <c r="T1590" t="str">
        <f>IF(A1590="","", SUMIFS($H$2:$H$2000, $A$2:$A$2000, A1590))</f>
        <v/>
      </c>
      <c r="U1590" t="str">
        <f t="shared" si="272"/>
        <v/>
      </c>
      <c r="V1590" t="str">
        <f t="shared" si="273"/>
        <v/>
      </c>
      <c r="W1590" t="str">
        <f t="shared" si="274"/>
        <v/>
      </c>
    </row>
    <row r="1591" spans="1:23" x14ac:dyDescent="0.2">
      <c r="A1591" s="4" t="str">
        <f>IF(ポートフォリオ実績!A1592="","", ポートフォリオ実績!A1592)</f>
        <v/>
      </c>
      <c r="B1591" t="str">
        <f>IF(ポートフォリオ実績!B1592="","", ポートフォリオ実績!B1592)</f>
        <v/>
      </c>
      <c r="C1591" s="10" t="str">
        <f>IF(ポートフォリオ実績!C1592="","", ポートフォリオ実績!C1592)</f>
        <v/>
      </c>
      <c r="D1591" s="10" t="str">
        <f>IF(ポートフォリオ実績!D1592="","", ポートフォリオ実績!D1592)</f>
        <v/>
      </c>
      <c r="E1591" s="10" t="str">
        <f>IF(ポートフォリオ実績!E1592="","", ポートフォリオ実績!E1592)</f>
        <v/>
      </c>
      <c r="F1591" s="10" t="str">
        <f>IF(ポートフォリオ実績!F1592="","", ポートフォリオ実績!F1592)</f>
        <v/>
      </c>
      <c r="G1591" t="str">
        <f t="shared" si="264"/>
        <v/>
      </c>
      <c r="H1591">
        <f>IF(B1591&lt;&gt;"", SUMIFS(ポートフォリオ実績!$D$2:$D$2001, ポートフォリオ実績!$B$2:$B$2001, B1591, ポートフォリオ実績!$A$2:$A$2001, G1591), 0)</f>
        <v>0</v>
      </c>
      <c r="I1591">
        <f>IF(B1591&lt;&gt;"", SUMIFS(ポートフォリオ実績!$C$2:$C$2001, ポートフォリオ実績!$B$2:$B$2001, B1591, ポートフォリオ実績!$A$2:$A$2001, G1591), 0)</f>
        <v>0</v>
      </c>
      <c r="J1591">
        <f t="shared" si="265"/>
        <v>0</v>
      </c>
      <c r="K1591">
        <f t="shared" si="266"/>
        <v>0</v>
      </c>
      <c r="L1591">
        <f t="shared" si="267"/>
        <v>0</v>
      </c>
      <c r="M1591">
        <f t="shared" si="268"/>
        <v>0</v>
      </c>
      <c r="N1591">
        <f t="shared" si="269"/>
        <v>0</v>
      </c>
      <c r="O1591">
        <f t="shared" si="270"/>
        <v>0</v>
      </c>
      <c r="P1591" t="str">
        <f t="shared" si="271"/>
        <v/>
      </c>
      <c r="Q1591" t="str">
        <f>IF(B1591="","", IFERROR(VLOOKUP(B1591, '基準資産配分（設定）'!$A$2:$C$2001, 3, FALSE), ""))</f>
        <v/>
      </c>
      <c r="R1591" t="str">
        <f>IF(B1591="","", IFERROR(VLOOKUP(B1591, '基準資産配分（設定）'!$A$2:$C$2001, 2, FALSE)/100, 0))</f>
        <v/>
      </c>
      <c r="S1591" t="str">
        <f>IF(B1591="","", IFERROR(SUMIFS(ベンチマークリターン!$C$2:$C$2001, ベンチマークリターン!$A$2:$A$2001, A1591, ベンチマークリターン!$B$2:$B$2001, Q1591) / 100, 0))</f>
        <v/>
      </c>
      <c r="T1591" t="str">
        <f>IF(A1591="","", SUMIFS($H$2:$H$2000, $A$2:$A$2000, A1591))</f>
        <v/>
      </c>
      <c r="U1591" t="str">
        <f t="shared" si="272"/>
        <v/>
      </c>
      <c r="V1591" t="str">
        <f t="shared" si="273"/>
        <v/>
      </c>
      <c r="W1591" t="str">
        <f t="shared" si="274"/>
        <v/>
      </c>
    </row>
    <row r="1592" spans="1:23" x14ac:dyDescent="0.2">
      <c r="A1592" s="4" t="str">
        <f>IF(ポートフォリオ実績!A1593="","", ポートフォリオ実績!A1593)</f>
        <v/>
      </c>
      <c r="B1592" t="str">
        <f>IF(ポートフォリオ実績!B1593="","", ポートフォリオ実績!B1593)</f>
        <v/>
      </c>
      <c r="C1592" s="10" t="str">
        <f>IF(ポートフォリオ実績!C1593="","", ポートフォリオ実績!C1593)</f>
        <v/>
      </c>
      <c r="D1592" s="10" t="str">
        <f>IF(ポートフォリオ実績!D1593="","", ポートフォリオ実績!D1593)</f>
        <v/>
      </c>
      <c r="E1592" s="10" t="str">
        <f>IF(ポートフォリオ実績!E1593="","", ポートフォリオ実績!E1593)</f>
        <v/>
      </c>
      <c r="F1592" s="10" t="str">
        <f>IF(ポートフォリオ実績!F1593="","", ポートフォリオ実績!F1593)</f>
        <v/>
      </c>
      <c r="G1592" t="str">
        <f t="shared" si="264"/>
        <v/>
      </c>
      <c r="H1592">
        <f>IF(B1592&lt;&gt;"", SUMIFS(ポートフォリオ実績!$D$2:$D$2001, ポートフォリオ実績!$B$2:$B$2001, B1592, ポートフォリオ実績!$A$2:$A$2001, G1592), 0)</f>
        <v>0</v>
      </c>
      <c r="I1592">
        <f>IF(B1592&lt;&gt;"", SUMIFS(ポートフォリオ実績!$C$2:$C$2001, ポートフォリオ実績!$B$2:$B$2001, B1592, ポートフォリオ実績!$A$2:$A$2001, G1592), 0)</f>
        <v>0</v>
      </c>
      <c r="J1592">
        <f t="shared" si="265"/>
        <v>0</v>
      </c>
      <c r="K1592">
        <f t="shared" si="266"/>
        <v>0</v>
      </c>
      <c r="L1592">
        <f t="shared" si="267"/>
        <v>0</v>
      </c>
      <c r="M1592">
        <f t="shared" si="268"/>
        <v>0</v>
      </c>
      <c r="N1592">
        <f t="shared" si="269"/>
        <v>0</v>
      </c>
      <c r="O1592">
        <f t="shared" si="270"/>
        <v>0</v>
      </c>
      <c r="P1592" t="str">
        <f t="shared" si="271"/>
        <v/>
      </c>
      <c r="Q1592" t="str">
        <f>IF(B1592="","", IFERROR(VLOOKUP(B1592, '基準資産配分（設定）'!$A$2:$C$2001, 3, FALSE), ""))</f>
        <v/>
      </c>
      <c r="R1592" t="str">
        <f>IF(B1592="","", IFERROR(VLOOKUP(B1592, '基準資産配分（設定）'!$A$2:$C$2001, 2, FALSE)/100, 0))</f>
        <v/>
      </c>
      <c r="S1592" t="str">
        <f>IF(B1592="","", IFERROR(SUMIFS(ベンチマークリターン!$C$2:$C$2001, ベンチマークリターン!$A$2:$A$2001, A1592, ベンチマークリターン!$B$2:$B$2001, Q1592) / 100, 0))</f>
        <v/>
      </c>
      <c r="T1592" t="str">
        <f>IF(A1592="","", SUMIFS($H$2:$H$2000, $A$2:$A$2000, A1592))</f>
        <v/>
      </c>
      <c r="U1592" t="str">
        <f t="shared" si="272"/>
        <v/>
      </c>
      <c r="V1592" t="str">
        <f t="shared" si="273"/>
        <v/>
      </c>
      <c r="W1592" t="str">
        <f t="shared" si="274"/>
        <v/>
      </c>
    </row>
    <row r="1593" spans="1:23" x14ac:dyDescent="0.2">
      <c r="A1593" s="4" t="str">
        <f>IF(ポートフォリオ実績!A1594="","", ポートフォリオ実績!A1594)</f>
        <v/>
      </c>
      <c r="B1593" t="str">
        <f>IF(ポートフォリオ実績!B1594="","", ポートフォリオ実績!B1594)</f>
        <v/>
      </c>
      <c r="C1593" s="10" t="str">
        <f>IF(ポートフォリオ実績!C1594="","", ポートフォリオ実績!C1594)</f>
        <v/>
      </c>
      <c r="D1593" s="10" t="str">
        <f>IF(ポートフォリオ実績!D1594="","", ポートフォリオ実績!D1594)</f>
        <v/>
      </c>
      <c r="E1593" s="10" t="str">
        <f>IF(ポートフォリオ実績!E1594="","", ポートフォリオ実績!E1594)</f>
        <v/>
      </c>
      <c r="F1593" s="10" t="str">
        <f>IF(ポートフォリオ実績!F1594="","", ポートフォリオ実績!F1594)</f>
        <v/>
      </c>
      <c r="G1593" t="str">
        <f t="shared" si="264"/>
        <v/>
      </c>
      <c r="H1593">
        <f>IF(B1593&lt;&gt;"", SUMIFS(ポートフォリオ実績!$D$2:$D$2001, ポートフォリオ実績!$B$2:$B$2001, B1593, ポートフォリオ実績!$A$2:$A$2001, G1593), 0)</f>
        <v>0</v>
      </c>
      <c r="I1593">
        <f>IF(B1593&lt;&gt;"", SUMIFS(ポートフォリオ実績!$C$2:$C$2001, ポートフォリオ実績!$B$2:$B$2001, B1593, ポートフォリオ実績!$A$2:$A$2001, G1593), 0)</f>
        <v>0</v>
      </c>
      <c r="J1593">
        <f t="shared" si="265"/>
        <v>0</v>
      </c>
      <c r="K1593">
        <f t="shared" si="266"/>
        <v>0</v>
      </c>
      <c r="L1593">
        <f t="shared" si="267"/>
        <v>0</v>
      </c>
      <c r="M1593">
        <f t="shared" si="268"/>
        <v>0</v>
      </c>
      <c r="N1593">
        <f t="shared" si="269"/>
        <v>0</v>
      </c>
      <c r="O1593">
        <f t="shared" si="270"/>
        <v>0</v>
      </c>
      <c r="P1593" t="str">
        <f t="shared" si="271"/>
        <v/>
      </c>
      <c r="Q1593" t="str">
        <f>IF(B1593="","", IFERROR(VLOOKUP(B1593, '基準資産配分（設定）'!$A$2:$C$2001, 3, FALSE), ""))</f>
        <v/>
      </c>
      <c r="R1593" t="str">
        <f>IF(B1593="","", IFERROR(VLOOKUP(B1593, '基準資産配分（設定）'!$A$2:$C$2001, 2, FALSE)/100, 0))</f>
        <v/>
      </c>
      <c r="S1593" t="str">
        <f>IF(B1593="","", IFERROR(SUMIFS(ベンチマークリターン!$C$2:$C$2001, ベンチマークリターン!$A$2:$A$2001, A1593, ベンチマークリターン!$B$2:$B$2001, Q1593) / 100, 0))</f>
        <v/>
      </c>
      <c r="T1593" t="str">
        <f>IF(A1593="","", SUMIFS($H$2:$H$2000, $A$2:$A$2000, A1593))</f>
        <v/>
      </c>
      <c r="U1593" t="str">
        <f t="shared" si="272"/>
        <v/>
      </c>
      <c r="V1593" t="str">
        <f t="shared" si="273"/>
        <v/>
      </c>
      <c r="W1593" t="str">
        <f t="shared" si="274"/>
        <v/>
      </c>
    </row>
    <row r="1594" spans="1:23" x14ac:dyDescent="0.2">
      <c r="A1594" s="4" t="str">
        <f>IF(ポートフォリオ実績!A1595="","", ポートフォリオ実績!A1595)</f>
        <v/>
      </c>
      <c r="B1594" t="str">
        <f>IF(ポートフォリオ実績!B1595="","", ポートフォリオ実績!B1595)</f>
        <v/>
      </c>
      <c r="C1594" s="10" t="str">
        <f>IF(ポートフォリオ実績!C1595="","", ポートフォリオ実績!C1595)</f>
        <v/>
      </c>
      <c r="D1594" s="10" t="str">
        <f>IF(ポートフォリオ実績!D1595="","", ポートフォリオ実績!D1595)</f>
        <v/>
      </c>
      <c r="E1594" s="10" t="str">
        <f>IF(ポートフォリオ実績!E1595="","", ポートフォリオ実績!E1595)</f>
        <v/>
      </c>
      <c r="F1594" s="10" t="str">
        <f>IF(ポートフォリオ実績!F1595="","", ポートフォリオ実績!F1595)</f>
        <v/>
      </c>
      <c r="G1594" t="str">
        <f t="shared" si="264"/>
        <v/>
      </c>
      <c r="H1594">
        <f>IF(B1594&lt;&gt;"", SUMIFS(ポートフォリオ実績!$D$2:$D$2001, ポートフォリオ実績!$B$2:$B$2001, B1594, ポートフォリオ実績!$A$2:$A$2001, G1594), 0)</f>
        <v>0</v>
      </c>
      <c r="I1594">
        <f>IF(B1594&lt;&gt;"", SUMIFS(ポートフォリオ実績!$C$2:$C$2001, ポートフォリオ実績!$B$2:$B$2001, B1594, ポートフォリオ実績!$A$2:$A$2001, G1594), 0)</f>
        <v>0</v>
      </c>
      <c r="J1594">
        <f t="shared" si="265"/>
        <v>0</v>
      </c>
      <c r="K1594">
        <f t="shared" si="266"/>
        <v>0</v>
      </c>
      <c r="L1594">
        <f t="shared" si="267"/>
        <v>0</v>
      </c>
      <c r="M1594">
        <f t="shared" si="268"/>
        <v>0</v>
      </c>
      <c r="N1594">
        <f t="shared" si="269"/>
        <v>0</v>
      </c>
      <c r="O1594">
        <f t="shared" si="270"/>
        <v>0</v>
      </c>
      <c r="P1594" t="str">
        <f t="shared" si="271"/>
        <v/>
      </c>
      <c r="Q1594" t="str">
        <f>IF(B1594="","", IFERROR(VLOOKUP(B1594, '基準資産配分（設定）'!$A$2:$C$2001, 3, FALSE), ""))</f>
        <v/>
      </c>
      <c r="R1594" t="str">
        <f>IF(B1594="","", IFERROR(VLOOKUP(B1594, '基準資産配分（設定）'!$A$2:$C$2001, 2, FALSE)/100, 0))</f>
        <v/>
      </c>
      <c r="S1594" t="str">
        <f>IF(B1594="","", IFERROR(SUMIFS(ベンチマークリターン!$C$2:$C$2001, ベンチマークリターン!$A$2:$A$2001, A1594, ベンチマークリターン!$B$2:$B$2001, Q1594) / 100, 0))</f>
        <v/>
      </c>
      <c r="T1594" t="str">
        <f>IF(A1594="","", SUMIFS($H$2:$H$2000, $A$2:$A$2000, A1594))</f>
        <v/>
      </c>
      <c r="U1594" t="str">
        <f t="shared" si="272"/>
        <v/>
      </c>
      <c r="V1594" t="str">
        <f t="shared" si="273"/>
        <v/>
      </c>
      <c r="W1594" t="str">
        <f t="shared" si="274"/>
        <v/>
      </c>
    </row>
    <row r="1595" spans="1:23" x14ac:dyDescent="0.2">
      <c r="A1595" s="4" t="str">
        <f>IF(ポートフォリオ実績!A1596="","", ポートフォリオ実績!A1596)</f>
        <v/>
      </c>
      <c r="B1595" t="str">
        <f>IF(ポートフォリオ実績!B1596="","", ポートフォリオ実績!B1596)</f>
        <v/>
      </c>
      <c r="C1595" s="10" t="str">
        <f>IF(ポートフォリオ実績!C1596="","", ポートフォリオ実績!C1596)</f>
        <v/>
      </c>
      <c r="D1595" s="10" t="str">
        <f>IF(ポートフォリオ実績!D1596="","", ポートフォリオ実績!D1596)</f>
        <v/>
      </c>
      <c r="E1595" s="10" t="str">
        <f>IF(ポートフォリオ実績!E1596="","", ポートフォリオ実績!E1596)</f>
        <v/>
      </c>
      <c r="F1595" s="10" t="str">
        <f>IF(ポートフォリオ実績!F1596="","", ポートフォリオ実績!F1596)</f>
        <v/>
      </c>
      <c r="G1595" t="str">
        <f t="shared" si="264"/>
        <v/>
      </c>
      <c r="H1595">
        <f>IF(B1595&lt;&gt;"", SUMIFS(ポートフォリオ実績!$D$2:$D$2001, ポートフォリオ実績!$B$2:$B$2001, B1595, ポートフォリオ実績!$A$2:$A$2001, G1595), 0)</f>
        <v>0</v>
      </c>
      <c r="I1595">
        <f>IF(B1595&lt;&gt;"", SUMIFS(ポートフォリオ実績!$C$2:$C$2001, ポートフォリオ実績!$B$2:$B$2001, B1595, ポートフォリオ実績!$A$2:$A$2001, G1595), 0)</f>
        <v>0</v>
      </c>
      <c r="J1595">
        <f t="shared" si="265"/>
        <v>0</v>
      </c>
      <c r="K1595">
        <f t="shared" si="266"/>
        <v>0</v>
      </c>
      <c r="L1595">
        <f t="shared" si="267"/>
        <v>0</v>
      </c>
      <c r="M1595">
        <f t="shared" si="268"/>
        <v>0</v>
      </c>
      <c r="N1595">
        <f t="shared" si="269"/>
        <v>0</v>
      </c>
      <c r="O1595">
        <f t="shared" si="270"/>
        <v>0</v>
      </c>
      <c r="P1595" t="str">
        <f t="shared" si="271"/>
        <v/>
      </c>
      <c r="Q1595" t="str">
        <f>IF(B1595="","", IFERROR(VLOOKUP(B1595, '基準資産配分（設定）'!$A$2:$C$2001, 3, FALSE), ""))</f>
        <v/>
      </c>
      <c r="R1595" t="str">
        <f>IF(B1595="","", IFERROR(VLOOKUP(B1595, '基準資産配分（設定）'!$A$2:$C$2001, 2, FALSE)/100, 0))</f>
        <v/>
      </c>
      <c r="S1595" t="str">
        <f>IF(B1595="","", IFERROR(SUMIFS(ベンチマークリターン!$C$2:$C$2001, ベンチマークリターン!$A$2:$A$2001, A1595, ベンチマークリターン!$B$2:$B$2001, Q1595) / 100, 0))</f>
        <v/>
      </c>
      <c r="T1595" t="str">
        <f>IF(A1595="","", SUMIFS($H$2:$H$2000, $A$2:$A$2000, A1595))</f>
        <v/>
      </c>
      <c r="U1595" t="str">
        <f t="shared" si="272"/>
        <v/>
      </c>
      <c r="V1595" t="str">
        <f t="shared" si="273"/>
        <v/>
      </c>
      <c r="W1595" t="str">
        <f t="shared" si="274"/>
        <v/>
      </c>
    </row>
    <row r="1596" spans="1:23" x14ac:dyDescent="0.2">
      <c r="A1596" s="4" t="str">
        <f>IF(ポートフォリオ実績!A1597="","", ポートフォリオ実績!A1597)</f>
        <v/>
      </c>
      <c r="B1596" t="str">
        <f>IF(ポートフォリオ実績!B1597="","", ポートフォリオ実績!B1597)</f>
        <v/>
      </c>
      <c r="C1596" s="10" t="str">
        <f>IF(ポートフォリオ実績!C1597="","", ポートフォリオ実績!C1597)</f>
        <v/>
      </c>
      <c r="D1596" s="10" t="str">
        <f>IF(ポートフォリオ実績!D1597="","", ポートフォリオ実績!D1597)</f>
        <v/>
      </c>
      <c r="E1596" s="10" t="str">
        <f>IF(ポートフォリオ実績!E1597="","", ポートフォリオ実績!E1597)</f>
        <v/>
      </c>
      <c r="F1596" s="10" t="str">
        <f>IF(ポートフォリオ実績!F1597="","", ポートフォリオ実績!F1597)</f>
        <v/>
      </c>
      <c r="G1596" t="str">
        <f t="shared" si="264"/>
        <v/>
      </c>
      <c r="H1596">
        <f>IF(B1596&lt;&gt;"", SUMIFS(ポートフォリオ実績!$D$2:$D$2001, ポートフォリオ実績!$B$2:$B$2001, B1596, ポートフォリオ実績!$A$2:$A$2001, G1596), 0)</f>
        <v>0</v>
      </c>
      <c r="I1596">
        <f>IF(B1596&lt;&gt;"", SUMIFS(ポートフォリオ実績!$C$2:$C$2001, ポートフォリオ実績!$B$2:$B$2001, B1596, ポートフォリオ実績!$A$2:$A$2001, G1596), 0)</f>
        <v>0</v>
      </c>
      <c r="J1596">
        <f t="shared" si="265"/>
        <v>0</v>
      </c>
      <c r="K1596">
        <f t="shared" si="266"/>
        <v>0</v>
      </c>
      <c r="L1596">
        <f t="shared" si="267"/>
        <v>0</v>
      </c>
      <c r="M1596">
        <f t="shared" si="268"/>
        <v>0</v>
      </c>
      <c r="N1596">
        <f t="shared" si="269"/>
        <v>0</v>
      </c>
      <c r="O1596">
        <f t="shared" si="270"/>
        <v>0</v>
      </c>
      <c r="P1596" t="str">
        <f t="shared" si="271"/>
        <v/>
      </c>
      <c r="Q1596" t="str">
        <f>IF(B1596="","", IFERROR(VLOOKUP(B1596, '基準資産配分（設定）'!$A$2:$C$2001, 3, FALSE), ""))</f>
        <v/>
      </c>
      <c r="R1596" t="str">
        <f>IF(B1596="","", IFERROR(VLOOKUP(B1596, '基準資産配分（設定）'!$A$2:$C$2001, 2, FALSE)/100, 0))</f>
        <v/>
      </c>
      <c r="S1596" t="str">
        <f>IF(B1596="","", IFERROR(SUMIFS(ベンチマークリターン!$C$2:$C$2001, ベンチマークリターン!$A$2:$A$2001, A1596, ベンチマークリターン!$B$2:$B$2001, Q1596) / 100, 0))</f>
        <v/>
      </c>
      <c r="T1596" t="str">
        <f>IF(A1596="","", SUMIFS($H$2:$H$2000, $A$2:$A$2000, A1596))</f>
        <v/>
      </c>
      <c r="U1596" t="str">
        <f t="shared" si="272"/>
        <v/>
      </c>
      <c r="V1596" t="str">
        <f t="shared" si="273"/>
        <v/>
      </c>
      <c r="W1596" t="str">
        <f t="shared" si="274"/>
        <v/>
      </c>
    </row>
    <row r="1597" spans="1:23" x14ac:dyDescent="0.2">
      <c r="A1597" s="4" t="str">
        <f>IF(ポートフォリオ実績!A1598="","", ポートフォリオ実績!A1598)</f>
        <v/>
      </c>
      <c r="B1597" t="str">
        <f>IF(ポートフォリオ実績!B1598="","", ポートフォリオ実績!B1598)</f>
        <v/>
      </c>
      <c r="C1597" s="10" t="str">
        <f>IF(ポートフォリオ実績!C1598="","", ポートフォリオ実績!C1598)</f>
        <v/>
      </c>
      <c r="D1597" s="10" t="str">
        <f>IF(ポートフォリオ実績!D1598="","", ポートフォリオ実績!D1598)</f>
        <v/>
      </c>
      <c r="E1597" s="10" t="str">
        <f>IF(ポートフォリオ実績!E1598="","", ポートフォリオ実績!E1598)</f>
        <v/>
      </c>
      <c r="F1597" s="10" t="str">
        <f>IF(ポートフォリオ実績!F1598="","", ポートフォリオ実績!F1598)</f>
        <v/>
      </c>
      <c r="G1597" t="str">
        <f t="shared" si="264"/>
        <v/>
      </c>
      <c r="H1597">
        <f>IF(B1597&lt;&gt;"", SUMIFS(ポートフォリオ実績!$D$2:$D$2001, ポートフォリオ実績!$B$2:$B$2001, B1597, ポートフォリオ実績!$A$2:$A$2001, G1597), 0)</f>
        <v>0</v>
      </c>
      <c r="I1597">
        <f>IF(B1597&lt;&gt;"", SUMIFS(ポートフォリオ実績!$C$2:$C$2001, ポートフォリオ実績!$B$2:$B$2001, B1597, ポートフォリオ実績!$A$2:$A$2001, G1597), 0)</f>
        <v>0</v>
      </c>
      <c r="J1597">
        <f t="shared" si="265"/>
        <v>0</v>
      </c>
      <c r="K1597">
        <f t="shared" si="266"/>
        <v>0</v>
      </c>
      <c r="L1597">
        <f t="shared" si="267"/>
        <v>0</v>
      </c>
      <c r="M1597">
        <f t="shared" si="268"/>
        <v>0</v>
      </c>
      <c r="N1597">
        <f t="shared" si="269"/>
        <v>0</v>
      </c>
      <c r="O1597">
        <f t="shared" si="270"/>
        <v>0</v>
      </c>
      <c r="P1597" t="str">
        <f t="shared" si="271"/>
        <v/>
      </c>
      <c r="Q1597" t="str">
        <f>IF(B1597="","", IFERROR(VLOOKUP(B1597, '基準資産配分（設定）'!$A$2:$C$2001, 3, FALSE), ""))</f>
        <v/>
      </c>
      <c r="R1597" t="str">
        <f>IF(B1597="","", IFERROR(VLOOKUP(B1597, '基準資産配分（設定）'!$A$2:$C$2001, 2, FALSE)/100, 0))</f>
        <v/>
      </c>
      <c r="S1597" t="str">
        <f>IF(B1597="","", IFERROR(SUMIFS(ベンチマークリターン!$C$2:$C$2001, ベンチマークリターン!$A$2:$A$2001, A1597, ベンチマークリターン!$B$2:$B$2001, Q1597) / 100, 0))</f>
        <v/>
      </c>
      <c r="T1597" t="str">
        <f>IF(A1597="","", SUMIFS($H$2:$H$2000, $A$2:$A$2000, A1597))</f>
        <v/>
      </c>
      <c r="U1597" t="str">
        <f t="shared" si="272"/>
        <v/>
      </c>
      <c r="V1597" t="str">
        <f t="shared" si="273"/>
        <v/>
      </c>
      <c r="W1597" t="str">
        <f t="shared" si="274"/>
        <v/>
      </c>
    </row>
    <row r="1598" spans="1:23" x14ac:dyDescent="0.2">
      <c r="A1598" s="4" t="str">
        <f>IF(ポートフォリオ実績!A1599="","", ポートフォリオ実績!A1599)</f>
        <v/>
      </c>
      <c r="B1598" t="str">
        <f>IF(ポートフォリオ実績!B1599="","", ポートフォリオ実績!B1599)</f>
        <v/>
      </c>
      <c r="C1598" s="10" t="str">
        <f>IF(ポートフォリオ実績!C1599="","", ポートフォリオ実績!C1599)</f>
        <v/>
      </c>
      <c r="D1598" s="10" t="str">
        <f>IF(ポートフォリオ実績!D1599="","", ポートフォリオ実績!D1599)</f>
        <v/>
      </c>
      <c r="E1598" s="10" t="str">
        <f>IF(ポートフォリオ実績!E1599="","", ポートフォリオ実績!E1599)</f>
        <v/>
      </c>
      <c r="F1598" s="10" t="str">
        <f>IF(ポートフォリオ実績!F1599="","", ポートフォリオ実績!F1599)</f>
        <v/>
      </c>
      <c r="G1598" t="str">
        <f t="shared" si="264"/>
        <v/>
      </c>
      <c r="H1598">
        <f>IF(B1598&lt;&gt;"", SUMIFS(ポートフォリオ実績!$D$2:$D$2001, ポートフォリオ実績!$B$2:$B$2001, B1598, ポートフォリオ実績!$A$2:$A$2001, G1598), 0)</f>
        <v>0</v>
      </c>
      <c r="I1598">
        <f>IF(B1598&lt;&gt;"", SUMIFS(ポートフォリオ実績!$C$2:$C$2001, ポートフォリオ実績!$B$2:$B$2001, B1598, ポートフォリオ実績!$A$2:$A$2001, G1598), 0)</f>
        <v>0</v>
      </c>
      <c r="J1598">
        <f t="shared" si="265"/>
        <v>0</v>
      </c>
      <c r="K1598">
        <f t="shared" si="266"/>
        <v>0</v>
      </c>
      <c r="L1598">
        <f t="shared" si="267"/>
        <v>0</v>
      </c>
      <c r="M1598">
        <f t="shared" si="268"/>
        <v>0</v>
      </c>
      <c r="N1598">
        <f t="shared" si="269"/>
        <v>0</v>
      </c>
      <c r="O1598">
        <f t="shared" si="270"/>
        <v>0</v>
      </c>
      <c r="P1598" t="str">
        <f t="shared" si="271"/>
        <v/>
      </c>
      <c r="Q1598" t="str">
        <f>IF(B1598="","", IFERROR(VLOOKUP(B1598, '基準資産配分（設定）'!$A$2:$C$2001, 3, FALSE), ""))</f>
        <v/>
      </c>
      <c r="R1598" t="str">
        <f>IF(B1598="","", IFERROR(VLOOKUP(B1598, '基準資産配分（設定）'!$A$2:$C$2001, 2, FALSE)/100, 0))</f>
        <v/>
      </c>
      <c r="S1598" t="str">
        <f>IF(B1598="","", IFERROR(SUMIFS(ベンチマークリターン!$C$2:$C$2001, ベンチマークリターン!$A$2:$A$2001, A1598, ベンチマークリターン!$B$2:$B$2001, Q1598) / 100, 0))</f>
        <v/>
      </c>
      <c r="T1598" t="str">
        <f>IF(A1598="","", SUMIFS($H$2:$H$2000, $A$2:$A$2000, A1598))</f>
        <v/>
      </c>
      <c r="U1598" t="str">
        <f t="shared" si="272"/>
        <v/>
      </c>
      <c r="V1598" t="str">
        <f t="shared" si="273"/>
        <v/>
      </c>
      <c r="W1598" t="str">
        <f t="shared" si="274"/>
        <v/>
      </c>
    </row>
    <row r="1599" spans="1:23" x14ac:dyDescent="0.2">
      <c r="A1599" s="4" t="str">
        <f>IF(ポートフォリオ実績!A1600="","", ポートフォリオ実績!A1600)</f>
        <v/>
      </c>
      <c r="B1599" t="str">
        <f>IF(ポートフォリオ実績!B1600="","", ポートフォリオ実績!B1600)</f>
        <v/>
      </c>
      <c r="C1599" s="10" t="str">
        <f>IF(ポートフォリオ実績!C1600="","", ポートフォリオ実績!C1600)</f>
        <v/>
      </c>
      <c r="D1599" s="10" t="str">
        <f>IF(ポートフォリオ実績!D1600="","", ポートフォリオ実績!D1600)</f>
        <v/>
      </c>
      <c r="E1599" s="10" t="str">
        <f>IF(ポートフォリオ実績!E1600="","", ポートフォリオ実績!E1600)</f>
        <v/>
      </c>
      <c r="F1599" s="10" t="str">
        <f>IF(ポートフォリオ実績!F1600="","", ポートフォリオ実績!F1600)</f>
        <v/>
      </c>
      <c r="G1599" t="str">
        <f t="shared" si="264"/>
        <v/>
      </c>
      <c r="H1599">
        <f>IF(B1599&lt;&gt;"", SUMIFS(ポートフォリオ実績!$D$2:$D$2001, ポートフォリオ実績!$B$2:$B$2001, B1599, ポートフォリオ実績!$A$2:$A$2001, G1599), 0)</f>
        <v>0</v>
      </c>
      <c r="I1599">
        <f>IF(B1599&lt;&gt;"", SUMIFS(ポートフォリオ実績!$C$2:$C$2001, ポートフォリオ実績!$B$2:$B$2001, B1599, ポートフォリオ実績!$A$2:$A$2001, G1599), 0)</f>
        <v>0</v>
      </c>
      <c r="J1599">
        <f t="shared" si="265"/>
        <v>0</v>
      </c>
      <c r="K1599">
        <f t="shared" si="266"/>
        <v>0</v>
      </c>
      <c r="L1599">
        <f t="shared" si="267"/>
        <v>0</v>
      </c>
      <c r="M1599">
        <f t="shared" si="268"/>
        <v>0</v>
      </c>
      <c r="N1599">
        <f t="shared" si="269"/>
        <v>0</v>
      </c>
      <c r="O1599">
        <f t="shared" si="270"/>
        <v>0</v>
      </c>
      <c r="P1599" t="str">
        <f t="shared" si="271"/>
        <v/>
      </c>
      <c r="Q1599" t="str">
        <f>IF(B1599="","", IFERROR(VLOOKUP(B1599, '基準資産配分（設定）'!$A$2:$C$2001, 3, FALSE), ""))</f>
        <v/>
      </c>
      <c r="R1599" t="str">
        <f>IF(B1599="","", IFERROR(VLOOKUP(B1599, '基準資産配分（設定）'!$A$2:$C$2001, 2, FALSE)/100, 0))</f>
        <v/>
      </c>
      <c r="S1599" t="str">
        <f>IF(B1599="","", IFERROR(SUMIFS(ベンチマークリターン!$C$2:$C$2001, ベンチマークリターン!$A$2:$A$2001, A1599, ベンチマークリターン!$B$2:$B$2001, Q1599) / 100, 0))</f>
        <v/>
      </c>
      <c r="T1599" t="str">
        <f>IF(A1599="","", SUMIFS($H$2:$H$2000, $A$2:$A$2000, A1599))</f>
        <v/>
      </c>
      <c r="U1599" t="str">
        <f t="shared" si="272"/>
        <v/>
      </c>
      <c r="V1599" t="str">
        <f t="shared" si="273"/>
        <v/>
      </c>
      <c r="W1599" t="str">
        <f t="shared" si="274"/>
        <v/>
      </c>
    </row>
    <row r="1600" spans="1:23" x14ac:dyDescent="0.2">
      <c r="A1600" s="4" t="str">
        <f>IF(ポートフォリオ実績!A1601="","", ポートフォリオ実績!A1601)</f>
        <v/>
      </c>
      <c r="B1600" t="str">
        <f>IF(ポートフォリオ実績!B1601="","", ポートフォリオ実績!B1601)</f>
        <v/>
      </c>
      <c r="C1600" s="10" t="str">
        <f>IF(ポートフォリオ実績!C1601="","", ポートフォリオ実績!C1601)</f>
        <v/>
      </c>
      <c r="D1600" s="10" t="str">
        <f>IF(ポートフォリオ実績!D1601="","", ポートフォリオ実績!D1601)</f>
        <v/>
      </c>
      <c r="E1600" s="10" t="str">
        <f>IF(ポートフォリオ実績!E1601="","", ポートフォリオ実績!E1601)</f>
        <v/>
      </c>
      <c r="F1600" s="10" t="str">
        <f>IF(ポートフォリオ実績!F1601="","", ポートフォリオ実績!F1601)</f>
        <v/>
      </c>
      <c r="G1600" t="str">
        <f t="shared" si="264"/>
        <v/>
      </c>
      <c r="H1600">
        <f>IF(B1600&lt;&gt;"", SUMIFS(ポートフォリオ実績!$D$2:$D$2001, ポートフォリオ実績!$B$2:$B$2001, B1600, ポートフォリオ実績!$A$2:$A$2001, G1600), 0)</f>
        <v>0</v>
      </c>
      <c r="I1600">
        <f>IF(B1600&lt;&gt;"", SUMIFS(ポートフォリオ実績!$C$2:$C$2001, ポートフォリオ実績!$B$2:$B$2001, B1600, ポートフォリオ実績!$A$2:$A$2001, G1600), 0)</f>
        <v>0</v>
      </c>
      <c r="J1600">
        <f t="shared" si="265"/>
        <v>0</v>
      </c>
      <c r="K1600">
        <f t="shared" si="266"/>
        <v>0</v>
      </c>
      <c r="L1600">
        <f t="shared" si="267"/>
        <v>0</v>
      </c>
      <c r="M1600">
        <f t="shared" si="268"/>
        <v>0</v>
      </c>
      <c r="N1600">
        <f t="shared" si="269"/>
        <v>0</v>
      </c>
      <c r="O1600">
        <f t="shared" si="270"/>
        <v>0</v>
      </c>
      <c r="P1600" t="str">
        <f t="shared" si="271"/>
        <v/>
      </c>
      <c r="Q1600" t="str">
        <f>IF(B1600="","", IFERROR(VLOOKUP(B1600, '基準資産配分（設定）'!$A$2:$C$2001, 3, FALSE), ""))</f>
        <v/>
      </c>
      <c r="R1600" t="str">
        <f>IF(B1600="","", IFERROR(VLOOKUP(B1600, '基準資産配分（設定）'!$A$2:$C$2001, 2, FALSE)/100, 0))</f>
        <v/>
      </c>
      <c r="S1600" t="str">
        <f>IF(B1600="","", IFERROR(SUMIFS(ベンチマークリターン!$C$2:$C$2001, ベンチマークリターン!$A$2:$A$2001, A1600, ベンチマークリターン!$B$2:$B$2001, Q1600) / 100, 0))</f>
        <v/>
      </c>
      <c r="T1600" t="str">
        <f>IF(A1600="","", SUMIFS($H$2:$H$2000, $A$2:$A$2000, A1600))</f>
        <v/>
      </c>
      <c r="U1600" t="str">
        <f t="shared" si="272"/>
        <v/>
      </c>
      <c r="V1600" t="str">
        <f t="shared" si="273"/>
        <v/>
      </c>
      <c r="W1600" t="str">
        <f t="shared" si="274"/>
        <v/>
      </c>
    </row>
    <row r="1601" spans="1:23" x14ac:dyDescent="0.2">
      <c r="A1601" s="4" t="str">
        <f>IF(ポートフォリオ実績!A1602="","", ポートフォリオ実績!A1602)</f>
        <v/>
      </c>
      <c r="B1601" t="str">
        <f>IF(ポートフォリオ実績!B1602="","", ポートフォリオ実績!B1602)</f>
        <v/>
      </c>
      <c r="C1601" s="10" t="str">
        <f>IF(ポートフォリオ実績!C1602="","", ポートフォリオ実績!C1602)</f>
        <v/>
      </c>
      <c r="D1601" s="10" t="str">
        <f>IF(ポートフォリオ実績!D1602="","", ポートフォリオ実績!D1602)</f>
        <v/>
      </c>
      <c r="E1601" s="10" t="str">
        <f>IF(ポートフォリオ実績!E1602="","", ポートフォリオ実績!E1602)</f>
        <v/>
      </c>
      <c r="F1601" s="10" t="str">
        <f>IF(ポートフォリオ実績!F1602="","", ポートフォリオ実績!F1602)</f>
        <v/>
      </c>
      <c r="G1601" t="str">
        <f t="shared" ref="G1601:G1664" si="275">IF(A1601&lt;&gt;"", EOMONTH(A1601, -1), "")</f>
        <v/>
      </c>
      <c r="H1601">
        <f>IF(B1601&lt;&gt;"", SUMIFS(ポートフォリオ実績!$D$2:$D$2001, ポートフォリオ実績!$B$2:$B$2001, B1601, ポートフォリオ実績!$A$2:$A$2001, G1601), 0)</f>
        <v>0</v>
      </c>
      <c r="I1601">
        <f>IF(B1601&lt;&gt;"", SUMIFS(ポートフォリオ実績!$C$2:$C$2001, ポートフォリオ実績!$B$2:$B$2001, B1601, ポートフォリオ実績!$A$2:$A$2001, G1601), 0)</f>
        <v>0</v>
      </c>
      <c r="J1601">
        <f t="shared" ref="J1601:J1664" si="276">IF(A1601&lt;&gt;"", D1601-C1601, 0)</f>
        <v>0</v>
      </c>
      <c r="K1601">
        <f t="shared" ref="K1601:K1664" si="277">IF(A1601&lt;&gt;"", H1601-I1601, 0)</f>
        <v>0</v>
      </c>
      <c r="L1601">
        <f t="shared" ref="L1601:L1664" si="278">IF(H1601=0, 0, J1601-K1601)</f>
        <v>0</v>
      </c>
      <c r="M1601">
        <f t="shared" ref="M1601:M1664" si="279">IF(A1601&lt;&gt;"", E1601+F1601+L1601, 0)</f>
        <v>0</v>
      </c>
      <c r="N1601">
        <f t="shared" ref="N1601:N1664" si="280">IF(H1601=0, 0, (D1601-H1601)-M1601)</f>
        <v>0</v>
      </c>
      <c r="O1601">
        <f t="shared" ref="O1601:O1664" si="281">IF(A1601&lt;&gt;"", H1601+N1601*0.5, 0)</f>
        <v>0</v>
      </c>
      <c r="P1601" t="str">
        <f t="shared" ref="P1601:P1664" si="282">IF(A1601="","", IF(O1601&gt;0.000001, M1601/O1601, IF(ABS(M1601)&lt;0.000001, 0, 0)))</f>
        <v/>
      </c>
      <c r="Q1601" t="str">
        <f>IF(B1601="","", IFERROR(VLOOKUP(B1601, '基準資産配分（設定）'!$A$2:$C$2001, 3, FALSE), ""))</f>
        <v/>
      </c>
      <c r="R1601" t="str">
        <f>IF(B1601="","", IFERROR(VLOOKUP(B1601, '基準資産配分（設定）'!$A$2:$C$2001, 2, FALSE)/100, 0))</f>
        <v/>
      </c>
      <c r="S1601" t="str">
        <f>IF(B1601="","", IFERROR(SUMIFS(ベンチマークリターン!$C$2:$C$2001, ベンチマークリターン!$A$2:$A$2001, A1601, ベンチマークリターン!$B$2:$B$2001, Q1601) / 100, 0))</f>
        <v/>
      </c>
      <c r="T1601" t="str">
        <f>IF(A1601="","", SUMIFS($H$2:$H$2000, $A$2:$A$2000, A1601))</f>
        <v/>
      </c>
      <c r="U1601" t="str">
        <f t="shared" ref="U1601:U1664" si="283">IF(A1601="","", IFERROR(H1601/T1601, 0))</f>
        <v/>
      </c>
      <c r="V1601" t="str">
        <f t="shared" ref="V1601:V1664" si="284">IF(A1601="","", U1601*P1601)</f>
        <v/>
      </c>
      <c r="W1601" t="str">
        <f t="shared" ref="W1601:W1664" si="285">IF(A1601="","", R1601*S1601)</f>
        <v/>
      </c>
    </row>
    <row r="1602" spans="1:23" x14ac:dyDescent="0.2">
      <c r="A1602" s="4" t="str">
        <f>IF(ポートフォリオ実績!A1603="","", ポートフォリオ実績!A1603)</f>
        <v/>
      </c>
      <c r="B1602" t="str">
        <f>IF(ポートフォリオ実績!B1603="","", ポートフォリオ実績!B1603)</f>
        <v/>
      </c>
      <c r="C1602" s="10" t="str">
        <f>IF(ポートフォリオ実績!C1603="","", ポートフォリオ実績!C1603)</f>
        <v/>
      </c>
      <c r="D1602" s="10" t="str">
        <f>IF(ポートフォリオ実績!D1603="","", ポートフォリオ実績!D1603)</f>
        <v/>
      </c>
      <c r="E1602" s="10" t="str">
        <f>IF(ポートフォリオ実績!E1603="","", ポートフォリオ実績!E1603)</f>
        <v/>
      </c>
      <c r="F1602" s="10" t="str">
        <f>IF(ポートフォリオ実績!F1603="","", ポートフォリオ実績!F1603)</f>
        <v/>
      </c>
      <c r="G1602" t="str">
        <f t="shared" si="275"/>
        <v/>
      </c>
      <c r="H1602">
        <f>IF(B1602&lt;&gt;"", SUMIFS(ポートフォリオ実績!$D$2:$D$2001, ポートフォリオ実績!$B$2:$B$2001, B1602, ポートフォリオ実績!$A$2:$A$2001, G1602), 0)</f>
        <v>0</v>
      </c>
      <c r="I1602">
        <f>IF(B1602&lt;&gt;"", SUMIFS(ポートフォリオ実績!$C$2:$C$2001, ポートフォリオ実績!$B$2:$B$2001, B1602, ポートフォリオ実績!$A$2:$A$2001, G1602), 0)</f>
        <v>0</v>
      </c>
      <c r="J1602">
        <f t="shared" si="276"/>
        <v>0</v>
      </c>
      <c r="K1602">
        <f t="shared" si="277"/>
        <v>0</v>
      </c>
      <c r="L1602">
        <f t="shared" si="278"/>
        <v>0</v>
      </c>
      <c r="M1602">
        <f t="shared" si="279"/>
        <v>0</v>
      </c>
      <c r="N1602">
        <f t="shared" si="280"/>
        <v>0</v>
      </c>
      <c r="O1602">
        <f t="shared" si="281"/>
        <v>0</v>
      </c>
      <c r="P1602" t="str">
        <f t="shared" si="282"/>
        <v/>
      </c>
      <c r="Q1602" t="str">
        <f>IF(B1602="","", IFERROR(VLOOKUP(B1602, '基準資産配分（設定）'!$A$2:$C$2001, 3, FALSE), ""))</f>
        <v/>
      </c>
      <c r="R1602" t="str">
        <f>IF(B1602="","", IFERROR(VLOOKUP(B1602, '基準資産配分（設定）'!$A$2:$C$2001, 2, FALSE)/100, 0))</f>
        <v/>
      </c>
      <c r="S1602" t="str">
        <f>IF(B1602="","", IFERROR(SUMIFS(ベンチマークリターン!$C$2:$C$2001, ベンチマークリターン!$A$2:$A$2001, A1602, ベンチマークリターン!$B$2:$B$2001, Q1602) / 100, 0))</f>
        <v/>
      </c>
      <c r="T1602" t="str">
        <f>IF(A1602="","", SUMIFS($H$2:$H$2000, $A$2:$A$2000, A1602))</f>
        <v/>
      </c>
      <c r="U1602" t="str">
        <f t="shared" si="283"/>
        <v/>
      </c>
      <c r="V1602" t="str">
        <f t="shared" si="284"/>
        <v/>
      </c>
      <c r="W1602" t="str">
        <f t="shared" si="285"/>
        <v/>
      </c>
    </row>
    <row r="1603" spans="1:23" x14ac:dyDescent="0.2">
      <c r="A1603" s="4" t="str">
        <f>IF(ポートフォリオ実績!A1604="","", ポートフォリオ実績!A1604)</f>
        <v/>
      </c>
      <c r="B1603" t="str">
        <f>IF(ポートフォリオ実績!B1604="","", ポートフォリオ実績!B1604)</f>
        <v/>
      </c>
      <c r="C1603" s="10" t="str">
        <f>IF(ポートフォリオ実績!C1604="","", ポートフォリオ実績!C1604)</f>
        <v/>
      </c>
      <c r="D1603" s="10" t="str">
        <f>IF(ポートフォリオ実績!D1604="","", ポートフォリオ実績!D1604)</f>
        <v/>
      </c>
      <c r="E1603" s="10" t="str">
        <f>IF(ポートフォリオ実績!E1604="","", ポートフォリオ実績!E1604)</f>
        <v/>
      </c>
      <c r="F1603" s="10" t="str">
        <f>IF(ポートフォリオ実績!F1604="","", ポートフォリオ実績!F1604)</f>
        <v/>
      </c>
      <c r="G1603" t="str">
        <f t="shared" si="275"/>
        <v/>
      </c>
      <c r="H1603">
        <f>IF(B1603&lt;&gt;"", SUMIFS(ポートフォリオ実績!$D$2:$D$2001, ポートフォリオ実績!$B$2:$B$2001, B1603, ポートフォリオ実績!$A$2:$A$2001, G1603), 0)</f>
        <v>0</v>
      </c>
      <c r="I1603">
        <f>IF(B1603&lt;&gt;"", SUMIFS(ポートフォリオ実績!$C$2:$C$2001, ポートフォリオ実績!$B$2:$B$2001, B1603, ポートフォリオ実績!$A$2:$A$2001, G1603), 0)</f>
        <v>0</v>
      </c>
      <c r="J1603">
        <f t="shared" si="276"/>
        <v>0</v>
      </c>
      <c r="K1603">
        <f t="shared" si="277"/>
        <v>0</v>
      </c>
      <c r="L1603">
        <f t="shared" si="278"/>
        <v>0</v>
      </c>
      <c r="M1603">
        <f t="shared" si="279"/>
        <v>0</v>
      </c>
      <c r="N1603">
        <f t="shared" si="280"/>
        <v>0</v>
      </c>
      <c r="O1603">
        <f t="shared" si="281"/>
        <v>0</v>
      </c>
      <c r="P1603" t="str">
        <f t="shared" si="282"/>
        <v/>
      </c>
      <c r="Q1603" t="str">
        <f>IF(B1603="","", IFERROR(VLOOKUP(B1603, '基準資産配分（設定）'!$A$2:$C$2001, 3, FALSE), ""))</f>
        <v/>
      </c>
      <c r="R1603" t="str">
        <f>IF(B1603="","", IFERROR(VLOOKUP(B1603, '基準資産配分（設定）'!$A$2:$C$2001, 2, FALSE)/100, 0))</f>
        <v/>
      </c>
      <c r="S1603" t="str">
        <f>IF(B1603="","", IFERROR(SUMIFS(ベンチマークリターン!$C$2:$C$2001, ベンチマークリターン!$A$2:$A$2001, A1603, ベンチマークリターン!$B$2:$B$2001, Q1603) / 100, 0))</f>
        <v/>
      </c>
      <c r="T1603" t="str">
        <f>IF(A1603="","", SUMIFS($H$2:$H$2000, $A$2:$A$2000, A1603))</f>
        <v/>
      </c>
      <c r="U1603" t="str">
        <f t="shared" si="283"/>
        <v/>
      </c>
      <c r="V1603" t="str">
        <f t="shared" si="284"/>
        <v/>
      </c>
      <c r="W1603" t="str">
        <f t="shared" si="285"/>
        <v/>
      </c>
    </row>
    <row r="1604" spans="1:23" x14ac:dyDescent="0.2">
      <c r="A1604" s="4" t="str">
        <f>IF(ポートフォリオ実績!A1605="","", ポートフォリオ実績!A1605)</f>
        <v/>
      </c>
      <c r="B1604" t="str">
        <f>IF(ポートフォリオ実績!B1605="","", ポートフォリオ実績!B1605)</f>
        <v/>
      </c>
      <c r="C1604" s="10" t="str">
        <f>IF(ポートフォリオ実績!C1605="","", ポートフォリオ実績!C1605)</f>
        <v/>
      </c>
      <c r="D1604" s="10" t="str">
        <f>IF(ポートフォリオ実績!D1605="","", ポートフォリオ実績!D1605)</f>
        <v/>
      </c>
      <c r="E1604" s="10" t="str">
        <f>IF(ポートフォリオ実績!E1605="","", ポートフォリオ実績!E1605)</f>
        <v/>
      </c>
      <c r="F1604" s="10" t="str">
        <f>IF(ポートフォリオ実績!F1605="","", ポートフォリオ実績!F1605)</f>
        <v/>
      </c>
      <c r="G1604" t="str">
        <f t="shared" si="275"/>
        <v/>
      </c>
      <c r="H1604">
        <f>IF(B1604&lt;&gt;"", SUMIFS(ポートフォリオ実績!$D$2:$D$2001, ポートフォリオ実績!$B$2:$B$2001, B1604, ポートフォリオ実績!$A$2:$A$2001, G1604), 0)</f>
        <v>0</v>
      </c>
      <c r="I1604">
        <f>IF(B1604&lt;&gt;"", SUMIFS(ポートフォリオ実績!$C$2:$C$2001, ポートフォリオ実績!$B$2:$B$2001, B1604, ポートフォリオ実績!$A$2:$A$2001, G1604), 0)</f>
        <v>0</v>
      </c>
      <c r="J1604">
        <f t="shared" si="276"/>
        <v>0</v>
      </c>
      <c r="K1604">
        <f t="shared" si="277"/>
        <v>0</v>
      </c>
      <c r="L1604">
        <f t="shared" si="278"/>
        <v>0</v>
      </c>
      <c r="M1604">
        <f t="shared" si="279"/>
        <v>0</v>
      </c>
      <c r="N1604">
        <f t="shared" si="280"/>
        <v>0</v>
      </c>
      <c r="O1604">
        <f t="shared" si="281"/>
        <v>0</v>
      </c>
      <c r="P1604" t="str">
        <f t="shared" si="282"/>
        <v/>
      </c>
      <c r="Q1604" t="str">
        <f>IF(B1604="","", IFERROR(VLOOKUP(B1604, '基準資産配分（設定）'!$A$2:$C$2001, 3, FALSE), ""))</f>
        <v/>
      </c>
      <c r="R1604" t="str">
        <f>IF(B1604="","", IFERROR(VLOOKUP(B1604, '基準資産配分（設定）'!$A$2:$C$2001, 2, FALSE)/100, 0))</f>
        <v/>
      </c>
      <c r="S1604" t="str">
        <f>IF(B1604="","", IFERROR(SUMIFS(ベンチマークリターン!$C$2:$C$2001, ベンチマークリターン!$A$2:$A$2001, A1604, ベンチマークリターン!$B$2:$B$2001, Q1604) / 100, 0))</f>
        <v/>
      </c>
      <c r="T1604" t="str">
        <f>IF(A1604="","", SUMIFS($H$2:$H$2000, $A$2:$A$2000, A1604))</f>
        <v/>
      </c>
      <c r="U1604" t="str">
        <f t="shared" si="283"/>
        <v/>
      </c>
      <c r="V1604" t="str">
        <f t="shared" si="284"/>
        <v/>
      </c>
      <c r="W1604" t="str">
        <f t="shared" si="285"/>
        <v/>
      </c>
    </row>
    <row r="1605" spans="1:23" x14ac:dyDescent="0.2">
      <c r="A1605" s="4" t="str">
        <f>IF(ポートフォリオ実績!A1606="","", ポートフォリオ実績!A1606)</f>
        <v/>
      </c>
      <c r="B1605" t="str">
        <f>IF(ポートフォリオ実績!B1606="","", ポートフォリオ実績!B1606)</f>
        <v/>
      </c>
      <c r="C1605" s="10" t="str">
        <f>IF(ポートフォリオ実績!C1606="","", ポートフォリオ実績!C1606)</f>
        <v/>
      </c>
      <c r="D1605" s="10" t="str">
        <f>IF(ポートフォリオ実績!D1606="","", ポートフォリオ実績!D1606)</f>
        <v/>
      </c>
      <c r="E1605" s="10" t="str">
        <f>IF(ポートフォリオ実績!E1606="","", ポートフォリオ実績!E1606)</f>
        <v/>
      </c>
      <c r="F1605" s="10" t="str">
        <f>IF(ポートフォリオ実績!F1606="","", ポートフォリオ実績!F1606)</f>
        <v/>
      </c>
      <c r="G1605" t="str">
        <f t="shared" si="275"/>
        <v/>
      </c>
      <c r="H1605">
        <f>IF(B1605&lt;&gt;"", SUMIFS(ポートフォリオ実績!$D$2:$D$2001, ポートフォリオ実績!$B$2:$B$2001, B1605, ポートフォリオ実績!$A$2:$A$2001, G1605), 0)</f>
        <v>0</v>
      </c>
      <c r="I1605">
        <f>IF(B1605&lt;&gt;"", SUMIFS(ポートフォリオ実績!$C$2:$C$2001, ポートフォリオ実績!$B$2:$B$2001, B1605, ポートフォリオ実績!$A$2:$A$2001, G1605), 0)</f>
        <v>0</v>
      </c>
      <c r="J1605">
        <f t="shared" si="276"/>
        <v>0</v>
      </c>
      <c r="K1605">
        <f t="shared" si="277"/>
        <v>0</v>
      </c>
      <c r="L1605">
        <f t="shared" si="278"/>
        <v>0</v>
      </c>
      <c r="M1605">
        <f t="shared" si="279"/>
        <v>0</v>
      </c>
      <c r="N1605">
        <f t="shared" si="280"/>
        <v>0</v>
      </c>
      <c r="O1605">
        <f t="shared" si="281"/>
        <v>0</v>
      </c>
      <c r="P1605" t="str">
        <f t="shared" si="282"/>
        <v/>
      </c>
      <c r="Q1605" t="str">
        <f>IF(B1605="","", IFERROR(VLOOKUP(B1605, '基準資産配分（設定）'!$A$2:$C$2001, 3, FALSE), ""))</f>
        <v/>
      </c>
      <c r="R1605" t="str">
        <f>IF(B1605="","", IFERROR(VLOOKUP(B1605, '基準資産配分（設定）'!$A$2:$C$2001, 2, FALSE)/100, 0))</f>
        <v/>
      </c>
      <c r="S1605" t="str">
        <f>IF(B1605="","", IFERROR(SUMIFS(ベンチマークリターン!$C$2:$C$2001, ベンチマークリターン!$A$2:$A$2001, A1605, ベンチマークリターン!$B$2:$B$2001, Q1605) / 100, 0))</f>
        <v/>
      </c>
      <c r="T1605" t="str">
        <f>IF(A1605="","", SUMIFS($H$2:$H$2000, $A$2:$A$2000, A1605))</f>
        <v/>
      </c>
      <c r="U1605" t="str">
        <f t="shared" si="283"/>
        <v/>
      </c>
      <c r="V1605" t="str">
        <f t="shared" si="284"/>
        <v/>
      </c>
      <c r="W1605" t="str">
        <f t="shared" si="285"/>
        <v/>
      </c>
    </row>
    <row r="1606" spans="1:23" x14ac:dyDescent="0.2">
      <c r="A1606" s="4" t="str">
        <f>IF(ポートフォリオ実績!A1607="","", ポートフォリオ実績!A1607)</f>
        <v/>
      </c>
      <c r="B1606" t="str">
        <f>IF(ポートフォリオ実績!B1607="","", ポートフォリオ実績!B1607)</f>
        <v/>
      </c>
      <c r="C1606" s="10" t="str">
        <f>IF(ポートフォリオ実績!C1607="","", ポートフォリオ実績!C1607)</f>
        <v/>
      </c>
      <c r="D1606" s="10" t="str">
        <f>IF(ポートフォリオ実績!D1607="","", ポートフォリオ実績!D1607)</f>
        <v/>
      </c>
      <c r="E1606" s="10" t="str">
        <f>IF(ポートフォリオ実績!E1607="","", ポートフォリオ実績!E1607)</f>
        <v/>
      </c>
      <c r="F1606" s="10" t="str">
        <f>IF(ポートフォリオ実績!F1607="","", ポートフォリオ実績!F1607)</f>
        <v/>
      </c>
      <c r="G1606" t="str">
        <f t="shared" si="275"/>
        <v/>
      </c>
      <c r="H1606">
        <f>IF(B1606&lt;&gt;"", SUMIFS(ポートフォリオ実績!$D$2:$D$2001, ポートフォリオ実績!$B$2:$B$2001, B1606, ポートフォリオ実績!$A$2:$A$2001, G1606), 0)</f>
        <v>0</v>
      </c>
      <c r="I1606">
        <f>IF(B1606&lt;&gt;"", SUMIFS(ポートフォリオ実績!$C$2:$C$2001, ポートフォリオ実績!$B$2:$B$2001, B1606, ポートフォリオ実績!$A$2:$A$2001, G1606), 0)</f>
        <v>0</v>
      </c>
      <c r="J1606">
        <f t="shared" si="276"/>
        <v>0</v>
      </c>
      <c r="K1606">
        <f t="shared" si="277"/>
        <v>0</v>
      </c>
      <c r="L1606">
        <f t="shared" si="278"/>
        <v>0</v>
      </c>
      <c r="M1606">
        <f t="shared" si="279"/>
        <v>0</v>
      </c>
      <c r="N1606">
        <f t="shared" si="280"/>
        <v>0</v>
      </c>
      <c r="O1606">
        <f t="shared" si="281"/>
        <v>0</v>
      </c>
      <c r="P1606" t="str">
        <f t="shared" si="282"/>
        <v/>
      </c>
      <c r="Q1606" t="str">
        <f>IF(B1606="","", IFERROR(VLOOKUP(B1606, '基準資産配分（設定）'!$A$2:$C$2001, 3, FALSE), ""))</f>
        <v/>
      </c>
      <c r="R1606" t="str">
        <f>IF(B1606="","", IFERROR(VLOOKUP(B1606, '基準資産配分（設定）'!$A$2:$C$2001, 2, FALSE)/100, 0))</f>
        <v/>
      </c>
      <c r="S1606" t="str">
        <f>IF(B1606="","", IFERROR(SUMIFS(ベンチマークリターン!$C$2:$C$2001, ベンチマークリターン!$A$2:$A$2001, A1606, ベンチマークリターン!$B$2:$B$2001, Q1606) / 100, 0))</f>
        <v/>
      </c>
      <c r="T1606" t="str">
        <f>IF(A1606="","", SUMIFS($H$2:$H$2000, $A$2:$A$2000, A1606))</f>
        <v/>
      </c>
      <c r="U1606" t="str">
        <f t="shared" si="283"/>
        <v/>
      </c>
      <c r="V1606" t="str">
        <f t="shared" si="284"/>
        <v/>
      </c>
      <c r="W1606" t="str">
        <f t="shared" si="285"/>
        <v/>
      </c>
    </row>
    <row r="1607" spans="1:23" x14ac:dyDescent="0.2">
      <c r="A1607" s="4" t="str">
        <f>IF(ポートフォリオ実績!A1608="","", ポートフォリオ実績!A1608)</f>
        <v/>
      </c>
      <c r="B1607" t="str">
        <f>IF(ポートフォリオ実績!B1608="","", ポートフォリオ実績!B1608)</f>
        <v/>
      </c>
      <c r="C1607" s="10" t="str">
        <f>IF(ポートフォリオ実績!C1608="","", ポートフォリオ実績!C1608)</f>
        <v/>
      </c>
      <c r="D1607" s="10" t="str">
        <f>IF(ポートフォリオ実績!D1608="","", ポートフォリオ実績!D1608)</f>
        <v/>
      </c>
      <c r="E1607" s="10" t="str">
        <f>IF(ポートフォリオ実績!E1608="","", ポートフォリオ実績!E1608)</f>
        <v/>
      </c>
      <c r="F1607" s="10" t="str">
        <f>IF(ポートフォリオ実績!F1608="","", ポートフォリオ実績!F1608)</f>
        <v/>
      </c>
      <c r="G1607" t="str">
        <f t="shared" si="275"/>
        <v/>
      </c>
      <c r="H1607">
        <f>IF(B1607&lt;&gt;"", SUMIFS(ポートフォリオ実績!$D$2:$D$2001, ポートフォリオ実績!$B$2:$B$2001, B1607, ポートフォリオ実績!$A$2:$A$2001, G1607), 0)</f>
        <v>0</v>
      </c>
      <c r="I1607">
        <f>IF(B1607&lt;&gt;"", SUMIFS(ポートフォリオ実績!$C$2:$C$2001, ポートフォリオ実績!$B$2:$B$2001, B1607, ポートフォリオ実績!$A$2:$A$2001, G1607), 0)</f>
        <v>0</v>
      </c>
      <c r="J1607">
        <f t="shared" si="276"/>
        <v>0</v>
      </c>
      <c r="K1607">
        <f t="shared" si="277"/>
        <v>0</v>
      </c>
      <c r="L1607">
        <f t="shared" si="278"/>
        <v>0</v>
      </c>
      <c r="M1607">
        <f t="shared" si="279"/>
        <v>0</v>
      </c>
      <c r="N1607">
        <f t="shared" si="280"/>
        <v>0</v>
      </c>
      <c r="O1607">
        <f t="shared" si="281"/>
        <v>0</v>
      </c>
      <c r="P1607" t="str">
        <f t="shared" si="282"/>
        <v/>
      </c>
      <c r="Q1607" t="str">
        <f>IF(B1607="","", IFERROR(VLOOKUP(B1607, '基準資産配分（設定）'!$A$2:$C$2001, 3, FALSE), ""))</f>
        <v/>
      </c>
      <c r="R1607" t="str">
        <f>IF(B1607="","", IFERROR(VLOOKUP(B1607, '基準資産配分（設定）'!$A$2:$C$2001, 2, FALSE)/100, 0))</f>
        <v/>
      </c>
      <c r="S1607" t="str">
        <f>IF(B1607="","", IFERROR(SUMIFS(ベンチマークリターン!$C$2:$C$2001, ベンチマークリターン!$A$2:$A$2001, A1607, ベンチマークリターン!$B$2:$B$2001, Q1607) / 100, 0))</f>
        <v/>
      </c>
      <c r="T1607" t="str">
        <f>IF(A1607="","", SUMIFS($H$2:$H$2000, $A$2:$A$2000, A1607))</f>
        <v/>
      </c>
      <c r="U1607" t="str">
        <f t="shared" si="283"/>
        <v/>
      </c>
      <c r="V1607" t="str">
        <f t="shared" si="284"/>
        <v/>
      </c>
      <c r="W1607" t="str">
        <f t="shared" si="285"/>
        <v/>
      </c>
    </row>
    <row r="1608" spans="1:23" x14ac:dyDescent="0.2">
      <c r="A1608" s="4" t="str">
        <f>IF(ポートフォリオ実績!A1609="","", ポートフォリオ実績!A1609)</f>
        <v/>
      </c>
      <c r="B1608" t="str">
        <f>IF(ポートフォリオ実績!B1609="","", ポートフォリオ実績!B1609)</f>
        <v/>
      </c>
      <c r="C1608" s="10" t="str">
        <f>IF(ポートフォリオ実績!C1609="","", ポートフォリオ実績!C1609)</f>
        <v/>
      </c>
      <c r="D1608" s="10" t="str">
        <f>IF(ポートフォリオ実績!D1609="","", ポートフォリオ実績!D1609)</f>
        <v/>
      </c>
      <c r="E1608" s="10" t="str">
        <f>IF(ポートフォリオ実績!E1609="","", ポートフォリオ実績!E1609)</f>
        <v/>
      </c>
      <c r="F1608" s="10" t="str">
        <f>IF(ポートフォリオ実績!F1609="","", ポートフォリオ実績!F1609)</f>
        <v/>
      </c>
      <c r="G1608" t="str">
        <f t="shared" si="275"/>
        <v/>
      </c>
      <c r="H1608">
        <f>IF(B1608&lt;&gt;"", SUMIFS(ポートフォリオ実績!$D$2:$D$2001, ポートフォリオ実績!$B$2:$B$2001, B1608, ポートフォリオ実績!$A$2:$A$2001, G1608), 0)</f>
        <v>0</v>
      </c>
      <c r="I1608">
        <f>IF(B1608&lt;&gt;"", SUMIFS(ポートフォリオ実績!$C$2:$C$2001, ポートフォリオ実績!$B$2:$B$2001, B1608, ポートフォリオ実績!$A$2:$A$2001, G1608), 0)</f>
        <v>0</v>
      </c>
      <c r="J1608">
        <f t="shared" si="276"/>
        <v>0</v>
      </c>
      <c r="K1608">
        <f t="shared" si="277"/>
        <v>0</v>
      </c>
      <c r="L1608">
        <f t="shared" si="278"/>
        <v>0</v>
      </c>
      <c r="M1608">
        <f t="shared" si="279"/>
        <v>0</v>
      </c>
      <c r="N1608">
        <f t="shared" si="280"/>
        <v>0</v>
      </c>
      <c r="O1608">
        <f t="shared" si="281"/>
        <v>0</v>
      </c>
      <c r="P1608" t="str">
        <f t="shared" si="282"/>
        <v/>
      </c>
      <c r="Q1608" t="str">
        <f>IF(B1608="","", IFERROR(VLOOKUP(B1608, '基準資産配分（設定）'!$A$2:$C$2001, 3, FALSE), ""))</f>
        <v/>
      </c>
      <c r="R1608" t="str">
        <f>IF(B1608="","", IFERROR(VLOOKUP(B1608, '基準資産配分（設定）'!$A$2:$C$2001, 2, FALSE)/100, 0))</f>
        <v/>
      </c>
      <c r="S1608" t="str">
        <f>IF(B1608="","", IFERROR(SUMIFS(ベンチマークリターン!$C$2:$C$2001, ベンチマークリターン!$A$2:$A$2001, A1608, ベンチマークリターン!$B$2:$B$2001, Q1608) / 100, 0))</f>
        <v/>
      </c>
      <c r="T1608" t="str">
        <f>IF(A1608="","", SUMIFS($H$2:$H$2000, $A$2:$A$2000, A1608))</f>
        <v/>
      </c>
      <c r="U1608" t="str">
        <f t="shared" si="283"/>
        <v/>
      </c>
      <c r="V1608" t="str">
        <f t="shared" si="284"/>
        <v/>
      </c>
      <c r="W1608" t="str">
        <f t="shared" si="285"/>
        <v/>
      </c>
    </row>
    <row r="1609" spans="1:23" x14ac:dyDescent="0.2">
      <c r="A1609" s="4" t="str">
        <f>IF(ポートフォリオ実績!A1610="","", ポートフォリオ実績!A1610)</f>
        <v/>
      </c>
      <c r="B1609" t="str">
        <f>IF(ポートフォリオ実績!B1610="","", ポートフォリオ実績!B1610)</f>
        <v/>
      </c>
      <c r="C1609" s="10" t="str">
        <f>IF(ポートフォリオ実績!C1610="","", ポートフォリオ実績!C1610)</f>
        <v/>
      </c>
      <c r="D1609" s="10" t="str">
        <f>IF(ポートフォリオ実績!D1610="","", ポートフォリオ実績!D1610)</f>
        <v/>
      </c>
      <c r="E1609" s="10" t="str">
        <f>IF(ポートフォリオ実績!E1610="","", ポートフォリオ実績!E1610)</f>
        <v/>
      </c>
      <c r="F1609" s="10" t="str">
        <f>IF(ポートフォリオ実績!F1610="","", ポートフォリオ実績!F1610)</f>
        <v/>
      </c>
      <c r="G1609" t="str">
        <f t="shared" si="275"/>
        <v/>
      </c>
      <c r="H1609">
        <f>IF(B1609&lt;&gt;"", SUMIFS(ポートフォリオ実績!$D$2:$D$2001, ポートフォリオ実績!$B$2:$B$2001, B1609, ポートフォリオ実績!$A$2:$A$2001, G1609), 0)</f>
        <v>0</v>
      </c>
      <c r="I1609">
        <f>IF(B1609&lt;&gt;"", SUMIFS(ポートフォリオ実績!$C$2:$C$2001, ポートフォリオ実績!$B$2:$B$2001, B1609, ポートフォリオ実績!$A$2:$A$2001, G1609), 0)</f>
        <v>0</v>
      </c>
      <c r="J1609">
        <f t="shared" si="276"/>
        <v>0</v>
      </c>
      <c r="K1609">
        <f t="shared" si="277"/>
        <v>0</v>
      </c>
      <c r="L1609">
        <f t="shared" si="278"/>
        <v>0</v>
      </c>
      <c r="M1609">
        <f t="shared" si="279"/>
        <v>0</v>
      </c>
      <c r="N1609">
        <f t="shared" si="280"/>
        <v>0</v>
      </c>
      <c r="O1609">
        <f t="shared" si="281"/>
        <v>0</v>
      </c>
      <c r="P1609" t="str">
        <f t="shared" si="282"/>
        <v/>
      </c>
      <c r="Q1609" t="str">
        <f>IF(B1609="","", IFERROR(VLOOKUP(B1609, '基準資産配分（設定）'!$A$2:$C$2001, 3, FALSE), ""))</f>
        <v/>
      </c>
      <c r="R1609" t="str">
        <f>IF(B1609="","", IFERROR(VLOOKUP(B1609, '基準資産配分（設定）'!$A$2:$C$2001, 2, FALSE)/100, 0))</f>
        <v/>
      </c>
      <c r="S1609" t="str">
        <f>IF(B1609="","", IFERROR(SUMIFS(ベンチマークリターン!$C$2:$C$2001, ベンチマークリターン!$A$2:$A$2001, A1609, ベンチマークリターン!$B$2:$B$2001, Q1609) / 100, 0))</f>
        <v/>
      </c>
      <c r="T1609" t="str">
        <f>IF(A1609="","", SUMIFS($H$2:$H$2000, $A$2:$A$2000, A1609))</f>
        <v/>
      </c>
      <c r="U1609" t="str">
        <f t="shared" si="283"/>
        <v/>
      </c>
      <c r="V1609" t="str">
        <f t="shared" si="284"/>
        <v/>
      </c>
      <c r="W1609" t="str">
        <f t="shared" si="285"/>
        <v/>
      </c>
    </row>
    <row r="1610" spans="1:23" x14ac:dyDescent="0.2">
      <c r="A1610" s="4" t="str">
        <f>IF(ポートフォリオ実績!A1611="","", ポートフォリオ実績!A1611)</f>
        <v/>
      </c>
      <c r="B1610" t="str">
        <f>IF(ポートフォリオ実績!B1611="","", ポートフォリオ実績!B1611)</f>
        <v/>
      </c>
      <c r="C1610" s="10" t="str">
        <f>IF(ポートフォリオ実績!C1611="","", ポートフォリオ実績!C1611)</f>
        <v/>
      </c>
      <c r="D1610" s="10" t="str">
        <f>IF(ポートフォリオ実績!D1611="","", ポートフォリオ実績!D1611)</f>
        <v/>
      </c>
      <c r="E1610" s="10" t="str">
        <f>IF(ポートフォリオ実績!E1611="","", ポートフォリオ実績!E1611)</f>
        <v/>
      </c>
      <c r="F1610" s="10" t="str">
        <f>IF(ポートフォリオ実績!F1611="","", ポートフォリオ実績!F1611)</f>
        <v/>
      </c>
      <c r="G1610" t="str">
        <f t="shared" si="275"/>
        <v/>
      </c>
      <c r="H1610">
        <f>IF(B1610&lt;&gt;"", SUMIFS(ポートフォリオ実績!$D$2:$D$2001, ポートフォリオ実績!$B$2:$B$2001, B1610, ポートフォリオ実績!$A$2:$A$2001, G1610), 0)</f>
        <v>0</v>
      </c>
      <c r="I1610">
        <f>IF(B1610&lt;&gt;"", SUMIFS(ポートフォリオ実績!$C$2:$C$2001, ポートフォリオ実績!$B$2:$B$2001, B1610, ポートフォリオ実績!$A$2:$A$2001, G1610), 0)</f>
        <v>0</v>
      </c>
      <c r="J1610">
        <f t="shared" si="276"/>
        <v>0</v>
      </c>
      <c r="K1610">
        <f t="shared" si="277"/>
        <v>0</v>
      </c>
      <c r="L1610">
        <f t="shared" si="278"/>
        <v>0</v>
      </c>
      <c r="M1610">
        <f t="shared" si="279"/>
        <v>0</v>
      </c>
      <c r="N1610">
        <f t="shared" si="280"/>
        <v>0</v>
      </c>
      <c r="O1610">
        <f t="shared" si="281"/>
        <v>0</v>
      </c>
      <c r="P1610" t="str">
        <f t="shared" si="282"/>
        <v/>
      </c>
      <c r="Q1610" t="str">
        <f>IF(B1610="","", IFERROR(VLOOKUP(B1610, '基準資産配分（設定）'!$A$2:$C$2001, 3, FALSE), ""))</f>
        <v/>
      </c>
      <c r="R1610" t="str">
        <f>IF(B1610="","", IFERROR(VLOOKUP(B1610, '基準資産配分（設定）'!$A$2:$C$2001, 2, FALSE)/100, 0))</f>
        <v/>
      </c>
      <c r="S1610" t="str">
        <f>IF(B1610="","", IFERROR(SUMIFS(ベンチマークリターン!$C$2:$C$2001, ベンチマークリターン!$A$2:$A$2001, A1610, ベンチマークリターン!$B$2:$B$2001, Q1610) / 100, 0))</f>
        <v/>
      </c>
      <c r="T1610" t="str">
        <f>IF(A1610="","", SUMIFS($H$2:$H$2000, $A$2:$A$2000, A1610))</f>
        <v/>
      </c>
      <c r="U1610" t="str">
        <f t="shared" si="283"/>
        <v/>
      </c>
      <c r="V1610" t="str">
        <f t="shared" si="284"/>
        <v/>
      </c>
      <c r="W1610" t="str">
        <f t="shared" si="285"/>
        <v/>
      </c>
    </row>
    <row r="1611" spans="1:23" x14ac:dyDescent="0.2">
      <c r="A1611" s="4" t="str">
        <f>IF(ポートフォリオ実績!A1612="","", ポートフォリオ実績!A1612)</f>
        <v/>
      </c>
      <c r="B1611" t="str">
        <f>IF(ポートフォリオ実績!B1612="","", ポートフォリオ実績!B1612)</f>
        <v/>
      </c>
      <c r="C1611" s="10" t="str">
        <f>IF(ポートフォリオ実績!C1612="","", ポートフォリオ実績!C1612)</f>
        <v/>
      </c>
      <c r="D1611" s="10" t="str">
        <f>IF(ポートフォリオ実績!D1612="","", ポートフォリオ実績!D1612)</f>
        <v/>
      </c>
      <c r="E1611" s="10" t="str">
        <f>IF(ポートフォリオ実績!E1612="","", ポートフォリオ実績!E1612)</f>
        <v/>
      </c>
      <c r="F1611" s="10" t="str">
        <f>IF(ポートフォリオ実績!F1612="","", ポートフォリオ実績!F1612)</f>
        <v/>
      </c>
      <c r="G1611" t="str">
        <f t="shared" si="275"/>
        <v/>
      </c>
      <c r="H1611">
        <f>IF(B1611&lt;&gt;"", SUMIFS(ポートフォリオ実績!$D$2:$D$2001, ポートフォリオ実績!$B$2:$B$2001, B1611, ポートフォリオ実績!$A$2:$A$2001, G1611), 0)</f>
        <v>0</v>
      </c>
      <c r="I1611">
        <f>IF(B1611&lt;&gt;"", SUMIFS(ポートフォリオ実績!$C$2:$C$2001, ポートフォリオ実績!$B$2:$B$2001, B1611, ポートフォリオ実績!$A$2:$A$2001, G1611), 0)</f>
        <v>0</v>
      </c>
      <c r="J1611">
        <f t="shared" si="276"/>
        <v>0</v>
      </c>
      <c r="K1611">
        <f t="shared" si="277"/>
        <v>0</v>
      </c>
      <c r="L1611">
        <f t="shared" si="278"/>
        <v>0</v>
      </c>
      <c r="M1611">
        <f t="shared" si="279"/>
        <v>0</v>
      </c>
      <c r="N1611">
        <f t="shared" si="280"/>
        <v>0</v>
      </c>
      <c r="O1611">
        <f t="shared" si="281"/>
        <v>0</v>
      </c>
      <c r="P1611" t="str">
        <f t="shared" si="282"/>
        <v/>
      </c>
      <c r="Q1611" t="str">
        <f>IF(B1611="","", IFERROR(VLOOKUP(B1611, '基準資産配分（設定）'!$A$2:$C$2001, 3, FALSE), ""))</f>
        <v/>
      </c>
      <c r="R1611" t="str">
        <f>IF(B1611="","", IFERROR(VLOOKUP(B1611, '基準資産配分（設定）'!$A$2:$C$2001, 2, FALSE)/100, 0))</f>
        <v/>
      </c>
      <c r="S1611" t="str">
        <f>IF(B1611="","", IFERROR(SUMIFS(ベンチマークリターン!$C$2:$C$2001, ベンチマークリターン!$A$2:$A$2001, A1611, ベンチマークリターン!$B$2:$B$2001, Q1611) / 100, 0))</f>
        <v/>
      </c>
      <c r="T1611" t="str">
        <f>IF(A1611="","", SUMIFS($H$2:$H$2000, $A$2:$A$2000, A1611))</f>
        <v/>
      </c>
      <c r="U1611" t="str">
        <f t="shared" si="283"/>
        <v/>
      </c>
      <c r="V1611" t="str">
        <f t="shared" si="284"/>
        <v/>
      </c>
      <c r="W1611" t="str">
        <f t="shared" si="285"/>
        <v/>
      </c>
    </row>
    <row r="1612" spans="1:23" x14ac:dyDescent="0.2">
      <c r="A1612" s="4" t="str">
        <f>IF(ポートフォリオ実績!A1613="","", ポートフォリオ実績!A1613)</f>
        <v/>
      </c>
      <c r="B1612" t="str">
        <f>IF(ポートフォリオ実績!B1613="","", ポートフォリオ実績!B1613)</f>
        <v/>
      </c>
      <c r="C1612" s="10" t="str">
        <f>IF(ポートフォリオ実績!C1613="","", ポートフォリオ実績!C1613)</f>
        <v/>
      </c>
      <c r="D1612" s="10" t="str">
        <f>IF(ポートフォリオ実績!D1613="","", ポートフォリオ実績!D1613)</f>
        <v/>
      </c>
      <c r="E1612" s="10" t="str">
        <f>IF(ポートフォリオ実績!E1613="","", ポートフォリオ実績!E1613)</f>
        <v/>
      </c>
      <c r="F1612" s="10" t="str">
        <f>IF(ポートフォリオ実績!F1613="","", ポートフォリオ実績!F1613)</f>
        <v/>
      </c>
      <c r="G1612" t="str">
        <f t="shared" si="275"/>
        <v/>
      </c>
      <c r="H1612">
        <f>IF(B1612&lt;&gt;"", SUMIFS(ポートフォリオ実績!$D$2:$D$2001, ポートフォリオ実績!$B$2:$B$2001, B1612, ポートフォリオ実績!$A$2:$A$2001, G1612), 0)</f>
        <v>0</v>
      </c>
      <c r="I1612">
        <f>IF(B1612&lt;&gt;"", SUMIFS(ポートフォリオ実績!$C$2:$C$2001, ポートフォリオ実績!$B$2:$B$2001, B1612, ポートフォリオ実績!$A$2:$A$2001, G1612), 0)</f>
        <v>0</v>
      </c>
      <c r="J1612">
        <f t="shared" si="276"/>
        <v>0</v>
      </c>
      <c r="K1612">
        <f t="shared" si="277"/>
        <v>0</v>
      </c>
      <c r="L1612">
        <f t="shared" si="278"/>
        <v>0</v>
      </c>
      <c r="M1612">
        <f t="shared" si="279"/>
        <v>0</v>
      </c>
      <c r="N1612">
        <f t="shared" si="280"/>
        <v>0</v>
      </c>
      <c r="O1612">
        <f t="shared" si="281"/>
        <v>0</v>
      </c>
      <c r="P1612" t="str">
        <f t="shared" si="282"/>
        <v/>
      </c>
      <c r="Q1612" t="str">
        <f>IF(B1612="","", IFERROR(VLOOKUP(B1612, '基準資産配分（設定）'!$A$2:$C$2001, 3, FALSE), ""))</f>
        <v/>
      </c>
      <c r="R1612" t="str">
        <f>IF(B1612="","", IFERROR(VLOOKUP(B1612, '基準資産配分（設定）'!$A$2:$C$2001, 2, FALSE)/100, 0))</f>
        <v/>
      </c>
      <c r="S1612" t="str">
        <f>IF(B1612="","", IFERROR(SUMIFS(ベンチマークリターン!$C$2:$C$2001, ベンチマークリターン!$A$2:$A$2001, A1612, ベンチマークリターン!$B$2:$B$2001, Q1612) / 100, 0))</f>
        <v/>
      </c>
      <c r="T1612" t="str">
        <f>IF(A1612="","", SUMIFS($H$2:$H$2000, $A$2:$A$2000, A1612))</f>
        <v/>
      </c>
      <c r="U1612" t="str">
        <f t="shared" si="283"/>
        <v/>
      </c>
      <c r="V1612" t="str">
        <f t="shared" si="284"/>
        <v/>
      </c>
      <c r="W1612" t="str">
        <f t="shared" si="285"/>
        <v/>
      </c>
    </row>
    <row r="1613" spans="1:23" x14ac:dyDescent="0.2">
      <c r="A1613" s="4" t="str">
        <f>IF(ポートフォリオ実績!A1614="","", ポートフォリオ実績!A1614)</f>
        <v/>
      </c>
      <c r="B1613" t="str">
        <f>IF(ポートフォリオ実績!B1614="","", ポートフォリオ実績!B1614)</f>
        <v/>
      </c>
      <c r="C1613" s="10" t="str">
        <f>IF(ポートフォリオ実績!C1614="","", ポートフォリオ実績!C1614)</f>
        <v/>
      </c>
      <c r="D1613" s="10" t="str">
        <f>IF(ポートフォリオ実績!D1614="","", ポートフォリオ実績!D1614)</f>
        <v/>
      </c>
      <c r="E1613" s="10" t="str">
        <f>IF(ポートフォリオ実績!E1614="","", ポートフォリオ実績!E1614)</f>
        <v/>
      </c>
      <c r="F1613" s="10" t="str">
        <f>IF(ポートフォリオ実績!F1614="","", ポートフォリオ実績!F1614)</f>
        <v/>
      </c>
      <c r="G1613" t="str">
        <f t="shared" si="275"/>
        <v/>
      </c>
      <c r="H1613">
        <f>IF(B1613&lt;&gt;"", SUMIFS(ポートフォリオ実績!$D$2:$D$2001, ポートフォリオ実績!$B$2:$B$2001, B1613, ポートフォリオ実績!$A$2:$A$2001, G1613), 0)</f>
        <v>0</v>
      </c>
      <c r="I1613">
        <f>IF(B1613&lt;&gt;"", SUMIFS(ポートフォリオ実績!$C$2:$C$2001, ポートフォリオ実績!$B$2:$B$2001, B1613, ポートフォリオ実績!$A$2:$A$2001, G1613), 0)</f>
        <v>0</v>
      </c>
      <c r="J1613">
        <f t="shared" si="276"/>
        <v>0</v>
      </c>
      <c r="K1613">
        <f t="shared" si="277"/>
        <v>0</v>
      </c>
      <c r="L1613">
        <f t="shared" si="278"/>
        <v>0</v>
      </c>
      <c r="M1613">
        <f t="shared" si="279"/>
        <v>0</v>
      </c>
      <c r="N1613">
        <f t="shared" si="280"/>
        <v>0</v>
      </c>
      <c r="O1613">
        <f t="shared" si="281"/>
        <v>0</v>
      </c>
      <c r="P1613" t="str">
        <f t="shared" si="282"/>
        <v/>
      </c>
      <c r="Q1613" t="str">
        <f>IF(B1613="","", IFERROR(VLOOKUP(B1613, '基準資産配分（設定）'!$A$2:$C$2001, 3, FALSE), ""))</f>
        <v/>
      </c>
      <c r="R1613" t="str">
        <f>IF(B1613="","", IFERROR(VLOOKUP(B1613, '基準資産配分（設定）'!$A$2:$C$2001, 2, FALSE)/100, 0))</f>
        <v/>
      </c>
      <c r="S1613" t="str">
        <f>IF(B1613="","", IFERROR(SUMIFS(ベンチマークリターン!$C$2:$C$2001, ベンチマークリターン!$A$2:$A$2001, A1613, ベンチマークリターン!$B$2:$B$2001, Q1613) / 100, 0))</f>
        <v/>
      </c>
      <c r="T1613" t="str">
        <f>IF(A1613="","", SUMIFS($H$2:$H$2000, $A$2:$A$2000, A1613))</f>
        <v/>
      </c>
      <c r="U1613" t="str">
        <f t="shared" si="283"/>
        <v/>
      </c>
      <c r="V1613" t="str">
        <f t="shared" si="284"/>
        <v/>
      </c>
      <c r="W1613" t="str">
        <f t="shared" si="285"/>
        <v/>
      </c>
    </row>
    <row r="1614" spans="1:23" x14ac:dyDescent="0.2">
      <c r="A1614" s="4" t="str">
        <f>IF(ポートフォリオ実績!A1615="","", ポートフォリオ実績!A1615)</f>
        <v/>
      </c>
      <c r="B1614" t="str">
        <f>IF(ポートフォリオ実績!B1615="","", ポートフォリオ実績!B1615)</f>
        <v/>
      </c>
      <c r="C1614" s="10" t="str">
        <f>IF(ポートフォリオ実績!C1615="","", ポートフォリオ実績!C1615)</f>
        <v/>
      </c>
      <c r="D1614" s="10" t="str">
        <f>IF(ポートフォリオ実績!D1615="","", ポートフォリオ実績!D1615)</f>
        <v/>
      </c>
      <c r="E1614" s="10" t="str">
        <f>IF(ポートフォリオ実績!E1615="","", ポートフォリオ実績!E1615)</f>
        <v/>
      </c>
      <c r="F1614" s="10" t="str">
        <f>IF(ポートフォリオ実績!F1615="","", ポートフォリオ実績!F1615)</f>
        <v/>
      </c>
      <c r="G1614" t="str">
        <f t="shared" si="275"/>
        <v/>
      </c>
      <c r="H1614">
        <f>IF(B1614&lt;&gt;"", SUMIFS(ポートフォリオ実績!$D$2:$D$2001, ポートフォリオ実績!$B$2:$B$2001, B1614, ポートフォリオ実績!$A$2:$A$2001, G1614), 0)</f>
        <v>0</v>
      </c>
      <c r="I1614">
        <f>IF(B1614&lt;&gt;"", SUMIFS(ポートフォリオ実績!$C$2:$C$2001, ポートフォリオ実績!$B$2:$B$2001, B1614, ポートフォリオ実績!$A$2:$A$2001, G1614), 0)</f>
        <v>0</v>
      </c>
      <c r="J1614">
        <f t="shared" si="276"/>
        <v>0</v>
      </c>
      <c r="K1614">
        <f t="shared" si="277"/>
        <v>0</v>
      </c>
      <c r="L1614">
        <f t="shared" si="278"/>
        <v>0</v>
      </c>
      <c r="M1614">
        <f t="shared" si="279"/>
        <v>0</v>
      </c>
      <c r="N1614">
        <f t="shared" si="280"/>
        <v>0</v>
      </c>
      <c r="O1614">
        <f t="shared" si="281"/>
        <v>0</v>
      </c>
      <c r="P1614" t="str">
        <f t="shared" si="282"/>
        <v/>
      </c>
      <c r="Q1614" t="str">
        <f>IF(B1614="","", IFERROR(VLOOKUP(B1614, '基準資産配分（設定）'!$A$2:$C$2001, 3, FALSE), ""))</f>
        <v/>
      </c>
      <c r="R1614" t="str">
        <f>IF(B1614="","", IFERROR(VLOOKUP(B1614, '基準資産配分（設定）'!$A$2:$C$2001, 2, FALSE)/100, 0))</f>
        <v/>
      </c>
      <c r="S1614" t="str">
        <f>IF(B1614="","", IFERROR(SUMIFS(ベンチマークリターン!$C$2:$C$2001, ベンチマークリターン!$A$2:$A$2001, A1614, ベンチマークリターン!$B$2:$B$2001, Q1614) / 100, 0))</f>
        <v/>
      </c>
      <c r="T1614" t="str">
        <f>IF(A1614="","", SUMIFS($H$2:$H$2000, $A$2:$A$2000, A1614))</f>
        <v/>
      </c>
      <c r="U1614" t="str">
        <f t="shared" si="283"/>
        <v/>
      </c>
      <c r="V1614" t="str">
        <f t="shared" si="284"/>
        <v/>
      </c>
      <c r="W1614" t="str">
        <f t="shared" si="285"/>
        <v/>
      </c>
    </row>
    <row r="1615" spans="1:23" x14ac:dyDescent="0.2">
      <c r="A1615" s="4" t="str">
        <f>IF(ポートフォリオ実績!A1616="","", ポートフォリオ実績!A1616)</f>
        <v/>
      </c>
      <c r="B1615" t="str">
        <f>IF(ポートフォリオ実績!B1616="","", ポートフォリオ実績!B1616)</f>
        <v/>
      </c>
      <c r="C1615" s="10" t="str">
        <f>IF(ポートフォリオ実績!C1616="","", ポートフォリオ実績!C1616)</f>
        <v/>
      </c>
      <c r="D1615" s="10" t="str">
        <f>IF(ポートフォリオ実績!D1616="","", ポートフォリオ実績!D1616)</f>
        <v/>
      </c>
      <c r="E1615" s="10" t="str">
        <f>IF(ポートフォリオ実績!E1616="","", ポートフォリオ実績!E1616)</f>
        <v/>
      </c>
      <c r="F1615" s="10" t="str">
        <f>IF(ポートフォリオ実績!F1616="","", ポートフォリオ実績!F1616)</f>
        <v/>
      </c>
      <c r="G1615" t="str">
        <f t="shared" si="275"/>
        <v/>
      </c>
      <c r="H1615">
        <f>IF(B1615&lt;&gt;"", SUMIFS(ポートフォリオ実績!$D$2:$D$2001, ポートフォリオ実績!$B$2:$B$2001, B1615, ポートフォリオ実績!$A$2:$A$2001, G1615), 0)</f>
        <v>0</v>
      </c>
      <c r="I1615">
        <f>IF(B1615&lt;&gt;"", SUMIFS(ポートフォリオ実績!$C$2:$C$2001, ポートフォリオ実績!$B$2:$B$2001, B1615, ポートフォリオ実績!$A$2:$A$2001, G1615), 0)</f>
        <v>0</v>
      </c>
      <c r="J1615">
        <f t="shared" si="276"/>
        <v>0</v>
      </c>
      <c r="K1615">
        <f t="shared" si="277"/>
        <v>0</v>
      </c>
      <c r="L1615">
        <f t="shared" si="278"/>
        <v>0</v>
      </c>
      <c r="M1615">
        <f t="shared" si="279"/>
        <v>0</v>
      </c>
      <c r="N1615">
        <f t="shared" si="280"/>
        <v>0</v>
      </c>
      <c r="O1615">
        <f t="shared" si="281"/>
        <v>0</v>
      </c>
      <c r="P1615" t="str">
        <f t="shared" si="282"/>
        <v/>
      </c>
      <c r="Q1615" t="str">
        <f>IF(B1615="","", IFERROR(VLOOKUP(B1615, '基準資産配分（設定）'!$A$2:$C$2001, 3, FALSE), ""))</f>
        <v/>
      </c>
      <c r="R1615" t="str">
        <f>IF(B1615="","", IFERROR(VLOOKUP(B1615, '基準資産配分（設定）'!$A$2:$C$2001, 2, FALSE)/100, 0))</f>
        <v/>
      </c>
      <c r="S1615" t="str">
        <f>IF(B1615="","", IFERROR(SUMIFS(ベンチマークリターン!$C$2:$C$2001, ベンチマークリターン!$A$2:$A$2001, A1615, ベンチマークリターン!$B$2:$B$2001, Q1615) / 100, 0))</f>
        <v/>
      </c>
      <c r="T1615" t="str">
        <f>IF(A1615="","", SUMIFS($H$2:$H$2000, $A$2:$A$2000, A1615))</f>
        <v/>
      </c>
      <c r="U1615" t="str">
        <f t="shared" si="283"/>
        <v/>
      </c>
      <c r="V1615" t="str">
        <f t="shared" si="284"/>
        <v/>
      </c>
      <c r="W1615" t="str">
        <f t="shared" si="285"/>
        <v/>
      </c>
    </row>
    <row r="1616" spans="1:23" x14ac:dyDescent="0.2">
      <c r="A1616" s="4" t="str">
        <f>IF(ポートフォリオ実績!A1617="","", ポートフォリオ実績!A1617)</f>
        <v/>
      </c>
      <c r="B1616" t="str">
        <f>IF(ポートフォリオ実績!B1617="","", ポートフォリオ実績!B1617)</f>
        <v/>
      </c>
      <c r="C1616" s="10" t="str">
        <f>IF(ポートフォリオ実績!C1617="","", ポートフォリオ実績!C1617)</f>
        <v/>
      </c>
      <c r="D1616" s="10" t="str">
        <f>IF(ポートフォリオ実績!D1617="","", ポートフォリオ実績!D1617)</f>
        <v/>
      </c>
      <c r="E1616" s="10" t="str">
        <f>IF(ポートフォリオ実績!E1617="","", ポートフォリオ実績!E1617)</f>
        <v/>
      </c>
      <c r="F1616" s="10" t="str">
        <f>IF(ポートフォリオ実績!F1617="","", ポートフォリオ実績!F1617)</f>
        <v/>
      </c>
      <c r="G1616" t="str">
        <f t="shared" si="275"/>
        <v/>
      </c>
      <c r="H1616">
        <f>IF(B1616&lt;&gt;"", SUMIFS(ポートフォリオ実績!$D$2:$D$2001, ポートフォリオ実績!$B$2:$B$2001, B1616, ポートフォリオ実績!$A$2:$A$2001, G1616), 0)</f>
        <v>0</v>
      </c>
      <c r="I1616">
        <f>IF(B1616&lt;&gt;"", SUMIFS(ポートフォリオ実績!$C$2:$C$2001, ポートフォリオ実績!$B$2:$B$2001, B1616, ポートフォリオ実績!$A$2:$A$2001, G1616), 0)</f>
        <v>0</v>
      </c>
      <c r="J1616">
        <f t="shared" si="276"/>
        <v>0</v>
      </c>
      <c r="K1616">
        <f t="shared" si="277"/>
        <v>0</v>
      </c>
      <c r="L1616">
        <f t="shared" si="278"/>
        <v>0</v>
      </c>
      <c r="M1616">
        <f t="shared" si="279"/>
        <v>0</v>
      </c>
      <c r="N1616">
        <f t="shared" si="280"/>
        <v>0</v>
      </c>
      <c r="O1616">
        <f t="shared" si="281"/>
        <v>0</v>
      </c>
      <c r="P1616" t="str">
        <f t="shared" si="282"/>
        <v/>
      </c>
      <c r="Q1616" t="str">
        <f>IF(B1616="","", IFERROR(VLOOKUP(B1616, '基準資産配分（設定）'!$A$2:$C$2001, 3, FALSE), ""))</f>
        <v/>
      </c>
      <c r="R1616" t="str">
        <f>IF(B1616="","", IFERROR(VLOOKUP(B1616, '基準資産配分（設定）'!$A$2:$C$2001, 2, FALSE)/100, 0))</f>
        <v/>
      </c>
      <c r="S1616" t="str">
        <f>IF(B1616="","", IFERROR(SUMIFS(ベンチマークリターン!$C$2:$C$2001, ベンチマークリターン!$A$2:$A$2001, A1616, ベンチマークリターン!$B$2:$B$2001, Q1616) / 100, 0))</f>
        <v/>
      </c>
      <c r="T1616" t="str">
        <f>IF(A1616="","", SUMIFS($H$2:$H$2000, $A$2:$A$2000, A1616))</f>
        <v/>
      </c>
      <c r="U1616" t="str">
        <f t="shared" si="283"/>
        <v/>
      </c>
      <c r="V1616" t="str">
        <f t="shared" si="284"/>
        <v/>
      </c>
      <c r="W1616" t="str">
        <f t="shared" si="285"/>
        <v/>
      </c>
    </row>
    <row r="1617" spans="1:23" x14ac:dyDescent="0.2">
      <c r="A1617" s="4" t="str">
        <f>IF(ポートフォリオ実績!A1618="","", ポートフォリオ実績!A1618)</f>
        <v/>
      </c>
      <c r="B1617" t="str">
        <f>IF(ポートフォリオ実績!B1618="","", ポートフォリオ実績!B1618)</f>
        <v/>
      </c>
      <c r="C1617" s="10" t="str">
        <f>IF(ポートフォリオ実績!C1618="","", ポートフォリオ実績!C1618)</f>
        <v/>
      </c>
      <c r="D1617" s="10" t="str">
        <f>IF(ポートフォリオ実績!D1618="","", ポートフォリオ実績!D1618)</f>
        <v/>
      </c>
      <c r="E1617" s="10" t="str">
        <f>IF(ポートフォリオ実績!E1618="","", ポートフォリオ実績!E1618)</f>
        <v/>
      </c>
      <c r="F1617" s="10" t="str">
        <f>IF(ポートフォリオ実績!F1618="","", ポートフォリオ実績!F1618)</f>
        <v/>
      </c>
      <c r="G1617" t="str">
        <f t="shared" si="275"/>
        <v/>
      </c>
      <c r="H1617">
        <f>IF(B1617&lt;&gt;"", SUMIFS(ポートフォリオ実績!$D$2:$D$2001, ポートフォリオ実績!$B$2:$B$2001, B1617, ポートフォリオ実績!$A$2:$A$2001, G1617), 0)</f>
        <v>0</v>
      </c>
      <c r="I1617">
        <f>IF(B1617&lt;&gt;"", SUMIFS(ポートフォリオ実績!$C$2:$C$2001, ポートフォリオ実績!$B$2:$B$2001, B1617, ポートフォリオ実績!$A$2:$A$2001, G1617), 0)</f>
        <v>0</v>
      </c>
      <c r="J1617">
        <f t="shared" si="276"/>
        <v>0</v>
      </c>
      <c r="K1617">
        <f t="shared" si="277"/>
        <v>0</v>
      </c>
      <c r="L1617">
        <f t="shared" si="278"/>
        <v>0</v>
      </c>
      <c r="M1617">
        <f t="shared" si="279"/>
        <v>0</v>
      </c>
      <c r="N1617">
        <f t="shared" si="280"/>
        <v>0</v>
      </c>
      <c r="O1617">
        <f t="shared" si="281"/>
        <v>0</v>
      </c>
      <c r="P1617" t="str">
        <f t="shared" si="282"/>
        <v/>
      </c>
      <c r="Q1617" t="str">
        <f>IF(B1617="","", IFERROR(VLOOKUP(B1617, '基準資産配分（設定）'!$A$2:$C$2001, 3, FALSE), ""))</f>
        <v/>
      </c>
      <c r="R1617" t="str">
        <f>IF(B1617="","", IFERROR(VLOOKUP(B1617, '基準資産配分（設定）'!$A$2:$C$2001, 2, FALSE)/100, 0))</f>
        <v/>
      </c>
      <c r="S1617" t="str">
        <f>IF(B1617="","", IFERROR(SUMIFS(ベンチマークリターン!$C$2:$C$2001, ベンチマークリターン!$A$2:$A$2001, A1617, ベンチマークリターン!$B$2:$B$2001, Q1617) / 100, 0))</f>
        <v/>
      </c>
      <c r="T1617" t="str">
        <f>IF(A1617="","", SUMIFS($H$2:$H$2000, $A$2:$A$2000, A1617))</f>
        <v/>
      </c>
      <c r="U1617" t="str">
        <f t="shared" si="283"/>
        <v/>
      </c>
      <c r="V1617" t="str">
        <f t="shared" si="284"/>
        <v/>
      </c>
      <c r="W1617" t="str">
        <f t="shared" si="285"/>
        <v/>
      </c>
    </row>
    <row r="1618" spans="1:23" x14ac:dyDescent="0.2">
      <c r="A1618" s="4" t="str">
        <f>IF(ポートフォリオ実績!A1619="","", ポートフォリオ実績!A1619)</f>
        <v/>
      </c>
      <c r="B1618" t="str">
        <f>IF(ポートフォリオ実績!B1619="","", ポートフォリオ実績!B1619)</f>
        <v/>
      </c>
      <c r="C1618" s="10" t="str">
        <f>IF(ポートフォリオ実績!C1619="","", ポートフォリオ実績!C1619)</f>
        <v/>
      </c>
      <c r="D1618" s="10" t="str">
        <f>IF(ポートフォリオ実績!D1619="","", ポートフォリオ実績!D1619)</f>
        <v/>
      </c>
      <c r="E1618" s="10" t="str">
        <f>IF(ポートフォリオ実績!E1619="","", ポートフォリオ実績!E1619)</f>
        <v/>
      </c>
      <c r="F1618" s="10" t="str">
        <f>IF(ポートフォリオ実績!F1619="","", ポートフォリオ実績!F1619)</f>
        <v/>
      </c>
      <c r="G1618" t="str">
        <f t="shared" si="275"/>
        <v/>
      </c>
      <c r="H1618">
        <f>IF(B1618&lt;&gt;"", SUMIFS(ポートフォリオ実績!$D$2:$D$2001, ポートフォリオ実績!$B$2:$B$2001, B1618, ポートフォリオ実績!$A$2:$A$2001, G1618), 0)</f>
        <v>0</v>
      </c>
      <c r="I1618">
        <f>IF(B1618&lt;&gt;"", SUMIFS(ポートフォリオ実績!$C$2:$C$2001, ポートフォリオ実績!$B$2:$B$2001, B1618, ポートフォリオ実績!$A$2:$A$2001, G1618), 0)</f>
        <v>0</v>
      </c>
      <c r="J1618">
        <f t="shared" si="276"/>
        <v>0</v>
      </c>
      <c r="K1618">
        <f t="shared" si="277"/>
        <v>0</v>
      </c>
      <c r="L1618">
        <f t="shared" si="278"/>
        <v>0</v>
      </c>
      <c r="M1618">
        <f t="shared" si="279"/>
        <v>0</v>
      </c>
      <c r="N1618">
        <f t="shared" si="280"/>
        <v>0</v>
      </c>
      <c r="O1618">
        <f t="shared" si="281"/>
        <v>0</v>
      </c>
      <c r="P1618" t="str">
        <f t="shared" si="282"/>
        <v/>
      </c>
      <c r="Q1618" t="str">
        <f>IF(B1618="","", IFERROR(VLOOKUP(B1618, '基準資産配分（設定）'!$A$2:$C$2001, 3, FALSE), ""))</f>
        <v/>
      </c>
      <c r="R1618" t="str">
        <f>IF(B1618="","", IFERROR(VLOOKUP(B1618, '基準資産配分（設定）'!$A$2:$C$2001, 2, FALSE)/100, 0))</f>
        <v/>
      </c>
      <c r="S1618" t="str">
        <f>IF(B1618="","", IFERROR(SUMIFS(ベンチマークリターン!$C$2:$C$2001, ベンチマークリターン!$A$2:$A$2001, A1618, ベンチマークリターン!$B$2:$B$2001, Q1618) / 100, 0))</f>
        <v/>
      </c>
      <c r="T1618" t="str">
        <f>IF(A1618="","", SUMIFS($H$2:$H$2000, $A$2:$A$2000, A1618))</f>
        <v/>
      </c>
      <c r="U1618" t="str">
        <f t="shared" si="283"/>
        <v/>
      </c>
      <c r="V1618" t="str">
        <f t="shared" si="284"/>
        <v/>
      </c>
      <c r="W1618" t="str">
        <f t="shared" si="285"/>
        <v/>
      </c>
    </row>
    <row r="1619" spans="1:23" x14ac:dyDescent="0.2">
      <c r="A1619" s="4" t="str">
        <f>IF(ポートフォリオ実績!A1620="","", ポートフォリオ実績!A1620)</f>
        <v/>
      </c>
      <c r="B1619" t="str">
        <f>IF(ポートフォリオ実績!B1620="","", ポートフォリオ実績!B1620)</f>
        <v/>
      </c>
      <c r="C1619" s="10" t="str">
        <f>IF(ポートフォリオ実績!C1620="","", ポートフォリオ実績!C1620)</f>
        <v/>
      </c>
      <c r="D1619" s="10" t="str">
        <f>IF(ポートフォリオ実績!D1620="","", ポートフォリオ実績!D1620)</f>
        <v/>
      </c>
      <c r="E1619" s="10" t="str">
        <f>IF(ポートフォリオ実績!E1620="","", ポートフォリオ実績!E1620)</f>
        <v/>
      </c>
      <c r="F1619" s="10" t="str">
        <f>IF(ポートフォリオ実績!F1620="","", ポートフォリオ実績!F1620)</f>
        <v/>
      </c>
      <c r="G1619" t="str">
        <f t="shared" si="275"/>
        <v/>
      </c>
      <c r="H1619">
        <f>IF(B1619&lt;&gt;"", SUMIFS(ポートフォリオ実績!$D$2:$D$2001, ポートフォリオ実績!$B$2:$B$2001, B1619, ポートフォリオ実績!$A$2:$A$2001, G1619), 0)</f>
        <v>0</v>
      </c>
      <c r="I1619">
        <f>IF(B1619&lt;&gt;"", SUMIFS(ポートフォリオ実績!$C$2:$C$2001, ポートフォリオ実績!$B$2:$B$2001, B1619, ポートフォリオ実績!$A$2:$A$2001, G1619), 0)</f>
        <v>0</v>
      </c>
      <c r="J1619">
        <f t="shared" si="276"/>
        <v>0</v>
      </c>
      <c r="K1619">
        <f t="shared" si="277"/>
        <v>0</v>
      </c>
      <c r="L1619">
        <f t="shared" si="278"/>
        <v>0</v>
      </c>
      <c r="M1619">
        <f t="shared" si="279"/>
        <v>0</v>
      </c>
      <c r="N1619">
        <f t="shared" si="280"/>
        <v>0</v>
      </c>
      <c r="O1619">
        <f t="shared" si="281"/>
        <v>0</v>
      </c>
      <c r="P1619" t="str">
        <f t="shared" si="282"/>
        <v/>
      </c>
      <c r="Q1619" t="str">
        <f>IF(B1619="","", IFERROR(VLOOKUP(B1619, '基準資産配分（設定）'!$A$2:$C$2001, 3, FALSE), ""))</f>
        <v/>
      </c>
      <c r="R1619" t="str">
        <f>IF(B1619="","", IFERROR(VLOOKUP(B1619, '基準資産配分（設定）'!$A$2:$C$2001, 2, FALSE)/100, 0))</f>
        <v/>
      </c>
      <c r="S1619" t="str">
        <f>IF(B1619="","", IFERROR(SUMIFS(ベンチマークリターン!$C$2:$C$2001, ベンチマークリターン!$A$2:$A$2001, A1619, ベンチマークリターン!$B$2:$B$2001, Q1619) / 100, 0))</f>
        <v/>
      </c>
      <c r="T1619" t="str">
        <f>IF(A1619="","", SUMIFS($H$2:$H$2000, $A$2:$A$2000, A1619))</f>
        <v/>
      </c>
      <c r="U1619" t="str">
        <f t="shared" si="283"/>
        <v/>
      </c>
      <c r="V1619" t="str">
        <f t="shared" si="284"/>
        <v/>
      </c>
      <c r="W1619" t="str">
        <f t="shared" si="285"/>
        <v/>
      </c>
    </row>
    <row r="1620" spans="1:23" x14ac:dyDescent="0.2">
      <c r="A1620" s="4" t="str">
        <f>IF(ポートフォリオ実績!A1621="","", ポートフォリオ実績!A1621)</f>
        <v/>
      </c>
      <c r="B1620" t="str">
        <f>IF(ポートフォリオ実績!B1621="","", ポートフォリオ実績!B1621)</f>
        <v/>
      </c>
      <c r="C1620" s="10" t="str">
        <f>IF(ポートフォリオ実績!C1621="","", ポートフォリオ実績!C1621)</f>
        <v/>
      </c>
      <c r="D1620" s="10" t="str">
        <f>IF(ポートフォリオ実績!D1621="","", ポートフォリオ実績!D1621)</f>
        <v/>
      </c>
      <c r="E1620" s="10" t="str">
        <f>IF(ポートフォリオ実績!E1621="","", ポートフォリオ実績!E1621)</f>
        <v/>
      </c>
      <c r="F1620" s="10" t="str">
        <f>IF(ポートフォリオ実績!F1621="","", ポートフォリオ実績!F1621)</f>
        <v/>
      </c>
      <c r="G1620" t="str">
        <f t="shared" si="275"/>
        <v/>
      </c>
      <c r="H1620">
        <f>IF(B1620&lt;&gt;"", SUMIFS(ポートフォリオ実績!$D$2:$D$2001, ポートフォリオ実績!$B$2:$B$2001, B1620, ポートフォリオ実績!$A$2:$A$2001, G1620), 0)</f>
        <v>0</v>
      </c>
      <c r="I1620">
        <f>IF(B1620&lt;&gt;"", SUMIFS(ポートフォリオ実績!$C$2:$C$2001, ポートフォリオ実績!$B$2:$B$2001, B1620, ポートフォリオ実績!$A$2:$A$2001, G1620), 0)</f>
        <v>0</v>
      </c>
      <c r="J1620">
        <f t="shared" si="276"/>
        <v>0</v>
      </c>
      <c r="K1620">
        <f t="shared" si="277"/>
        <v>0</v>
      </c>
      <c r="L1620">
        <f t="shared" si="278"/>
        <v>0</v>
      </c>
      <c r="M1620">
        <f t="shared" si="279"/>
        <v>0</v>
      </c>
      <c r="N1620">
        <f t="shared" si="280"/>
        <v>0</v>
      </c>
      <c r="O1620">
        <f t="shared" si="281"/>
        <v>0</v>
      </c>
      <c r="P1620" t="str">
        <f t="shared" si="282"/>
        <v/>
      </c>
      <c r="Q1620" t="str">
        <f>IF(B1620="","", IFERROR(VLOOKUP(B1620, '基準資産配分（設定）'!$A$2:$C$2001, 3, FALSE), ""))</f>
        <v/>
      </c>
      <c r="R1620" t="str">
        <f>IF(B1620="","", IFERROR(VLOOKUP(B1620, '基準資産配分（設定）'!$A$2:$C$2001, 2, FALSE)/100, 0))</f>
        <v/>
      </c>
      <c r="S1620" t="str">
        <f>IF(B1620="","", IFERROR(SUMIFS(ベンチマークリターン!$C$2:$C$2001, ベンチマークリターン!$A$2:$A$2001, A1620, ベンチマークリターン!$B$2:$B$2001, Q1620) / 100, 0))</f>
        <v/>
      </c>
      <c r="T1620" t="str">
        <f>IF(A1620="","", SUMIFS($H$2:$H$2000, $A$2:$A$2000, A1620))</f>
        <v/>
      </c>
      <c r="U1620" t="str">
        <f t="shared" si="283"/>
        <v/>
      </c>
      <c r="V1620" t="str">
        <f t="shared" si="284"/>
        <v/>
      </c>
      <c r="W1620" t="str">
        <f t="shared" si="285"/>
        <v/>
      </c>
    </row>
    <row r="1621" spans="1:23" x14ac:dyDescent="0.2">
      <c r="A1621" s="4" t="str">
        <f>IF(ポートフォリオ実績!A1622="","", ポートフォリオ実績!A1622)</f>
        <v/>
      </c>
      <c r="B1621" t="str">
        <f>IF(ポートフォリオ実績!B1622="","", ポートフォリオ実績!B1622)</f>
        <v/>
      </c>
      <c r="C1621" s="10" t="str">
        <f>IF(ポートフォリオ実績!C1622="","", ポートフォリオ実績!C1622)</f>
        <v/>
      </c>
      <c r="D1621" s="10" t="str">
        <f>IF(ポートフォリオ実績!D1622="","", ポートフォリオ実績!D1622)</f>
        <v/>
      </c>
      <c r="E1621" s="10" t="str">
        <f>IF(ポートフォリオ実績!E1622="","", ポートフォリオ実績!E1622)</f>
        <v/>
      </c>
      <c r="F1621" s="10" t="str">
        <f>IF(ポートフォリオ実績!F1622="","", ポートフォリオ実績!F1622)</f>
        <v/>
      </c>
      <c r="G1621" t="str">
        <f t="shared" si="275"/>
        <v/>
      </c>
      <c r="H1621">
        <f>IF(B1621&lt;&gt;"", SUMIFS(ポートフォリオ実績!$D$2:$D$2001, ポートフォリオ実績!$B$2:$B$2001, B1621, ポートフォリオ実績!$A$2:$A$2001, G1621), 0)</f>
        <v>0</v>
      </c>
      <c r="I1621">
        <f>IF(B1621&lt;&gt;"", SUMIFS(ポートフォリオ実績!$C$2:$C$2001, ポートフォリオ実績!$B$2:$B$2001, B1621, ポートフォリオ実績!$A$2:$A$2001, G1621), 0)</f>
        <v>0</v>
      </c>
      <c r="J1621">
        <f t="shared" si="276"/>
        <v>0</v>
      </c>
      <c r="K1621">
        <f t="shared" si="277"/>
        <v>0</v>
      </c>
      <c r="L1621">
        <f t="shared" si="278"/>
        <v>0</v>
      </c>
      <c r="M1621">
        <f t="shared" si="279"/>
        <v>0</v>
      </c>
      <c r="N1621">
        <f t="shared" si="280"/>
        <v>0</v>
      </c>
      <c r="O1621">
        <f t="shared" si="281"/>
        <v>0</v>
      </c>
      <c r="P1621" t="str">
        <f t="shared" si="282"/>
        <v/>
      </c>
      <c r="Q1621" t="str">
        <f>IF(B1621="","", IFERROR(VLOOKUP(B1621, '基準資産配分（設定）'!$A$2:$C$2001, 3, FALSE), ""))</f>
        <v/>
      </c>
      <c r="R1621" t="str">
        <f>IF(B1621="","", IFERROR(VLOOKUP(B1621, '基準資産配分（設定）'!$A$2:$C$2001, 2, FALSE)/100, 0))</f>
        <v/>
      </c>
      <c r="S1621" t="str">
        <f>IF(B1621="","", IFERROR(SUMIFS(ベンチマークリターン!$C$2:$C$2001, ベンチマークリターン!$A$2:$A$2001, A1621, ベンチマークリターン!$B$2:$B$2001, Q1621) / 100, 0))</f>
        <v/>
      </c>
      <c r="T1621" t="str">
        <f>IF(A1621="","", SUMIFS($H$2:$H$2000, $A$2:$A$2000, A1621))</f>
        <v/>
      </c>
      <c r="U1621" t="str">
        <f t="shared" si="283"/>
        <v/>
      </c>
      <c r="V1621" t="str">
        <f t="shared" si="284"/>
        <v/>
      </c>
      <c r="W1621" t="str">
        <f t="shared" si="285"/>
        <v/>
      </c>
    </row>
    <row r="1622" spans="1:23" x14ac:dyDescent="0.2">
      <c r="A1622" s="4" t="str">
        <f>IF(ポートフォリオ実績!A1623="","", ポートフォリオ実績!A1623)</f>
        <v/>
      </c>
      <c r="B1622" t="str">
        <f>IF(ポートフォリオ実績!B1623="","", ポートフォリオ実績!B1623)</f>
        <v/>
      </c>
      <c r="C1622" s="10" t="str">
        <f>IF(ポートフォリオ実績!C1623="","", ポートフォリオ実績!C1623)</f>
        <v/>
      </c>
      <c r="D1622" s="10" t="str">
        <f>IF(ポートフォリオ実績!D1623="","", ポートフォリオ実績!D1623)</f>
        <v/>
      </c>
      <c r="E1622" s="10" t="str">
        <f>IF(ポートフォリオ実績!E1623="","", ポートフォリオ実績!E1623)</f>
        <v/>
      </c>
      <c r="F1622" s="10" t="str">
        <f>IF(ポートフォリオ実績!F1623="","", ポートフォリオ実績!F1623)</f>
        <v/>
      </c>
      <c r="G1622" t="str">
        <f t="shared" si="275"/>
        <v/>
      </c>
      <c r="H1622">
        <f>IF(B1622&lt;&gt;"", SUMIFS(ポートフォリオ実績!$D$2:$D$2001, ポートフォリオ実績!$B$2:$B$2001, B1622, ポートフォリオ実績!$A$2:$A$2001, G1622), 0)</f>
        <v>0</v>
      </c>
      <c r="I1622">
        <f>IF(B1622&lt;&gt;"", SUMIFS(ポートフォリオ実績!$C$2:$C$2001, ポートフォリオ実績!$B$2:$B$2001, B1622, ポートフォリオ実績!$A$2:$A$2001, G1622), 0)</f>
        <v>0</v>
      </c>
      <c r="J1622">
        <f t="shared" si="276"/>
        <v>0</v>
      </c>
      <c r="K1622">
        <f t="shared" si="277"/>
        <v>0</v>
      </c>
      <c r="L1622">
        <f t="shared" si="278"/>
        <v>0</v>
      </c>
      <c r="M1622">
        <f t="shared" si="279"/>
        <v>0</v>
      </c>
      <c r="N1622">
        <f t="shared" si="280"/>
        <v>0</v>
      </c>
      <c r="O1622">
        <f t="shared" si="281"/>
        <v>0</v>
      </c>
      <c r="P1622" t="str">
        <f t="shared" si="282"/>
        <v/>
      </c>
      <c r="Q1622" t="str">
        <f>IF(B1622="","", IFERROR(VLOOKUP(B1622, '基準資産配分（設定）'!$A$2:$C$2001, 3, FALSE), ""))</f>
        <v/>
      </c>
      <c r="R1622" t="str">
        <f>IF(B1622="","", IFERROR(VLOOKUP(B1622, '基準資産配分（設定）'!$A$2:$C$2001, 2, FALSE)/100, 0))</f>
        <v/>
      </c>
      <c r="S1622" t="str">
        <f>IF(B1622="","", IFERROR(SUMIFS(ベンチマークリターン!$C$2:$C$2001, ベンチマークリターン!$A$2:$A$2001, A1622, ベンチマークリターン!$B$2:$B$2001, Q1622) / 100, 0))</f>
        <v/>
      </c>
      <c r="T1622" t="str">
        <f>IF(A1622="","", SUMIFS($H$2:$H$2000, $A$2:$A$2000, A1622))</f>
        <v/>
      </c>
      <c r="U1622" t="str">
        <f t="shared" si="283"/>
        <v/>
      </c>
      <c r="V1622" t="str">
        <f t="shared" si="284"/>
        <v/>
      </c>
      <c r="W1622" t="str">
        <f t="shared" si="285"/>
        <v/>
      </c>
    </row>
    <row r="1623" spans="1:23" x14ac:dyDescent="0.2">
      <c r="A1623" s="4" t="str">
        <f>IF(ポートフォリオ実績!A1624="","", ポートフォリオ実績!A1624)</f>
        <v/>
      </c>
      <c r="B1623" t="str">
        <f>IF(ポートフォリオ実績!B1624="","", ポートフォリオ実績!B1624)</f>
        <v/>
      </c>
      <c r="C1623" s="10" t="str">
        <f>IF(ポートフォリオ実績!C1624="","", ポートフォリオ実績!C1624)</f>
        <v/>
      </c>
      <c r="D1623" s="10" t="str">
        <f>IF(ポートフォリオ実績!D1624="","", ポートフォリオ実績!D1624)</f>
        <v/>
      </c>
      <c r="E1623" s="10" t="str">
        <f>IF(ポートフォリオ実績!E1624="","", ポートフォリオ実績!E1624)</f>
        <v/>
      </c>
      <c r="F1623" s="10" t="str">
        <f>IF(ポートフォリオ実績!F1624="","", ポートフォリオ実績!F1624)</f>
        <v/>
      </c>
      <c r="G1623" t="str">
        <f t="shared" si="275"/>
        <v/>
      </c>
      <c r="H1623">
        <f>IF(B1623&lt;&gt;"", SUMIFS(ポートフォリオ実績!$D$2:$D$2001, ポートフォリオ実績!$B$2:$B$2001, B1623, ポートフォリオ実績!$A$2:$A$2001, G1623), 0)</f>
        <v>0</v>
      </c>
      <c r="I1623">
        <f>IF(B1623&lt;&gt;"", SUMIFS(ポートフォリオ実績!$C$2:$C$2001, ポートフォリオ実績!$B$2:$B$2001, B1623, ポートフォリオ実績!$A$2:$A$2001, G1623), 0)</f>
        <v>0</v>
      </c>
      <c r="J1623">
        <f t="shared" si="276"/>
        <v>0</v>
      </c>
      <c r="K1623">
        <f t="shared" si="277"/>
        <v>0</v>
      </c>
      <c r="L1623">
        <f t="shared" si="278"/>
        <v>0</v>
      </c>
      <c r="M1623">
        <f t="shared" si="279"/>
        <v>0</v>
      </c>
      <c r="N1623">
        <f t="shared" si="280"/>
        <v>0</v>
      </c>
      <c r="O1623">
        <f t="shared" si="281"/>
        <v>0</v>
      </c>
      <c r="P1623" t="str">
        <f t="shared" si="282"/>
        <v/>
      </c>
      <c r="Q1623" t="str">
        <f>IF(B1623="","", IFERROR(VLOOKUP(B1623, '基準資産配分（設定）'!$A$2:$C$2001, 3, FALSE), ""))</f>
        <v/>
      </c>
      <c r="R1623" t="str">
        <f>IF(B1623="","", IFERROR(VLOOKUP(B1623, '基準資産配分（設定）'!$A$2:$C$2001, 2, FALSE)/100, 0))</f>
        <v/>
      </c>
      <c r="S1623" t="str">
        <f>IF(B1623="","", IFERROR(SUMIFS(ベンチマークリターン!$C$2:$C$2001, ベンチマークリターン!$A$2:$A$2001, A1623, ベンチマークリターン!$B$2:$B$2001, Q1623) / 100, 0))</f>
        <v/>
      </c>
      <c r="T1623" t="str">
        <f>IF(A1623="","", SUMIFS($H$2:$H$2000, $A$2:$A$2000, A1623))</f>
        <v/>
      </c>
      <c r="U1623" t="str">
        <f t="shared" si="283"/>
        <v/>
      </c>
      <c r="V1623" t="str">
        <f t="shared" si="284"/>
        <v/>
      </c>
      <c r="W1623" t="str">
        <f t="shared" si="285"/>
        <v/>
      </c>
    </row>
    <row r="1624" spans="1:23" x14ac:dyDescent="0.2">
      <c r="A1624" s="4" t="str">
        <f>IF(ポートフォリオ実績!A1625="","", ポートフォリオ実績!A1625)</f>
        <v/>
      </c>
      <c r="B1624" t="str">
        <f>IF(ポートフォリオ実績!B1625="","", ポートフォリオ実績!B1625)</f>
        <v/>
      </c>
      <c r="C1624" s="10" t="str">
        <f>IF(ポートフォリオ実績!C1625="","", ポートフォリオ実績!C1625)</f>
        <v/>
      </c>
      <c r="D1624" s="10" t="str">
        <f>IF(ポートフォリオ実績!D1625="","", ポートフォリオ実績!D1625)</f>
        <v/>
      </c>
      <c r="E1624" s="10" t="str">
        <f>IF(ポートフォリオ実績!E1625="","", ポートフォリオ実績!E1625)</f>
        <v/>
      </c>
      <c r="F1624" s="10" t="str">
        <f>IF(ポートフォリオ実績!F1625="","", ポートフォリオ実績!F1625)</f>
        <v/>
      </c>
      <c r="G1624" t="str">
        <f t="shared" si="275"/>
        <v/>
      </c>
      <c r="H1624">
        <f>IF(B1624&lt;&gt;"", SUMIFS(ポートフォリオ実績!$D$2:$D$2001, ポートフォリオ実績!$B$2:$B$2001, B1624, ポートフォリオ実績!$A$2:$A$2001, G1624), 0)</f>
        <v>0</v>
      </c>
      <c r="I1624">
        <f>IF(B1624&lt;&gt;"", SUMIFS(ポートフォリオ実績!$C$2:$C$2001, ポートフォリオ実績!$B$2:$B$2001, B1624, ポートフォリオ実績!$A$2:$A$2001, G1624), 0)</f>
        <v>0</v>
      </c>
      <c r="J1624">
        <f t="shared" si="276"/>
        <v>0</v>
      </c>
      <c r="K1624">
        <f t="shared" si="277"/>
        <v>0</v>
      </c>
      <c r="L1624">
        <f t="shared" si="278"/>
        <v>0</v>
      </c>
      <c r="M1624">
        <f t="shared" si="279"/>
        <v>0</v>
      </c>
      <c r="N1624">
        <f t="shared" si="280"/>
        <v>0</v>
      </c>
      <c r="O1624">
        <f t="shared" si="281"/>
        <v>0</v>
      </c>
      <c r="P1624" t="str">
        <f t="shared" si="282"/>
        <v/>
      </c>
      <c r="Q1624" t="str">
        <f>IF(B1624="","", IFERROR(VLOOKUP(B1624, '基準資産配分（設定）'!$A$2:$C$2001, 3, FALSE), ""))</f>
        <v/>
      </c>
      <c r="R1624" t="str">
        <f>IF(B1624="","", IFERROR(VLOOKUP(B1624, '基準資産配分（設定）'!$A$2:$C$2001, 2, FALSE)/100, 0))</f>
        <v/>
      </c>
      <c r="S1624" t="str">
        <f>IF(B1624="","", IFERROR(SUMIFS(ベンチマークリターン!$C$2:$C$2001, ベンチマークリターン!$A$2:$A$2001, A1624, ベンチマークリターン!$B$2:$B$2001, Q1624) / 100, 0))</f>
        <v/>
      </c>
      <c r="T1624" t="str">
        <f>IF(A1624="","", SUMIFS($H$2:$H$2000, $A$2:$A$2000, A1624))</f>
        <v/>
      </c>
      <c r="U1624" t="str">
        <f t="shared" si="283"/>
        <v/>
      </c>
      <c r="V1624" t="str">
        <f t="shared" si="284"/>
        <v/>
      </c>
      <c r="W1624" t="str">
        <f t="shared" si="285"/>
        <v/>
      </c>
    </row>
    <row r="1625" spans="1:23" x14ac:dyDescent="0.2">
      <c r="A1625" s="4" t="str">
        <f>IF(ポートフォリオ実績!A1626="","", ポートフォリオ実績!A1626)</f>
        <v/>
      </c>
      <c r="B1625" t="str">
        <f>IF(ポートフォリオ実績!B1626="","", ポートフォリオ実績!B1626)</f>
        <v/>
      </c>
      <c r="C1625" s="10" t="str">
        <f>IF(ポートフォリオ実績!C1626="","", ポートフォリオ実績!C1626)</f>
        <v/>
      </c>
      <c r="D1625" s="10" t="str">
        <f>IF(ポートフォリオ実績!D1626="","", ポートフォリオ実績!D1626)</f>
        <v/>
      </c>
      <c r="E1625" s="10" t="str">
        <f>IF(ポートフォリオ実績!E1626="","", ポートフォリオ実績!E1626)</f>
        <v/>
      </c>
      <c r="F1625" s="10" t="str">
        <f>IF(ポートフォリオ実績!F1626="","", ポートフォリオ実績!F1626)</f>
        <v/>
      </c>
      <c r="G1625" t="str">
        <f t="shared" si="275"/>
        <v/>
      </c>
      <c r="H1625">
        <f>IF(B1625&lt;&gt;"", SUMIFS(ポートフォリオ実績!$D$2:$D$2001, ポートフォリオ実績!$B$2:$B$2001, B1625, ポートフォリオ実績!$A$2:$A$2001, G1625), 0)</f>
        <v>0</v>
      </c>
      <c r="I1625">
        <f>IF(B1625&lt;&gt;"", SUMIFS(ポートフォリオ実績!$C$2:$C$2001, ポートフォリオ実績!$B$2:$B$2001, B1625, ポートフォリオ実績!$A$2:$A$2001, G1625), 0)</f>
        <v>0</v>
      </c>
      <c r="J1625">
        <f t="shared" si="276"/>
        <v>0</v>
      </c>
      <c r="K1625">
        <f t="shared" si="277"/>
        <v>0</v>
      </c>
      <c r="L1625">
        <f t="shared" si="278"/>
        <v>0</v>
      </c>
      <c r="M1625">
        <f t="shared" si="279"/>
        <v>0</v>
      </c>
      <c r="N1625">
        <f t="shared" si="280"/>
        <v>0</v>
      </c>
      <c r="O1625">
        <f t="shared" si="281"/>
        <v>0</v>
      </c>
      <c r="P1625" t="str">
        <f t="shared" si="282"/>
        <v/>
      </c>
      <c r="Q1625" t="str">
        <f>IF(B1625="","", IFERROR(VLOOKUP(B1625, '基準資産配分（設定）'!$A$2:$C$2001, 3, FALSE), ""))</f>
        <v/>
      </c>
      <c r="R1625" t="str">
        <f>IF(B1625="","", IFERROR(VLOOKUP(B1625, '基準資産配分（設定）'!$A$2:$C$2001, 2, FALSE)/100, 0))</f>
        <v/>
      </c>
      <c r="S1625" t="str">
        <f>IF(B1625="","", IFERROR(SUMIFS(ベンチマークリターン!$C$2:$C$2001, ベンチマークリターン!$A$2:$A$2001, A1625, ベンチマークリターン!$B$2:$B$2001, Q1625) / 100, 0))</f>
        <v/>
      </c>
      <c r="T1625" t="str">
        <f>IF(A1625="","", SUMIFS($H$2:$H$2000, $A$2:$A$2000, A1625))</f>
        <v/>
      </c>
      <c r="U1625" t="str">
        <f t="shared" si="283"/>
        <v/>
      </c>
      <c r="V1625" t="str">
        <f t="shared" si="284"/>
        <v/>
      </c>
      <c r="W1625" t="str">
        <f t="shared" si="285"/>
        <v/>
      </c>
    </row>
    <row r="1626" spans="1:23" x14ac:dyDescent="0.2">
      <c r="A1626" s="4" t="str">
        <f>IF(ポートフォリオ実績!A1627="","", ポートフォリオ実績!A1627)</f>
        <v/>
      </c>
      <c r="B1626" t="str">
        <f>IF(ポートフォリオ実績!B1627="","", ポートフォリオ実績!B1627)</f>
        <v/>
      </c>
      <c r="C1626" s="10" t="str">
        <f>IF(ポートフォリオ実績!C1627="","", ポートフォリオ実績!C1627)</f>
        <v/>
      </c>
      <c r="D1626" s="10" t="str">
        <f>IF(ポートフォリオ実績!D1627="","", ポートフォリオ実績!D1627)</f>
        <v/>
      </c>
      <c r="E1626" s="10" t="str">
        <f>IF(ポートフォリオ実績!E1627="","", ポートフォリオ実績!E1627)</f>
        <v/>
      </c>
      <c r="F1626" s="10" t="str">
        <f>IF(ポートフォリオ実績!F1627="","", ポートフォリオ実績!F1627)</f>
        <v/>
      </c>
      <c r="G1626" t="str">
        <f t="shared" si="275"/>
        <v/>
      </c>
      <c r="H1626">
        <f>IF(B1626&lt;&gt;"", SUMIFS(ポートフォリオ実績!$D$2:$D$2001, ポートフォリオ実績!$B$2:$B$2001, B1626, ポートフォリオ実績!$A$2:$A$2001, G1626), 0)</f>
        <v>0</v>
      </c>
      <c r="I1626">
        <f>IF(B1626&lt;&gt;"", SUMIFS(ポートフォリオ実績!$C$2:$C$2001, ポートフォリオ実績!$B$2:$B$2001, B1626, ポートフォリオ実績!$A$2:$A$2001, G1626), 0)</f>
        <v>0</v>
      </c>
      <c r="J1626">
        <f t="shared" si="276"/>
        <v>0</v>
      </c>
      <c r="K1626">
        <f t="shared" si="277"/>
        <v>0</v>
      </c>
      <c r="L1626">
        <f t="shared" si="278"/>
        <v>0</v>
      </c>
      <c r="M1626">
        <f t="shared" si="279"/>
        <v>0</v>
      </c>
      <c r="N1626">
        <f t="shared" si="280"/>
        <v>0</v>
      </c>
      <c r="O1626">
        <f t="shared" si="281"/>
        <v>0</v>
      </c>
      <c r="P1626" t="str">
        <f t="shared" si="282"/>
        <v/>
      </c>
      <c r="Q1626" t="str">
        <f>IF(B1626="","", IFERROR(VLOOKUP(B1626, '基準資産配分（設定）'!$A$2:$C$2001, 3, FALSE), ""))</f>
        <v/>
      </c>
      <c r="R1626" t="str">
        <f>IF(B1626="","", IFERROR(VLOOKUP(B1626, '基準資産配分（設定）'!$A$2:$C$2001, 2, FALSE)/100, 0))</f>
        <v/>
      </c>
      <c r="S1626" t="str">
        <f>IF(B1626="","", IFERROR(SUMIFS(ベンチマークリターン!$C$2:$C$2001, ベンチマークリターン!$A$2:$A$2001, A1626, ベンチマークリターン!$B$2:$B$2001, Q1626) / 100, 0))</f>
        <v/>
      </c>
      <c r="T1626" t="str">
        <f>IF(A1626="","", SUMIFS($H$2:$H$2000, $A$2:$A$2000, A1626))</f>
        <v/>
      </c>
      <c r="U1626" t="str">
        <f t="shared" si="283"/>
        <v/>
      </c>
      <c r="V1626" t="str">
        <f t="shared" si="284"/>
        <v/>
      </c>
      <c r="W1626" t="str">
        <f t="shared" si="285"/>
        <v/>
      </c>
    </row>
    <row r="1627" spans="1:23" x14ac:dyDescent="0.2">
      <c r="A1627" s="4" t="str">
        <f>IF(ポートフォリオ実績!A1628="","", ポートフォリオ実績!A1628)</f>
        <v/>
      </c>
      <c r="B1627" t="str">
        <f>IF(ポートフォリオ実績!B1628="","", ポートフォリオ実績!B1628)</f>
        <v/>
      </c>
      <c r="C1627" s="10" t="str">
        <f>IF(ポートフォリオ実績!C1628="","", ポートフォリオ実績!C1628)</f>
        <v/>
      </c>
      <c r="D1627" s="10" t="str">
        <f>IF(ポートフォリオ実績!D1628="","", ポートフォリオ実績!D1628)</f>
        <v/>
      </c>
      <c r="E1627" s="10" t="str">
        <f>IF(ポートフォリオ実績!E1628="","", ポートフォリオ実績!E1628)</f>
        <v/>
      </c>
      <c r="F1627" s="10" t="str">
        <f>IF(ポートフォリオ実績!F1628="","", ポートフォリオ実績!F1628)</f>
        <v/>
      </c>
      <c r="G1627" t="str">
        <f t="shared" si="275"/>
        <v/>
      </c>
      <c r="H1627">
        <f>IF(B1627&lt;&gt;"", SUMIFS(ポートフォリオ実績!$D$2:$D$2001, ポートフォリオ実績!$B$2:$B$2001, B1627, ポートフォリオ実績!$A$2:$A$2001, G1627), 0)</f>
        <v>0</v>
      </c>
      <c r="I1627">
        <f>IF(B1627&lt;&gt;"", SUMIFS(ポートフォリオ実績!$C$2:$C$2001, ポートフォリオ実績!$B$2:$B$2001, B1627, ポートフォリオ実績!$A$2:$A$2001, G1627), 0)</f>
        <v>0</v>
      </c>
      <c r="J1627">
        <f t="shared" si="276"/>
        <v>0</v>
      </c>
      <c r="K1627">
        <f t="shared" si="277"/>
        <v>0</v>
      </c>
      <c r="L1627">
        <f t="shared" si="278"/>
        <v>0</v>
      </c>
      <c r="M1627">
        <f t="shared" si="279"/>
        <v>0</v>
      </c>
      <c r="N1627">
        <f t="shared" si="280"/>
        <v>0</v>
      </c>
      <c r="O1627">
        <f t="shared" si="281"/>
        <v>0</v>
      </c>
      <c r="P1627" t="str">
        <f t="shared" si="282"/>
        <v/>
      </c>
      <c r="Q1627" t="str">
        <f>IF(B1627="","", IFERROR(VLOOKUP(B1627, '基準資産配分（設定）'!$A$2:$C$2001, 3, FALSE), ""))</f>
        <v/>
      </c>
      <c r="R1627" t="str">
        <f>IF(B1627="","", IFERROR(VLOOKUP(B1627, '基準資産配分（設定）'!$A$2:$C$2001, 2, FALSE)/100, 0))</f>
        <v/>
      </c>
      <c r="S1627" t="str">
        <f>IF(B1627="","", IFERROR(SUMIFS(ベンチマークリターン!$C$2:$C$2001, ベンチマークリターン!$A$2:$A$2001, A1627, ベンチマークリターン!$B$2:$B$2001, Q1627) / 100, 0))</f>
        <v/>
      </c>
      <c r="T1627" t="str">
        <f>IF(A1627="","", SUMIFS($H$2:$H$2000, $A$2:$A$2000, A1627))</f>
        <v/>
      </c>
      <c r="U1627" t="str">
        <f t="shared" si="283"/>
        <v/>
      </c>
      <c r="V1627" t="str">
        <f t="shared" si="284"/>
        <v/>
      </c>
      <c r="W1627" t="str">
        <f t="shared" si="285"/>
        <v/>
      </c>
    </row>
    <row r="1628" spans="1:23" x14ac:dyDescent="0.2">
      <c r="A1628" s="4" t="str">
        <f>IF(ポートフォリオ実績!A1629="","", ポートフォリオ実績!A1629)</f>
        <v/>
      </c>
      <c r="B1628" t="str">
        <f>IF(ポートフォリオ実績!B1629="","", ポートフォリオ実績!B1629)</f>
        <v/>
      </c>
      <c r="C1628" s="10" t="str">
        <f>IF(ポートフォリオ実績!C1629="","", ポートフォリオ実績!C1629)</f>
        <v/>
      </c>
      <c r="D1628" s="10" t="str">
        <f>IF(ポートフォリオ実績!D1629="","", ポートフォリオ実績!D1629)</f>
        <v/>
      </c>
      <c r="E1628" s="10" t="str">
        <f>IF(ポートフォリオ実績!E1629="","", ポートフォリオ実績!E1629)</f>
        <v/>
      </c>
      <c r="F1628" s="10" t="str">
        <f>IF(ポートフォリオ実績!F1629="","", ポートフォリオ実績!F1629)</f>
        <v/>
      </c>
      <c r="G1628" t="str">
        <f t="shared" si="275"/>
        <v/>
      </c>
      <c r="H1628">
        <f>IF(B1628&lt;&gt;"", SUMIFS(ポートフォリオ実績!$D$2:$D$2001, ポートフォリオ実績!$B$2:$B$2001, B1628, ポートフォリオ実績!$A$2:$A$2001, G1628), 0)</f>
        <v>0</v>
      </c>
      <c r="I1628">
        <f>IF(B1628&lt;&gt;"", SUMIFS(ポートフォリオ実績!$C$2:$C$2001, ポートフォリオ実績!$B$2:$B$2001, B1628, ポートフォリオ実績!$A$2:$A$2001, G1628), 0)</f>
        <v>0</v>
      </c>
      <c r="J1628">
        <f t="shared" si="276"/>
        <v>0</v>
      </c>
      <c r="K1628">
        <f t="shared" si="277"/>
        <v>0</v>
      </c>
      <c r="L1628">
        <f t="shared" si="278"/>
        <v>0</v>
      </c>
      <c r="M1628">
        <f t="shared" si="279"/>
        <v>0</v>
      </c>
      <c r="N1628">
        <f t="shared" si="280"/>
        <v>0</v>
      </c>
      <c r="O1628">
        <f t="shared" si="281"/>
        <v>0</v>
      </c>
      <c r="P1628" t="str">
        <f t="shared" si="282"/>
        <v/>
      </c>
      <c r="Q1628" t="str">
        <f>IF(B1628="","", IFERROR(VLOOKUP(B1628, '基準資産配分（設定）'!$A$2:$C$2001, 3, FALSE), ""))</f>
        <v/>
      </c>
      <c r="R1628" t="str">
        <f>IF(B1628="","", IFERROR(VLOOKUP(B1628, '基準資産配分（設定）'!$A$2:$C$2001, 2, FALSE)/100, 0))</f>
        <v/>
      </c>
      <c r="S1628" t="str">
        <f>IF(B1628="","", IFERROR(SUMIFS(ベンチマークリターン!$C$2:$C$2001, ベンチマークリターン!$A$2:$A$2001, A1628, ベンチマークリターン!$B$2:$B$2001, Q1628) / 100, 0))</f>
        <v/>
      </c>
      <c r="T1628" t="str">
        <f>IF(A1628="","", SUMIFS($H$2:$H$2000, $A$2:$A$2000, A1628))</f>
        <v/>
      </c>
      <c r="U1628" t="str">
        <f t="shared" si="283"/>
        <v/>
      </c>
      <c r="V1628" t="str">
        <f t="shared" si="284"/>
        <v/>
      </c>
      <c r="W1628" t="str">
        <f t="shared" si="285"/>
        <v/>
      </c>
    </row>
    <row r="1629" spans="1:23" x14ac:dyDescent="0.2">
      <c r="A1629" s="4" t="str">
        <f>IF(ポートフォリオ実績!A1630="","", ポートフォリオ実績!A1630)</f>
        <v/>
      </c>
      <c r="B1629" t="str">
        <f>IF(ポートフォリオ実績!B1630="","", ポートフォリオ実績!B1630)</f>
        <v/>
      </c>
      <c r="C1629" s="10" t="str">
        <f>IF(ポートフォリオ実績!C1630="","", ポートフォリオ実績!C1630)</f>
        <v/>
      </c>
      <c r="D1629" s="10" t="str">
        <f>IF(ポートフォリオ実績!D1630="","", ポートフォリオ実績!D1630)</f>
        <v/>
      </c>
      <c r="E1629" s="10" t="str">
        <f>IF(ポートフォリオ実績!E1630="","", ポートフォリオ実績!E1630)</f>
        <v/>
      </c>
      <c r="F1629" s="10" t="str">
        <f>IF(ポートフォリオ実績!F1630="","", ポートフォリオ実績!F1630)</f>
        <v/>
      </c>
      <c r="G1629" t="str">
        <f t="shared" si="275"/>
        <v/>
      </c>
      <c r="H1629">
        <f>IF(B1629&lt;&gt;"", SUMIFS(ポートフォリオ実績!$D$2:$D$2001, ポートフォリオ実績!$B$2:$B$2001, B1629, ポートフォリオ実績!$A$2:$A$2001, G1629), 0)</f>
        <v>0</v>
      </c>
      <c r="I1629">
        <f>IF(B1629&lt;&gt;"", SUMIFS(ポートフォリオ実績!$C$2:$C$2001, ポートフォリオ実績!$B$2:$B$2001, B1629, ポートフォリオ実績!$A$2:$A$2001, G1629), 0)</f>
        <v>0</v>
      </c>
      <c r="J1629">
        <f t="shared" si="276"/>
        <v>0</v>
      </c>
      <c r="K1629">
        <f t="shared" si="277"/>
        <v>0</v>
      </c>
      <c r="L1629">
        <f t="shared" si="278"/>
        <v>0</v>
      </c>
      <c r="M1629">
        <f t="shared" si="279"/>
        <v>0</v>
      </c>
      <c r="N1629">
        <f t="shared" si="280"/>
        <v>0</v>
      </c>
      <c r="O1629">
        <f t="shared" si="281"/>
        <v>0</v>
      </c>
      <c r="P1629" t="str">
        <f t="shared" si="282"/>
        <v/>
      </c>
      <c r="Q1629" t="str">
        <f>IF(B1629="","", IFERROR(VLOOKUP(B1629, '基準資産配分（設定）'!$A$2:$C$2001, 3, FALSE), ""))</f>
        <v/>
      </c>
      <c r="R1629" t="str">
        <f>IF(B1629="","", IFERROR(VLOOKUP(B1629, '基準資産配分（設定）'!$A$2:$C$2001, 2, FALSE)/100, 0))</f>
        <v/>
      </c>
      <c r="S1629" t="str">
        <f>IF(B1629="","", IFERROR(SUMIFS(ベンチマークリターン!$C$2:$C$2001, ベンチマークリターン!$A$2:$A$2001, A1629, ベンチマークリターン!$B$2:$B$2001, Q1629) / 100, 0))</f>
        <v/>
      </c>
      <c r="T1629" t="str">
        <f>IF(A1629="","", SUMIFS($H$2:$H$2000, $A$2:$A$2000, A1629))</f>
        <v/>
      </c>
      <c r="U1629" t="str">
        <f t="shared" si="283"/>
        <v/>
      </c>
      <c r="V1629" t="str">
        <f t="shared" si="284"/>
        <v/>
      </c>
      <c r="W1629" t="str">
        <f t="shared" si="285"/>
        <v/>
      </c>
    </row>
    <row r="1630" spans="1:23" x14ac:dyDescent="0.2">
      <c r="A1630" s="4" t="str">
        <f>IF(ポートフォリオ実績!A1631="","", ポートフォリオ実績!A1631)</f>
        <v/>
      </c>
      <c r="B1630" t="str">
        <f>IF(ポートフォリオ実績!B1631="","", ポートフォリオ実績!B1631)</f>
        <v/>
      </c>
      <c r="C1630" s="10" t="str">
        <f>IF(ポートフォリオ実績!C1631="","", ポートフォリオ実績!C1631)</f>
        <v/>
      </c>
      <c r="D1630" s="10" t="str">
        <f>IF(ポートフォリオ実績!D1631="","", ポートフォリオ実績!D1631)</f>
        <v/>
      </c>
      <c r="E1630" s="10" t="str">
        <f>IF(ポートフォリオ実績!E1631="","", ポートフォリオ実績!E1631)</f>
        <v/>
      </c>
      <c r="F1630" s="10" t="str">
        <f>IF(ポートフォリオ実績!F1631="","", ポートフォリオ実績!F1631)</f>
        <v/>
      </c>
      <c r="G1630" t="str">
        <f t="shared" si="275"/>
        <v/>
      </c>
      <c r="H1630">
        <f>IF(B1630&lt;&gt;"", SUMIFS(ポートフォリオ実績!$D$2:$D$2001, ポートフォリオ実績!$B$2:$B$2001, B1630, ポートフォリオ実績!$A$2:$A$2001, G1630), 0)</f>
        <v>0</v>
      </c>
      <c r="I1630">
        <f>IF(B1630&lt;&gt;"", SUMIFS(ポートフォリオ実績!$C$2:$C$2001, ポートフォリオ実績!$B$2:$B$2001, B1630, ポートフォリオ実績!$A$2:$A$2001, G1630), 0)</f>
        <v>0</v>
      </c>
      <c r="J1630">
        <f t="shared" si="276"/>
        <v>0</v>
      </c>
      <c r="K1630">
        <f t="shared" si="277"/>
        <v>0</v>
      </c>
      <c r="L1630">
        <f t="shared" si="278"/>
        <v>0</v>
      </c>
      <c r="M1630">
        <f t="shared" si="279"/>
        <v>0</v>
      </c>
      <c r="N1630">
        <f t="shared" si="280"/>
        <v>0</v>
      </c>
      <c r="O1630">
        <f t="shared" si="281"/>
        <v>0</v>
      </c>
      <c r="P1630" t="str">
        <f t="shared" si="282"/>
        <v/>
      </c>
      <c r="Q1630" t="str">
        <f>IF(B1630="","", IFERROR(VLOOKUP(B1630, '基準資産配分（設定）'!$A$2:$C$2001, 3, FALSE), ""))</f>
        <v/>
      </c>
      <c r="R1630" t="str">
        <f>IF(B1630="","", IFERROR(VLOOKUP(B1630, '基準資産配分（設定）'!$A$2:$C$2001, 2, FALSE)/100, 0))</f>
        <v/>
      </c>
      <c r="S1630" t="str">
        <f>IF(B1630="","", IFERROR(SUMIFS(ベンチマークリターン!$C$2:$C$2001, ベンチマークリターン!$A$2:$A$2001, A1630, ベンチマークリターン!$B$2:$B$2001, Q1630) / 100, 0))</f>
        <v/>
      </c>
      <c r="T1630" t="str">
        <f>IF(A1630="","", SUMIFS($H$2:$H$2000, $A$2:$A$2000, A1630))</f>
        <v/>
      </c>
      <c r="U1630" t="str">
        <f t="shared" si="283"/>
        <v/>
      </c>
      <c r="V1630" t="str">
        <f t="shared" si="284"/>
        <v/>
      </c>
      <c r="W1630" t="str">
        <f t="shared" si="285"/>
        <v/>
      </c>
    </row>
    <row r="1631" spans="1:23" x14ac:dyDescent="0.2">
      <c r="A1631" s="4" t="str">
        <f>IF(ポートフォリオ実績!A1632="","", ポートフォリオ実績!A1632)</f>
        <v/>
      </c>
      <c r="B1631" t="str">
        <f>IF(ポートフォリオ実績!B1632="","", ポートフォリオ実績!B1632)</f>
        <v/>
      </c>
      <c r="C1631" s="10" t="str">
        <f>IF(ポートフォリオ実績!C1632="","", ポートフォリオ実績!C1632)</f>
        <v/>
      </c>
      <c r="D1631" s="10" t="str">
        <f>IF(ポートフォリオ実績!D1632="","", ポートフォリオ実績!D1632)</f>
        <v/>
      </c>
      <c r="E1631" s="10" t="str">
        <f>IF(ポートフォリオ実績!E1632="","", ポートフォリオ実績!E1632)</f>
        <v/>
      </c>
      <c r="F1631" s="10" t="str">
        <f>IF(ポートフォリオ実績!F1632="","", ポートフォリオ実績!F1632)</f>
        <v/>
      </c>
      <c r="G1631" t="str">
        <f t="shared" si="275"/>
        <v/>
      </c>
      <c r="H1631">
        <f>IF(B1631&lt;&gt;"", SUMIFS(ポートフォリオ実績!$D$2:$D$2001, ポートフォリオ実績!$B$2:$B$2001, B1631, ポートフォリオ実績!$A$2:$A$2001, G1631), 0)</f>
        <v>0</v>
      </c>
      <c r="I1631">
        <f>IF(B1631&lt;&gt;"", SUMIFS(ポートフォリオ実績!$C$2:$C$2001, ポートフォリオ実績!$B$2:$B$2001, B1631, ポートフォリオ実績!$A$2:$A$2001, G1631), 0)</f>
        <v>0</v>
      </c>
      <c r="J1631">
        <f t="shared" si="276"/>
        <v>0</v>
      </c>
      <c r="K1631">
        <f t="shared" si="277"/>
        <v>0</v>
      </c>
      <c r="L1631">
        <f t="shared" si="278"/>
        <v>0</v>
      </c>
      <c r="M1631">
        <f t="shared" si="279"/>
        <v>0</v>
      </c>
      <c r="N1631">
        <f t="shared" si="280"/>
        <v>0</v>
      </c>
      <c r="O1631">
        <f t="shared" si="281"/>
        <v>0</v>
      </c>
      <c r="P1631" t="str">
        <f t="shared" si="282"/>
        <v/>
      </c>
      <c r="Q1631" t="str">
        <f>IF(B1631="","", IFERROR(VLOOKUP(B1631, '基準資産配分（設定）'!$A$2:$C$2001, 3, FALSE), ""))</f>
        <v/>
      </c>
      <c r="R1631" t="str">
        <f>IF(B1631="","", IFERROR(VLOOKUP(B1631, '基準資産配分（設定）'!$A$2:$C$2001, 2, FALSE)/100, 0))</f>
        <v/>
      </c>
      <c r="S1631" t="str">
        <f>IF(B1631="","", IFERROR(SUMIFS(ベンチマークリターン!$C$2:$C$2001, ベンチマークリターン!$A$2:$A$2001, A1631, ベンチマークリターン!$B$2:$B$2001, Q1631) / 100, 0))</f>
        <v/>
      </c>
      <c r="T1631" t="str">
        <f>IF(A1631="","", SUMIFS($H$2:$H$2000, $A$2:$A$2000, A1631))</f>
        <v/>
      </c>
      <c r="U1631" t="str">
        <f t="shared" si="283"/>
        <v/>
      </c>
      <c r="V1631" t="str">
        <f t="shared" si="284"/>
        <v/>
      </c>
      <c r="W1631" t="str">
        <f t="shared" si="285"/>
        <v/>
      </c>
    </row>
    <row r="1632" spans="1:23" x14ac:dyDescent="0.2">
      <c r="A1632" s="4" t="str">
        <f>IF(ポートフォリオ実績!A1633="","", ポートフォリオ実績!A1633)</f>
        <v/>
      </c>
      <c r="B1632" t="str">
        <f>IF(ポートフォリオ実績!B1633="","", ポートフォリオ実績!B1633)</f>
        <v/>
      </c>
      <c r="C1632" s="10" t="str">
        <f>IF(ポートフォリオ実績!C1633="","", ポートフォリオ実績!C1633)</f>
        <v/>
      </c>
      <c r="D1632" s="10" t="str">
        <f>IF(ポートフォリオ実績!D1633="","", ポートフォリオ実績!D1633)</f>
        <v/>
      </c>
      <c r="E1632" s="10" t="str">
        <f>IF(ポートフォリオ実績!E1633="","", ポートフォリオ実績!E1633)</f>
        <v/>
      </c>
      <c r="F1632" s="10" t="str">
        <f>IF(ポートフォリオ実績!F1633="","", ポートフォリオ実績!F1633)</f>
        <v/>
      </c>
      <c r="G1632" t="str">
        <f t="shared" si="275"/>
        <v/>
      </c>
      <c r="H1632">
        <f>IF(B1632&lt;&gt;"", SUMIFS(ポートフォリオ実績!$D$2:$D$2001, ポートフォリオ実績!$B$2:$B$2001, B1632, ポートフォリオ実績!$A$2:$A$2001, G1632), 0)</f>
        <v>0</v>
      </c>
      <c r="I1632">
        <f>IF(B1632&lt;&gt;"", SUMIFS(ポートフォリオ実績!$C$2:$C$2001, ポートフォリオ実績!$B$2:$B$2001, B1632, ポートフォリオ実績!$A$2:$A$2001, G1632), 0)</f>
        <v>0</v>
      </c>
      <c r="J1632">
        <f t="shared" si="276"/>
        <v>0</v>
      </c>
      <c r="K1632">
        <f t="shared" si="277"/>
        <v>0</v>
      </c>
      <c r="L1632">
        <f t="shared" si="278"/>
        <v>0</v>
      </c>
      <c r="M1632">
        <f t="shared" si="279"/>
        <v>0</v>
      </c>
      <c r="N1632">
        <f t="shared" si="280"/>
        <v>0</v>
      </c>
      <c r="O1632">
        <f t="shared" si="281"/>
        <v>0</v>
      </c>
      <c r="P1632" t="str">
        <f t="shared" si="282"/>
        <v/>
      </c>
      <c r="Q1632" t="str">
        <f>IF(B1632="","", IFERROR(VLOOKUP(B1632, '基準資産配分（設定）'!$A$2:$C$2001, 3, FALSE), ""))</f>
        <v/>
      </c>
      <c r="R1632" t="str">
        <f>IF(B1632="","", IFERROR(VLOOKUP(B1632, '基準資産配分（設定）'!$A$2:$C$2001, 2, FALSE)/100, 0))</f>
        <v/>
      </c>
      <c r="S1632" t="str">
        <f>IF(B1632="","", IFERROR(SUMIFS(ベンチマークリターン!$C$2:$C$2001, ベンチマークリターン!$A$2:$A$2001, A1632, ベンチマークリターン!$B$2:$B$2001, Q1632) / 100, 0))</f>
        <v/>
      </c>
      <c r="T1632" t="str">
        <f>IF(A1632="","", SUMIFS($H$2:$H$2000, $A$2:$A$2000, A1632))</f>
        <v/>
      </c>
      <c r="U1632" t="str">
        <f t="shared" si="283"/>
        <v/>
      </c>
      <c r="V1632" t="str">
        <f t="shared" si="284"/>
        <v/>
      </c>
      <c r="W1632" t="str">
        <f t="shared" si="285"/>
        <v/>
      </c>
    </row>
    <row r="1633" spans="1:23" x14ac:dyDescent="0.2">
      <c r="A1633" s="4" t="str">
        <f>IF(ポートフォリオ実績!A1634="","", ポートフォリオ実績!A1634)</f>
        <v/>
      </c>
      <c r="B1633" t="str">
        <f>IF(ポートフォリオ実績!B1634="","", ポートフォリオ実績!B1634)</f>
        <v/>
      </c>
      <c r="C1633" s="10" t="str">
        <f>IF(ポートフォリオ実績!C1634="","", ポートフォリオ実績!C1634)</f>
        <v/>
      </c>
      <c r="D1633" s="10" t="str">
        <f>IF(ポートフォリオ実績!D1634="","", ポートフォリオ実績!D1634)</f>
        <v/>
      </c>
      <c r="E1633" s="10" t="str">
        <f>IF(ポートフォリオ実績!E1634="","", ポートフォリオ実績!E1634)</f>
        <v/>
      </c>
      <c r="F1633" s="10" t="str">
        <f>IF(ポートフォリオ実績!F1634="","", ポートフォリオ実績!F1634)</f>
        <v/>
      </c>
      <c r="G1633" t="str">
        <f t="shared" si="275"/>
        <v/>
      </c>
      <c r="H1633">
        <f>IF(B1633&lt;&gt;"", SUMIFS(ポートフォリオ実績!$D$2:$D$2001, ポートフォリオ実績!$B$2:$B$2001, B1633, ポートフォリオ実績!$A$2:$A$2001, G1633), 0)</f>
        <v>0</v>
      </c>
      <c r="I1633">
        <f>IF(B1633&lt;&gt;"", SUMIFS(ポートフォリオ実績!$C$2:$C$2001, ポートフォリオ実績!$B$2:$B$2001, B1633, ポートフォリオ実績!$A$2:$A$2001, G1633), 0)</f>
        <v>0</v>
      </c>
      <c r="J1633">
        <f t="shared" si="276"/>
        <v>0</v>
      </c>
      <c r="K1633">
        <f t="shared" si="277"/>
        <v>0</v>
      </c>
      <c r="L1633">
        <f t="shared" si="278"/>
        <v>0</v>
      </c>
      <c r="M1633">
        <f t="shared" si="279"/>
        <v>0</v>
      </c>
      <c r="N1633">
        <f t="shared" si="280"/>
        <v>0</v>
      </c>
      <c r="O1633">
        <f t="shared" si="281"/>
        <v>0</v>
      </c>
      <c r="P1633" t="str">
        <f t="shared" si="282"/>
        <v/>
      </c>
      <c r="Q1633" t="str">
        <f>IF(B1633="","", IFERROR(VLOOKUP(B1633, '基準資産配分（設定）'!$A$2:$C$2001, 3, FALSE), ""))</f>
        <v/>
      </c>
      <c r="R1633" t="str">
        <f>IF(B1633="","", IFERROR(VLOOKUP(B1633, '基準資産配分（設定）'!$A$2:$C$2001, 2, FALSE)/100, 0))</f>
        <v/>
      </c>
      <c r="S1633" t="str">
        <f>IF(B1633="","", IFERROR(SUMIFS(ベンチマークリターン!$C$2:$C$2001, ベンチマークリターン!$A$2:$A$2001, A1633, ベンチマークリターン!$B$2:$B$2001, Q1633) / 100, 0))</f>
        <v/>
      </c>
      <c r="T1633" t="str">
        <f>IF(A1633="","", SUMIFS($H$2:$H$2000, $A$2:$A$2000, A1633))</f>
        <v/>
      </c>
      <c r="U1633" t="str">
        <f t="shared" si="283"/>
        <v/>
      </c>
      <c r="V1633" t="str">
        <f t="shared" si="284"/>
        <v/>
      </c>
      <c r="W1633" t="str">
        <f t="shared" si="285"/>
        <v/>
      </c>
    </row>
    <row r="1634" spans="1:23" x14ac:dyDescent="0.2">
      <c r="A1634" s="4" t="str">
        <f>IF(ポートフォリオ実績!A1635="","", ポートフォリオ実績!A1635)</f>
        <v/>
      </c>
      <c r="B1634" t="str">
        <f>IF(ポートフォリオ実績!B1635="","", ポートフォリオ実績!B1635)</f>
        <v/>
      </c>
      <c r="C1634" s="10" t="str">
        <f>IF(ポートフォリオ実績!C1635="","", ポートフォリオ実績!C1635)</f>
        <v/>
      </c>
      <c r="D1634" s="10" t="str">
        <f>IF(ポートフォリオ実績!D1635="","", ポートフォリオ実績!D1635)</f>
        <v/>
      </c>
      <c r="E1634" s="10" t="str">
        <f>IF(ポートフォリオ実績!E1635="","", ポートフォリオ実績!E1635)</f>
        <v/>
      </c>
      <c r="F1634" s="10" t="str">
        <f>IF(ポートフォリオ実績!F1635="","", ポートフォリオ実績!F1635)</f>
        <v/>
      </c>
      <c r="G1634" t="str">
        <f t="shared" si="275"/>
        <v/>
      </c>
      <c r="H1634">
        <f>IF(B1634&lt;&gt;"", SUMIFS(ポートフォリオ実績!$D$2:$D$2001, ポートフォリオ実績!$B$2:$B$2001, B1634, ポートフォリオ実績!$A$2:$A$2001, G1634), 0)</f>
        <v>0</v>
      </c>
      <c r="I1634">
        <f>IF(B1634&lt;&gt;"", SUMIFS(ポートフォリオ実績!$C$2:$C$2001, ポートフォリオ実績!$B$2:$B$2001, B1634, ポートフォリオ実績!$A$2:$A$2001, G1634), 0)</f>
        <v>0</v>
      </c>
      <c r="J1634">
        <f t="shared" si="276"/>
        <v>0</v>
      </c>
      <c r="K1634">
        <f t="shared" si="277"/>
        <v>0</v>
      </c>
      <c r="L1634">
        <f t="shared" si="278"/>
        <v>0</v>
      </c>
      <c r="M1634">
        <f t="shared" si="279"/>
        <v>0</v>
      </c>
      <c r="N1634">
        <f t="shared" si="280"/>
        <v>0</v>
      </c>
      <c r="O1634">
        <f t="shared" si="281"/>
        <v>0</v>
      </c>
      <c r="P1634" t="str">
        <f t="shared" si="282"/>
        <v/>
      </c>
      <c r="Q1634" t="str">
        <f>IF(B1634="","", IFERROR(VLOOKUP(B1634, '基準資産配分（設定）'!$A$2:$C$2001, 3, FALSE), ""))</f>
        <v/>
      </c>
      <c r="R1634" t="str">
        <f>IF(B1634="","", IFERROR(VLOOKUP(B1634, '基準資産配分（設定）'!$A$2:$C$2001, 2, FALSE)/100, 0))</f>
        <v/>
      </c>
      <c r="S1634" t="str">
        <f>IF(B1634="","", IFERROR(SUMIFS(ベンチマークリターン!$C$2:$C$2001, ベンチマークリターン!$A$2:$A$2001, A1634, ベンチマークリターン!$B$2:$B$2001, Q1634) / 100, 0))</f>
        <v/>
      </c>
      <c r="T1634" t="str">
        <f>IF(A1634="","", SUMIFS($H$2:$H$2000, $A$2:$A$2000, A1634))</f>
        <v/>
      </c>
      <c r="U1634" t="str">
        <f t="shared" si="283"/>
        <v/>
      </c>
      <c r="V1634" t="str">
        <f t="shared" si="284"/>
        <v/>
      </c>
      <c r="W1634" t="str">
        <f t="shared" si="285"/>
        <v/>
      </c>
    </row>
    <row r="1635" spans="1:23" x14ac:dyDescent="0.2">
      <c r="A1635" s="4" t="str">
        <f>IF(ポートフォリオ実績!A1636="","", ポートフォリオ実績!A1636)</f>
        <v/>
      </c>
      <c r="B1635" t="str">
        <f>IF(ポートフォリオ実績!B1636="","", ポートフォリオ実績!B1636)</f>
        <v/>
      </c>
      <c r="C1635" s="10" t="str">
        <f>IF(ポートフォリオ実績!C1636="","", ポートフォリオ実績!C1636)</f>
        <v/>
      </c>
      <c r="D1635" s="10" t="str">
        <f>IF(ポートフォリオ実績!D1636="","", ポートフォリオ実績!D1636)</f>
        <v/>
      </c>
      <c r="E1635" s="10" t="str">
        <f>IF(ポートフォリオ実績!E1636="","", ポートフォリオ実績!E1636)</f>
        <v/>
      </c>
      <c r="F1635" s="10" t="str">
        <f>IF(ポートフォリオ実績!F1636="","", ポートフォリオ実績!F1636)</f>
        <v/>
      </c>
      <c r="G1635" t="str">
        <f t="shared" si="275"/>
        <v/>
      </c>
      <c r="H1635">
        <f>IF(B1635&lt;&gt;"", SUMIFS(ポートフォリオ実績!$D$2:$D$2001, ポートフォリオ実績!$B$2:$B$2001, B1635, ポートフォリオ実績!$A$2:$A$2001, G1635), 0)</f>
        <v>0</v>
      </c>
      <c r="I1635">
        <f>IF(B1635&lt;&gt;"", SUMIFS(ポートフォリオ実績!$C$2:$C$2001, ポートフォリオ実績!$B$2:$B$2001, B1635, ポートフォリオ実績!$A$2:$A$2001, G1635), 0)</f>
        <v>0</v>
      </c>
      <c r="J1635">
        <f t="shared" si="276"/>
        <v>0</v>
      </c>
      <c r="K1635">
        <f t="shared" si="277"/>
        <v>0</v>
      </c>
      <c r="L1635">
        <f t="shared" si="278"/>
        <v>0</v>
      </c>
      <c r="M1635">
        <f t="shared" si="279"/>
        <v>0</v>
      </c>
      <c r="N1635">
        <f t="shared" si="280"/>
        <v>0</v>
      </c>
      <c r="O1635">
        <f t="shared" si="281"/>
        <v>0</v>
      </c>
      <c r="P1635" t="str">
        <f t="shared" si="282"/>
        <v/>
      </c>
      <c r="Q1635" t="str">
        <f>IF(B1635="","", IFERROR(VLOOKUP(B1635, '基準資産配分（設定）'!$A$2:$C$2001, 3, FALSE), ""))</f>
        <v/>
      </c>
      <c r="R1635" t="str">
        <f>IF(B1635="","", IFERROR(VLOOKUP(B1635, '基準資産配分（設定）'!$A$2:$C$2001, 2, FALSE)/100, 0))</f>
        <v/>
      </c>
      <c r="S1635" t="str">
        <f>IF(B1635="","", IFERROR(SUMIFS(ベンチマークリターン!$C$2:$C$2001, ベンチマークリターン!$A$2:$A$2001, A1635, ベンチマークリターン!$B$2:$B$2001, Q1635) / 100, 0))</f>
        <v/>
      </c>
      <c r="T1635" t="str">
        <f>IF(A1635="","", SUMIFS($H$2:$H$2000, $A$2:$A$2000, A1635))</f>
        <v/>
      </c>
      <c r="U1635" t="str">
        <f t="shared" si="283"/>
        <v/>
      </c>
      <c r="V1635" t="str">
        <f t="shared" si="284"/>
        <v/>
      </c>
      <c r="W1635" t="str">
        <f t="shared" si="285"/>
        <v/>
      </c>
    </row>
    <row r="1636" spans="1:23" x14ac:dyDescent="0.2">
      <c r="A1636" s="4" t="str">
        <f>IF(ポートフォリオ実績!A1637="","", ポートフォリオ実績!A1637)</f>
        <v/>
      </c>
      <c r="B1636" t="str">
        <f>IF(ポートフォリオ実績!B1637="","", ポートフォリオ実績!B1637)</f>
        <v/>
      </c>
      <c r="C1636" s="10" t="str">
        <f>IF(ポートフォリオ実績!C1637="","", ポートフォリオ実績!C1637)</f>
        <v/>
      </c>
      <c r="D1636" s="10" t="str">
        <f>IF(ポートフォリオ実績!D1637="","", ポートフォリオ実績!D1637)</f>
        <v/>
      </c>
      <c r="E1636" s="10" t="str">
        <f>IF(ポートフォリオ実績!E1637="","", ポートフォリオ実績!E1637)</f>
        <v/>
      </c>
      <c r="F1636" s="10" t="str">
        <f>IF(ポートフォリオ実績!F1637="","", ポートフォリオ実績!F1637)</f>
        <v/>
      </c>
      <c r="G1636" t="str">
        <f t="shared" si="275"/>
        <v/>
      </c>
      <c r="H1636">
        <f>IF(B1636&lt;&gt;"", SUMIFS(ポートフォリオ実績!$D$2:$D$2001, ポートフォリオ実績!$B$2:$B$2001, B1636, ポートフォリオ実績!$A$2:$A$2001, G1636), 0)</f>
        <v>0</v>
      </c>
      <c r="I1636">
        <f>IF(B1636&lt;&gt;"", SUMIFS(ポートフォリオ実績!$C$2:$C$2001, ポートフォリオ実績!$B$2:$B$2001, B1636, ポートフォリオ実績!$A$2:$A$2001, G1636), 0)</f>
        <v>0</v>
      </c>
      <c r="J1636">
        <f t="shared" si="276"/>
        <v>0</v>
      </c>
      <c r="K1636">
        <f t="shared" si="277"/>
        <v>0</v>
      </c>
      <c r="L1636">
        <f t="shared" si="278"/>
        <v>0</v>
      </c>
      <c r="M1636">
        <f t="shared" si="279"/>
        <v>0</v>
      </c>
      <c r="N1636">
        <f t="shared" si="280"/>
        <v>0</v>
      </c>
      <c r="O1636">
        <f t="shared" si="281"/>
        <v>0</v>
      </c>
      <c r="P1636" t="str">
        <f t="shared" si="282"/>
        <v/>
      </c>
      <c r="Q1636" t="str">
        <f>IF(B1636="","", IFERROR(VLOOKUP(B1636, '基準資産配分（設定）'!$A$2:$C$2001, 3, FALSE), ""))</f>
        <v/>
      </c>
      <c r="R1636" t="str">
        <f>IF(B1636="","", IFERROR(VLOOKUP(B1636, '基準資産配分（設定）'!$A$2:$C$2001, 2, FALSE)/100, 0))</f>
        <v/>
      </c>
      <c r="S1636" t="str">
        <f>IF(B1636="","", IFERROR(SUMIFS(ベンチマークリターン!$C$2:$C$2001, ベンチマークリターン!$A$2:$A$2001, A1636, ベンチマークリターン!$B$2:$B$2001, Q1636) / 100, 0))</f>
        <v/>
      </c>
      <c r="T1636" t="str">
        <f>IF(A1636="","", SUMIFS($H$2:$H$2000, $A$2:$A$2000, A1636))</f>
        <v/>
      </c>
      <c r="U1636" t="str">
        <f t="shared" si="283"/>
        <v/>
      </c>
      <c r="V1636" t="str">
        <f t="shared" si="284"/>
        <v/>
      </c>
      <c r="W1636" t="str">
        <f t="shared" si="285"/>
        <v/>
      </c>
    </row>
    <row r="1637" spans="1:23" x14ac:dyDescent="0.2">
      <c r="A1637" s="4" t="str">
        <f>IF(ポートフォリオ実績!A1638="","", ポートフォリオ実績!A1638)</f>
        <v/>
      </c>
      <c r="B1637" t="str">
        <f>IF(ポートフォリオ実績!B1638="","", ポートフォリオ実績!B1638)</f>
        <v/>
      </c>
      <c r="C1637" s="10" t="str">
        <f>IF(ポートフォリオ実績!C1638="","", ポートフォリオ実績!C1638)</f>
        <v/>
      </c>
      <c r="D1637" s="10" t="str">
        <f>IF(ポートフォリオ実績!D1638="","", ポートフォリオ実績!D1638)</f>
        <v/>
      </c>
      <c r="E1637" s="10" t="str">
        <f>IF(ポートフォリオ実績!E1638="","", ポートフォリオ実績!E1638)</f>
        <v/>
      </c>
      <c r="F1637" s="10" t="str">
        <f>IF(ポートフォリオ実績!F1638="","", ポートフォリオ実績!F1638)</f>
        <v/>
      </c>
      <c r="G1637" t="str">
        <f t="shared" si="275"/>
        <v/>
      </c>
      <c r="H1637">
        <f>IF(B1637&lt;&gt;"", SUMIFS(ポートフォリオ実績!$D$2:$D$2001, ポートフォリオ実績!$B$2:$B$2001, B1637, ポートフォリオ実績!$A$2:$A$2001, G1637), 0)</f>
        <v>0</v>
      </c>
      <c r="I1637">
        <f>IF(B1637&lt;&gt;"", SUMIFS(ポートフォリオ実績!$C$2:$C$2001, ポートフォリオ実績!$B$2:$B$2001, B1637, ポートフォリオ実績!$A$2:$A$2001, G1637), 0)</f>
        <v>0</v>
      </c>
      <c r="J1637">
        <f t="shared" si="276"/>
        <v>0</v>
      </c>
      <c r="K1637">
        <f t="shared" si="277"/>
        <v>0</v>
      </c>
      <c r="L1637">
        <f t="shared" si="278"/>
        <v>0</v>
      </c>
      <c r="M1637">
        <f t="shared" si="279"/>
        <v>0</v>
      </c>
      <c r="N1637">
        <f t="shared" si="280"/>
        <v>0</v>
      </c>
      <c r="O1637">
        <f t="shared" si="281"/>
        <v>0</v>
      </c>
      <c r="P1637" t="str">
        <f t="shared" si="282"/>
        <v/>
      </c>
      <c r="Q1637" t="str">
        <f>IF(B1637="","", IFERROR(VLOOKUP(B1637, '基準資産配分（設定）'!$A$2:$C$2001, 3, FALSE), ""))</f>
        <v/>
      </c>
      <c r="R1637" t="str">
        <f>IF(B1637="","", IFERROR(VLOOKUP(B1637, '基準資産配分（設定）'!$A$2:$C$2001, 2, FALSE)/100, 0))</f>
        <v/>
      </c>
      <c r="S1637" t="str">
        <f>IF(B1637="","", IFERROR(SUMIFS(ベンチマークリターン!$C$2:$C$2001, ベンチマークリターン!$A$2:$A$2001, A1637, ベンチマークリターン!$B$2:$B$2001, Q1637) / 100, 0))</f>
        <v/>
      </c>
      <c r="T1637" t="str">
        <f>IF(A1637="","", SUMIFS($H$2:$H$2000, $A$2:$A$2000, A1637))</f>
        <v/>
      </c>
      <c r="U1637" t="str">
        <f t="shared" si="283"/>
        <v/>
      </c>
      <c r="V1637" t="str">
        <f t="shared" si="284"/>
        <v/>
      </c>
      <c r="W1637" t="str">
        <f t="shared" si="285"/>
        <v/>
      </c>
    </row>
    <row r="1638" spans="1:23" x14ac:dyDescent="0.2">
      <c r="A1638" s="4" t="str">
        <f>IF(ポートフォリオ実績!A1639="","", ポートフォリオ実績!A1639)</f>
        <v/>
      </c>
      <c r="B1638" t="str">
        <f>IF(ポートフォリオ実績!B1639="","", ポートフォリオ実績!B1639)</f>
        <v/>
      </c>
      <c r="C1638" s="10" t="str">
        <f>IF(ポートフォリオ実績!C1639="","", ポートフォリオ実績!C1639)</f>
        <v/>
      </c>
      <c r="D1638" s="10" t="str">
        <f>IF(ポートフォリオ実績!D1639="","", ポートフォリオ実績!D1639)</f>
        <v/>
      </c>
      <c r="E1638" s="10" t="str">
        <f>IF(ポートフォリオ実績!E1639="","", ポートフォリオ実績!E1639)</f>
        <v/>
      </c>
      <c r="F1638" s="10" t="str">
        <f>IF(ポートフォリオ実績!F1639="","", ポートフォリオ実績!F1639)</f>
        <v/>
      </c>
      <c r="G1638" t="str">
        <f t="shared" si="275"/>
        <v/>
      </c>
      <c r="H1638">
        <f>IF(B1638&lt;&gt;"", SUMIFS(ポートフォリオ実績!$D$2:$D$2001, ポートフォリオ実績!$B$2:$B$2001, B1638, ポートフォリオ実績!$A$2:$A$2001, G1638), 0)</f>
        <v>0</v>
      </c>
      <c r="I1638">
        <f>IF(B1638&lt;&gt;"", SUMIFS(ポートフォリオ実績!$C$2:$C$2001, ポートフォリオ実績!$B$2:$B$2001, B1638, ポートフォリオ実績!$A$2:$A$2001, G1638), 0)</f>
        <v>0</v>
      </c>
      <c r="J1638">
        <f t="shared" si="276"/>
        <v>0</v>
      </c>
      <c r="K1638">
        <f t="shared" si="277"/>
        <v>0</v>
      </c>
      <c r="L1638">
        <f t="shared" si="278"/>
        <v>0</v>
      </c>
      <c r="M1638">
        <f t="shared" si="279"/>
        <v>0</v>
      </c>
      <c r="N1638">
        <f t="shared" si="280"/>
        <v>0</v>
      </c>
      <c r="O1638">
        <f t="shared" si="281"/>
        <v>0</v>
      </c>
      <c r="P1638" t="str">
        <f t="shared" si="282"/>
        <v/>
      </c>
      <c r="Q1638" t="str">
        <f>IF(B1638="","", IFERROR(VLOOKUP(B1638, '基準資産配分（設定）'!$A$2:$C$2001, 3, FALSE), ""))</f>
        <v/>
      </c>
      <c r="R1638" t="str">
        <f>IF(B1638="","", IFERROR(VLOOKUP(B1638, '基準資産配分（設定）'!$A$2:$C$2001, 2, FALSE)/100, 0))</f>
        <v/>
      </c>
      <c r="S1638" t="str">
        <f>IF(B1638="","", IFERROR(SUMIFS(ベンチマークリターン!$C$2:$C$2001, ベンチマークリターン!$A$2:$A$2001, A1638, ベンチマークリターン!$B$2:$B$2001, Q1638) / 100, 0))</f>
        <v/>
      </c>
      <c r="T1638" t="str">
        <f>IF(A1638="","", SUMIFS($H$2:$H$2000, $A$2:$A$2000, A1638))</f>
        <v/>
      </c>
      <c r="U1638" t="str">
        <f t="shared" si="283"/>
        <v/>
      </c>
      <c r="V1638" t="str">
        <f t="shared" si="284"/>
        <v/>
      </c>
      <c r="W1638" t="str">
        <f t="shared" si="285"/>
        <v/>
      </c>
    </row>
    <row r="1639" spans="1:23" x14ac:dyDescent="0.2">
      <c r="A1639" s="4" t="str">
        <f>IF(ポートフォリオ実績!A1640="","", ポートフォリオ実績!A1640)</f>
        <v/>
      </c>
      <c r="B1639" t="str">
        <f>IF(ポートフォリオ実績!B1640="","", ポートフォリオ実績!B1640)</f>
        <v/>
      </c>
      <c r="C1639" s="10" t="str">
        <f>IF(ポートフォリオ実績!C1640="","", ポートフォリオ実績!C1640)</f>
        <v/>
      </c>
      <c r="D1639" s="10" t="str">
        <f>IF(ポートフォリオ実績!D1640="","", ポートフォリオ実績!D1640)</f>
        <v/>
      </c>
      <c r="E1639" s="10" t="str">
        <f>IF(ポートフォリオ実績!E1640="","", ポートフォリオ実績!E1640)</f>
        <v/>
      </c>
      <c r="F1639" s="10" t="str">
        <f>IF(ポートフォリオ実績!F1640="","", ポートフォリオ実績!F1640)</f>
        <v/>
      </c>
      <c r="G1639" t="str">
        <f t="shared" si="275"/>
        <v/>
      </c>
      <c r="H1639">
        <f>IF(B1639&lt;&gt;"", SUMIFS(ポートフォリオ実績!$D$2:$D$2001, ポートフォリオ実績!$B$2:$B$2001, B1639, ポートフォリオ実績!$A$2:$A$2001, G1639), 0)</f>
        <v>0</v>
      </c>
      <c r="I1639">
        <f>IF(B1639&lt;&gt;"", SUMIFS(ポートフォリオ実績!$C$2:$C$2001, ポートフォリオ実績!$B$2:$B$2001, B1639, ポートフォリオ実績!$A$2:$A$2001, G1639), 0)</f>
        <v>0</v>
      </c>
      <c r="J1639">
        <f t="shared" si="276"/>
        <v>0</v>
      </c>
      <c r="K1639">
        <f t="shared" si="277"/>
        <v>0</v>
      </c>
      <c r="L1639">
        <f t="shared" si="278"/>
        <v>0</v>
      </c>
      <c r="M1639">
        <f t="shared" si="279"/>
        <v>0</v>
      </c>
      <c r="N1639">
        <f t="shared" si="280"/>
        <v>0</v>
      </c>
      <c r="O1639">
        <f t="shared" si="281"/>
        <v>0</v>
      </c>
      <c r="P1639" t="str">
        <f t="shared" si="282"/>
        <v/>
      </c>
      <c r="Q1639" t="str">
        <f>IF(B1639="","", IFERROR(VLOOKUP(B1639, '基準資産配分（設定）'!$A$2:$C$2001, 3, FALSE), ""))</f>
        <v/>
      </c>
      <c r="R1639" t="str">
        <f>IF(B1639="","", IFERROR(VLOOKUP(B1639, '基準資産配分（設定）'!$A$2:$C$2001, 2, FALSE)/100, 0))</f>
        <v/>
      </c>
      <c r="S1639" t="str">
        <f>IF(B1639="","", IFERROR(SUMIFS(ベンチマークリターン!$C$2:$C$2001, ベンチマークリターン!$A$2:$A$2001, A1639, ベンチマークリターン!$B$2:$B$2001, Q1639) / 100, 0))</f>
        <v/>
      </c>
      <c r="T1639" t="str">
        <f>IF(A1639="","", SUMIFS($H$2:$H$2000, $A$2:$A$2000, A1639))</f>
        <v/>
      </c>
      <c r="U1639" t="str">
        <f t="shared" si="283"/>
        <v/>
      </c>
      <c r="V1639" t="str">
        <f t="shared" si="284"/>
        <v/>
      </c>
      <c r="W1639" t="str">
        <f t="shared" si="285"/>
        <v/>
      </c>
    </row>
    <row r="1640" spans="1:23" x14ac:dyDescent="0.2">
      <c r="A1640" s="4" t="str">
        <f>IF(ポートフォリオ実績!A1641="","", ポートフォリオ実績!A1641)</f>
        <v/>
      </c>
      <c r="B1640" t="str">
        <f>IF(ポートフォリオ実績!B1641="","", ポートフォリオ実績!B1641)</f>
        <v/>
      </c>
      <c r="C1640" s="10" t="str">
        <f>IF(ポートフォリオ実績!C1641="","", ポートフォリオ実績!C1641)</f>
        <v/>
      </c>
      <c r="D1640" s="10" t="str">
        <f>IF(ポートフォリオ実績!D1641="","", ポートフォリオ実績!D1641)</f>
        <v/>
      </c>
      <c r="E1640" s="10" t="str">
        <f>IF(ポートフォリオ実績!E1641="","", ポートフォリオ実績!E1641)</f>
        <v/>
      </c>
      <c r="F1640" s="10" t="str">
        <f>IF(ポートフォリオ実績!F1641="","", ポートフォリオ実績!F1641)</f>
        <v/>
      </c>
      <c r="G1640" t="str">
        <f t="shared" si="275"/>
        <v/>
      </c>
      <c r="H1640">
        <f>IF(B1640&lt;&gt;"", SUMIFS(ポートフォリオ実績!$D$2:$D$2001, ポートフォリオ実績!$B$2:$B$2001, B1640, ポートフォリオ実績!$A$2:$A$2001, G1640), 0)</f>
        <v>0</v>
      </c>
      <c r="I1640">
        <f>IF(B1640&lt;&gt;"", SUMIFS(ポートフォリオ実績!$C$2:$C$2001, ポートフォリオ実績!$B$2:$B$2001, B1640, ポートフォリオ実績!$A$2:$A$2001, G1640), 0)</f>
        <v>0</v>
      </c>
      <c r="J1640">
        <f t="shared" si="276"/>
        <v>0</v>
      </c>
      <c r="K1640">
        <f t="shared" si="277"/>
        <v>0</v>
      </c>
      <c r="L1640">
        <f t="shared" si="278"/>
        <v>0</v>
      </c>
      <c r="M1640">
        <f t="shared" si="279"/>
        <v>0</v>
      </c>
      <c r="N1640">
        <f t="shared" si="280"/>
        <v>0</v>
      </c>
      <c r="O1640">
        <f t="shared" si="281"/>
        <v>0</v>
      </c>
      <c r="P1640" t="str">
        <f t="shared" si="282"/>
        <v/>
      </c>
      <c r="Q1640" t="str">
        <f>IF(B1640="","", IFERROR(VLOOKUP(B1640, '基準資産配分（設定）'!$A$2:$C$2001, 3, FALSE), ""))</f>
        <v/>
      </c>
      <c r="R1640" t="str">
        <f>IF(B1640="","", IFERROR(VLOOKUP(B1640, '基準資産配分（設定）'!$A$2:$C$2001, 2, FALSE)/100, 0))</f>
        <v/>
      </c>
      <c r="S1640" t="str">
        <f>IF(B1640="","", IFERROR(SUMIFS(ベンチマークリターン!$C$2:$C$2001, ベンチマークリターン!$A$2:$A$2001, A1640, ベンチマークリターン!$B$2:$B$2001, Q1640) / 100, 0))</f>
        <v/>
      </c>
      <c r="T1640" t="str">
        <f>IF(A1640="","", SUMIFS($H$2:$H$2000, $A$2:$A$2000, A1640))</f>
        <v/>
      </c>
      <c r="U1640" t="str">
        <f t="shared" si="283"/>
        <v/>
      </c>
      <c r="V1640" t="str">
        <f t="shared" si="284"/>
        <v/>
      </c>
      <c r="W1640" t="str">
        <f t="shared" si="285"/>
        <v/>
      </c>
    </row>
    <row r="1641" spans="1:23" x14ac:dyDescent="0.2">
      <c r="A1641" s="4" t="str">
        <f>IF(ポートフォリオ実績!A1642="","", ポートフォリオ実績!A1642)</f>
        <v/>
      </c>
      <c r="B1641" t="str">
        <f>IF(ポートフォリオ実績!B1642="","", ポートフォリオ実績!B1642)</f>
        <v/>
      </c>
      <c r="C1641" s="10" t="str">
        <f>IF(ポートフォリオ実績!C1642="","", ポートフォリオ実績!C1642)</f>
        <v/>
      </c>
      <c r="D1641" s="10" t="str">
        <f>IF(ポートフォリオ実績!D1642="","", ポートフォリオ実績!D1642)</f>
        <v/>
      </c>
      <c r="E1641" s="10" t="str">
        <f>IF(ポートフォリオ実績!E1642="","", ポートフォリオ実績!E1642)</f>
        <v/>
      </c>
      <c r="F1641" s="10" t="str">
        <f>IF(ポートフォリオ実績!F1642="","", ポートフォリオ実績!F1642)</f>
        <v/>
      </c>
      <c r="G1641" t="str">
        <f t="shared" si="275"/>
        <v/>
      </c>
      <c r="H1641">
        <f>IF(B1641&lt;&gt;"", SUMIFS(ポートフォリオ実績!$D$2:$D$2001, ポートフォリオ実績!$B$2:$B$2001, B1641, ポートフォリオ実績!$A$2:$A$2001, G1641), 0)</f>
        <v>0</v>
      </c>
      <c r="I1641">
        <f>IF(B1641&lt;&gt;"", SUMIFS(ポートフォリオ実績!$C$2:$C$2001, ポートフォリオ実績!$B$2:$B$2001, B1641, ポートフォリオ実績!$A$2:$A$2001, G1641), 0)</f>
        <v>0</v>
      </c>
      <c r="J1641">
        <f t="shared" si="276"/>
        <v>0</v>
      </c>
      <c r="K1641">
        <f t="shared" si="277"/>
        <v>0</v>
      </c>
      <c r="L1641">
        <f t="shared" si="278"/>
        <v>0</v>
      </c>
      <c r="M1641">
        <f t="shared" si="279"/>
        <v>0</v>
      </c>
      <c r="N1641">
        <f t="shared" si="280"/>
        <v>0</v>
      </c>
      <c r="O1641">
        <f t="shared" si="281"/>
        <v>0</v>
      </c>
      <c r="P1641" t="str">
        <f t="shared" si="282"/>
        <v/>
      </c>
      <c r="Q1641" t="str">
        <f>IF(B1641="","", IFERROR(VLOOKUP(B1641, '基準資産配分（設定）'!$A$2:$C$2001, 3, FALSE), ""))</f>
        <v/>
      </c>
      <c r="R1641" t="str">
        <f>IF(B1641="","", IFERROR(VLOOKUP(B1641, '基準資産配分（設定）'!$A$2:$C$2001, 2, FALSE)/100, 0))</f>
        <v/>
      </c>
      <c r="S1641" t="str">
        <f>IF(B1641="","", IFERROR(SUMIFS(ベンチマークリターン!$C$2:$C$2001, ベンチマークリターン!$A$2:$A$2001, A1641, ベンチマークリターン!$B$2:$B$2001, Q1641) / 100, 0))</f>
        <v/>
      </c>
      <c r="T1641" t="str">
        <f>IF(A1641="","", SUMIFS($H$2:$H$2000, $A$2:$A$2000, A1641))</f>
        <v/>
      </c>
      <c r="U1641" t="str">
        <f t="shared" si="283"/>
        <v/>
      </c>
      <c r="V1641" t="str">
        <f t="shared" si="284"/>
        <v/>
      </c>
      <c r="W1641" t="str">
        <f t="shared" si="285"/>
        <v/>
      </c>
    </row>
    <row r="1642" spans="1:23" x14ac:dyDescent="0.2">
      <c r="A1642" s="4" t="str">
        <f>IF(ポートフォリオ実績!A1643="","", ポートフォリオ実績!A1643)</f>
        <v/>
      </c>
      <c r="B1642" t="str">
        <f>IF(ポートフォリオ実績!B1643="","", ポートフォリオ実績!B1643)</f>
        <v/>
      </c>
      <c r="C1642" s="10" t="str">
        <f>IF(ポートフォリオ実績!C1643="","", ポートフォリオ実績!C1643)</f>
        <v/>
      </c>
      <c r="D1642" s="10" t="str">
        <f>IF(ポートフォリオ実績!D1643="","", ポートフォリオ実績!D1643)</f>
        <v/>
      </c>
      <c r="E1642" s="10" t="str">
        <f>IF(ポートフォリオ実績!E1643="","", ポートフォリオ実績!E1643)</f>
        <v/>
      </c>
      <c r="F1642" s="10" t="str">
        <f>IF(ポートフォリオ実績!F1643="","", ポートフォリオ実績!F1643)</f>
        <v/>
      </c>
      <c r="G1642" t="str">
        <f t="shared" si="275"/>
        <v/>
      </c>
      <c r="H1642">
        <f>IF(B1642&lt;&gt;"", SUMIFS(ポートフォリオ実績!$D$2:$D$2001, ポートフォリオ実績!$B$2:$B$2001, B1642, ポートフォリオ実績!$A$2:$A$2001, G1642), 0)</f>
        <v>0</v>
      </c>
      <c r="I1642">
        <f>IF(B1642&lt;&gt;"", SUMIFS(ポートフォリオ実績!$C$2:$C$2001, ポートフォリオ実績!$B$2:$B$2001, B1642, ポートフォリオ実績!$A$2:$A$2001, G1642), 0)</f>
        <v>0</v>
      </c>
      <c r="J1642">
        <f t="shared" si="276"/>
        <v>0</v>
      </c>
      <c r="K1642">
        <f t="shared" si="277"/>
        <v>0</v>
      </c>
      <c r="L1642">
        <f t="shared" si="278"/>
        <v>0</v>
      </c>
      <c r="M1642">
        <f t="shared" si="279"/>
        <v>0</v>
      </c>
      <c r="N1642">
        <f t="shared" si="280"/>
        <v>0</v>
      </c>
      <c r="O1642">
        <f t="shared" si="281"/>
        <v>0</v>
      </c>
      <c r="P1642" t="str">
        <f t="shared" si="282"/>
        <v/>
      </c>
      <c r="Q1642" t="str">
        <f>IF(B1642="","", IFERROR(VLOOKUP(B1642, '基準資産配分（設定）'!$A$2:$C$2001, 3, FALSE), ""))</f>
        <v/>
      </c>
      <c r="R1642" t="str">
        <f>IF(B1642="","", IFERROR(VLOOKUP(B1642, '基準資産配分（設定）'!$A$2:$C$2001, 2, FALSE)/100, 0))</f>
        <v/>
      </c>
      <c r="S1642" t="str">
        <f>IF(B1642="","", IFERROR(SUMIFS(ベンチマークリターン!$C$2:$C$2001, ベンチマークリターン!$A$2:$A$2001, A1642, ベンチマークリターン!$B$2:$B$2001, Q1642) / 100, 0))</f>
        <v/>
      </c>
      <c r="T1642" t="str">
        <f>IF(A1642="","", SUMIFS($H$2:$H$2000, $A$2:$A$2000, A1642))</f>
        <v/>
      </c>
      <c r="U1642" t="str">
        <f t="shared" si="283"/>
        <v/>
      </c>
      <c r="V1642" t="str">
        <f t="shared" si="284"/>
        <v/>
      </c>
      <c r="W1642" t="str">
        <f t="shared" si="285"/>
        <v/>
      </c>
    </row>
    <row r="1643" spans="1:23" x14ac:dyDescent="0.2">
      <c r="A1643" s="4" t="str">
        <f>IF(ポートフォリオ実績!A1644="","", ポートフォリオ実績!A1644)</f>
        <v/>
      </c>
      <c r="B1643" t="str">
        <f>IF(ポートフォリオ実績!B1644="","", ポートフォリオ実績!B1644)</f>
        <v/>
      </c>
      <c r="C1643" s="10" t="str">
        <f>IF(ポートフォリオ実績!C1644="","", ポートフォリオ実績!C1644)</f>
        <v/>
      </c>
      <c r="D1643" s="10" t="str">
        <f>IF(ポートフォリオ実績!D1644="","", ポートフォリオ実績!D1644)</f>
        <v/>
      </c>
      <c r="E1643" s="10" t="str">
        <f>IF(ポートフォリオ実績!E1644="","", ポートフォリオ実績!E1644)</f>
        <v/>
      </c>
      <c r="F1643" s="10" t="str">
        <f>IF(ポートフォリオ実績!F1644="","", ポートフォリオ実績!F1644)</f>
        <v/>
      </c>
      <c r="G1643" t="str">
        <f t="shared" si="275"/>
        <v/>
      </c>
      <c r="H1643">
        <f>IF(B1643&lt;&gt;"", SUMIFS(ポートフォリオ実績!$D$2:$D$2001, ポートフォリオ実績!$B$2:$B$2001, B1643, ポートフォリオ実績!$A$2:$A$2001, G1643), 0)</f>
        <v>0</v>
      </c>
      <c r="I1643">
        <f>IF(B1643&lt;&gt;"", SUMIFS(ポートフォリオ実績!$C$2:$C$2001, ポートフォリオ実績!$B$2:$B$2001, B1643, ポートフォリオ実績!$A$2:$A$2001, G1643), 0)</f>
        <v>0</v>
      </c>
      <c r="J1643">
        <f t="shared" si="276"/>
        <v>0</v>
      </c>
      <c r="K1643">
        <f t="shared" si="277"/>
        <v>0</v>
      </c>
      <c r="L1643">
        <f t="shared" si="278"/>
        <v>0</v>
      </c>
      <c r="M1643">
        <f t="shared" si="279"/>
        <v>0</v>
      </c>
      <c r="N1643">
        <f t="shared" si="280"/>
        <v>0</v>
      </c>
      <c r="O1643">
        <f t="shared" si="281"/>
        <v>0</v>
      </c>
      <c r="P1643" t="str">
        <f t="shared" si="282"/>
        <v/>
      </c>
      <c r="Q1643" t="str">
        <f>IF(B1643="","", IFERROR(VLOOKUP(B1643, '基準資産配分（設定）'!$A$2:$C$2001, 3, FALSE), ""))</f>
        <v/>
      </c>
      <c r="R1643" t="str">
        <f>IF(B1643="","", IFERROR(VLOOKUP(B1643, '基準資産配分（設定）'!$A$2:$C$2001, 2, FALSE)/100, 0))</f>
        <v/>
      </c>
      <c r="S1643" t="str">
        <f>IF(B1643="","", IFERROR(SUMIFS(ベンチマークリターン!$C$2:$C$2001, ベンチマークリターン!$A$2:$A$2001, A1643, ベンチマークリターン!$B$2:$B$2001, Q1643) / 100, 0))</f>
        <v/>
      </c>
      <c r="T1643" t="str">
        <f>IF(A1643="","", SUMIFS($H$2:$H$2000, $A$2:$A$2000, A1643))</f>
        <v/>
      </c>
      <c r="U1643" t="str">
        <f t="shared" si="283"/>
        <v/>
      </c>
      <c r="V1643" t="str">
        <f t="shared" si="284"/>
        <v/>
      </c>
      <c r="W1643" t="str">
        <f t="shared" si="285"/>
        <v/>
      </c>
    </row>
    <row r="1644" spans="1:23" x14ac:dyDescent="0.2">
      <c r="A1644" s="4" t="str">
        <f>IF(ポートフォリオ実績!A1645="","", ポートフォリオ実績!A1645)</f>
        <v/>
      </c>
      <c r="B1644" t="str">
        <f>IF(ポートフォリオ実績!B1645="","", ポートフォリオ実績!B1645)</f>
        <v/>
      </c>
      <c r="C1644" s="10" t="str">
        <f>IF(ポートフォリオ実績!C1645="","", ポートフォリオ実績!C1645)</f>
        <v/>
      </c>
      <c r="D1644" s="10" t="str">
        <f>IF(ポートフォリオ実績!D1645="","", ポートフォリオ実績!D1645)</f>
        <v/>
      </c>
      <c r="E1644" s="10" t="str">
        <f>IF(ポートフォリオ実績!E1645="","", ポートフォリオ実績!E1645)</f>
        <v/>
      </c>
      <c r="F1644" s="10" t="str">
        <f>IF(ポートフォリオ実績!F1645="","", ポートフォリオ実績!F1645)</f>
        <v/>
      </c>
      <c r="G1644" t="str">
        <f t="shared" si="275"/>
        <v/>
      </c>
      <c r="H1644">
        <f>IF(B1644&lt;&gt;"", SUMIFS(ポートフォリオ実績!$D$2:$D$2001, ポートフォリオ実績!$B$2:$B$2001, B1644, ポートフォリオ実績!$A$2:$A$2001, G1644), 0)</f>
        <v>0</v>
      </c>
      <c r="I1644">
        <f>IF(B1644&lt;&gt;"", SUMIFS(ポートフォリオ実績!$C$2:$C$2001, ポートフォリオ実績!$B$2:$B$2001, B1644, ポートフォリオ実績!$A$2:$A$2001, G1644), 0)</f>
        <v>0</v>
      </c>
      <c r="J1644">
        <f t="shared" si="276"/>
        <v>0</v>
      </c>
      <c r="K1644">
        <f t="shared" si="277"/>
        <v>0</v>
      </c>
      <c r="L1644">
        <f t="shared" si="278"/>
        <v>0</v>
      </c>
      <c r="M1644">
        <f t="shared" si="279"/>
        <v>0</v>
      </c>
      <c r="N1644">
        <f t="shared" si="280"/>
        <v>0</v>
      </c>
      <c r="O1644">
        <f t="shared" si="281"/>
        <v>0</v>
      </c>
      <c r="P1644" t="str">
        <f t="shared" si="282"/>
        <v/>
      </c>
      <c r="Q1644" t="str">
        <f>IF(B1644="","", IFERROR(VLOOKUP(B1644, '基準資産配分（設定）'!$A$2:$C$2001, 3, FALSE), ""))</f>
        <v/>
      </c>
      <c r="R1644" t="str">
        <f>IF(B1644="","", IFERROR(VLOOKUP(B1644, '基準資産配分（設定）'!$A$2:$C$2001, 2, FALSE)/100, 0))</f>
        <v/>
      </c>
      <c r="S1644" t="str">
        <f>IF(B1644="","", IFERROR(SUMIFS(ベンチマークリターン!$C$2:$C$2001, ベンチマークリターン!$A$2:$A$2001, A1644, ベンチマークリターン!$B$2:$B$2001, Q1644) / 100, 0))</f>
        <v/>
      </c>
      <c r="T1644" t="str">
        <f>IF(A1644="","", SUMIFS($H$2:$H$2000, $A$2:$A$2000, A1644))</f>
        <v/>
      </c>
      <c r="U1644" t="str">
        <f t="shared" si="283"/>
        <v/>
      </c>
      <c r="V1644" t="str">
        <f t="shared" si="284"/>
        <v/>
      </c>
      <c r="W1644" t="str">
        <f t="shared" si="285"/>
        <v/>
      </c>
    </row>
    <row r="1645" spans="1:23" x14ac:dyDescent="0.2">
      <c r="A1645" s="4" t="str">
        <f>IF(ポートフォリオ実績!A1646="","", ポートフォリオ実績!A1646)</f>
        <v/>
      </c>
      <c r="B1645" t="str">
        <f>IF(ポートフォリオ実績!B1646="","", ポートフォリオ実績!B1646)</f>
        <v/>
      </c>
      <c r="C1645" s="10" t="str">
        <f>IF(ポートフォリオ実績!C1646="","", ポートフォリオ実績!C1646)</f>
        <v/>
      </c>
      <c r="D1645" s="10" t="str">
        <f>IF(ポートフォリオ実績!D1646="","", ポートフォリオ実績!D1646)</f>
        <v/>
      </c>
      <c r="E1645" s="10" t="str">
        <f>IF(ポートフォリオ実績!E1646="","", ポートフォリオ実績!E1646)</f>
        <v/>
      </c>
      <c r="F1645" s="10" t="str">
        <f>IF(ポートフォリオ実績!F1646="","", ポートフォリオ実績!F1646)</f>
        <v/>
      </c>
      <c r="G1645" t="str">
        <f t="shared" si="275"/>
        <v/>
      </c>
      <c r="H1645">
        <f>IF(B1645&lt;&gt;"", SUMIFS(ポートフォリオ実績!$D$2:$D$2001, ポートフォリオ実績!$B$2:$B$2001, B1645, ポートフォリオ実績!$A$2:$A$2001, G1645), 0)</f>
        <v>0</v>
      </c>
      <c r="I1645">
        <f>IF(B1645&lt;&gt;"", SUMIFS(ポートフォリオ実績!$C$2:$C$2001, ポートフォリオ実績!$B$2:$B$2001, B1645, ポートフォリオ実績!$A$2:$A$2001, G1645), 0)</f>
        <v>0</v>
      </c>
      <c r="J1645">
        <f t="shared" si="276"/>
        <v>0</v>
      </c>
      <c r="K1645">
        <f t="shared" si="277"/>
        <v>0</v>
      </c>
      <c r="L1645">
        <f t="shared" si="278"/>
        <v>0</v>
      </c>
      <c r="M1645">
        <f t="shared" si="279"/>
        <v>0</v>
      </c>
      <c r="N1645">
        <f t="shared" si="280"/>
        <v>0</v>
      </c>
      <c r="O1645">
        <f t="shared" si="281"/>
        <v>0</v>
      </c>
      <c r="P1645" t="str">
        <f t="shared" si="282"/>
        <v/>
      </c>
      <c r="Q1645" t="str">
        <f>IF(B1645="","", IFERROR(VLOOKUP(B1645, '基準資産配分（設定）'!$A$2:$C$2001, 3, FALSE), ""))</f>
        <v/>
      </c>
      <c r="R1645" t="str">
        <f>IF(B1645="","", IFERROR(VLOOKUP(B1645, '基準資産配分（設定）'!$A$2:$C$2001, 2, FALSE)/100, 0))</f>
        <v/>
      </c>
      <c r="S1645" t="str">
        <f>IF(B1645="","", IFERROR(SUMIFS(ベンチマークリターン!$C$2:$C$2001, ベンチマークリターン!$A$2:$A$2001, A1645, ベンチマークリターン!$B$2:$B$2001, Q1645) / 100, 0))</f>
        <v/>
      </c>
      <c r="T1645" t="str">
        <f>IF(A1645="","", SUMIFS($H$2:$H$2000, $A$2:$A$2000, A1645))</f>
        <v/>
      </c>
      <c r="U1645" t="str">
        <f t="shared" si="283"/>
        <v/>
      </c>
      <c r="V1645" t="str">
        <f t="shared" si="284"/>
        <v/>
      </c>
      <c r="W1645" t="str">
        <f t="shared" si="285"/>
        <v/>
      </c>
    </row>
    <row r="1646" spans="1:23" x14ac:dyDescent="0.2">
      <c r="A1646" s="4" t="str">
        <f>IF(ポートフォリオ実績!A1647="","", ポートフォリオ実績!A1647)</f>
        <v/>
      </c>
      <c r="B1646" t="str">
        <f>IF(ポートフォリオ実績!B1647="","", ポートフォリオ実績!B1647)</f>
        <v/>
      </c>
      <c r="C1646" s="10" t="str">
        <f>IF(ポートフォリオ実績!C1647="","", ポートフォリオ実績!C1647)</f>
        <v/>
      </c>
      <c r="D1646" s="10" t="str">
        <f>IF(ポートフォリオ実績!D1647="","", ポートフォリオ実績!D1647)</f>
        <v/>
      </c>
      <c r="E1646" s="10" t="str">
        <f>IF(ポートフォリオ実績!E1647="","", ポートフォリオ実績!E1647)</f>
        <v/>
      </c>
      <c r="F1646" s="10" t="str">
        <f>IF(ポートフォリオ実績!F1647="","", ポートフォリオ実績!F1647)</f>
        <v/>
      </c>
      <c r="G1646" t="str">
        <f t="shared" si="275"/>
        <v/>
      </c>
      <c r="H1646">
        <f>IF(B1646&lt;&gt;"", SUMIFS(ポートフォリオ実績!$D$2:$D$2001, ポートフォリオ実績!$B$2:$B$2001, B1646, ポートフォリオ実績!$A$2:$A$2001, G1646), 0)</f>
        <v>0</v>
      </c>
      <c r="I1646">
        <f>IF(B1646&lt;&gt;"", SUMIFS(ポートフォリオ実績!$C$2:$C$2001, ポートフォリオ実績!$B$2:$B$2001, B1646, ポートフォリオ実績!$A$2:$A$2001, G1646), 0)</f>
        <v>0</v>
      </c>
      <c r="J1646">
        <f t="shared" si="276"/>
        <v>0</v>
      </c>
      <c r="K1646">
        <f t="shared" si="277"/>
        <v>0</v>
      </c>
      <c r="L1646">
        <f t="shared" si="278"/>
        <v>0</v>
      </c>
      <c r="M1646">
        <f t="shared" si="279"/>
        <v>0</v>
      </c>
      <c r="N1646">
        <f t="shared" si="280"/>
        <v>0</v>
      </c>
      <c r="O1646">
        <f t="shared" si="281"/>
        <v>0</v>
      </c>
      <c r="P1646" t="str">
        <f t="shared" si="282"/>
        <v/>
      </c>
      <c r="Q1646" t="str">
        <f>IF(B1646="","", IFERROR(VLOOKUP(B1646, '基準資産配分（設定）'!$A$2:$C$2001, 3, FALSE), ""))</f>
        <v/>
      </c>
      <c r="R1646" t="str">
        <f>IF(B1646="","", IFERROR(VLOOKUP(B1646, '基準資産配分（設定）'!$A$2:$C$2001, 2, FALSE)/100, 0))</f>
        <v/>
      </c>
      <c r="S1646" t="str">
        <f>IF(B1646="","", IFERROR(SUMIFS(ベンチマークリターン!$C$2:$C$2001, ベンチマークリターン!$A$2:$A$2001, A1646, ベンチマークリターン!$B$2:$B$2001, Q1646) / 100, 0))</f>
        <v/>
      </c>
      <c r="T1646" t="str">
        <f>IF(A1646="","", SUMIFS($H$2:$H$2000, $A$2:$A$2000, A1646))</f>
        <v/>
      </c>
      <c r="U1646" t="str">
        <f t="shared" si="283"/>
        <v/>
      </c>
      <c r="V1646" t="str">
        <f t="shared" si="284"/>
        <v/>
      </c>
      <c r="W1646" t="str">
        <f t="shared" si="285"/>
        <v/>
      </c>
    </row>
    <row r="1647" spans="1:23" x14ac:dyDescent="0.2">
      <c r="A1647" s="4" t="str">
        <f>IF(ポートフォリオ実績!A1648="","", ポートフォリオ実績!A1648)</f>
        <v/>
      </c>
      <c r="B1647" t="str">
        <f>IF(ポートフォリオ実績!B1648="","", ポートフォリオ実績!B1648)</f>
        <v/>
      </c>
      <c r="C1647" s="10" t="str">
        <f>IF(ポートフォリオ実績!C1648="","", ポートフォリオ実績!C1648)</f>
        <v/>
      </c>
      <c r="D1647" s="10" t="str">
        <f>IF(ポートフォリオ実績!D1648="","", ポートフォリオ実績!D1648)</f>
        <v/>
      </c>
      <c r="E1647" s="10" t="str">
        <f>IF(ポートフォリオ実績!E1648="","", ポートフォリオ実績!E1648)</f>
        <v/>
      </c>
      <c r="F1647" s="10" t="str">
        <f>IF(ポートフォリオ実績!F1648="","", ポートフォリオ実績!F1648)</f>
        <v/>
      </c>
      <c r="G1647" t="str">
        <f t="shared" si="275"/>
        <v/>
      </c>
      <c r="H1647">
        <f>IF(B1647&lt;&gt;"", SUMIFS(ポートフォリオ実績!$D$2:$D$2001, ポートフォリオ実績!$B$2:$B$2001, B1647, ポートフォリオ実績!$A$2:$A$2001, G1647), 0)</f>
        <v>0</v>
      </c>
      <c r="I1647">
        <f>IF(B1647&lt;&gt;"", SUMIFS(ポートフォリオ実績!$C$2:$C$2001, ポートフォリオ実績!$B$2:$B$2001, B1647, ポートフォリオ実績!$A$2:$A$2001, G1647), 0)</f>
        <v>0</v>
      </c>
      <c r="J1647">
        <f t="shared" si="276"/>
        <v>0</v>
      </c>
      <c r="K1647">
        <f t="shared" si="277"/>
        <v>0</v>
      </c>
      <c r="L1647">
        <f t="shared" si="278"/>
        <v>0</v>
      </c>
      <c r="M1647">
        <f t="shared" si="279"/>
        <v>0</v>
      </c>
      <c r="N1647">
        <f t="shared" si="280"/>
        <v>0</v>
      </c>
      <c r="O1647">
        <f t="shared" si="281"/>
        <v>0</v>
      </c>
      <c r="P1647" t="str">
        <f t="shared" si="282"/>
        <v/>
      </c>
      <c r="Q1647" t="str">
        <f>IF(B1647="","", IFERROR(VLOOKUP(B1647, '基準資産配分（設定）'!$A$2:$C$2001, 3, FALSE), ""))</f>
        <v/>
      </c>
      <c r="R1647" t="str">
        <f>IF(B1647="","", IFERROR(VLOOKUP(B1647, '基準資産配分（設定）'!$A$2:$C$2001, 2, FALSE)/100, 0))</f>
        <v/>
      </c>
      <c r="S1647" t="str">
        <f>IF(B1647="","", IFERROR(SUMIFS(ベンチマークリターン!$C$2:$C$2001, ベンチマークリターン!$A$2:$A$2001, A1647, ベンチマークリターン!$B$2:$B$2001, Q1647) / 100, 0))</f>
        <v/>
      </c>
      <c r="T1647" t="str">
        <f>IF(A1647="","", SUMIFS($H$2:$H$2000, $A$2:$A$2000, A1647))</f>
        <v/>
      </c>
      <c r="U1647" t="str">
        <f t="shared" si="283"/>
        <v/>
      </c>
      <c r="V1647" t="str">
        <f t="shared" si="284"/>
        <v/>
      </c>
      <c r="W1647" t="str">
        <f t="shared" si="285"/>
        <v/>
      </c>
    </row>
    <row r="1648" spans="1:23" x14ac:dyDescent="0.2">
      <c r="A1648" s="4" t="str">
        <f>IF(ポートフォリオ実績!A1649="","", ポートフォリオ実績!A1649)</f>
        <v/>
      </c>
      <c r="B1648" t="str">
        <f>IF(ポートフォリオ実績!B1649="","", ポートフォリオ実績!B1649)</f>
        <v/>
      </c>
      <c r="C1648" s="10" t="str">
        <f>IF(ポートフォリオ実績!C1649="","", ポートフォリオ実績!C1649)</f>
        <v/>
      </c>
      <c r="D1648" s="10" t="str">
        <f>IF(ポートフォリオ実績!D1649="","", ポートフォリオ実績!D1649)</f>
        <v/>
      </c>
      <c r="E1648" s="10" t="str">
        <f>IF(ポートフォリオ実績!E1649="","", ポートフォリオ実績!E1649)</f>
        <v/>
      </c>
      <c r="F1648" s="10" t="str">
        <f>IF(ポートフォリオ実績!F1649="","", ポートフォリオ実績!F1649)</f>
        <v/>
      </c>
      <c r="G1648" t="str">
        <f t="shared" si="275"/>
        <v/>
      </c>
      <c r="H1648">
        <f>IF(B1648&lt;&gt;"", SUMIFS(ポートフォリオ実績!$D$2:$D$2001, ポートフォリオ実績!$B$2:$B$2001, B1648, ポートフォリオ実績!$A$2:$A$2001, G1648), 0)</f>
        <v>0</v>
      </c>
      <c r="I1648">
        <f>IF(B1648&lt;&gt;"", SUMIFS(ポートフォリオ実績!$C$2:$C$2001, ポートフォリオ実績!$B$2:$B$2001, B1648, ポートフォリオ実績!$A$2:$A$2001, G1648), 0)</f>
        <v>0</v>
      </c>
      <c r="J1648">
        <f t="shared" si="276"/>
        <v>0</v>
      </c>
      <c r="K1648">
        <f t="shared" si="277"/>
        <v>0</v>
      </c>
      <c r="L1648">
        <f t="shared" si="278"/>
        <v>0</v>
      </c>
      <c r="M1648">
        <f t="shared" si="279"/>
        <v>0</v>
      </c>
      <c r="N1648">
        <f t="shared" si="280"/>
        <v>0</v>
      </c>
      <c r="O1648">
        <f t="shared" si="281"/>
        <v>0</v>
      </c>
      <c r="P1648" t="str">
        <f t="shared" si="282"/>
        <v/>
      </c>
      <c r="Q1648" t="str">
        <f>IF(B1648="","", IFERROR(VLOOKUP(B1648, '基準資産配分（設定）'!$A$2:$C$2001, 3, FALSE), ""))</f>
        <v/>
      </c>
      <c r="R1648" t="str">
        <f>IF(B1648="","", IFERROR(VLOOKUP(B1648, '基準資産配分（設定）'!$A$2:$C$2001, 2, FALSE)/100, 0))</f>
        <v/>
      </c>
      <c r="S1648" t="str">
        <f>IF(B1648="","", IFERROR(SUMIFS(ベンチマークリターン!$C$2:$C$2001, ベンチマークリターン!$A$2:$A$2001, A1648, ベンチマークリターン!$B$2:$B$2001, Q1648) / 100, 0))</f>
        <v/>
      </c>
      <c r="T1648" t="str">
        <f>IF(A1648="","", SUMIFS($H$2:$H$2000, $A$2:$A$2000, A1648))</f>
        <v/>
      </c>
      <c r="U1648" t="str">
        <f t="shared" si="283"/>
        <v/>
      </c>
      <c r="V1648" t="str">
        <f t="shared" si="284"/>
        <v/>
      </c>
      <c r="W1648" t="str">
        <f t="shared" si="285"/>
        <v/>
      </c>
    </row>
    <row r="1649" spans="1:23" x14ac:dyDescent="0.2">
      <c r="A1649" s="4" t="str">
        <f>IF(ポートフォリオ実績!A1650="","", ポートフォリオ実績!A1650)</f>
        <v/>
      </c>
      <c r="B1649" t="str">
        <f>IF(ポートフォリオ実績!B1650="","", ポートフォリオ実績!B1650)</f>
        <v/>
      </c>
      <c r="C1649" s="10" t="str">
        <f>IF(ポートフォリオ実績!C1650="","", ポートフォリオ実績!C1650)</f>
        <v/>
      </c>
      <c r="D1649" s="10" t="str">
        <f>IF(ポートフォリオ実績!D1650="","", ポートフォリオ実績!D1650)</f>
        <v/>
      </c>
      <c r="E1649" s="10" t="str">
        <f>IF(ポートフォリオ実績!E1650="","", ポートフォリオ実績!E1650)</f>
        <v/>
      </c>
      <c r="F1649" s="10" t="str">
        <f>IF(ポートフォリオ実績!F1650="","", ポートフォリオ実績!F1650)</f>
        <v/>
      </c>
      <c r="G1649" t="str">
        <f t="shared" si="275"/>
        <v/>
      </c>
      <c r="H1649">
        <f>IF(B1649&lt;&gt;"", SUMIFS(ポートフォリオ実績!$D$2:$D$2001, ポートフォリオ実績!$B$2:$B$2001, B1649, ポートフォリオ実績!$A$2:$A$2001, G1649), 0)</f>
        <v>0</v>
      </c>
      <c r="I1649">
        <f>IF(B1649&lt;&gt;"", SUMIFS(ポートフォリオ実績!$C$2:$C$2001, ポートフォリオ実績!$B$2:$B$2001, B1649, ポートフォリオ実績!$A$2:$A$2001, G1649), 0)</f>
        <v>0</v>
      </c>
      <c r="J1649">
        <f t="shared" si="276"/>
        <v>0</v>
      </c>
      <c r="K1649">
        <f t="shared" si="277"/>
        <v>0</v>
      </c>
      <c r="L1649">
        <f t="shared" si="278"/>
        <v>0</v>
      </c>
      <c r="M1649">
        <f t="shared" si="279"/>
        <v>0</v>
      </c>
      <c r="N1649">
        <f t="shared" si="280"/>
        <v>0</v>
      </c>
      <c r="O1649">
        <f t="shared" si="281"/>
        <v>0</v>
      </c>
      <c r="P1649" t="str">
        <f t="shared" si="282"/>
        <v/>
      </c>
      <c r="Q1649" t="str">
        <f>IF(B1649="","", IFERROR(VLOOKUP(B1649, '基準資産配分（設定）'!$A$2:$C$2001, 3, FALSE), ""))</f>
        <v/>
      </c>
      <c r="R1649" t="str">
        <f>IF(B1649="","", IFERROR(VLOOKUP(B1649, '基準資産配分（設定）'!$A$2:$C$2001, 2, FALSE)/100, 0))</f>
        <v/>
      </c>
      <c r="S1649" t="str">
        <f>IF(B1649="","", IFERROR(SUMIFS(ベンチマークリターン!$C$2:$C$2001, ベンチマークリターン!$A$2:$A$2001, A1649, ベンチマークリターン!$B$2:$B$2001, Q1649) / 100, 0))</f>
        <v/>
      </c>
      <c r="T1649" t="str">
        <f>IF(A1649="","", SUMIFS($H$2:$H$2000, $A$2:$A$2000, A1649))</f>
        <v/>
      </c>
      <c r="U1649" t="str">
        <f t="shared" si="283"/>
        <v/>
      </c>
      <c r="V1649" t="str">
        <f t="shared" si="284"/>
        <v/>
      </c>
      <c r="W1649" t="str">
        <f t="shared" si="285"/>
        <v/>
      </c>
    </row>
    <row r="1650" spans="1:23" x14ac:dyDescent="0.2">
      <c r="A1650" s="4" t="str">
        <f>IF(ポートフォリオ実績!A1651="","", ポートフォリオ実績!A1651)</f>
        <v/>
      </c>
      <c r="B1650" t="str">
        <f>IF(ポートフォリオ実績!B1651="","", ポートフォリオ実績!B1651)</f>
        <v/>
      </c>
      <c r="C1650" s="10" t="str">
        <f>IF(ポートフォリオ実績!C1651="","", ポートフォリオ実績!C1651)</f>
        <v/>
      </c>
      <c r="D1650" s="10" t="str">
        <f>IF(ポートフォリオ実績!D1651="","", ポートフォリオ実績!D1651)</f>
        <v/>
      </c>
      <c r="E1650" s="10" t="str">
        <f>IF(ポートフォリオ実績!E1651="","", ポートフォリオ実績!E1651)</f>
        <v/>
      </c>
      <c r="F1650" s="10" t="str">
        <f>IF(ポートフォリオ実績!F1651="","", ポートフォリオ実績!F1651)</f>
        <v/>
      </c>
      <c r="G1650" t="str">
        <f t="shared" si="275"/>
        <v/>
      </c>
      <c r="H1650">
        <f>IF(B1650&lt;&gt;"", SUMIFS(ポートフォリオ実績!$D$2:$D$2001, ポートフォリオ実績!$B$2:$B$2001, B1650, ポートフォリオ実績!$A$2:$A$2001, G1650), 0)</f>
        <v>0</v>
      </c>
      <c r="I1650">
        <f>IF(B1650&lt;&gt;"", SUMIFS(ポートフォリオ実績!$C$2:$C$2001, ポートフォリオ実績!$B$2:$B$2001, B1650, ポートフォリオ実績!$A$2:$A$2001, G1650), 0)</f>
        <v>0</v>
      </c>
      <c r="J1650">
        <f t="shared" si="276"/>
        <v>0</v>
      </c>
      <c r="K1650">
        <f t="shared" si="277"/>
        <v>0</v>
      </c>
      <c r="L1650">
        <f t="shared" si="278"/>
        <v>0</v>
      </c>
      <c r="M1650">
        <f t="shared" si="279"/>
        <v>0</v>
      </c>
      <c r="N1650">
        <f t="shared" si="280"/>
        <v>0</v>
      </c>
      <c r="O1650">
        <f t="shared" si="281"/>
        <v>0</v>
      </c>
      <c r="P1650" t="str">
        <f t="shared" si="282"/>
        <v/>
      </c>
      <c r="Q1650" t="str">
        <f>IF(B1650="","", IFERROR(VLOOKUP(B1650, '基準資産配分（設定）'!$A$2:$C$2001, 3, FALSE), ""))</f>
        <v/>
      </c>
      <c r="R1650" t="str">
        <f>IF(B1650="","", IFERROR(VLOOKUP(B1650, '基準資産配分（設定）'!$A$2:$C$2001, 2, FALSE)/100, 0))</f>
        <v/>
      </c>
      <c r="S1650" t="str">
        <f>IF(B1650="","", IFERROR(SUMIFS(ベンチマークリターン!$C$2:$C$2001, ベンチマークリターン!$A$2:$A$2001, A1650, ベンチマークリターン!$B$2:$B$2001, Q1650) / 100, 0))</f>
        <v/>
      </c>
      <c r="T1650" t="str">
        <f>IF(A1650="","", SUMIFS($H$2:$H$2000, $A$2:$A$2000, A1650))</f>
        <v/>
      </c>
      <c r="U1650" t="str">
        <f t="shared" si="283"/>
        <v/>
      </c>
      <c r="V1650" t="str">
        <f t="shared" si="284"/>
        <v/>
      </c>
      <c r="W1650" t="str">
        <f t="shared" si="285"/>
        <v/>
      </c>
    </row>
    <row r="1651" spans="1:23" x14ac:dyDescent="0.2">
      <c r="A1651" s="4" t="str">
        <f>IF(ポートフォリオ実績!A1652="","", ポートフォリオ実績!A1652)</f>
        <v/>
      </c>
      <c r="B1651" t="str">
        <f>IF(ポートフォリオ実績!B1652="","", ポートフォリオ実績!B1652)</f>
        <v/>
      </c>
      <c r="C1651" s="10" t="str">
        <f>IF(ポートフォリオ実績!C1652="","", ポートフォリオ実績!C1652)</f>
        <v/>
      </c>
      <c r="D1651" s="10" t="str">
        <f>IF(ポートフォリオ実績!D1652="","", ポートフォリオ実績!D1652)</f>
        <v/>
      </c>
      <c r="E1651" s="10" t="str">
        <f>IF(ポートフォリオ実績!E1652="","", ポートフォリオ実績!E1652)</f>
        <v/>
      </c>
      <c r="F1651" s="10" t="str">
        <f>IF(ポートフォリオ実績!F1652="","", ポートフォリオ実績!F1652)</f>
        <v/>
      </c>
      <c r="G1651" t="str">
        <f t="shared" si="275"/>
        <v/>
      </c>
      <c r="H1651">
        <f>IF(B1651&lt;&gt;"", SUMIFS(ポートフォリオ実績!$D$2:$D$2001, ポートフォリオ実績!$B$2:$B$2001, B1651, ポートフォリオ実績!$A$2:$A$2001, G1651), 0)</f>
        <v>0</v>
      </c>
      <c r="I1651">
        <f>IF(B1651&lt;&gt;"", SUMIFS(ポートフォリオ実績!$C$2:$C$2001, ポートフォリオ実績!$B$2:$B$2001, B1651, ポートフォリオ実績!$A$2:$A$2001, G1651), 0)</f>
        <v>0</v>
      </c>
      <c r="J1651">
        <f t="shared" si="276"/>
        <v>0</v>
      </c>
      <c r="K1651">
        <f t="shared" si="277"/>
        <v>0</v>
      </c>
      <c r="L1651">
        <f t="shared" si="278"/>
        <v>0</v>
      </c>
      <c r="M1651">
        <f t="shared" si="279"/>
        <v>0</v>
      </c>
      <c r="N1651">
        <f t="shared" si="280"/>
        <v>0</v>
      </c>
      <c r="O1651">
        <f t="shared" si="281"/>
        <v>0</v>
      </c>
      <c r="P1651" t="str">
        <f t="shared" si="282"/>
        <v/>
      </c>
      <c r="Q1651" t="str">
        <f>IF(B1651="","", IFERROR(VLOOKUP(B1651, '基準資産配分（設定）'!$A$2:$C$2001, 3, FALSE), ""))</f>
        <v/>
      </c>
      <c r="R1651" t="str">
        <f>IF(B1651="","", IFERROR(VLOOKUP(B1651, '基準資産配分（設定）'!$A$2:$C$2001, 2, FALSE)/100, 0))</f>
        <v/>
      </c>
      <c r="S1651" t="str">
        <f>IF(B1651="","", IFERROR(SUMIFS(ベンチマークリターン!$C$2:$C$2001, ベンチマークリターン!$A$2:$A$2001, A1651, ベンチマークリターン!$B$2:$B$2001, Q1651) / 100, 0))</f>
        <v/>
      </c>
      <c r="T1651" t="str">
        <f>IF(A1651="","", SUMIFS($H$2:$H$2000, $A$2:$A$2000, A1651))</f>
        <v/>
      </c>
      <c r="U1651" t="str">
        <f t="shared" si="283"/>
        <v/>
      </c>
      <c r="V1651" t="str">
        <f t="shared" si="284"/>
        <v/>
      </c>
      <c r="W1651" t="str">
        <f t="shared" si="285"/>
        <v/>
      </c>
    </row>
    <row r="1652" spans="1:23" x14ac:dyDescent="0.2">
      <c r="A1652" s="4" t="str">
        <f>IF(ポートフォリオ実績!A1653="","", ポートフォリオ実績!A1653)</f>
        <v/>
      </c>
      <c r="B1652" t="str">
        <f>IF(ポートフォリオ実績!B1653="","", ポートフォリオ実績!B1653)</f>
        <v/>
      </c>
      <c r="C1652" s="10" t="str">
        <f>IF(ポートフォリオ実績!C1653="","", ポートフォリオ実績!C1653)</f>
        <v/>
      </c>
      <c r="D1652" s="10" t="str">
        <f>IF(ポートフォリオ実績!D1653="","", ポートフォリオ実績!D1653)</f>
        <v/>
      </c>
      <c r="E1652" s="10" t="str">
        <f>IF(ポートフォリオ実績!E1653="","", ポートフォリオ実績!E1653)</f>
        <v/>
      </c>
      <c r="F1652" s="10" t="str">
        <f>IF(ポートフォリオ実績!F1653="","", ポートフォリオ実績!F1653)</f>
        <v/>
      </c>
      <c r="G1652" t="str">
        <f t="shared" si="275"/>
        <v/>
      </c>
      <c r="H1652">
        <f>IF(B1652&lt;&gt;"", SUMIFS(ポートフォリオ実績!$D$2:$D$2001, ポートフォリオ実績!$B$2:$B$2001, B1652, ポートフォリオ実績!$A$2:$A$2001, G1652), 0)</f>
        <v>0</v>
      </c>
      <c r="I1652">
        <f>IF(B1652&lt;&gt;"", SUMIFS(ポートフォリオ実績!$C$2:$C$2001, ポートフォリオ実績!$B$2:$B$2001, B1652, ポートフォリオ実績!$A$2:$A$2001, G1652), 0)</f>
        <v>0</v>
      </c>
      <c r="J1652">
        <f t="shared" si="276"/>
        <v>0</v>
      </c>
      <c r="K1652">
        <f t="shared" si="277"/>
        <v>0</v>
      </c>
      <c r="L1652">
        <f t="shared" si="278"/>
        <v>0</v>
      </c>
      <c r="M1652">
        <f t="shared" si="279"/>
        <v>0</v>
      </c>
      <c r="N1652">
        <f t="shared" si="280"/>
        <v>0</v>
      </c>
      <c r="O1652">
        <f t="shared" si="281"/>
        <v>0</v>
      </c>
      <c r="P1652" t="str">
        <f t="shared" si="282"/>
        <v/>
      </c>
      <c r="Q1652" t="str">
        <f>IF(B1652="","", IFERROR(VLOOKUP(B1652, '基準資産配分（設定）'!$A$2:$C$2001, 3, FALSE), ""))</f>
        <v/>
      </c>
      <c r="R1652" t="str">
        <f>IF(B1652="","", IFERROR(VLOOKUP(B1652, '基準資産配分（設定）'!$A$2:$C$2001, 2, FALSE)/100, 0))</f>
        <v/>
      </c>
      <c r="S1652" t="str">
        <f>IF(B1652="","", IFERROR(SUMIFS(ベンチマークリターン!$C$2:$C$2001, ベンチマークリターン!$A$2:$A$2001, A1652, ベンチマークリターン!$B$2:$B$2001, Q1652) / 100, 0))</f>
        <v/>
      </c>
      <c r="T1652" t="str">
        <f>IF(A1652="","", SUMIFS($H$2:$H$2000, $A$2:$A$2000, A1652))</f>
        <v/>
      </c>
      <c r="U1652" t="str">
        <f t="shared" si="283"/>
        <v/>
      </c>
      <c r="V1652" t="str">
        <f t="shared" si="284"/>
        <v/>
      </c>
      <c r="W1652" t="str">
        <f t="shared" si="285"/>
        <v/>
      </c>
    </row>
    <row r="1653" spans="1:23" x14ac:dyDescent="0.2">
      <c r="A1653" s="4" t="str">
        <f>IF(ポートフォリオ実績!A1654="","", ポートフォリオ実績!A1654)</f>
        <v/>
      </c>
      <c r="B1653" t="str">
        <f>IF(ポートフォリオ実績!B1654="","", ポートフォリオ実績!B1654)</f>
        <v/>
      </c>
      <c r="C1653" s="10" t="str">
        <f>IF(ポートフォリオ実績!C1654="","", ポートフォリオ実績!C1654)</f>
        <v/>
      </c>
      <c r="D1653" s="10" t="str">
        <f>IF(ポートフォリオ実績!D1654="","", ポートフォリオ実績!D1654)</f>
        <v/>
      </c>
      <c r="E1653" s="10" t="str">
        <f>IF(ポートフォリオ実績!E1654="","", ポートフォリオ実績!E1654)</f>
        <v/>
      </c>
      <c r="F1653" s="10" t="str">
        <f>IF(ポートフォリオ実績!F1654="","", ポートフォリオ実績!F1654)</f>
        <v/>
      </c>
      <c r="G1653" t="str">
        <f t="shared" si="275"/>
        <v/>
      </c>
      <c r="H1653">
        <f>IF(B1653&lt;&gt;"", SUMIFS(ポートフォリオ実績!$D$2:$D$2001, ポートフォリオ実績!$B$2:$B$2001, B1653, ポートフォリオ実績!$A$2:$A$2001, G1653), 0)</f>
        <v>0</v>
      </c>
      <c r="I1653">
        <f>IF(B1653&lt;&gt;"", SUMIFS(ポートフォリオ実績!$C$2:$C$2001, ポートフォリオ実績!$B$2:$B$2001, B1653, ポートフォリオ実績!$A$2:$A$2001, G1653), 0)</f>
        <v>0</v>
      </c>
      <c r="J1653">
        <f t="shared" si="276"/>
        <v>0</v>
      </c>
      <c r="K1653">
        <f t="shared" si="277"/>
        <v>0</v>
      </c>
      <c r="L1653">
        <f t="shared" si="278"/>
        <v>0</v>
      </c>
      <c r="M1653">
        <f t="shared" si="279"/>
        <v>0</v>
      </c>
      <c r="N1653">
        <f t="shared" si="280"/>
        <v>0</v>
      </c>
      <c r="O1653">
        <f t="shared" si="281"/>
        <v>0</v>
      </c>
      <c r="P1653" t="str">
        <f t="shared" si="282"/>
        <v/>
      </c>
      <c r="Q1653" t="str">
        <f>IF(B1653="","", IFERROR(VLOOKUP(B1653, '基準資産配分（設定）'!$A$2:$C$2001, 3, FALSE), ""))</f>
        <v/>
      </c>
      <c r="R1653" t="str">
        <f>IF(B1653="","", IFERROR(VLOOKUP(B1653, '基準資産配分（設定）'!$A$2:$C$2001, 2, FALSE)/100, 0))</f>
        <v/>
      </c>
      <c r="S1653" t="str">
        <f>IF(B1653="","", IFERROR(SUMIFS(ベンチマークリターン!$C$2:$C$2001, ベンチマークリターン!$A$2:$A$2001, A1653, ベンチマークリターン!$B$2:$B$2001, Q1653) / 100, 0))</f>
        <v/>
      </c>
      <c r="T1653" t="str">
        <f>IF(A1653="","", SUMIFS($H$2:$H$2000, $A$2:$A$2000, A1653))</f>
        <v/>
      </c>
      <c r="U1653" t="str">
        <f t="shared" si="283"/>
        <v/>
      </c>
      <c r="V1653" t="str">
        <f t="shared" si="284"/>
        <v/>
      </c>
      <c r="W1653" t="str">
        <f t="shared" si="285"/>
        <v/>
      </c>
    </row>
    <row r="1654" spans="1:23" x14ac:dyDescent="0.2">
      <c r="A1654" s="4" t="str">
        <f>IF(ポートフォリオ実績!A1655="","", ポートフォリオ実績!A1655)</f>
        <v/>
      </c>
      <c r="B1654" t="str">
        <f>IF(ポートフォリオ実績!B1655="","", ポートフォリオ実績!B1655)</f>
        <v/>
      </c>
      <c r="C1654" s="10" t="str">
        <f>IF(ポートフォリオ実績!C1655="","", ポートフォリオ実績!C1655)</f>
        <v/>
      </c>
      <c r="D1654" s="10" t="str">
        <f>IF(ポートフォリオ実績!D1655="","", ポートフォリオ実績!D1655)</f>
        <v/>
      </c>
      <c r="E1654" s="10" t="str">
        <f>IF(ポートフォリオ実績!E1655="","", ポートフォリオ実績!E1655)</f>
        <v/>
      </c>
      <c r="F1654" s="10" t="str">
        <f>IF(ポートフォリオ実績!F1655="","", ポートフォリオ実績!F1655)</f>
        <v/>
      </c>
      <c r="G1654" t="str">
        <f t="shared" si="275"/>
        <v/>
      </c>
      <c r="H1654">
        <f>IF(B1654&lt;&gt;"", SUMIFS(ポートフォリオ実績!$D$2:$D$2001, ポートフォリオ実績!$B$2:$B$2001, B1654, ポートフォリオ実績!$A$2:$A$2001, G1654), 0)</f>
        <v>0</v>
      </c>
      <c r="I1654">
        <f>IF(B1654&lt;&gt;"", SUMIFS(ポートフォリオ実績!$C$2:$C$2001, ポートフォリオ実績!$B$2:$B$2001, B1654, ポートフォリオ実績!$A$2:$A$2001, G1654), 0)</f>
        <v>0</v>
      </c>
      <c r="J1654">
        <f t="shared" si="276"/>
        <v>0</v>
      </c>
      <c r="K1654">
        <f t="shared" si="277"/>
        <v>0</v>
      </c>
      <c r="L1654">
        <f t="shared" si="278"/>
        <v>0</v>
      </c>
      <c r="M1654">
        <f t="shared" si="279"/>
        <v>0</v>
      </c>
      <c r="N1654">
        <f t="shared" si="280"/>
        <v>0</v>
      </c>
      <c r="O1654">
        <f t="shared" si="281"/>
        <v>0</v>
      </c>
      <c r="P1654" t="str">
        <f t="shared" si="282"/>
        <v/>
      </c>
      <c r="Q1654" t="str">
        <f>IF(B1654="","", IFERROR(VLOOKUP(B1654, '基準資産配分（設定）'!$A$2:$C$2001, 3, FALSE), ""))</f>
        <v/>
      </c>
      <c r="R1654" t="str">
        <f>IF(B1654="","", IFERROR(VLOOKUP(B1654, '基準資産配分（設定）'!$A$2:$C$2001, 2, FALSE)/100, 0))</f>
        <v/>
      </c>
      <c r="S1654" t="str">
        <f>IF(B1654="","", IFERROR(SUMIFS(ベンチマークリターン!$C$2:$C$2001, ベンチマークリターン!$A$2:$A$2001, A1654, ベンチマークリターン!$B$2:$B$2001, Q1654) / 100, 0))</f>
        <v/>
      </c>
      <c r="T1654" t="str">
        <f>IF(A1654="","", SUMIFS($H$2:$H$2000, $A$2:$A$2000, A1654))</f>
        <v/>
      </c>
      <c r="U1654" t="str">
        <f t="shared" si="283"/>
        <v/>
      </c>
      <c r="V1654" t="str">
        <f t="shared" si="284"/>
        <v/>
      </c>
      <c r="W1654" t="str">
        <f t="shared" si="285"/>
        <v/>
      </c>
    </row>
    <row r="1655" spans="1:23" x14ac:dyDescent="0.2">
      <c r="A1655" s="4" t="str">
        <f>IF(ポートフォリオ実績!A1656="","", ポートフォリオ実績!A1656)</f>
        <v/>
      </c>
      <c r="B1655" t="str">
        <f>IF(ポートフォリオ実績!B1656="","", ポートフォリオ実績!B1656)</f>
        <v/>
      </c>
      <c r="C1655" s="10" t="str">
        <f>IF(ポートフォリオ実績!C1656="","", ポートフォリオ実績!C1656)</f>
        <v/>
      </c>
      <c r="D1655" s="10" t="str">
        <f>IF(ポートフォリオ実績!D1656="","", ポートフォリオ実績!D1656)</f>
        <v/>
      </c>
      <c r="E1655" s="10" t="str">
        <f>IF(ポートフォリオ実績!E1656="","", ポートフォリオ実績!E1656)</f>
        <v/>
      </c>
      <c r="F1655" s="10" t="str">
        <f>IF(ポートフォリオ実績!F1656="","", ポートフォリオ実績!F1656)</f>
        <v/>
      </c>
      <c r="G1655" t="str">
        <f t="shared" si="275"/>
        <v/>
      </c>
      <c r="H1655">
        <f>IF(B1655&lt;&gt;"", SUMIFS(ポートフォリオ実績!$D$2:$D$2001, ポートフォリオ実績!$B$2:$B$2001, B1655, ポートフォリオ実績!$A$2:$A$2001, G1655), 0)</f>
        <v>0</v>
      </c>
      <c r="I1655">
        <f>IF(B1655&lt;&gt;"", SUMIFS(ポートフォリオ実績!$C$2:$C$2001, ポートフォリオ実績!$B$2:$B$2001, B1655, ポートフォリオ実績!$A$2:$A$2001, G1655), 0)</f>
        <v>0</v>
      </c>
      <c r="J1655">
        <f t="shared" si="276"/>
        <v>0</v>
      </c>
      <c r="K1655">
        <f t="shared" si="277"/>
        <v>0</v>
      </c>
      <c r="L1655">
        <f t="shared" si="278"/>
        <v>0</v>
      </c>
      <c r="M1655">
        <f t="shared" si="279"/>
        <v>0</v>
      </c>
      <c r="N1655">
        <f t="shared" si="280"/>
        <v>0</v>
      </c>
      <c r="O1655">
        <f t="shared" si="281"/>
        <v>0</v>
      </c>
      <c r="P1655" t="str">
        <f t="shared" si="282"/>
        <v/>
      </c>
      <c r="Q1655" t="str">
        <f>IF(B1655="","", IFERROR(VLOOKUP(B1655, '基準資産配分（設定）'!$A$2:$C$2001, 3, FALSE), ""))</f>
        <v/>
      </c>
      <c r="R1655" t="str">
        <f>IF(B1655="","", IFERROR(VLOOKUP(B1655, '基準資産配分（設定）'!$A$2:$C$2001, 2, FALSE)/100, 0))</f>
        <v/>
      </c>
      <c r="S1655" t="str">
        <f>IF(B1655="","", IFERROR(SUMIFS(ベンチマークリターン!$C$2:$C$2001, ベンチマークリターン!$A$2:$A$2001, A1655, ベンチマークリターン!$B$2:$B$2001, Q1655) / 100, 0))</f>
        <v/>
      </c>
      <c r="T1655" t="str">
        <f>IF(A1655="","", SUMIFS($H$2:$H$2000, $A$2:$A$2000, A1655))</f>
        <v/>
      </c>
      <c r="U1655" t="str">
        <f t="shared" si="283"/>
        <v/>
      </c>
      <c r="V1655" t="str">
        <f t="shared" si="284"/>
        <v/>
      </c>
      <c r="W1655" t="str">
        <f t="shared" si="285"/>
        <v/>
      </c>
    </row>
    <row r="1656" spans="1:23" x14ac:dyDescent="0.2">
      <c r="A1656" s="4" t="str">
        <f>IF(ポートフォリオ実績!A1657="","", ポートフォリオ実績!A1657)</f>
        <v/>
      </c>
      <c r="B1656" t="str">
        <f>IF(ポートフォリオ実績!B1657="","", ポートフォリオ実績!B1657)</f>
        <v/>
      </c>
      <c r="C1656" s="10" t="str">
        <f>IF(ポートフォリオ実績!C1657="","", ポートフォリオ実績!C1657)</f>
        <v/>
      </c>
      <c r="D1656" s="10" t="str">
        <f>IF(ポートフォリオ実績!D1657="","", ポートフォリオ実績!D1657)</f>
        <v/>
      </c>
      <c r="E1656" s="10" t="str">
        <f>IF(ポートフォリオ実績!E1657="","", ポートフォリオ実績!E1657)</f>
        <v/>
      </c>
      <c r="F1656" s="10" t="str">
        <f>IF(ポートフォリオ実績!F1657="","", ポートフォリオ実績!F1657)</f>
        <v/>
      </c>
      <c r="G1656" t="str">
        <f t="shared" si="275"/>
        <v/>
      </c>
      <c r="H1656">
        <f>IF(B1656&lt;&gt;"", SUMIFS(ポートフォリオ実績!$D$2:$D$2001, ポートフォリオ実績!$B$2:$B$2001, B1656, ポートフォリオ実績!$A$2:$A$2001, G1656), 0)</f>
        <v>0</v>
      </c>
      <c r="I1656">
        <f>IF(B1656&lt;&gt;"", SUMIFS(ポートフォリオ実績!$C$2:$C$2001, ポートフォリオ実績!$B$2:$B$2001, B1656, ポートフォリオ実績!$A$2:$A$2001, G1656), 0)</f>
        <v>0</v>
      </c>
      <c r="J1656">
        <f t="shared" si="276"/>
        <v>0</v>
      </c>
      <c r="K1656">
        <f t="shared" si="277"/>
        <v>0</v>
      </c>
      <c r="L1656">
        <f t="shared" si="278"/>
        <v>0</v>
      </c>
      <c r="M1656">
        <f t="shared" si="279"/>
        <v>0</v>
      </c>
      <c r="N1656">
        <f t="shared" si="280"/>
        <v>0</v>
      </c>
      <c r="O1656">
        <f t="shared" si="281"/>
        <v>0</v>
      </c>
      <c r="P1656" t="str">
        <f t="shared" si="282"/>
        <v/>
      </c>
      <c r="Q1656" t="str">
        <f>IF(B1656="","", IFERROR(VLOOKUP(B1656, '基準資産配分（設定）'!$A$2:$C$2001, 3, FALSE), ""))</f>
        <v/>
      </c>
      <c r="R1656" t="str">
        <f>IF(B1656="","", IFERROR(VLOOKUP(B1656, '基準資産配分（設定）'!$A$2:$C$2001, 2, FALSE)/100, 0))</f>
        <v/>
      </c>
      <c r="S1656" t="str">
        <f>IF(B1656="","", IFERROR(SUMIFS(ベンチマークリターン!$C$2:$C$2001, ベンチマークリターン!$A$2:$A$2001, A1656, ベンチマークリターン!$B$2:$B$2001, Q1656) / 100, 0))</f>
        <v/>
      </c>
      <c r="T1656" t="str">
        <f>IF(A1656="","", SUMIFS($H$2:$H$2000, $A$2:$A$2000, A1656))</f>
        <v/>
      </c>
      <c r="U1656" t="str">
        <f t="shared" si="283"/>
        <v/>
      </c>
      <c r="V1656" t="str">
        <f t="shared" si="284"/>
        <v/>
      </c>
      <c r="W1656" t="str">
        <f t="shared" si="285"/>
        <v/>
      </c>
    </row>
    <row r="1657" spans="1:23" x14ac:dyDescent="0.2">
      <c r="A1657" s="4" t="str">
        <f>IF(ポートフォリオ実績!A1658="","", ポートフォリオ実績!A1658)</f>
        <v/>
      </c>
      <c r="B1657" t="str">
        <f>IF(ポートフォリオ実績!B1658="","", ポートフォリオ実績!B1658)</f>
        <v/>
      </c>
      <c r="C1657" s="10" t="str">
        <f>IF(ポートフォリオ実績!C1658="","", ポートフォリオ実績!C1658)</f>
        <v/>
      </c>
      <c r="D1657" s="10" t="str">
        <f>IF(ポートフォリオ実績!D1658="","", ポートフォリオ実績!D1658)</f>
        <v/>
      </c>
      <c r="E1657" s="10" t="str">
        <f>IF(ポートフォリオ実績!E1658="","", ポートフォリオ実績!E1658)</f>
        <v/>
      </c>
      <c r="F1657" s="10" t="str">
        <f>IF(ポートフォリオ実績!F1658="","", ポートフォリオ実績!F1658)</f>
        <v/>
      </c>
      <c r="G1657" t="str">
        <f t="shared" si="275"/>
        <v/>
      </c>
      <c r="H1657">
        <f>IF(B1657&lt;&gt;"", SUMIFS(ポートフォリオ実績!$D$2:$D$2001, ポートフォリオ実績!$B$2:$B$2001, B1657, ポートフォリオ実績!$A$2:$A$2001, G1657), 0)</f>
        <v>0</v>
      </c>
      <c r="I1657">
        <f>IF(B1657&lt;&gt;"", SUMIFS(ポートフォリオ実績!$C$2:$C$2001, ポートフォリオ実績!$B$2:$B$2001, B1657, ポートフォリオ実績!$A$2:$A$2001, G1657), 0)</f>
        <v>0</v>
      </c>
      <c r="J1657">
        <f t="shared" si="276"/>
        <v>0</v>
      </c>
      <c r="K1657">
        <f t="shared" si="277"/>
        <v>0</v>
      </c>
      <c r="L1657">
        <f t="shared" si="278"/>
        <v>0</v>
      </c>
      <c r="M1657">
        <f t="shared" si="279"/>
        <v>0</v>
      </c>
      <c r="N1657">
        <f t="shared" si="280"/>
        <v>0</v>
      </c>
      <c r="O1657">
        <f t="shared" si="281"/>
        <v>0</v>
      </c>
      <c r="P1657" t="str">
        <f t="shared" si="282"/>
        <v/>
      </c>
      <c r="Q1657" t="str">
        <f>IF(B1657="","", IFERROR(VLOOKUP(B1657, '基準資産配分（設定）'!$A$2:$C$2001, 3, FALSE), ""))</f>
        <v/>
      </c>
      <c r="R1657" t="str">
        <f>IF(B1657="","", IFERROR(VLOOKUP(B1657, '基準資産配分（設定）'!$A$2:$C$2001, 2, FALSE)/100, 0))</f>
        <v/>
      </c>
      <c r="S1657" t="str">
        <f>IF(B1657="","", IFERROR(SUMIFS(ベンチマークリターン!$C$2:$C$2001, ベンチマークリターン!$A$2:$A$2001, A1657, ベンチマークリターン!$B$2:$B$2001, Q1657) / 100, 0))</f>
        <v/>
      </c>
      <c r="T1657" t="str">
        <f>IF(A1657="","", SUMIFS($H$2:$H$2000, $A$2:$A$2000, A1657))</f>
        <v/>
      </c>
      <c r="U1657" t="str">
        <f t="shared" si="283"/>
        <v/>
      </c>
      <c r="V1657" t="str">
        <f t="shared" si="284"/>
        <v/>
      </c>
      <c r="W1657" t="str">
        <f t="shared" si="285"/>
        <v/>
      </c>
    </row>
    <row r="1658" spans="1:23" x14ac:dyDescent="0.2">
      <c r="A1658" s="4" t="str">
        <f>IF(ポートフォリオ実績!A1659="","", ポートフォリオ実績!A1659)</f>
        <v/>
      </c>
      <c r="B1658" t="str">
        <f>IF(ポートフォリオ実績!B1659="","", ポートフォリオ実績!B1659)</f>
        <v/>
      </c>
      <c r="C1658" s="10" t="str">
        <f>IF(ポートフォリオ実績!C1659="","", ポートフォリオ実績!C1659)</f>
        <v/>
      </c>
      <c r="D1658" s="10" t="str">
        <f>IF(ポートフォリオ実績!D1659="","", ポートフォリオ実績!D1659)</f>
        <v/>
      </c>
      <c r="E1658" s="10" t="str">
        <f>IF(ポートフォリオ実績!E1659="","", ポートフォリオ実績!E1659)</f>
        <v/>
      </c>
      <c r="F1658" s="10" t="str">
        <f>IF(ポートフォリオ実績!F1659="","", ポートフォリオ実績!F1659)</f>
        <v/>
      </c>
      <c r="G1658" t="str">
        <f t="shared" si="275"/>
        <v/>
      </c>
      <c r="H1658">
        <f>IF(B1658&lt;&gt;"", SUMIFS(ポートフォリオ実績!$D$2:$D$2001, ポートフォリオ実績!$B$2:$B$2001, B1658, ポートフォリオ実績!$A$2:$A$2001, G1658), 0)</f>
        <v>0</v>
      </c>
      <c r="I1658">
        <f>IF(B1658&lt;&gt;"", SUMIFS(ポートフォリオ実績!$C$2:$C$2001, ポートフォリオ実績!$B$2:$B$2001, B1658, ポートフォリオ実績!$A$2:$A$2001, G1658), 0)</f>
        <v>0</v>
      </c>
      <c r="J1658">
        <f t="shared" si="276"/>
        <v>0</v>
      </c>
      <c r="K1658">
        <f t="shared" si="277"/>
        <v>0</v>
      </c>
      <c r="L1658">
        <f t="shared" si="278"/>
        <v>0</v>
      </c>
      <c r="M1658">
        <f t="shared" si="279"/>
        <v>0</v>
      </c>
      <c r="N1658">
        <f t="shared" si="280"/>
        <v>0</v>
      </c>
      <c r="O1658">
        <f t="shared" si="281"/>
        <v>0</v>
      </c>
      <c r="P1658" t="str">
        <f t="shared" si="282"/>
        <v/>
      </c>
      <c r="Q1658" t="str">
        <f>IF(B1658="","", IFERROR(VLOOKUP(B1658, '基準資産配分（設定）'!$A$2:$C$2001, 3, FALSE), ""))</f>
        <v/>
      </c>
      <c r="R1658" t="str">
        <f>IF(B1658="","", IFERROR(VLOOKUP(B1658, '基準資産配分（設定）'!$A$2:$C$2001, 2, FALSE)/100, 0))</f>
        <v/>
      </c>
      <c r="S1658" t="str">
        <f>IF(B1658="","", IFERROR(SUMIFS(ベンチマークリターン!$C$2:$C$2001, ベンチマークリターン!$A$2:$A$2001, A1658, ベンチマークリターン!$B$2:$B$2001, Q1658) / 100, 0))</f>
        <v/>
      </c>
      <c r="T1658" t="str">
        <f>IF(A1658="","", SUMIFS($H$2:$H$2000, $A$2:$A$2000, A1658))</f>
        <v/>
      </c>
      <c r="U1658" t="str">
        <f t="shared" si="283"/>
        <v/>
      </c>
      <c r="V1658" t="str">
        <f t="shared" si="284"/>
        <v/>
      </c>
      <c r="W1658" t="str">
        <f t="shared" si="285"/>
        <v/>
      </c>
    </row>
    <row r="1659" spans="1:23" x14ac:dyDescent="0.2">
      <c r="A1659" s="4" t="str">
        <f>IF(ポートフォリオ実績!A1660="","", ポートフォリオ実績!A1660)</f>
        <v/>
      </c>
      <c r="B1659" t="str">
        <f>IF(ポートフォリオ実績!B1660="","", ポートフォリオ実績!B1660)</f>
        <v/>
      </c>
      <c r="C1659" s="10" t="str">
        <f>IF(ポートフォリオ実績!C1660="","", ポートフォリオ実績!C1660)</f>
        <v/>
      </c>
      <c r="D1659" s="10" t="str">
        <f>IF(ポートフォリオ実績!D1660="","", ポートフォリオ実績!D1660)</f>
        <v/>
      </c>
      <c r="E1659" s="10" t="str">
        <f>IF(ポートフォリオ実績!E1660="","", ポートフォリオ実績!E1660)</f>
        <v/>
      </c>
      <c r="F1659" s="10" t="str">
        <f>IF(ポートフォリオ実績!F1660="","", ポートフォリオ実績!F1660)</f>
        <v/>
      </c>
      <c r="G1659" t="str">
        <f t="shared" si="275"/>
        <v/>
      </c>
      <c r="H1659">
        <f>IF(B1659&lt;&gt;"", SUMIFS(ポートフォリオ実績!$D$2:$D$2001, ポートフォリオ実績!$B$2:$B$2001, B1659, ポートフォリオ実績!$A$2:$A$2001, G1659), 0)</f>
        <v>0</v>
      </c>
      <c r="I1659">
        <f>IF(B1659&lt;&gt;"", SUMIFS(ポートフォリオ実績!$C$2:$C$2001, ポートフォリオ実績!$B$2:$B$2001, B1659, ポートフォリオ実績!$A$2:$A$2001, G1659), 0)</f>
        <v>0</v>
      </c>
      <c r="J1659">
        <f t="shared" si="276"/>
        <v>0</v>
      </c>
      <c r="K1659">
        <f t="shared" si="277"/>
        <v>0</v>
      </c>
      <c r="L1659">
        <f t="shared" si="278"/>
        <v>0</v>
      </c>
      <c r="M1659">
        <f t="shared" si="279"/>
        <v>0</v>
      </c>
      <c r="N1659">
        <f t="shared" si="280"/>
        <v>0</v>
      </c>
      <c r="O1659">
        <f t="shared" si="281"/>
        <v>0</v>
      </c>
      <c r="P1659" t="str">
        <f t="shared" si="282"/>
        <v/>
      </c>
      <c r="Q1659" t="str">
        <f>IF(B1659="","", IFERROR(VLOOKUP(B1659, '基準資産配分（設定）'!$A$2:$C$2001, 3, FALSE), ""))</f>
        <v/>
      </c>
      <c r="R1659" t="str">
        <f>IF(B1659="","", IFERROR(VLOOKUP(B1659, '基準資産配分（設定）'!$A$2:$C$2001, 2, FALSE)/100, 0))</f>
        <v/>
      </c>
      <c r="S1659" t="str">
        <f>IF(B1659="","", IFERROR(SUMIFS(ベンチマークリターン!$C$2:$C$2001, ベンチマークリターン!$A$2:$A$2001, A1659, ベンチマークリターン!$B$2:$B$2001, Q1659) / 100, 0))</f>
        <v/>
      </c>
      <c r="T1659" t="str">
        <f>IF(A1659="","", SUMIFS($H$2:$H$2000, $A$2:$A$2000, A1659))</f>
        <v/>
      </c>
      <c r="U1659" t="str">
        <f t="shared" si="283"/>
        <v/>
      </c>
      <c r="V1659" t="str">
        <f t="shared" si="284"/>
        <v/>
      </c>
      <c r="W1659" t="str">
        <f t="shared" si="285"/>
        <v/>
      </c>
    </row>
    <row r="1660" spans="1:23" x14ac:dyDescent="0.2">
      <c r="A1660" s="4" t="str">
        <f>IF(ポートフォリオ実績!A1661="","", ポートフォリオ実績!A1661)</f>
        <v/>
      </c>
      <c r="B1660" t="str">
        <f>IF(ポートフォリオ実績!B1661="","", ポートフォリオ実績!B1661)</f>
        <v/>
      </c>
      <c r="C1660" s="10" t="str">
        <f>IF(ポートフォリオ実績!C1661="","", ポートフォリオ実績!C1661)</f>
        <v/>
      </c>
      <c r="D1660" s="10" t="str">
        <f>IF(ポートフォリオ実績!D1661="","", ポートフォリオ実績!D1661)</f>
        <v/>
      </c>
      <c r="E1660" s="10" t="str">
        <f>IF(ポートフォリオ実績!E1661="","", ポートフォリオ実績!E1661)</f>
        <v/>
      </c>
      <c r="F1660" s="10" t="str">
        <f>IF(ポートフォリオ実績!F1661="","", ポートフォリオ実績!F1661)</f>
        <v/>
      </c>
      <c r="G1660" t="str">
        <f t="shared" si="275"/>
        <v/>
      </c>
      <c r="H1660">
        <f>IF(B1660&lt;&gt;"", SUMIFS(ポートフォリオ実績!$D$2:$D$2001, ポートフォリオ実績!$B$2:$B$2001, B1660, ポートフォリオ実績!$A$2:$A$2001, G1660), 0)</f>
        <v>0</v>
      </c>
      <c r="I1660">
        <f>IF(B1660&lt;&gt;"", SUMIFS(ポートフォリオ実績!$C$2:$C$2001, ポートフォリオ実績!$B$2:$B$2001, B1660, ポートフォリオ実績!$A$2:$A$2001, G1660), 0)</f>
        <v>0</v>
      </c>
      <c r="J1660">
        <f t="shared" si="276"/>
        <v>0</v>
      </c>
      <c r="K1660">
        <f t="shared" si="277"/>
        <v>0</v>
      </c>
      <c r="L1660">
        <f t="shared" si="278"/>
        <v>0</v>
      </c>
      <c r="M1660">
        <f t="shared" si="279"/>
        <v>0</v>
      </c>
      <c r="N1660">
        <f t="shared" si="280"/>
        <v>0</v>
      </c>
      <c r="O1660">
        <f t="shared" si="281"/>
        <v>0</v>
      </c>
      <c r="P1660" t="str">
        <f t="shared" si="282"/>
        <v/>
      </c>
      <c r="Q1660" t="str">
        <f>IF(B1660="","", IFERROR(VLOOKUP(B1660, '基準資産配分（設定）'!$A$2:$C$2001, 3, FALSE), ""))</f>
        <v/>
      </c>
      <c r="R1660" t="str">
        <f>IF(B1660="","", IFERROR(VLOOKUP(B1660, '基準資産配分（設定）'!$A$2:$C$2001, 2, FALSE)/100, 0))</f>
        <v/>
      </c>
      <c r="S1660" t="str">
        <f>IF(B1660="","", IFERROR(SUMIFS(ベンチマークリターン!$C$2:$C$2001, ベンチマークリターン!$A$2:$A$2001, A1660, ベンチマークリターン!$B$2:$B$2001, Q1660) / 100, 0))</f>
        <v/>
      </c>
      <c r="T1660" t="str">
        <f>IF(A1660="","", SUMIFS($H$2:$H$2000, $A$2:$A$2000, A1660))</f>
        <v/>
      </c>
      <c r="U1660" t="str">
        <f t="shared" si="283"/>
        <v/>
      </c>
      <c r="V1660" t="str">
        <f t="shared" si="284"/>
        <v/>
      </c>
      <c r="W1660" t="str">
        <f t="shared" si="285"/>
        <v/>
      </c>
    </row>
    <row r="1661" spans="1:23" x14ac:dyDescent="0.2">
      <c r="A1661" s="4" t="str">
        <f>IF(ポートフォリオ実績!A1662="","", ポートフォリオ実績!A1662)</f>
        <v/>
      </c>
      <c r="B1661" t="str">
        <f>IF(ポートフォリオ実績!B1662="","", ポートフォリオ実績!B1662)</f>
        <v/>
      </c>
      <c r="C1661" s="10" t="str">
        <f>IF(ポートフォリオ実績!C1662="","", ポートフォリオ実績!C1662)</f>
        <v/>
      </c>
      <c r="D1661" s="10" t="str">
        <f>IF(ポートフォリオ実績!D1662="","", ポートフォリオ実績!D1662)</f>
        <v/>
      </c>
      <c r="E1661" s="10" t="str">
        <f>IF(ポートフォリオ実績!E1662="","", ポートフォリオ実績!E1662)</f>
        <v/>
      </c>
      <c r="F1661" s="10" t="str">
        <f>IF(ポートフォリオ実績!F1662="","", ポートフォリオ実績!F1662)</f>
        <v/>
      </c>
      <c r="G1661" t="str">
        <f t="shared" si="275"/>
        <v/>
      </c>
      <c r="H1661">
        <f>IF(B1661&lt;&gt;"", SUMIFS(ポートフォリオ実績!$D$2:$D$2001, ポートフォリオ実績!$B$2:$B$2001, B1661, ポートフォリオ実績!$A$2:$A$2001, G1661), 0)</f>
        <v>0</v>
      </c>
      <c r="I1661">
        <f>IF(B1661&lt;&gt;"", SUMIFS(ポートフォリオ実績!$C$2:$C$2001, ポートフォリオ実績!$B$2:$B$2001, B1661, ポートフォリオ実績!$A$2:$A$2001, G1661), 0)</f>
        <v>0</v>
      </c>
      <c r="J1661">
        <f t="shared" si="276"/>
        <v>0</v>
      </c>
      <c r="K1661">
        <f t="shared" si="277"/>
        <v>0</v>
      </c>
      <c r="L1661">
        <f t="shared" si="278"/>
        <v>0</v>
      </c>
      <c r="M1661">
        <f t="shared" si="279"/>
        <v>0</v>
      </c>
      <c r="N1661">
        <f t="shared" si="280"/>
        <v>0</v>
      </c>
      <c r="O1661">
        <f t="shared" si="281"/>
        <v>0</v>
      </c>
      <c r="P1661" t="str">
        <f t="shared" si="282"/>
        <v/>
      </c>
      <c r="Q1661" t="str">
        <f>IF(B1661="","", IFERROR(VLOOKUP(B1661, '基準資産配分（設定）'!$A$2:$C$2001, 3, FALSE), ""))</f>
        <v/>
      </c>
      <c r="R1661" t="str">
        <f>IF(B1661="","", IFERROR(VLOOKUP(B1661, '基準資産配分（設定）'!$A$2:$C$2001, 2, FALSE)/100, 0))</f>
        <v/>
      </c>
      <c r="S1661" t="str">
        <f>IF(B1661="","", IFERROR(SUMIFS(ベンチマークリターン!$C$2:$C$2001, ベンチマークリターン!$A$2:$A$2001, A1661, ベンチマークリターン!$B$2:$B$2001, Q1661) / 100, 0))</f>
        <v/>
      </c>
      <c r="T1661" t="str">
        <f>IF(A1661="","", SUMIFS($H$2:$H$2000, $A$2:$A$2000, A1661))</f>
        <v/>
      </c>
      <c r="U1661" t="str">
        <f t="shared" si="283"/>
        <v/>
      </c>
      <c r="V1661" t="str">
        <f t="shared" si="284"/>
        <v/>
      </c>
      <c r="W1661" t="str">
        <f t="shared" si="285"/>
        <v/>
      </c>
    </row>
    <row r="1662" spans="1:23" x14ac:dyDescent="0.2">
      <c r="A1662" s="4" t="str">
        <f>IF(ポートフォリオ実績!A1663="","", ポートフォリオ実績!A1663)</f>
        <v/>
      </c>
      <c r="B1662" t="str">
        <f>IF(ポートフォリオ実績!B1663="","", ポートフォリオ実績!B1663)</f>
        <v/>
      </c>
      <c r="C1662" s="10" t="str">
        <f>IF(ポートフォリオ実績!C1663="","", ポートフォリオ実績!C1663)</f>
        <v/>
      </c>
      <c r="D1662" s="10" t="str">
        <f>IF(ポートフォリオ実績!D1663="","", ポートフォリオ実績!D1663)</f>
        <v/>
      </c>
      <c r="E1662" s="10" t="str">
        <f>IF(ポートフォリオ実績!E1663="","", ポートフォリオ実績!E1663)</f>
        <v/>
      </c>
      <c r="F1662" s="10" t="str">
        <f>IF(ポートフォリオ実績!F1663="","", ポートフォリオ実績!F1663)</f>
        <v/>
      </c>
      <c r="G1662" t="str">
        <f t="shared" si="275"/>
        <v/>
      </c>
      <c r="H1662">
        <f>IF(B1662&lt;&gt;"", SUMIFS(ポートフォリオ実績!$D$2:$D$2001, ポートフォリオ実績!$B$2:$B$2001, B1662, ポートフォリオ実績!$A$2:$A$2001, G1662), 0)</f>
        <v>0</v>
      </c>
      <c r="I1662">
        <f>IF(B1662&lt;&gt;"", SUMIFS(ポートフォリオ実績!$C$2:$C$2001, ポートフォリオ実績!$B$2:$B$2001, B1662, ポートフォリオ実績!$A$2:$A$2001, G1662), 0)</f>
        <v>0</v>
      </c>
      <c r="J1662">
        <f t="shared" si="276"/>
        <v>0</v>
      </c>
      <c r="K1662">
        <f t="shared" si="277"/>
        <v>0</v>
      </c>
      <c r="L1662">
        <f t="shared" si="278"/>
        <v>0</v>
      </c>
      <c r="M1662">
        <f t="shared" si="279"/>
        <v>0</v>
      </c>
      <c r="N1662">
        <f t="shared" si="280"/>
        <v>0</v>
      </c>
      <c r="O1662">
        <f t="shared" si="281"/>
        <v>0</v>
      </c>
      <c r="P1662" t="str">
        <f t="shared" si="282"/>
        <v/>
      </c>
      <c r="Q1662" t="str">
        <f>IF(B1662="","", IFERROR(VLOOKUP(B1662, '基準資産配分（設定）'!$A$2:$C$2001, 3, FALSE), ""))</f>
        <v/>
      </c>
      <c r="R1662" t="str">
        <f>IF(B1662="","", IFERROR(VLOOKUP(B1662, '基準資産配分（設定）'!$A$2:$C$2001, 2, FALSE)/100, 0))</f>
        <v/>
      </c>
      <c r="S1662" t="str">
        <f>IF(B1662="","", IFERROR(SUMIFS(ベンチマークリターン!$C$2:$C$2001, ベンチマークリターン!$A$2:$A$2001, A1662, ベンチマークリターン!$B$2:$B$2001, Q1662) / 100, 0))</f>
        <v/>
      </c>
      <c r="T1662" t="str">
        <f>IF(A1662="","", SUMIFS($H$2:$H$2000, $A$2:$A$2000, A1662))</f>
        <v/>
      </c>
      <c r="U1662" t="str">
        <f t="shared" si="283"/>
        <v/>
      </c>
      <c r="V1662" t="str">
        <f t="shared" si="284"/>
        <v/>
      </c>
      <c r="W1662" t="str">
        <f t="shared" si="285"/>
        <v/>
      </c>
    </row>
    <row r="1663" spans="1:23" x14ac:dyDescent="0.2">
      <c r="A1663" s="4" t="str">
        <f>IF(ポートフォリオ実績!A1664="","", ポートフォリオ実績!A1664)</f>
        <v/>
      </c>
      <c r="B1663" t="str">
        <f>IF(ポートフォリオ実績!B1664="","", ポートフォリオ実績!B1664)</f>
        <v/>
      </c>
      <c r="C1663" s="10" t="str">
        <f>IF(ポートフォリオ実績!C1664="","", ポートフォリオ実績!C1664)</f>
        <v/>
      </c>
      <c r="D1663" s="10" t="str">
        <f>IF(ポートフォリオ実績!D1664="","", ポートフォリオ実績!D1664)</f>
        <v/>
      </c>
      <c r="E1663" s="10" t="str">
        <f>IF(ポートフォリオ実績!E1664="","", ポートフォリオ実績!E1664)</f>
        <v/>
      </c>
      <c r="F1663" s="10" t="str">
        <f>IF(ポートフォリオ実績!F1664="","", ポートフォリオ実績!F1664)</f>
        <v/>
      </c>
      <c r="G1663" t="str">
        <f t="shared" si="275"/>
        <v/>
      </c>
      <c r="H1663">
        <f>IF(B1663&lt;&gt;"", SUMIFS(ポートフォリオ実績!$D$2:$D$2001, ポートフォリオ実績!$B$2:$B$2001, B1663, ポートフォリオ実績!$A$2:$A$2001, G1663), 0)</f>
        <v>0</v>
      </c>
      <c r="I1663">
        <f>IF(B1663&lt;&gt;"", SUMIFS(ポートフォリオ実績!$C$2:$C$2001, ポートフォリオ実績!$B$2:$B$2001, B1663, ポートフォリオ実績!$A$2:$A$2001, G1663), 0)</f>
        <v>0</v>
      </c>
      <c r="J1663">
        <f t="shared" si="276"/>
        <v>0</v>
      </c>
      <c r="K1663">
        <f t="shared" si="277"/>
        <v>0</v>
      </c>
      <c r="L1663">
        <f t="shared" si="278"/>
        <v>0</v>
      </c>
      <c r="M1663">
        <f t="shared" si="279"/>
        <v>0</v>
      </c>
      <c r="N1663">
        <f t="shared" si="280"/>
        <v>0</v>
      </c>
      <c r="O1663">
        <f t="shared" si="281"/>
        <v>0</v>
      </c>
      <c r="P1663" t="str">
        <f t="shared" si="282"/>
        <v/>
      </c>
      <c r="Q1663" t="str">
        <f>IF(B1663="","", IFERROR(VLOOKUP(B1663, '基準資産配分（設定）'!$A$2:$C$2001, 3, FALSE), ""))</f>
        <v/>
      </c>
      <c r="R1663" t="str">
        <f>IF(B1663="","", IFERROR(VLOOKUP(B1663, '基準資産配分（設定）'!$A$2:$C$2001, 2, FALSE)/100, 0))</f>
        <v/>
      </c>
      <c r="S1663" t="str">
        <f>IF(B1663="","", IFERROR(SUMIFS(ベンチマークリターン!$C$2:$C$2001, ベンチマークリターン!$A$2:$A$2001, A1663, ベンチマークリターン!$B$2:$B$2001, Q1663) / 100, 0))</f>
        <v/>
      </c>
      <c r="T1663" t="str">
        <f>IF(A1663="","", SUMIFS($H$2:$H$2000, $A$2:$A$2000, A1663))</f>
        <v/>
      </c>
      <c r="U1663" t="str">
        <f t="shared" si="283"/>
        <v/>
      </c>
      <c r="V1663" t="str">
        <f t="shared" si="284"/>
        <v/>
      </c>
      <c r="W1663" t="str">
        <f t="shared" si="285"/>
        <v/>
      </c>
    </row>
    <row r="1664" spans="1:23" x14ac:dyDescent="0.2">
      <c r="A1664" s="4" t="str">
        <f>IF(ポートフォリオ実績!A1665="","", ポートフォリオ実績!A1665)</f>
        <v/>
      </c>
      <c r="B1664" t="str">
        <f>IF(ポートフォリオ実績!B1665="","", ポートフォリオ実績!B1665)</f>
        <v/>
      </c>
      <c r="C1664" s="10" t="str">
        <f>IF(ポートフォリオ実績!C1665="","", ポートフォリオ実績!C1665)</f>
        <v/>
      </c>
      <c r="D1664" s="10" t="str">
        <f>IF(ポートフォリオ実績!D1665="","", ポートフォリオ実績!D1665)</f>
        <v/>
      </c>
      <c r="E1664" s="10" t="str">
        <f>IF(ポートフォリオ実績!E1665="","", ポートフォリオ実績!E1665)</f>
        <v/>
      </c>
      <c r="F1664" s="10" t="str">
        <f>IF(ポートフォリオ実績!F1665="","", ポートフォリオ実績!F1665)</f>
        <v/>
      </c>
      <c r="G1664" t="str">
        <f t="shared" si="275"/>
        <v/>
      </c>
      <c r="H1664">
        <f>IF(B1664&lt;&gt;"", SUMIFS(ポートフォリオ実績!$D$2:$D$2001, ポートフォリオ実績!$B$2:$B$2001, B1664, ポートフォリオ実績!$A$2:$A$2001, G1664), 0)</f>
        <v>0</v>
      </c>
      <c r="I1664">
        <f>IF(B1664&lt;&gt;"", SUMIFS(ポートフォリオ実績!$C$2:$C$2001, ポートフォリオ実績!$B$2:$B$2001, B1664, ポートフォリオ実績!$A$2:$A$2001, G1664), 0)</f>
        <v>0</v>
      </c>
      <c r="J1664">
        <f t="shared" si="276"/>
        <v>0</v>
      </c>
      <c r="K1664">
        <f t="shared" si="277"/>
        <v>0</v>
      </c>
      <c r="L1664">
        <f t="shared" si="278"/>
        <v>0</v>
      </c>
      <c r="M1664">
        <f t="shared" si="279"/>
        <v>0</v>
      </c>
      <c r="N1664">
        <f t="shared" si="280"/>
        <v>0</v>
      </c>
      <c r="O1664">
        <f t="shared" si="281"/>
        <v>0</v>
      </c>
      <c r="P1664" t="str">
        <f t="shared" si="282"/>
        <v/>
      </c>
      <c r="Q1664" t="str">
        <f>IF(B1664="","", IFERROR(VLOOKUP(B1664, '基準資産配分（設定）'!$A$2:$C$2001, 3, FALSE), ""))</f>
        <v/>
      </c>
      <c r="R1664" t="str">
        <f>IF(B1664="","", IFERROR(VLOOKUP(B1664, '基準資産配分（設定）'!$A$2:$C$2001, 2, FALSE)/100, 0))</f>
        <v/>
      </c>
      <c r="S1664" t="str">
        <f>IF(B1664="","", IFERROR(SUMIFS(ベンチマークリターン!$C$2:$C$2001, ベンチマークリターン!$A$2:$A$2001, A1664, ベンチマークリターン!$B$2:$B$2001, Q1664) / 100, 0))</f>
        <v/>
      </c>
      <c r="T1664" t="str">
        <f>IF(A1664="","", SUMIFS($H$2:$H$2000, $A$2:$A$2000, A1664))</f>
        <v/>
      </c>
      <c r="U1664" t="str">
        <f t="shared" si="283"/>
        <v/>
      </c>
      <c r="V1664" t="str">
        <f t="shared" si="284"/>
        <v/>
      </c>
      <c r="W1664" t="str">
        <f t="shared" si="285"/>
        <v/>
      </c>
    </row>
    <row r="1665" spans="1:23" x14ac:dyDescent="0.2">
      <c r="A1665" s="4" t="str">
        <f>IF(ポートフォリオ実績!A1666="","", ポートフォリオ実績!A1666)</f>
        <v/>
      </c>
      <c r="B1665" t="str">
        <f>IF(ポートフォリオ実績!B1666="","", ポートフォリオ実績!B1666)</f>
        <v/>
      </c>
      <c r="C1665" s="10" t="str">
        <f>IF(ポートフォリオ実績!C1666="","", ポートフォリオ実績!C1666)</f>
        <v/>
      </c>
      <c r="D1665" s="10" t="str">
        <f>IF(ポートフォリオ実績!D1666="","", ポートフォリオ実績!D1666)</f>
        <v/>
      </c>
      <c r="E1665" s="10" t="str">
        <f>IF(ポートフォリオ実績!E1666="","", ポートフォリオ実績!E1666)</f>
        <v/>
      </c>
      <c r="F1665" s="10" t="str">
        <f>IF(ポートフォリオ実績!F1666="","", ポートフォリオ実績!F1666)</f>
        <v/>
      </c>
      <c r="G1665" t="str">
        <f t="shared" ref="G1665:G1728" si="286">IF(A1665&lt;&gt;"", EOMONTH(A1665, -1), "")</f>
        <v/>
      </c>
      <c r="H1665">
        <f>IF(B1665&lt;&gt;"", SUMIFS(ポートフォリオ実績!$D$2:$D$2001, ポートフォリオ実績!$B$2:$B$2001, B1665, ポートフォリオ実績!$A$2:$A$2001, G1665), 0)</f>
        <v>0</v>
      </c>
      <c r="I1665">
        <f>IF(B1665&lt;&gt;"", SUMIFS(ポートフォリオ実績!$C$2:$C$2001, ポートフォリオ実績!$B$2:$B$2001, B1665, ポートフォリオ実績!$A$2:$A$2001, G1665), 0)</f>
        <v>0</v>
      </c>
      <c r="J1665">
        <f t="shared" ref="J1665:J1728" si="287">IF(A1665&lt;&gt;"", D1665-C1665, 0)</f>
        <v>0</v>
      </c>
      <c r="K1665">
        <f t="shared" ref="K1665:K1728" si="288">IF(A1665&lt;&gt;"", H1665-I1665, 0)</f>
        <v>0</v>
      </c>
      <c r="L1665">
        <f t="shared" ref="L1665:L1728" si="289">IF(H1665=0, 0, J1665-K1665)</f>
        <v>0</v>
      </c>
      <c r="M1665">
        <f t="shared" ref="M1665:M1728" si="290">IF(A1665&lt;&gt;"", E1665+F1665+L1665, 0)</f>
        <v>0</v>
      </c>
      <c r="N1665">
        <f t="shared" ref="N1665:N1728" si="291">IF(H1665=0, 0, (D1665-H1665)-M1665)</f>
        <v>0</v>
      </c>
      <c r="O1665">
        <f t="shared" ref="O1665:O1728" si="292">IF(A1665&lt;&gt;"", H1665+N1665*0.5, 0)</f>
        <v>0</v>
      </c>
      <c r="P1665" t="str">
        <f t="shared" ref="P1665:P1728" si="293">IF(A1665="","", IF(O1665&gt;0.000001, M1665/O1665, IF(ABS(M1665)&lt;0.000001, 0, 0)))</f>
        <v/>
      </c>
      <c r="Q1665" t="str">
        <f>IF(B1665="","", IFERROR(VLOOKUP(B1665, '基準資産配分（設定）'!$A$2:$C$2001, 3, FALSE), ""))</f>
        <v/>
      </c>
      <c r="R1665" t="str">
        <f>IF(B1665="","", IFERROR(VLOOKUP(B1665, '基準資産配分（設定）'!$A$2:$C$2001, 2, FALSE)/100, 0))</f>
        <v/>
      </c>
      <c r="S1665" t="str">
        <f>IF(B1665="","", IFERROR(SUMIFS(ベンチマークリターン!$C$2:$C$2001, ベンチマークリターン!$A$2:$A$2001, A1665, ベンチマークリターン!$B$2:$B$2001, Q1665) / 100, 0))</f>
        <v/>
      </c>
      <c r="T1665" t="str">
        <f>IF(A1665="","", SUMIFS($H$2:$H$2000, $A$2:$A$2000, A1665))</f>
        <v/>
      </c>
      <c r="U1665" t="str">
        <f t="shared" ref="U1665:U1728" si="294">IF(A1665="","", IFERROR(H1665/T1665, 0))</f>
        <v/>
      </c>
      <c r="V1665" t="str">
        <f t="shared" ref="V1665:V1728" si="295">IF(A1665="","", U1665*P1665)</f>
        <v/>
      </c>
      <c r="W1665" t="str">
        <f t="shared" ref="W1665:W1728" si="296">IF(A1665="","", R1665*S1665)</f>
        <v/>
      </c>
    </row>
    <row r="1666" spans="1:23" x14ac:dyDescent="0.2">
      <c r="A1666" s="4" t="str">
        <f>IF(ポートフォリオ実績!A1667="","", ポートフォリオ実績!A1667)</f>
        <v/>
      </c>
      <c r="B1666" t="str">
        <f>IF(ポートフォリオ実績!B1667="","", ポートフォリオ実績!B1667)</f>
        <v/>
      </c>
      <c r="C1666" s="10" t="str">
        <f>IF(ポートフォリオ実績!C1667="","", ポートフォリオ実績!C1667)</f>
        <v/>
      </c>
      <c r="D1666" s="10" t="str">
        <f>IF(ポートフォリオ実績!D1667="","", ポートフォリオ実績!D1667)</f>
        <v/>
      </c>
      <c r="E1666" s="10" t="str">
        <f>IF(ポートフォリオ実績!E1667="","", ポートフォリオ実績!E1667)</f>
        <v/>
      </c>
      <c r="F1666" s="10" t="str">
        <f>IF(ポートフォリオ実績!F1667="","", ポートフォリオ実績!F1667)</f>
        <v/>
      </c>
      <c r="G1666" t="str">
        <f t="shared" si="286"/>
        <v/>
      </c>
      <c r="H1666">
        <f>IF(B1666&lt;&gt;"", SUMIFS(ポートフォリオ実績!$D$2:$D$2001, ポートフォリオ実績!$B$2:$B$2001, B1666, ポートフォリオ実績!$A$2:$A$2001, G1666), 0)</f>
        <v>0</v>
      </c>
      <c r="I1666">
        <f>IF(B1666&lt;&gt;"", SUMIFS(ポートフォリオ実績!$C$2:$C$2001, ポートフォリオ実績!$B$2:$B$2001, B1666, ポートフォリオ実績!$A$2:$A$2001, G1666), 0)</f>
        <v>0</v>
      </c>
      <c r="J1666">
        <f t="shared" si="287"/>
        <v>0</v>
      </c>
      <c r="K1666">
        <f t="shared" si="288"/>
        <v>0</v>
      </c>
      <c r="L1666">
        <f t="shared" si="289"/>
        <v>0</v>
      </c>
      <c r="M1666">
        <f t="shared" si="290"/>
        <v>0</v>
      </c>
      <c r="N1666">
        <f t="shared" si="291"/>
        <v>0</v>
      </c>
      <c r="O1666">
        <f t="shared" si="292"/>
        <v>0</v>
      </c>
      <c r="P1666" t="str">
        <f t="shared" si="293"/>
        <v/>
      </c>
      <c r="Q1666" t="str">
        <f>IF(B1666="","", IFERROR(VLOOKUP(B1666, '基準資産配分（設定）'!$A$2:$C$2001, 3, FALSE), ""))</f>
        <v/>
      </c>
      <c r="R1666" t="str">
        <f>IF(B1666="","", IFERROR(VLOOKUP(B1666, '基準資産配分（設定）'!$A$2:$C$2001, 2, FALSE)/100, 0))</f>
        <v/>
      </c>
      <c r="S1666" t="str">
        <f>IF(B1666="","", IFERROR(SUMIFS(ベンチマークリターン!$C$2:$C$2001, ベンチマークリターン!$A$2:$A$2001, A1666, ベンチマークリターン!$B$2:$B$2001, Q1666) / 100, 0))</f>
        <v/>
      </c>
      <c r="T1666" t="str">
        <f>IF(A1666="","", SUMIFS($H$2:$H$2000, $A$2:$A$2000, A1666))</f>
        <v/>
      </c>
      <c r="U1666" t="str">
        <f t="shared" si="294"/>
        <v/>
      </c>
      <c r="V1666" t="str">
        <f t="shared" si="295"/>
        <v/>
      </c>
      <c r="W1666" t="str">
        <f t="shared" si="296"/>
        <v/>
      </c>
    </row>
    <row r="1667" spans="1:23" x14ac:dyDescent="0.2">
      <c r="A1667" s="4" t="str">
        <f>IF(ポートフォリオ実績!A1668="","", ポートフォリオ実績!A1668)</f>
        <v/>
      </c>
      <c r="B1667" t="str">
        <f>IF(ポートフォリオ実績!B1668="","", ポートフォリオ実績!B1668)</f>
        <v/>
      </c>
      <c r="C1667" s="10" t="str">
        <f>IF(ポートフォリオ実績!C1668="","", ポートフォリオ実績!C1668)</f>
        <v/>
      </c>
      <c r="D1667" s="10" t="str">
        <f>IF(ポートフォリオ実績!D1668="","", ポートフォリオ実績!D1668)</f>
        <v/>
      </c>
      <c r="E1667" s="10" t="str">
        <f>IF(ポートフォリオ実績!E1668="","", ポートフォリオ実績!E1668)</f>
        <v/>
      </c>
      <c r="F1667" s="10" t="str">
        <f>IF(ポートフォリオ実績!F1668="","", ポートフォリオ実績!F1668)</f>
        <v/>
      </c>
      <c r="G1667" t="str">
        <f t="shared" si="286"/>
        <v/>
      </c>
      <c r="H1667">
        <f>IF(B1667&lt;&gt;"", SUMIFS(ポートフォリオ実績!$D$2:$D$2001, ポートフォリオ実績!$B$2:$B$2001, B1667, ポートフォリオ実績!$A$2:$A$2001, G1667), 0)</f>
        <v>0</v>
      </c>
      <c r="I1667">
        <f>IF(B1667&lt;&gt;"", SUMIFS(ポートフォリオ実績!$C$2:$C$2001, ポートフォリオ実績!$B$2:$B$2001, B1667, ポートフォリオ実績!$A$2:$A$2001, G1667), 0)</f>
        <v>0</v>
      </c>
      <c r="J1667">
        <f t="shared" si="287"/>
        <v>0</v>
      </c>
      <c r="K1667">
        <f t="shared" si="288"/>
        <v>0</v>
      </c>
      <c r="L1667">
        <f t="shared" si="289"/>
        <v>0</v>
      </c>
      <c r="M1667">
        <f t="shared" si="290"/>
        <v>0</v>
      </c>
      <c r="N1667">
        <f t="shared" si="291"/>
        <v>0</v>
      </c>
      <c r="O1667">
        <f t="shared" si="292"/>
        <v>0</v>
      </c>
      <c r="P1667" t="str">
        <f t="shared" si="293"/>
        <v/>
      </c>
      <c r="Q1667" t="str">
        <f>IF(B1667="","", IFERROR(VLOOKUP(B1667, '基準資産配分（設定）'!$A$2:$C$2001, 3, FALSE), ""))</f>
        <v/>
      </c>
      <c r="R1667" t="str">
        <f>IF(B1667="","", IFERROR(VLOOKUP(B1667, '基準資産配分（設定）'!$A$2:$C$2001, 2, FALSE)/100, 0))</f>
        <v/>
      </c>
      <c r="S1667" t="str">
        <f>IF(B1667="","", IFERROR(SUMIFS(ベンチマークリターン!$C$2:$C$2001, ベンチマークリターン!$A$2:$A$2001, A1667, ベンチマークリターン!$B$2:$B$2001, Q1667) / 100, 0))</f>
        <v/>
      </c>
      <c r="T1667" t="str">
        <f>IF(A1667="","", SUMIFS($H$2:$H$2000, $A$2:$A$2000, A1667))</f>
        <v/>
      </c>
      <c r="U1667" t="str">
        <f t="shared" si="294"/>
        <v/>
      </c>
      <c r="V1667" t="str">
        <f t="shared" si="295"/>
        <v/>
      </c>
      <c r="W1667" t="str">
        <f t="shared" si="296"/>
        <v/>
      </c>
    </row>
    <row r="1668" spans="1:23" x14ac:dyDescent="0.2">
      <c r="A1668" s="4" t="str">
        <f>IF(ポートフォリオ実績!A1669="","", ポートフォリオ実績!A1669)</f>
        <v/>
      </c>
      <c r="B1668" t="str">
        <f>IF(ポートフォリオ実績!B1669="","", ポートフォリオ実績!B1669)</f>
        <v/>
      </c>
      <c r="C1668" s="10" t="str">
        <f>IF(ポートフォリオ実績!C1669="","", ポートフォリオ実績!C1669)</f>
        <v/>
      </c>
      <c r="D1668" s="10" t="str">
        <f>IF(ポートフォリオ実績!D1669="","", ポートフォリオ実績!D1669)</f>
        <v/>
      </c>
      <c r="E1668" s="10" t="str">
        <f>IF(ポートフォリオ実績!E1669="","", ポートフォリオ実績!E1669)</f>
        <v/>
      </c>
      <c r="F1668" s="10" t="str">
        <f>IF(ポートフォリオ実績!F1669="","", ポートフォリオ実績!F1669)</f>
        <v/>
      </c>
      <c r="G1668" t="str">
        <f t="shared" si="286"/>
        <v/>
      </c>
      <c r="H1668">
        <f>IF(B1668&lt;&gt;"", SUMIFS(ポートフォリオ実績!$D$2:$D$2001, ポートフォリオ実績!$B$2:$B$2001, B1668, ポートフォリオ実績!$A$2:$A$2001, G1668), 0)</f>
        <v>0</v>
      </c>
      <c r="I1668">
        <f>IF(B1668&lt;&gt;"", SUMIFS(ポートフォリオ実績!$C$2:$C$2001, ポートフォリオ実績!$B$2:$B$2001, B1668, ポートフォリオ実績!$A$2:$A$2001, G1668), 0)</f>
        <v>0</v>
      </c>
      <c r="J1668">
        <f t="shared" si="287"/>
        <v>0</v>
      </c>
      <c r="K1668">
        <f t="shared" si="288"/>
        <v>0</v>
      </c>
      <c r="L1668">
        <f t="shared" si="289"/>
        <v>0</v>
      </c>
      <c r="M1668">
        <f t="shared" si="290"/>
        <v>0</v>
      </c>
      <c r="N1668">
        <f t="shared" si="291"/>
        <v>0</v>
      </c>
      <c r="O1668">
        <f t="shared" si="292"/>
        <v>0</v>
      </c>
      <c r="P1668" t="str">
        <f t="shared" si="293"/>
        <v/>
      </c>
      <c r="Q1668" t="str">
        <f>IF(B1668="","", IFERROR(VLOOKUP(B1668, '基準資産配分（設定）'!$A$2:$C$2001, 3, FALSE), ""))</f>
        <v/>
      </c>
      <c r="R1668" t="str">
        <f>IF(B1668="","", IFERROR(VLOOKUP(B1668, '基準資産配分（設定）'!$A$2:$C$2001, 2, FALSE)/100, 0))</f>
        <v/>
      </c>
      <c r="S1668" t="str">
        <f>IF(B1668="","", IFERROR(SUMIFS(ベンチマークリターン!$C$2:$C$2001, ベンチマークリターン!$A$2:$A$2001, A1668, ベンチマークリターン!$B$2:$B$2001, Q1668) / 100, 0))</f>
        <v/>
      </c>
      <c r="T1668" t="str">
        <f>IF(A1668="","", SUMIFS($H$2:$H$2000, $A$2:$A$2000, A1668))</f>
        <v/>
      </c>
      <c r="U1668" t="str">
        <f t="shared" si="294"/>
        <v/>
      </c>
      <c r="V1668" t="str">
        <f t="shared" si="295"/>
        <v/>
      </c>
      <c r="W1668" t="str">
        <f t="shared" si="296"/>
        <v/>
      </c>
    </row>
    <row r="1669" spans="1:23" x14ac:dyDescent="0.2">
      <c r="A1669" s="4" t="str">
        <f>IF(ポートフォリオ実績!A1670="","", ポートフォリオ実績!A1670)</f>
        <v/>
      </c>
      <c r="B1669" t="str">
        <f>IF(ポートフォリオ実績!B1670="","", ポートフォリオ実績!B1670)</f>
        <v/>
      </c>
      <c r="C1669" s="10" t="str">
        <f>IF(ポートフォリオ実績!C1670="","", ポートフォリオ実績!C1670)</f>
        <v/>
      </c>
      <c r="D1669" s="10" t="str">
        <f>IF(ポートフォリオ実績!D1670="","", ポートフォリオ実績!D1670)</f>
        <v/>
      </c>
      <c r="E1669" s="10" t="str">
        <f>IF(ポートフォリオ実績!E1670="","", ポートフォリオ実績!E1670)</f>
        <v/>
      </c>
      <c r="F1669" s="10" t="str">
        <f>IF(ポートフォリオ実績!F1670="","", ポートフォリオ実績!F1670)</f>
        <v/>
      </c>
      <c r="G1669" t="str">
        <f t="shared" si="286"/>
        <v/>
      </c>
      <c r="H1669">
        <f>IF(B1669&lt;&gt;"", SUMIFS(ポートフォリオ実績!$D$2:$D$2001, ポートフォリオ実績!$B$2:$B$2001, B1669, ポートフォリオ実績!$A$2:$A$2001, G1669), 0)</f>
        <v>0</v>
      </c>
      <c r="I1669">
        <f>IF(B1669&lt;&gt;"", SUMIFS(ポートフォリオ実績!$C$2:$C$2001, ポートフォリオ実績!$B$2:$B$2001, B1669, ポートフォリオ実績!$A$2:$A$2001, G1669), 0)</f>
        <v>0</v>
      </c>
      <c r="J1669">
        <f t="shared" si="287"/>
        <v>0</v>
      </c>
      <c r="K1669">
        <f t="shared" si="288"/>
        <v>0</v>
      </c>
      <c r="L1669">
        <f t="shared" si="289"/>
        <v>0</v>
      </c>
      <c r="M1669">
        <f t="shared" si="290"/>
        <v>0</v>
      </c>
      <c r="N1669">
        <f t="shared" si="291"/>
        <v>0</v>
      </c>
      <c r="O1669">
        <f t="shared" si="292"/>
        <v>0</v>
      </c>
      <c r="P1669" t="str">
        <f t="shared" si="293"/>
        <v/>
      </c>
      <c r="Q1669" t="str">
        <f>IF(B1669="","", IFERROR(VLOOKUP(B1669, '基準資産配分（設定）'!$A$2:$C$2001, 3, FALSE), ""))</f>
        <v/>
      </c>
      <c r="R1669" t="str">
        <f>IF(B1669="","", IFERROR(VLOOKUP(B1669, '基準資産配分（設定）'!$A$2:$C$2001, 2, FALSE)/100, 0))</f>
        <v/>
      </c>
      <c r="S1669" t="str">
        <f>IF(B1669="","", IFERROR(SUMIFS(ベンチマークリターン!$C$2:$C$2001, ベンチマークリターン!$A$2:$A$2001, A1669, ベンチマークリターン!$B$2:$B$2001, Q1669) / 100, 0))</f>
        <v/>
      </c>
      <c r="T1669" t="str">
        <f>IF(A1669="","", SUMIFS($H$2:$H$2000, $A$2:$A$2000, A1669))</f>
        <v/>
      </c>
      <c r="U1669" t="str">
        <f t="shared" si="294"/>
        <v/>
      </c>
      <c r="V1669" t="str">
        <f t="shared" si="295"/>
        <v/>
      </c>
      <c r="W1669" t="str">
        <f t="shared" si="296"/>
        <v/>
      </c>
    </row>
    <row r="1670" spans="1:23" x14ac:dyDescent="0.2">
      <c r="A1670" s="4" t="str">
        <f>IF(ポートフォリオ実績!A1671="","", ポートフォリオ実績!A1671)</f>
        <v/>
      </c>
      <c r="B1670" t="str">
        <f>IF(ポートフォリオ実績!B1671="","", ポートフォリオ実績!B1671)</f>
        <v/>
      </c>
      <c r="C1670" s="10" t="str">
        <f>IF(ポートフォリオ実績!C1671="","", ポートフォリオ実績!C1671)</f>
        <v/>
      </c>
      <c r="D1670" s="10" t="str">
        <f>IF(ポートフォリオ実績!D1671="","", ポートフォリオ実績!D1671)</f>
        <v/>
      </c>
      <c r="E1670" s="10" t="str">
        <f>IF(ポートフォリオ実績!E1671="","", ポートフォリオ実績!E1671)</f>
        <v/>
      </c>
      <c r="F1670" s="10" t="str">
        <f>IF(ポートフォリオ実績!F1671="","", ポートフォリオ実績!F1671)</f>
        <v/>
      </c>
      <c r="G1670" t="str">
        <f t="shared" si="286"/>
        <v/>
      </c>
      <c r="H1670">
        <f>IF(B1670&lt;&gt;"", SUMIFS(ポートフォリオ実績!$D$2:$D$2001, ポートフォリオ実績!$B$2:$B$2001, B1670, ポートフォリオ実績!$A$2:$A$2001, G1670), 0)</f>
        <v>0</v>
      </c>
      <c r="I1670">
        <f>IF(B1670&lt;&gt;"", SUMIFS(ポートフォリオ実績!$C$2:$C$2001, ポートフォリオ実績!$B$2:$B$2001, B1670, ポートフォリオ実績!$A$2:$A$2001, G1670), 0)</f>
        <v>0</v>
      </c>
      <c r="J1670">
        <f t="shared" si="287"/>
        <v>0</v>
      </c>
      <c r="K1670">
        <f t="shared" si="288"/>
        <v>0</v>
      </c>
      <c r="L1670">
        <f t="shared" si="289"/>
        <v>0</v>
      </c>
      <c r="M1670">
        <f t="shared" si="290"/>
        <v>0</v>
      </c>
      <c r="N1670">
        <f t="shared" si="291"/>
        <v>0</v>
      </c>
      <c r="O1670">
        <f t="shared" si="292"/>
        <v>0</v>
      </c>
      <c r="P1670" t="str">
        <f t="shared" si="293"/>
        <v/>
      </c>
      <c r="Q1670" t="str">
        <f>IF(B1670="","", IFERROR(VLOOKUP(B1670, '基準資産配分（設定）'!$A$2:$C$2001, 3, FALSE), ""))</f>
        <v/>
      </c>
      <c r="R1670" t="str">
        <f>IF(B1670="","", IFERROR(VLOOKUP(B1670, '基準資産配分（設定）'!$A$2:$C$2001, 2, FALSE)/100, 0))</f>
        <v/>
      </c>
      <c r="S1670" t="str">
        <f>IF(B1670="","", IFERROR(SUMIFS(ベンチマークリターン!$C$2:$C$2001, ベンチマークリターン!$A$2:$A$2001, A1670, ベンチマークリターン!$B$2:$B$2001, Q1670) / 100, 0))</f>
        <v/>
      </c>
      <c r="T1670" t="str">
        <f>IF(A1670="","", SUMIFS($H$2:$H$2000, $A$2:$A$2000, A1670))</f>
        <v/>
      </c>
      <c r="U1670" t="str">
        <f t="shared" si="294"/>
        <v/>
      </c>
      <c r="V1670" t="str">
        <f t="shared" si="295"/>
        <v/>
      </c>
      <c r="W1670" t="str">
        <f t="shared" si="296"/>
        <v/>
      </c>
    </row>
    <row r="1671" spans="1:23" x14ac:dyDescent="0.2">
      <c r="A1671" s="4" t="str">
        <f>IF(ポートフォリオ実績!A1672="","", ポートフォリオ実績!A1672)</f>
        <v/>
      </c>
      <c r="B1671" t="str">
        <f>IF(ポートフォリオ実績!B1672="","", ポートフォリオ実績!B1672)</f>
        <v/>
      </c>
      <c r="C1671" s="10" t="str">
        <f>IF(ポートフォリオ実績!C1672="","", ポートフォリオ実績!C1672)</f>
        <v/>
      </c>
      <c r="D1671" s="10" t="str">
        <f>IF(ポートフォリオ実績!D1672="","", ポートフォリオ実績!D1672)</f>
        <v/>
      </c>
      <c r="E1671" s="10" t="str">
        <f>IF(ポートフォリオ実績!E1672="","", ポートフォリオ実績!E1672)</f>
        <v/>
      </c>
      <c r="F1671" s="10" t="str">
        <f>IF(ポートフォリオ実績!F1672="","", ポートフォリオ実績!F1672)</f>
        <v/>
      </c>
      <c r="G1671" t="str">
        <f t="shared" si="286"/>
        <v/>
      </c>
      <c r="H1671">
        <f>IF(B1671&lt;&gt;"", SUMIFS(ポートフォリオ実績!$D$2:$D$2001, ポートフォリオ実績!$B$2:$B$2001, B1671, ポートフォリオ実績!$A$2:$A$2001, G1671), 0)</f>
        <v>0</v>
      </c>
      <c r="I1671">
        <f>IF(B1671&lt;&gt;"", SUMIFS(ポートフォリオ実績!$C$2:$C$2001, ポートフォリオ実績!$B$2:$B$2001, B1671, ポートフォリオ実績!$A$2:$A$2001, G1671), 0)</f>
        <v>0</v>
      </c>
      <c r="J1671">
        <f t="shared" si="287"/>
        <v>0</v>
      </c>
      <c r="K1671">
        <f t="shared" si="288"/>
        <v>0</v>
      </c>
      <c r="L1671">
        <f t="shared" si="289"/>
        <v>0</v>
      </c>
      <c r="M1671">
        <f t="shared" si="290"/>
        <v>0</v>
      </c>
      <c r="N1671">
        <f t="shared" si="291"/>
        <v>0</v>
      </c>
      <c r="O1671">
        <f t="shared" si="292"/>
        <v>0</v>
      </c>
      <c r="P1671" t="str">
        <f t="shared" si="293"/>
        <v/>
      </c>
      <c r="Q1671" t="str">
        <f>IF(B1671="","", IFERROR(VLOOKUP(B1671, '基準資産配分（設定）'!$A$2:$C$2001, 3, FALSE), ""))</f>
        <v/>
      </c>
      <c r="R1671" t="str">
        <f>IF(B1671="","", IFERROR(VLOOKUP(B1671, '基準資産配分（設定）'!$A$2:$C$2001, 2, FALSE)/100, 0))</f>
        <v/>
      </c>
      <c r="S1671" t="str">
        <f>IF(B1671="","", IFERROR(SUMIFS(ベンチマークリターン!$C$2:$C$2001, ベンチマークリターン!$A$2:$A$2001, A1671, ベンチマークリターン!$B$2:$B$2001, Q1671) / 100, 0))</f>
        <v/>
      </c>
      <c r="T1671" t="str">
        <f>IF(A1671="","", SUMIFS($H$2:$H$2000, $A$2:$A$2000, A1671))</f>
        <v/>
      </c>
      <c r="U1671" t="str">
        <f t="shared" si="294"/>
        <v/>
      </c>
      <c r="V1671" t="str">
        <f t="shared" si="295"/>
        <v/>
      </c>
      <c r="W1671" t="str">
        <f t="shared" si="296"/>
        <v/>
      </c>
    </row>
    <row r="1672" spans="1:23" x14ac:dyDescent="0.2">
      <c r="A1672" s="4" t="str">
        <f>IF(ポートフォリオ実績!A1673="","", ポートフォリオ実績!A1673)</f>
        <v/>
      </c>
      <c r="B1672" t="str">
        <f>IF(ポートフォリオ実績!B1673="","", ポートフォリオ実績!B1673)</f>
        <v/>
      </c>
      <c r="C1672" s="10" t="str">
        <f>IF(ポートフォリオ実績!C1673="","", ポートフォリオ実績!C1673)</f>
        <v/>
      </c>
      <c r="D1672" s="10" t="str">
        <f>IF(ポートフォリオ実績!D1673="","", ポートフォリオ実績!D1673)</f>
        <v/>
      </c>
      <c r="E1672" s="10" t="str">
        <f>IF(ポートフォリオ実績!E1673="","", ポートフォリオ実績!E1673)</f>
        <v/>
      </c>
      <c r="F1672" s="10" t="str">
        <f>IF(ポートフォリオ実績!F1673="","", ポートフォリオ実績!F1673)</f>
        <v/>
      </c>
      <c r="G1672" t="str">
        <f t="shared" si="286"/>
        <v/>
      </c>
      <c r="H1672">
        <f>IF(B1672&lt;&gt;"", SUMIFS(ポートフォリオ実績!$D$2:$D$2001, ポートフォリオ実績!$B$2:$B$2001, B1672, ポートフォリオ実績!$A$2:$A$2001, G1672), 0)</f>
        <v>0</v>
      </c>
      <c r="I1672">
        <f>IF(B1672&lt;&gt;"", SUMIFS(ポートフォリオ実績!$C$2:$C$2001, ポートフォリオ実績!$B$2:$B$2001, B1672, ポートフォリオ実績!$A$2:$A$2001, G1672), 0)</f>
        <v>0</v>
      </c>
      <c r="J1672">
        <f t="shared" si="287"/>
        <v>0</v>
      </c>
      <c r="K1672">
        <f t="shared" si="288"/>
        <v>0</v>
      </c>
      <c r="L1672">
        <f t="shared" si="289"/>
        <v>0</v>
      </c>
      <c r="M1672">
        <f t="shared" si="290"/>
        <v>0</v>
      </c>
      <c r="N1672">
        <f t="shared" si="291"/>
        <v>0</v>
      </c>
      <c r="O1672">
        <f t="shared" si="292"/>
        <v>0</v>
      </c>
      <c r="P1672" t="str">
        <f t="shared" si="293"/>
        <v/>
      </c>
      <c r="Q1672" t="str">
        <f>IF(B1672="","", IFERROR(VLOOKUP(B1672, '基準資産配分（設定）'!$A$2:$C$2001, 3, FALSE), ""))</f>
        <v/>
      </c>
      <c r="R1672" t="str">
        <f>IF(B1672="","", IFERROR(VLOOKUP(B1672, '基準資産配分（設定）'!$A$2:$C$2001, 2, FALSE)/100, 0))</f>
        <v/>
      </c>
      <c r="S1672" t="str">
        <f>IF(B1672="","", IFERROR(SUMIFS(ベンチマークリターン!$C$2:$C$2001, ベンチマークリターン!$A$2:$A$2001, A1672, ベンチマークリターン!$B$2:$B$2001, Q1672) / 100, 0))</f>
        <v/>
      </c>
      <c r="T1672" t="str">
        <f>IF(A1672="","", SUMIFS($H$2:$H$2000, $A$2:$A$2000, A1672))</f>
        <v/>
      </c>
      <c r="U1672" t="str">
        <f t="shared" si="294"/>
        <v/>
      </c>
      <c r="V1672" t="str">
        <f t="shared" si="295"/>
        <v/>
      </c>
      <c r="W1672" t="str">
        <f t="shared" si="296"/>
        <v/>
      </c>
    </row>
    <row r="1673" spans="1:23" x14ac:dyDescent="0.2">
      <c r="A1673" s="4" t="str">
        <f>IF(ポートフォリオ実績!A1674="","", ポートフォリオ実績!A1674)</f>
        <v/>
      </c>
      <c r="B1673" t="str">
        <f>IF(ポートフォリオ実績!B1674="","", ポートフォリオ実績!B1674)</f>
        <v/>
      </c>
      <c r="C1673" s="10" t="str">
        <f>IF(ポートフォリオ実績!C1674="","", ポートフォリオ実績!C1674)</f>
        <v/>
      </c>
      <c r="D1673" s="10" t="str">
        <f>IF(ポートフォリオ実績!D1674="","", ポートフォリオ実績!D1674)</f>
        <v/>
      </c>
      <c r="E1673" s="10" t="str">
        <f>IF(ポートフォリオ実績!E1674="","", ポートフォリオ実績!E1674)</f>
        <v/>
      </c>
      <c r="F1673" s="10" t="str">
        <f>IF(ポートフォリオ実績!F1674="","", ポートフォリオ実績!F1674)</f>
        <v/>
      </c>
      <c r="G1673" t="str">
        <f t="shared" si="286"/>
        <v/>
      </c>
      <c r="H1673">
        <f>IF(B1673&lt;&gt;"", SUMIFS(ポートフォリオ実績!$D$2:$D$2001, ポートフォリオ実績!$B$2:$B$2001, B1673, ポートフォリオ実績!$A$2:$A$2001, G1673), 0)</f>
        <v>0</v>
      </c>
      <c r="I1673">
        <f>IF(B1673&lt;&gt;"", SUMIFS(ポートフォリオ実績!$C$2:$C$2001, ポートフォリオ実績!$B$2:$B$2001, B1673, ポートフォリオ実績!$A$2:$A$2001, G1673), 0)</f>
        <v>0</v>
      </c>
      <c r="J1673">
        <f t="shared" si="287"/>
        <v>0</v>
      </c>
      <c r="K1673">
        <f t="shared" si="288"/>
        <v>0</v>
      </c>
      <c r="L1673">
        <f t="shared" si="289"/>
        <v>0</v>
      </c>
      <c r="M1673">
        <f t="shared" si="290"/>
        <v>0</v>
      </c>
      <c r="N1673">
        <f t="shared" si="291"/>
        <v>0</v>
      </c>
      <c r="O1673">
        <f t="shared" si="292"/>
        <v>0</v>
      </c>
      <c r="P1673" t="str">
        <f t="shared" si="293"/>
        <v/>
      </c>
      <c r="Q1673" t="str">
        <f>IF(B1673="","", IFERROR(VLOOKUP(B1673, '基準資産配分（設定）'!$A$2:$C$2001, 3, FALSE), ""))</f>
        <v/>
      </c>
      <c r="R1673" t="str">
        <f>IF(B1673="","", IFERROR(VLOOKUP(B1673, '基準資産配分（設定）'!$A$2:$C$2001, 2, FALSE)/100, 0))</f>
        <v/>
      </c>
      <c r="S1673" t="str">
        <f>IF(B1673="","", IFERROR(SUMIFS(ベンチマークリターン!$C$2:$C$2001, ベンチマークリターン!$A$2:$A$2001, A1673, ベンチマークリターン!$B$2:$B$2001, Q1673) / 100, 0))</f>
        <v/>
      </c>
      <c r="T1673" t="str">
        <f>IF(A1673="","", SUMIFS($H$2:$H$2000, $A$2:$A$2000, A1673))</f>
        <v/>
      </c>
      <c r="U1673" t="str">
        <f t="shared" si="294"/>
        <v/>
      </c>
      <c r="V1673" t="str">
        <f t="shared" si="295"/>
        <v/>
      </c>
      <c r="W1673" t="str">
        <f t="shared" si="296"/>
        <v/>
      </c>
    </row>
    <row r="1674" spans="1:23" x14ac:dyDescent="0.2">
      <c r="A1674" s="4" t="str">
        <f>IF(ポートフォリオ実績!A1675="","", ポートフォリオ実績!A1675)</f>
        <v/>
      </c>
      <c r="B1674" t="str">
        <f>IF(ポートフォリオ実績!B1675="","", ポートフォリオ実績!B1675)</f>
        <v/>
      </c>
      <c r="C1674" s="10" t="str">
        <f>IF(ポートフォリオ実績!C1675="","", ポートフォリオ実績!C1675)</f>
        <v/>
      </c>
      <c r="D1674" s="10" t="str">
        <f>IF(ポートフォリオ実績!D1675="","", ポートフォリオ実績!D1675)</f>
        <v/>
      </c>
      <c r="E1674" s="10" t="str">
        <f>IF(ポートフォリオ実績!E1675="","", ポートフォリオ実績!E1675)</f>
        <v/>
      </c>
      <c r="F1674" s="10" t="str">
        <f>IF(ポートフォリオ実績!F1675="","", ポートフォリオ実績!F1675)</f>
        <v/>
      </c>
      <c r="G1674" t="str">
        <f t="shared" si="286"/>
        <v/>
      </c>
      <c r="H1674">
        <f>IF(B1674&lt;&gt;"", SUMIFS(ポートフォリオ実績!$D$2:$D$2001, ポートフォリオ実績!$B$2:$B$2001, B1674, ポートフォリオ実績!$A$2:$A$2001, G1674), 0)</f>
        <v>0</v>
      </c>
      <c r="I1674">
        <f>IF(B1674&lt;&gt;"", SUMIFS(ポートフォリオ実績!$C$2:$C$2001, ポートフォリオ実績!$B$2:$B$2001, B1674, ポートフォリオ実績!$A$2:$A$2001, G1674), 0)</f>
        <v>0</v>
      </c>
      <c r="J1674">
        <f t="shared" si="287"/>
        <v>0</v>
      </c>
      <c r="K1674">
        <f t="shared" si="288"/>
        <v>0</v>
      </c>
      <c r="L1674">
        <f t="shared" si="289"/>
        <v>0</v>
      </c>
      <c r="M1674">
        <f t="shared" si="290"/>
        <v>0</v>
      </c>
      <c r="N1674">
        <f t="shared" si="291"/>
        <v>0</v>
      </c>
      <c r="O1674">
        <f t="shared" si="292"/>
        <v>0</v>
      </c>
      <c r="P1674" t="str">
        <f t="shared" si="293"/>
        <v/>
      </c>
      <c r="Q1674" t="str">
        <f>IF(B1674="","", IFERROR(VLOOKUP(B1674, '基準資産配分（設定）'!$A$2:$C$2001, 3, FALSE), ""))</f>
        <v/>
      </c>
      <c r="R1674" t="str">
        <f>IF(B1674="","", IFERROR(VLOOKUP(B1674, '基準資産配分（設定）'!$A$2:$C$2001, 2, FALSE)/100, 0))</f>
        <v/>
      </c>
      <c r="S1674" t="str">
        <f>IF(B1674="","", IFERROR(SUMIFS(ベンチマークリターン!$C$2:$C$2001, ベンチマークリターン!$A$2:$A$2001, A1674, ベンチマークリターン!$B$2:$B$2001, Q1674) / 100, 0))</f>
        <v/>
      </c>
      <c r="T1674" t="str">
        <f>IF(A1674="","", SUMIFS($H$2:$H$2000, $A$2:$A$2000, A1674))</f>
        <v/>
      </c>
      <c r="U1674" t="str">
        <f t="shared" si="294"/>
        <v/>
      </c>
      <c r="V1674" t="str">
        <f t="shared" si="295"/>
        <v/>
      </c>
      <c r="W1674" t="str">
        <f t="shared" si="296"/>
        <v/>
      </c>
    </row>
    <row r="1675" spans="1:23" x14ac:dyDescent="0.2">
      <c r="A1675" s="4" t="str">
        <f>IF(ポートフォリオ実績!A1676="","", ポートフォリオ実績!A1676)</f>
        <v/>
      </c>
      <c r="B1675" t="str">
        <f>IF(ポートフォリオ実績!B1676="","", ポートフォリオ実績!B1676)</f>
        <v/>
      </c>
      <c r="C1675" s="10" t="str">
        <f>IF(ポートフォリオ実績!C1676="","", ポートフォリオ実績!C1676)</f>
        <v/>
      </c>
      <c r="D1675" s="10" t="str">
        <f>IF(ポートフォリオ実績!D1676="","", ポートフォリオ実績!D1676)</f>
        <v/>
      </c>
      <c r="E1675" s="10" t="str">
        <f>IF(ポートフォリオ実績!E1676="","", ポートフォリオ実績!E1676)</f>
        <v/>
      </c>
      <c r="F1675" s="10" t="str">
        <f>IF(ポートフォリオ実績!F1676="","", ポートフォリオ実績!F1676)</f>
        <v/>
      </c>
      <c r="G1675" t="str">
        <f t="shared" si="286"/>
        <v/>
      </c>
      <c r="H1675">
        <f>IF(B1675&lt;&gt;"", SUMIFS(ポートフォリオ実績!$D$2:$D$2001, ポートフォリオ実績!$B$2:$B$2001, B1675, ポートフォリオ実績!$A$2:$A$2001, G1675), 0)</f>
        <v>0</v>
      </c>
      <c r="I1675">
        <f>IF(B1675&lt;&gt;"", SUMIFS(ポートフォリオ実績!$C$2:$C$2001, ポートフォリオ実績!$B$2:$B$2001, B1675, ポートフォリオ実績!$A$2:$A$2001, G1675), 0)</f>
        <v>0</v>
      </c>
      <c r="J1675">
        <f t="shared" si="287"/>
        <v>0</v>
      </c>
      <c r="K1675">
        <f t="shared" si="288"/>
        <v>0</v>
      </c>
      <c r="L1675">
        <f t="shared" si="289"/>
        <v>0</v>
      </c>
      <c r="M1675">
        <f t="shared" si="290"/>
        <v>0</v>
      </c>
      <c r="N1675">
        <f t="shared" si="291"/>
        <v>0</v>
      </c>
      <c r="O1675">
        <f t="shared" si="292"/>
        <v>0</v>
      </c>
      <c r="P1675" t="str">
        <f t="shared" si="293"/>
        <v/>
      </c>
      <c r="Q1675" t="str">
        <f>IF(B1675="","", IFERROR(VLOOKUP(B1675, '基準資産配分（設定）'!$A$2:$C$2001, 3, FALSE), ""))</f>
        <v/>
      </c>
      <c r="R1675" t="str">
        <f>IF(B1675="","", IFERROR(VLOOKUP(B1675, '基準資産配分（設定）'!$A$2:$C$2001, 2, FALSE)/100, 0))</f>
        <v/>
      </c>
      <c r="S1675" t="str">
        <f>IF(B1675="","", IFERROR(SUMIFS(ベンチマークリターン!$C$2:$C$2001, ベンチマークリターン!$A$2:$A$2001, A1675, ベンチマークリターン!$B$2:$B$2001, Q1675) / 100, 0))</f>
        <v/>
      </c>
      <c r="T1675" t="str">
        <f>IF(A1675="","", SUMIFS($H$2:$H$2000, $A$2:$A$2000, A1675))</f>
        <v/>
      </c>
      <c r="U1675" t="str">
        <f t="shared" si="294"/>
        <v/>
      </c>
      <c r="V1675" t="str">
        <f t="shared" si="295"/>
        <v/>
      </c>
      <c r="W1675" t="str">
        <f t="shared" si="296"/>
        <v/>
      </c>
    </row>
    <row r="1676" spans="1:23" x14ac:dyDescent="0.2">
      <c r="A1676" s="4" t="str">
        <f>IF(ポートフォリオ実績!A1677="","", ポートフォリオ実績!A1677)</f>
        <v/>
      </c>
      <c r="B1676" t="str">
        <f>IF(ポートフォリオ実績!B1677="","", ポートフォリオ実績!B1677)</f>
        <v/>
      </c>
      <c r="C1676" s="10" t="str">
        <f>IF(ポートフォリオ実績!C1677="","", ポートフォリオ実績!C1677)</f>
        <v/>
      </c>
      <c r="D1676" s="10" t="str">
        <f>IF(ポートフォリオ実績!D1677="","", ポートフォリオ実績!D1677)</f>
        <v/>
      </c>
      <c r="E1676" s="10" t="str">
        <f>IF(ポートフォリオ実績!E1677="","", ポートフォリオ実績!E1677)</f>
        <v/>
      </c>
      <c r="F1676" s="10" t="str">
        <f>IF(ポートフォリオ実績!F1677="","", ポートフォリオ実績!F1677)</f>
        <v/>
      </c>
      <c r="G1676" t="str">
        <f t="shared" si="286"/>
        <v/>
      </c>
      <c r="H1676">
        <f>IF(B1676&lt;&gt;"", SUMIFS(ポートフォリオ実績!$D$2:$D$2001, ポートフォリオ実績!$B$2:$B$2001, B1676, ポートフォリオ実績!$A$2:$A$2001, G1676), 0)</f>
        <v>0</v>
      </c>
      <c r="I1676">
        <f>IF(B1676&lt;&gt;"", SUMIFS(ポートフォリオ実績!$C$2:$C$2001, ポートフォリオ実績!$B$2:$B$2001, B1676, ポートフォリオ実績!$A$2:$A$2001, G1676), 0)</f>
        <v>0</v>
      </c>
      <c r="J1676">
        <f t="shared" si="287"/>
        <v>0</v>
      </c>
      <c r="K1676">
        <f t="shared" si="288"/>
        <v>0</v>
      </c>
      <c r="L1676">
        <f t="shared" si="289"/>
        <v>0</v>
      </c>
      <c r="M1676">
        <f t="shared" si="290"/>
        <v>0</v>
      </c>
      <c r="N1676">
        <f t="shared" si="291"/>
        <v>0</v>
      </c>
      <c r="O1676">
        <f t="shared" si="292"/>
        <v>0</v>
      </c>
      <c r="P1676" t="str">
        <f t="shared" si="293"/>
        <v/>
      </c>
      <c r="Q1676" t="str">
        <f>IF(B1676="","", IFERROR(VLOOKUP(B1676, '基準資産配分（設定）'!$A$2:$C$2001, 3, FALSE), ""))</f>
        <v/>
      </c>
      <c r="R1676" t="str">
        <f>IF(B1676="","", IFERROR(VLOOKUP(B1676, '基準資産配分（設定）'!$A$2:$C$2001, 2, FALSE)/100, 0))</f>
        <v/>
      </c>
      <c r="S1676" t="str">
        <f>IF(B1676="","", IFERROR(SUMIFS(ベンチマークリターン!$C$2:$C$2001, ベンチマークリターン!$A$2:$A$2001, A1676, ベンチマークリターン!$B$2:$B$2001, Q1676) / 100, 0))</f>
        <v/>
      </c>
      <c r="T1676" t="str">
        <f>IF(A1676="","", SUMIFS($H$2:$H$2000, $A$2:$A$2000, A1676))</f>
        <v/>
      </c>
      <c r="U1676" t="str">
        <f t="shared" si="294"/>
        <v/>
      </c>
      <c r="V1676" t="str">
        <f t="shared" si="295"/>
        <v/>
      </c>
      <c r="W1676" t="str">
        <f t="shared" si="296"/>
        <v/>
      </c>
    </row>
    <row r="1677" spans="1:23" x14ac:dyDescent="0.2">
      <c r="A1677" s="4" t="str">
        <f>IF(ポートフォリオ実績!A1678="","", ポートフォリオ実績!A1678)</f>
        <v/>
      </c>
      <c r="B1677" t="str">
        <f>IF(ポートフォリオ実績!B1678="","", ポートフォリオ実績!B1678)</f>
        <v/>
      </c>
      <c r="C1677" s="10" t="str">
        <f>IF(ポートフォリオ実績!C1678="","", ポートフォリオ実績!C1678)</f>
        <v/>
      </c>
      <c r="D1677" s="10" t="str">
        <f>IF(ポートフォリオ実績!D1678="","", ポートフォリオ実績!D1678)</f>
        <v/>
      </c>
      <c r="E1677" s="10" t="str">
        <f>IF(ポートフォリオ実績!E1678="","", ポートフォリオ実績!E1678)</f>
        <v/>
      </c>
      <c r="F1677" s="10" t="str">
        <f>IF(ポートフォリオ実績!F1678="","", ポートフォリオ実績!F1678)</f>
        <v/>
      </c>
      <c r="G1677" t="str">
        <f t="shared" si="286"/>
        <v/>
      </c>
      <c r="H1677">
        <f>IF(B1677&lt;&gt;"", SUMIFS(ポートフォリオ実績!$D$2:$D$2001, ポートフォリオ実績!$B$2:$B$2001, B1677, ポートフォリオ実績!$A$2:$A$2001, G1677), 0)</f>
        <v>0</v>
      </c>
      <c r="I1677">
        <f>IF(B1677&lt;&gt;"", SUMIFS(ポートフォリオ実績!$C$2:$C$2001, ポートフォリオ実績!$B$2:$B$2001, B1677, ポートフォリオ実績!$A$2:$A$2001, G1677), 0)</f>
        <v>0</v>
      </c>
      <c r="J1677">
        <f t="shared" si="287"/>
        <v>0</v>
      </c>
      <c r="K1677">
        <f t="shared" si="288"/>
        <v>0</v>
      </c>
      <c r="L1677">
        <f t="shared" si="289"/>
        <v>0</v>
      </c>
      <c r="M1677">
        <f t="shared" si="290"/>
        <v>0</v>
      </c>
      <c r="N1677">
        <f t="shared" si="291"/>
        <v>0</v>
      </c>
      <c r="O1677">
        <f t="shared" si="292"/>
        <v>0</v>
      </c>
      <c r="P1677" t="str">
        <f t="shared" si="293"/>
        <v/>
      </c>
      <c r="Q1677" t="str">
        <f>IF(B1677="","", IFERROR(VLOOKUP(B1677, '基準資産配分（設定）'!$A$2:$C$2001, 3, FALSE), ""))</f>
        <v/>
      </c>
      <c r="R1677" t="str">
        <f>IF(B1677="","", IFERROR(VLOOKUP(B1677, '基準資産配分（設定）'!$A$2:$C$2001, 2, FALSE)/100, 0))</f>
        <v/>
      </c>
      <c r="S1677" t="str">
        <f>IF(B1677="","", IFERROR(SUMIFS(ベンチマークリターン!$C$2:$C$2001, ベンチマークリターン!$A$2:$A$2001, A1677, ベンチマークリターン!$B$2:$B$2001, Q1677) / 100, 0))</f>
        <v/>
      </c>
      <c r="T1677" t="str">
        <f>IF(A1677="","", SUMIFS($H$2:$H$2000, $A$2:$A$2000, A1677))</f>
        <v/>
      </c>
      <c r="U1677" t="str">
        <f t="shared" si="294"/>
        <v/>
      </c>
      <c r="V1677" t="str">
        <f t="shared" si="295"/>
        <v/>
      </c>
      <c r="W1677" t="str">
        <f t="shared" si="296"/>
        <v/>
      </c>
    </row>
    <row r="1678" spans="1:23" x14ac:dyDescent="0.2">
      <c r="A1678" s="4" t="str">
        <f>IF(ポートフォリオ実績!A1679="","", ポートフォリオ実績!A1679)</f>
        <v/>
      </c>
      <c r="B1678" t="str">
        <f>IF(ポートフォリオ実績!B1679="","", ポートフォリオ実績!B1679)</f>
        <v/>
      </c>
      <c r="C1678" s="10" t="str">
        <f>IF(ポートフォリオ実績!C1679="","", ポートフォリオ実績!C1679)</f>
        <v/>
      </c>
      <c r="D1678" s="10" t="str">
        <f>IF(ポートフォリオ実績!D1679="","", ポートフォリオ実績!D1679)</f>
        <v/>
      </c>
      <c r="E1678" s="10" t="str">
        <f>IF(ポートフォリオ実績!E1679="","", ポートフォリオ実績!E1679)</f>
        <v/>
      </c>
      <c r="F1678" s="10" t="str">
        <f>IF(ポートフォリオ実績!F1679="","", ポートフォリオ実績!F1679)</f>
        <v/>
      </c>
      <c r="G1678" t="str">
        <f t="shared" si="286"/>
        <v/>
      </c>
      <c r="H1678">
        <f>IF(B1678&lt;&gt;"", SUMIFS(ポートフォリオ実績!$D$2:$D$2001, ポートフォリオ実績!$B$2:$B$2001, B1678, ポートフォリオ実績!$A$2:$A$2001, G1678), 0)</f>
        <v>0</v>
      </c>
      <c r="I1678">
        <f>IF(B1678&lt;&gt;"", SUMIFS(ポートフォリオ実績!$C$2:$C$2001, ポートフォリオ実績!$B$2:$B$2001, B1678, ポートフォリオ実績!$A$2:$A$2001, G1678), 0)</f>
        <v>0</v>
      </c>
      <c r="J1678">
        <f t="shared" si="287"/>
        <v>0</v>
      </c>
      <c r="K1678">
        <f t="shared" si="288"/>
        <v>0</v>
      </c>
      <c r="L1678">
        <f t="shared" si="289"/>
        <v>0</v>
      </c>
      <c r="M1678">
        <f t="shared" si="290"/>
        <v>0</v>
      </c>
      <c r="N1678">
        <f t="shared" si="291"/>
        <v>0</v>
      </c>
      <c r="O1678">
        <f t="shared" si="292"/>
        <v>0</v>
      </c>
      <c r="P1678" t="str">
        <f t="shared" si="293"/>
        <v/>
      </c>
      <c r="Q1678" t="str">
        <f>IF(B1678="","", IFERROR(VLOOKUP(B1678, '基準資産配分（設定）'!$A$2:$C$2001, 3, FALSE), ""))</f>
        <v/>
      </c>
      <c r="R1678" t="str">
        <f>IF(B1678="","", IFERROR(VLOOKUP(B1678, '基準資産配分（設定）'!$A$2:$C$2001, 2, FALSE)/100, 0))</f>
        <v/>
      </c>
      <c r="S1678" t="str">
        <f>IF(B1678="","", IFERROR(SUMIFS(ベンチマークリターン!$C$2:$C$2001, ベンチマークリターン!$A$2:$A$2001, A1678, ベンチマークリターン!$B$2:$B$2001, Q1678) / 100, 0))</f>
        <v/>
      </c>
      <c r="T1678" t="str">
        <f>IF(A1678="","", SUMIFS($H$2:$H$2000, $A$2:$A$2000, A1678))</f>
        <v/>
      </c>
      <c r="U1678" t="str">
        <f t="shared" si="294"/>
        <v/>
      </c>
      <c r="V1678" t="str">
        <f t="shared" si="295"/>
        <v/>
      </c>
      <c r="W1678" t="str">
        <f t="shared" si="296"/>
        <v/>
      </c>
    </row>
    <row r="1679" spans="1:23" x14ac:dyDescent="0.2">
      <c r="A1679" s="4" t="str">
        <f>IF(ポートフォリオ実績!A1680="","", ポートフォリオ実績!A1680)</f>
        <v/>
      </c>
      <c r="B1679" t="str">
        <f>IF(ポートフォリオ実績!B1680="","", ポートフォリオ実績!B1680)</f>
        <v/>
      </c>
      <c r="C1679" s="10" t="str">
        <f>IF(ポートフォリオ実績!C1680="","", ポートフォリオ実績!C1680)</f>
        <v/>
      </c>
      <c r="D1679" s="10" t="str">
        <f>IF(ポートフォリオ実績!D1680="","", ポートフォリオ実績!D1680)</f>
        <v/>
      </c>
      <c r="E1679" s="10" t="str">
        <f>IF(ポートフォリオ実績!E1680="","", ポートフォリオ実績!E1680)</f>
        <v/>
      </c>
      <c r="F1679" s="10" t="str">
        <f>IF(ポートフォリオ実績!F1680="","", ポートフォリオ実績!F1680)</f>
        <v/>
      </c>
      <c r="G1679" t="str">
        <f t="shared" si="286"/>
        <v/>
      </c>
      <c r="H1679">
        <f>IF(B1679&lt;&gt;"", SUMIFS(ポートフォリオ実績!$D$2:$D$2001, ポートフォリオ実績!$B$2:$B$2001, B1679, ポートフォリオ実績!$A$2:$A$2001, G1679), 0)</f>
        <v>0</v>
      </c>
      <c r="I1679">
        <f>IF(B1679&lt;&gt;"", SUMIFS(ポートフォリオ実績!$C$2:$C$2001, ポートフォリオ実績!$B$2:$B$2001, B1679, ポートフォリオ実績!$A$2:$A$2001, G1679), 0)</f>
        <v>0</v>
      </c>
      <c r="J1679">
        <f t="shared" si="287"/>
        <v>0</v>
      </c>
      <c r="K1679">
        <f t="shared" si="288"/>
        <v>0</v>
      </c>
      <c r="L1679">
        <f t="shared" si="289"/>
        <v>0</v>
      </c>
      <c r="M1679">
        <f t="shared" si="290"/>
        <v>0</v>
      </c>
      <c r="N1679">
        <f t="shared" si="291"/>
        <v>0</v>
      </c>
      <c r="O1679">
        <f t="shared" si="292"/>
        <v>0</v>
      </c>
      <c r="P1679" t="str">
        <f t="shared" si="293"/>
        <v/>
      </c>
      <c r="Q1679" t="str">
        <f>IF(B1679="","", IFERROR(VLOOKUP(B1679, '基準資産配分（設定）'!$A$2:$C$2001, 3, FALSE), ""))</f>
        <v/>
      </c>
      <c r="R1679" t="str">
        <f>IF(B1679="","", IFERROR(VLOOKUP(B1679, '基準資産配分（設定）'!$A$2:$C$2001, 2, FALSE)/100, 0))</f>
        <v/>
      </c>
      <c r="S1679" t="str">
        <f>IF(B1679="","", IFERROR(SUMIFS(ベンチマークリターン!$C$2:$C$2001, ベンチマークリターン!$A$2:$A$2001, A1679, ベンチマークリターン!$B$2:$B$2001, Q1679) / 100, 0))</f>
        <v/>
      </c>
      <c r="T1679" t="str">
        <f>IF(A1679="","", SUMIFS($H$2:$H$2000, $A$2:$A$2000, A1679))</f>
        <v/>
      </c>
      <c r="U1679" t="str">
        <f t="shared" si="294"/>
        <v/>
      </c>
      <c r="V1679" t="str">
        <f t="shared" si="295"/>
        <v/>
      </c>
      <c r="W1679" t="str">
        <f t="shared" si="296"/>
        <v/>
      </c>
    </row>
    <row r="1680" spans="1:23" x14ac:dyDescent="0.2">
      <c r="A1680" s="4" t="str">
        <f>IF(ポートフォリオ実績!A1681="","", ポートフォリオ実績!A1681)</f>
        <v/>
      </c>
      <c r="B1680" t="str">
        <f>IF(ポートフォリオ実績!B1681="","", ポートフォリオ実績!B1681)</f>
        <v/>
      </c>
      <c r="C1680" s="10" t="str">
        <f>IF(ポートフォリオ実績!C1681="","", ポートフォリオ実績!C1681)</f>
        <v/>
      </c>
      <c r="D1680" s="10" t="str">
        <f>IF(ポートフォリオ実績!D1681="","", ポートフォリオ実績!D1681)</f>
        <v/>
      </c>
      <c r="E1680" s="10" t="str">
        <f>IF(ポートフォリオ実績!E1681="","", ポートフォリオ実績!E1681)</f>
        <v/>
      </c>
      <c r="F1680" s="10" t="str">
        <f>IF(ポートフォリオ実績!F1681="","", ポートフォリオ実績!F1681)</f>
        <v/>
      </c>
      <c r="G1680" t="str">
        <f t="shared" si="286"/>
        <v/>
      </c>
      <c r="H1680">
        <f>IF(B1680&lt;&gt;"", SUMIFS(ポートフォリオ実績!$D$2:$D$2001, ポートフォリオ実績!$B$2:$B$2001, B1680, ポートフォリオ実績!$A$2:$A$2001, G1680), 0)</f>
        <v>0</v>
      </c>
      <c r="I1680">
        <f>IF(B1680&lt;&gt;"", SUMIFS(ポートフォリオ実績!$C$2:$C$2001, ポートフォリオ実績!$B$2:$B$2001, B1680, ポートフォリオ実績!$A$2:$A$2001, G1680), 0)</f>
        <v>0</v>
      </c>
      <c r="J1680">
        <f t="shared" si="287"/>
        <v>0</v>
      </c>
      <c r="K1680">
        <f t="shared" si="288"/>
        <v>0</v>
      </c>
      <c r="L1680">
        <f t="shared" si="289"/>
        <v>0</v>
      </c>
      <c r="M1680">
        <f t="shared" si="290"/>
        <v>0</v>
      </c>
      <c r="N1680">
        <f t="shared" si="291"/>
        <v>0</v>
      </c>
      <c r="O1680">
        <f t="shared" si="292"/>
        <v>0</v>
      </c>
      <c r="P1680" t="str">
        <f t="shared" si="293"/>
        <v/>
      </c>
      <c r="Q1680" t="str">
        <f>IF(B1680="","", IFERROR(VLOOKUP(B1680, '基準資産配分（設定）'!$A$2:$C$2001, 3, FALSE), ""))</f>
        <v/>
      </c>
      <c r="R1680" t="str">
        <f>IF(B1680="","", IFERROR(VLOOKUP(B1680, '基準資産配分（設定）'!$A$2:$C$2001, 2, FALSE)/100, 0))</f>
        <v/>
      </c>
      <c r="S1680" t="str">
        <f>IF(B1680="","", IFERROR(SUMIFS(ベンチマークリターン!$C$2:$C$2001, ベンチマークリターン!$A$2:$A$2001, A1680, ベンチマークリターン!$B$2:$B$2001, Q1680) / 100, 0))</f>
        <v/>
      </c>
      <c r="T1680" t="str">
        <f>IF(A1680="","", SUMIFS($H$2:$H$2000, $A$2:$A$2000, A1680))</f>
        <v/>
      </c>
      <c r="U1680" t="str">
        <f t="shared" si="294"/>
        <v/>
      </c>
      <c r="V1680" t="str">
        <f t="shared" si="295"/>
        <v/>
      </c>
      <c r="W1680" t="str">
        <f t="shared" si="296"/>
        <v/>
      </c>
    </row>
    <row r="1681" spans="1:23" x14ac:dyDescent="0.2">
      <c r="A1681" s="4" t="str">
        <f>IF(ポートフォリオ実績!A1682="","", ポートフォリオ実績!A1682)</f>
        <v/>
      </c>
      <c r="B1681" t="str">
        <f>IF(ポートフォリオ実績!B1682="","", ポートフォリオ実績!B1682)</f>
        <v/>
      </c>
      <c r="C1681" s="10" t="str">
        <f>IF(ポートフォリオ実績!C1682="","", ポートフォリオ実績!C1682)</f>
        <v/>
      </c>
      <c r="D1681" s="10" t="str">
        <f>IF(ポートフォリオ実績!D1682="","", ポートフォリオ実績!D1682)</f>
        <v/>
      </c>
      <c r="E1681" s="10" t="str">
        <f>IF(ポートフォリオ実績!E1682="","", ポートフォリオ実績!E1682)</f>
        <v/>
      </c>
      <c r="F1681" s="10" t="str">
        <f>IF(ポートフォリオ実績!F1682="","", ポートフォリオ実績!F1682)</f>
        <v/>
      </c>
      <c r="G1681" t="str">
        <f t="shared" si="286"/>
        <v/>
      </c>
      <c r="H1681">
        <f>IF(B1681&lt;&gt;"", SUMIFS(ポートフォリオ実績!$D$2:$D$2001, ポートフォリオ実績!$B$2:$B$2001, B1681, ポートフォリオ実績!$A$2:$A$2001, G1681), 0)</f>
        <v>0</v>
      </c>
      <c r="I1681">
        <f>IF(B1681&lt;&gt;"", SUMIFS(ポートフォリオ実績!$C$2:$C$2001, ポートフォリオ実績!$B$2:$B$2001, B1681, ポートフォリオ実績!$A$2:$A$2001, G1681), 0)</f>
        <v>0</v>
      </c>
      <c r="J1681">
        <f t="shared" si="287"/>
        <v>0</v>
      </c>
      <c r="K1681">
        <f t="shared" si="288"/>
        <v>0</v>
      </c>
      <c r="L1681">
        <f t="shared" si="289"/>
        <v>0</v>
      </c>
      <c r="M1681">
        <f t="shared" si="290"/>
        <v>0</v>
      </c>
      <c r="N1681">
        <f t="shared" si="291"/>
        <v>0</v>
      </c>
      <c r="O1681">
        <f t="shared" si="292"/>
        <v>0</v>
      </c>
      <c r="P1681" t="str">
        <f t="shared" si="293"/>
        <v/>
      </c>
      <c r="Q1681" t="str">
        <f>IF(B1681="","", IFERROR(VLOOKUP(B1681, '基準資産配分（設定）'!$A$2:$C$2001, 3, FALSE), ""))</f>
        <v/>
      </c>
      <c r="R1681" t="str">
        <f>IF(B1681="","", IFERROR(VLOOKUP(B1681, '基準資産配分（設定）'!$A$2:$C$2001, 2, FALSE)/100, 0))</f>
        <v/>
      </c>
      <c r="S1681" t="str">
        <f>IF(B1681="","", IFERROR(SUMIFS(ベンチマークリターン!$C$2:$C$2001, ベンチマークリターン!$A$2:$A$2001, A1681, ベンチマークリターン!$B$2:$B$2001, Q1681) / 100, 0))</f>
        <v/>
      </c>
      <c r="T1681" t="str">
        <f>IF(A1681="","", SUMIFS($H$2:$H$2000, $A$2:$A$2000, A1681))</f>
        <v/>
      </c>
      <c r="U1681" t="str">
        <f t="shared" si="294"/>
        <v/>
      </c>
      <c r="V1681" t="str">
        <f t="shared" si="295"/>
        <v/>
      </c>
      <c r="W1681" t="str">
        <f t="shared" si="296"/>
        <v/>
      </c>
    </row>
    <row r="1682" spans="1:23" x14ac:dyDescent="0.2">
      <c r="A1682" s="4" t="str">
        <f>IF(ポートフォリオ実績!A1683="","", ポートフォリオ実績!A1683)</f>
        <v/>
      </c>
      <c r="B1682" t="str">
        <f>IF(ポートフォリオ実績!B1683="","", ポートフォリオ実績!B1683)</f>
        <v/>
      </c>
      <c r="C1682" s="10" t="str">
        <f>IF(ポートフォリオ実績!C1683="","", ポートフォリオ実績!C1683)</f>
        <v/>
      </c>
      <c r="D1682" s="10" t="str">
        <f>IF(ポートフォリオ実績!D1683="","", ポートフォリオ実績!D1683)</f>
        <v/>
      </c>
      <c r="E1682" s="10" t="str">
        <f>IF(ポートフォリオ実績!E1683="","", ポートフォリオ実績!E1683)</f>
        <v/>
      </c>
      <c r="F1682" s="10" t="str">
        <f>IF(ポートフォリオ実績!F1683="","", ポートフォリオ実績!F1683)</f>
        <v/>
      </c>
      <c r="G1682" t="str">
        <f t="shared" si="286"/>
        <v/>
      </c>
      <c r="H1682">
        <f>IF(B1682&lt;&gt;"", SUMIFS(ポートフォリオ実績!$D$2:$D$2001, ポートフォリオ実績!$B$2:$B$2001, B1682, ポートフォリオ実績!$A$2:$A$2001, G1682), 0)</f>
        <v>0</v>
      </c>
      <c r="I1682">
        <f>IF(B1682&lt;&gt;"", SUMIFS(ポートフォリオ実績!$C$2:$C$2001, ポートフォリオ実績!$B$2:$B$2001, B1682, ポートフォリオ実績!$A$2:$A$2001, G1682), 0)</f>
        <v>0</v>
      </c>
      <c r="J1682">
        <f t="shared" si="287"/>
        <v>0</v>
      </c>
      <c r="K1682">
        <f t="shared" si="288"/>
        <v>0</v>
      </c>
      <c r="L1682">
        <f t="shared" si="289"/>
        <v>0</v>
      </c>
      <c r="M1682">
        <f t="shared" si="290"/>
        <v>0</v>
      </c>
      <c r="N1682">
        <f t="shared" si="291"/>
        <v>0</v>
      </c>
      <c r="O1682">
        <f t="shared" si="292"/>
        <v>0</v>
      </c>
      <c r="P1682" t="str">
        <f t="shared" si="293"/>
        <v/>
      </c>
      <c r="Q1682" t="str">
        <f>IF(B1682="","", IFERROR(VLOOKUP(B1682, '基準資産配分（設定）'!$A$2:$C$2001, 3, FALSE), ""))</f>
        <v/>
      </c>
      <c r="R1682" t="str">
        <f>IF(B1682="","", IFERROR(VLOOKUP(B1682, '基準資産配分（設定）'!$A$2:$C$2001, 2, FALSE)/100, 0))</f>
        <v/>
      </c>
      <c r="S1682" t="str">
        <f>IF(B1682="","", IFERROR(SUMIFS(ベンチマークリターン!$C$2:$C$2001, ベンチマークリターン!$A$2:$A$2001, A1682, ベンチマークリターン!$B$2:$B$2001, Q1682) / 100, 0))</f>
        <v/>
      </c>
      <c r="T1682" t="str">
        <f>IF(A1682="","", SUMIFS($H$2:$H$2000, $A$2:$A$2000, A1682))</f>
        <v/>
      </c>
      <c r="U1682" t="str">
        <f t="shared" si="294"/>
        <v/>
      </c>
      <c r="V1682" t="str">
        <f t="shared" si="295"/>
        <v/>
      </c>
      <c r="W1682" t="str">
        <f t="shared" si="296"/>
        <v/>
      </c>
    </row>
    <row r="1683" spans="1:23" x14ac:dyDescent="0.2">
      <c r="A1683" s="4" t="str">
        <f>IF(ポートフォリオ実績!A1684="","", ポートフォリオ実績!A1684)</f>
        <v/>
      </c>
      <c r="B1683" t="str">
        <f>IF(ポートフォリオ実績!B1684="","", ポートフォリオ実績!B1684)</f>
        <v/>
      </c>
      <c r="C1683" s="10" t="str">
        <f>IF(ポートフォリオ実績!C1684="","", ポートフォリオ実績!C1684)</f>
        <v/>
      </c>
      <c r="D1683" s="10" t="str">
        <f>IF(ポートフォリオ実績!D1684="","", ポートフォリオ実績!D1684)</f>
        <v/>
      </c>
      <c r="E1683" s="10" t="str">
        <f>IF(ポートフォリオ実績!E1684="","", ポートフォリオ実績!E1684)</f>
        <v/>
      </c>
      <c r="F1683" s="10" t="str">
        <f>IF(ポートフォリオ実績!F1684="","", ポートフォリオ実績!F1684)</f>
        <v/>
      </c>
      <c r="G1683" t="str">
        <f t="shared" si="286"/>
        <v/>
      </c>
      <c r="H1683">
        <f>IF(B1683&lt;&gt;"", SUMIFS(ポートフォリオ実績!$D$2:$D$2001, ポートフォリオ実績!$B$2:$B$2001, B1683, ポートフォリオ実績!$A$2:$A$2001, G1683), 0)</f>
        <v>0</v>
      </c>
      <c r="I1683">
        <f>IF(B1683&lt;&gt;"", SUMIFS(ポートフォリオ実績!$C$2:$C$2001, ポートフォリオ実績!$B$2:$B$2001, B1683, ポートフォリオ実績!$A$2:$A$2001, G1683), 0)</f>
        <v>0</v>
      </c>
      <c r="J1683">
        <f t="shared" si="287"/>
        <v>0</v>
      </c>
      <c r="K1683">
        <f t="shared" si="288"/>
        <v>0</v>
      </c>
      <c r="L1683">
        <f t="shared" si="289"/>
        <v>0</v>
      </c>
      <c r="M1683">
        <f t="shared" si="290"/>
        <v>0</v>
      </c>
      <c r="N1683">
        <f t="shared" si="291"/>
        <v>0</v>
      </c>
      <c r="O1683">
        <f t="shared" si="292"/>
        <v>0</v>
      </c>
      <c r="P1683" t="str">
        <f t="shared" si="293"/>
        <v/>
      </c>
      <c r="Q1683" t="str">
        <f>IF(B1683="","", IFERROR(VLOOKUP(B1683, '基準資産配分（設定）'!$A$2:$C$2001, 3, FALSE), ""))</f>
        <v/>
      </c>
      <c r="R1683" t="str">
        <f>IF(B1683="","", IFERROR(VLOOKUP(B1683, '基準資産配分（設定）'!$A$2:$C$2001, 2, FALSE)/100, 0))</f>
        <v/>
      </c>
      <c r="S1683" t="str">
        <f>IF(B1683="","", IFERROR(SUMIFS(ベンチマークリターン!$C$2:$C$2001, ベンチマークリターン!$A$2:$A$2001, A1683, ベンチマークリターン!$B$2:$B$2001, Q1683) / 100, 0))</f>
        <v/>
      </c>
      <c r="T1683" t="str">
        <f>IF(A1683="","", SUMIFS($H$2:$H$2000, $A$2:$A$2000, A1683))</f>
        <v/>
      </c>
      <c r="U1683" t="str">
        <f t="shared" si="294"/>
        <v/>
      </c>
      <c r="V1683" t="str">
        <f t="shared" si="295"/>
        <v/>
      </c>
      <c r="W1683" t="str">
        <f t="shared" si="296"/>
        <v/>
      </c>
    </row>
    <row r="1684" spans="1:23" x14ac:dyDescent="0.2">
      <c r="A1684" s="4" t="str">
        <f>IF(ポートフォリオ実績!A1685="","", ポートフォリオ実績!A1685)</f>
        <v/>
      </c>
      <c r="B1684" t="str">
        <f>IF(ポートフォリオ実績!B1685="","", ポートフォリオ実績!B1685)</f>
        <v/>
      </c>
      <c r="C1684" s="10" t="str">
        <f>IF(ポートフォリオ実績!C1685="","", ポートフォリオ実績!C1685)</f>
        <v/>
      </c>
      <c r="D1684" s="10" t="str">
        <f>IF(ポートフォリオ実績!D1685="","", ポートフォリオ実績!D1685)</f>
        <v/>
      </c>
      <c r="E1684" s="10" t="str">
        <f>IF(ポートフォリオ実績!E1685="","", ポートフォリオ実績!E1685)</f>
        <v/>
      </c>
      <c r="F1684" s="10" t="str">
        <f>IF(ポートフォリオ実績!F1685="","", ポートフォリオ実績!F1685)</f>
        <v/>
      </c>
      <c r="G1684" t="str">
        <f t="shared" si="286"/>
        <v/>
      </c>
      <c r="H1684">
        <f>IF(B1684&lt;&gt;"", SUMIFS(ポートフォリオ実績!$D$2:$D$2001, ポートフォリオ実績!$B$2:$B$2001, B1684, ポートフォリオ実績!$A$2:$A$2001, G1684), 0)</f>
        <v>0</v>
      </c>
      <c r="I1684">
        <f>IF(B1684&lt;&gt;"", SUMIFS(ポートフォリオ実績!$C$2:$C$2001, ポートフォリオ実績!$B$2:$B$2001, B1684, ポートフォリオ実績!$A$2:$A$2001, G1684), 0)</f>
        <v>0</v>
      </c>
      <c r="J1684">
        <f t="shared" si="287"/>
        <v>0</v>
      </c>
      <c r="K1684">
        <f t="shared" si="288"/>
        <v>0</v>
      </c>
      <c r="L1684">
        <f t="shared" si="289"/>
        <v>0</v>
      </c>
      <c r="M1684">
        <f t="shared" si="290"/>
        <v>0</v>
      </c>
      <c r="N1684">
        <f t="shared" si="291"/>
        <v>0</v>
      </c>
      <c r="O1684">
        <f t="shared" si="292"/>
        <v>0</v>
      </c>
      <c r="P1684" t="str">
        <f t="shared" si="293"/>
        <v/>
      </c>
      <c r="Q1684" t="str">
        <f>IF(B1684="","", IFERROR(VLOOKUP(B1684, '基準資産配分（設定）'!$A$2:$C$2001, 3, FALSE), ""))</f>
        <v/>
      </c>
      <c r="R1684" t="str">
        <f>IF(B1684="","", IFERROR(VLOOKUP(B1684, '基準資産配分（設定）'!$A$2:$C$2001, 2, FALSE)/100, 0))</f>
        <v/>
      </c>
      <c r="S1684" t="str">
        <f>IF(B1684="","", IFERROR(SUMIFS(ベンチマークリターン!$C$2:$C$2001, ベンチマークリターン!$A$2:$A$2001, A1684, ベンチマークリターン!$B$2:$B$2001, Q1684) / 100, 0))</f>
        <v/>
      </c>
      <c r="T1684" t="str">
        <f>IF(A1684="","", SUMIFS($H$2:$H$2000, $A$2:$A$2000, A1684))</f>
        <v/>
      </c>
      <c r="U1684" t="str">
        <f t="shared" si="294"/>
        <v/>
      </c>
      <c r="V1684" t="str">
        <f t="shared" si="295"/>
        <v/>
      </c>
      <c r="W1684" t="str">
        <f t="shared" si="296"/>
        <v/>
      </c>
    </row>
    <row r="1685" spans="1:23" x14ac:dyDescent="0.2">
      <c r="A1685" s="4" t="str">
        <f>IF(ポートフォリオ実績!A1686="","", ポートフォリオ実績!A1686)</f>
        <v/>
      </c>
      <c r="B1685" t="str">
        <f>IF(ポートフォリオ実績!B1686="","", ポートフォリオ実績!B1686)</f>
        <v/>
      </c>
      <c r="C1685" s="10" t="str">
        <f>IF(ポートフォリオ実績!C1686="","", ポートフォリオ実績!C1686)</f>
        <v/>
      </c>
      <c r="D1685" s="10" t="str">
        <f>IF(ポートフォリオ実績!D1686="","", ポートフォリオ実績!D1686)</f>
        <v/>
      </c>
      <c r="E1685" s="10" t="str">
        <f>IF(ポートフォリオ実績!E1686="","", ポートフォリオ実績!E1686)</f>
        <v/>
      </c>
      <c r="F1685" s="10" t="str">
        <f>IF(ポートフォリオ実績!F1686="","", ポートフォリオ実績!F1686)</f>
        <v/>
      </c>
      <c r="G1685" t="str">
        <f t="shared" si="286"/>
        <v/>
      </c>
      <c r="H1685">
        <f>IF(B1685&lt;&gt;"", SUMIFS(ポートフォリオ実績!$D$2:$D$2001, ポートフォリオ実績!$B$2:$B$2001, B1685, ポートフォリオ実績!$A$2:$A$2001, G1685), 0)</f>
        <v>0</v>
      </c>
      <c r="I1685">
        <f>IF(B1685&lt;&gt;"", SUMIFS(ポートフォリオ実績!$C$2:$C$2001, ポートフォリオ実績!$B$2:$B$2001, B1685, ポートフォリオ実績!$A$2:$A$2001, G1685), 0)</f>
        <v>0</v>
      </c>
      <c r="J1685">
        <f t="shared" si="287"/>
        <v>0</v>
      </c>
      <c r="K1685">
        <f t="shared" si="288"/>
        <v>0</v>
      </c>
      <c r="L1685">
        <f t="shared" si="289"/>
        <v>0</v>
      </c>
      <c r="M1685">
        <f t="shared" si="290"/>
        <v>0</v>
      </c>
      <c r="N1685">
        <f t="shared" si="291"/>
        <v>0</v>
      </c>
      <c r="O1685">
        <f t="shared" si="292"/>
        <v>0</v>
      </c>
      <c r="P1685" t="str">
        <f t="shared" si="293"/>
        <v/>
      </c>
      <c r="Q1685" t="str">
        <f>IF(B1685="","", IFERROR(VLOOKUP(B1685, '基準資産配分（設定）'!$A$2:$C$2001, 3, FALSE), ""))</f>
        <v/>
      </c>
      <c r="R1685" t="str">
        <f>IF(B1685="","", IFERROR(VLOOKUP(B1685, '基準資産配分（設定）'!$A$2:$C$2001, 2, FALSE)/100, 0))</f>
        <v/>
      </c>
      <c r="S1685" t="str">
        <f>IF(B1685="","", IFERROR(SUMIFS(ベンチマークリターン!$C$2:$C$2001, ベンチマークリターン!$A$2:$A$2001, A1685, ベンチマークリターン!$B$2:$B$2001, Q1685) / 100, 0))</f>
        <v/>
      </c>
      <c r="T1685" t="str">
        <f>IF(A1685="","", SUMIFS($H$2:$H$2000, $A$2:$A$2000, A1685))</f>
        <v/>
      </c>
      <c r="U1685" t="str">
        <f t="shared" si="294"/>
        <v/>
      </c>
      <c r="V1685" t="str">
        <f t="shared" si="295"/>
        <v/>
      </c>
      <c r="W1685" t="str">
        <f t="shared" si="296"/>
        <v/>
      </c>
    </row>
    <row r="1686" spans="1:23" x14ac:dyDescent="0.2">
      <c r="A1686" s="4" t="str">
        <f>IF(ポートフォリオ実績!A1687="","", ポートフォリオ実績!A1687)</f>
        <v/>
      </c>
      <c r="B1686" t="str">
        <f>IF(ポートフォリオ実績!B1687="","", ポートフォリオ実績!B1687)</f>
        <v/>
      </c>
      <c r="C1686" s="10" t="str">
        <f>IF(ポートフォリオ実績!C1687="","", ポートフォリオ実績!C1687)</f>
        <v/>
      </c>
      <c r="D1686" s="10" t="str">
        <f>IF(ポートフォリオ実績!D1687="","", ポートフォリオ実績!D1687)</f>
        <v/>
      </c>
      <c r="E1686" s="10" t="str">
        <f>IF(ポートフォリオ実績!E1687="","", ポートフォリオ実績!E1687)</f>
        <v/>
      </c>
      <c r="F1686" s="10" t="str">
        <f>IF(ポートフォリオ実績!F1687="","", ポートフォリオ実績!F1687)</f>
        <v/>
      </c>
      <c r="G1686" t="str">
        <f t="shared" si="286"/>
        <v/>
      </c>
      <c r="H1686">
        <f>IF(B1686&lt;&gt;"", SUMIFS(ポートフォリオ実績!$D$2:$D$2001, ポートフォリオ実績!$B$2:$B$2001, B1686, ポートフォリオ実績!$A$2:$A$2001, G1686), 0)</f>
        <v>0</v>
      </c>
      <c r="I1686">
        <f>IF(B1686&lt;&gt;"", SUMIFS(ポートフォリオ実績!$C$2:$C$2001, ポートフォリオ実績!$B$2:$B$2001, B1686, ポートフォリオ実績!$A$2:$A$2001, G1686), 0)</f>
        <v>0</v>
      </c>
      <c r="J1686">
        <f t="shared" si="287"/>
        <v>0</v>
      </c>
      <c r="K1686">
        <f t="shared" si="288"/>
        <v>0</v>
      </c>
      <c r="L1686">
        <f t="shared" si="289"/>
        <v>0</v>
      </c>
      <c r="M1686">
        <f t="shared" si="290"/>
        <v>0</v>
      </c>
      <c r="N1686">
        <f t="shared" si="291"/>
        <v>0</v>
      </c>
      <c r="O1686">
        <f t="shared" si="292"/>
        <v>0</v>
      </c>
      <c r="P1686" t="str">
        <f t="shared" si="293"/>
        <v/>
      </c>
      <c r="Q1686" t="str">
        <f>IF(B1686="","", IFERROR(VLOOKUP(B1686, '基準資産配分（設定）'!$A$2:$C$2001, 3, FALSE), ""))</f>
        <v/>
      </c>
      <c r="R1686" t="str">
        <f>IF(B1686="","", IFERROR(VLOOKUP(B1686, '基準資産配分（設定）'!$A$2:$C$2001, 2, FALSE)/100, 0))</f>
        <v/>
      </c>
      <c r="S1686" t="str">
        <f>IF(B1686="","", IFERROR(SUMIFS(ベンチマークリターン!$C$2:$C$2001, ベンチマークリターン!$A$2:$A$2001, A1686, ベンチマークリターン!$B$2:$B$2001, Q1686) / 100, 0))</f>
        <v/>
      </c>
      <c r="T1686" t="str">
        <f>IF(A1686="","", SUMIFS($H$2:$H$2000, $A$2:$A$2000, A1686))</f>
        <v/>
      </c>
      <c r="U1686" t="str">
        <f t="shared" si="294"/>
        <v/>
      </c>
      <c r="V1686" t="str">
        <f t="shared" si="295"/>
        <v/>
      </c>
      <c r="W1686" t="str">
        <f t="shared" si="296"/>
        <v/>
      </c>
    </row>
    <row r="1687" spans="1:23" x14ac:dyDescent="0.2">
      <c r="A1687" s="4" t="str">
        <f>IF(ポートフォリオ実績!A1688="","", ポートフォリオ実績!A1688)</f>
        <v/>
      </c>
      <c r="B1687" t="str">
        <f>IF(ポートフォリオ実績!B1688="","", ポートフォリオ実績!B1688)</f>
        <v/>
      </c>
      <c r="C1687" s="10" t="str">
        <f>IF(ポートフォリオ実績!C1688="","", ポートフォリオ実績!C1688)</f>
        <v/>
      </c>
      <c r="D1687" s="10" t="str">
        <f>IF(ポートフォリオ実績!D1688="","", ポートフォリオ実績!D1688)</f>
        <v/>
      </c>
      <c r="E1687" s="10" t="str">
        <f>IF(ポートフォリオ実績!E1688="","", ポートフォリオ実績!E1688)</f>
        <v/>
      </c>
      <c r="F1687" s="10" t="str">
        <f>IF(ポートフォリオ実績!F1688="","", ポートフォリオ実績!F1688)</f>
        <v/>
      </c>
      <c r="G1687" t="str">
        <f t="shared" si="286"/>
        <v/>
      </c>
      <c r="H1687">
        <f>IF(B1687&lt;&gt;"", SUMIFS(ポートフォリオ実績!$D$2:$D$2001, ポートフォリオ実績!$B$2:$B$2001, B1687, ポートフォリオ実績!$A$2:$A$2001, G1687), 0)</f>
        <v>0</v>
      </c>
      <c r="I1687">
        <f>IF(B1687&lt;&gt;"", SUMIFS(ポートフォリオ実績!$C$2:$C$2001, ポートフォリオ実績!$B$2:$B$2001, B1687, ポートフォリオ実績!$A$2:$A$2001, G1687), 0)</f>
        <v>0</v>
      </c>
      <c r="J1687">
        <f t="shared" si="287"/>
        <v>0</v>
      </c>
      <c r="K1687">
        <f t="shared" si="288"/>
        <v>0</v>
      </c>
      <c r="L1687">
        <f t="shared" si="289"/>
        <v>0</v>
      </c>
      <c r="M1687">
        <f t="shared" si="290"/>
        <v>0</v>
      </c>
      <c r="N1687">
        <f t="shared" si="291"/>
        <v>0</v>
      </c>
      <c r="O1687">
        <f t="shared" si="292"/>
        <v>0</v>
      </c>
      <c r="P1687" t="str">
        <f t="shared" si="293"/>
        <v/>
      </c>
      <c r="Q1687" t="str">
        <f>IF(B1687="","", IFERROR(VLOOKUP(B1687, '基準資産配分（設定）'!$A$2:$C$2001, 3, FALSE), ""))</f>
        <v/>
      </c>
      <c r="R1687" t="str">
        <f>IF(B1687="","", IFERROR(VLOOKUP(B1687, '基準資産配分（設定）'!$A$2:$C$2001, 2, FALSE)/100, 0))</f>
        <v/>
      </c>
      <c r="S1687" t="str">
        <f>IF(B1687="","", IFERROR(SUMIFS(ベンチマークリターン!$C$2:$C$2001, ベンチマークリターン!$A$2:$A$2001, A1687, ベンチマークリターン!$B$2:$B$2001, Q1687) / 100, 0))</f>
        <v/>
      </c>
      <c r="T1687" t="str">
        <f>IF(A1687="","", SUMIFS($H$2:$H$2000, $A$2:$A$2000, A1687))</f>
        <v/>
      </c>
      <c r="U1687" t="str">
        <f t="shared" si="294"/>
        <v/>
      </c>
      <c r="V1687" t="str">
        <f t="shared" si="295"/>
        <v/>
      </c>
      <c r="W1687" t="str">
        <f t="shared" si="296"/>
        <v/>
      </c>
    </row>
    <row r="1688" spans="1:23" x14ac:dyDescent="0.2">
      <c r="A1688" s="4" t="str">
        <f>IF(ポートフォリオ実績!A1689="","", ポートフォリオ実績!A1689)</f>
        <v/>
      </c>
      <c r="B1688" t="str">
        <f>IF(ポートフォリオ実績!B1689="","", ポートフォリオ実績!B1689)</f>
        <v/>
      </c>
      <c r="C1688" s="10" t="str">
        <f>IF(ポートフォリオ実績!C1689="","", ポートフォリオ実績!C1689)</f>
        <v/>
      </c>
      <c r="D1688" s="10" t="str">
        <f>IF(ポートフォリオ実績!D1689="","", ポートフォリオ実績!D1689)</f>
        <v/>
      </c>
      <c r="E1688" s="10" t="str">
        <f>IF(ポートフォリオ実績!E1689="","", ポートフォリオ実績!E1689)</f>
        <v/>
      </c>
      <c r="F1688" s="10" t="str">
        <f>IF(ポートフォリオ実績!F1689="","", ポートフォリオ実績!F1689)</f>
        <v/>
      </c>
      <c r="G1688" t="str">
        <f t="shared" si="286"/>
        <v/>
      </c>
      <c r="H1688">
        <f>IF(B1688&lt;&gt;"", SUMIFS(ポートフォリオ実績!$D$2:$D$2001, ポートフォリオ実績!$B$2:$B$2001, B1688, ポートフォリオ実績!$A$2:$A$2001, G1688), 0)</f>
        <v>0</v>
      </c>
      <c r="I1688">
        <f>IF(B1688&lt;&gt;"", SUMIFS(ポートフォリオ実績!$C$2:$C$2001, ポートフォリオ実績!$B$2:$B$2001, B1688, ポートフォリオ実績!$A$2:$A$2001, G1688), 0)</f>
        <v>0</v>
      </c>
      <c r="J1688">
        <f t="shared" si="287"/>
        <v>0</v>
      </c>
      <c r="K1688">
        <f t="shared" si="288"/>
        <v>0</v>
      </c>
      <c r="L1688">
        <f t="shared" si="289"/>
        <v>0</v>
      </c>
      <c r="M1688">
        <f t="shared" si="290"/>
        <v>0</v>
      </c>
      <c r="N1688">
        <f t="shared" si="291"/>
        <v>0</v>
      </c>
      <c r="O1688">
        <f t="shared" si="292"/>
        <v>0</v>
      </c>
      <c r="P1688" t="str">
        <f t="shared" si="293"/>
        <v/>
      </c>
      <c r="Q1688" t="str">
        <f>IF(B1688="","", IFERROR(VLOOKUP(B1688, '基準資産配分（設定）'!$A$2:$C$2001, 3, FALSE), ""))</f>
        <v/>
      </c>
      <c r="R1688" t="str">
        <f>IF(B1688="","", IFERROR(VLOOKUP(B1688, '基準資産配分（設定）'!$A$2:$C$2001, 2, FALSE)/100, 0))</f>
        <v/>
      </c>
      <c r="S1688" t="str">
        <f>IF(B1688="","", IFERROR(SUMIFS(ベンチマークリターン!$C$2:$C$2001, ベンチマークリターン!$A$2:$A$2001, A1688, ベンチマークリターン!$B$2:$B$2001, Q1688) / 100, 0))</f>
        <v/>
      </c>
      <c r="T1688" t="str">
        <f>IF(A1688="","", SUMIFS($H$2:$H$2000, $A$2:$A$2000, A1688))</f>
        <v/>
      </c>
      <c r="U1688" t="str">
        <f t="shared" si="294"/>
        <v/>
      </c>
      <c r="V1688" t="str">
        <f t="shared" si="295"/>
        <v/>
      </c>
      <c r="W1688" t="str">
        <f t="shared" si="296"/>
        <v/>
      </c>
    </row>
    <row r="1689" spans="1:23" x14ac:dyDescent="0.2">
      <c r="A1689" s="4" t="str">
        <f>IF(ポートフォリオ実績!A1690="","", ポートフォリオ実績!A1690)</f>
        <v/>
      </c>
      <c r="B1689" t="str">
        <f>IF(ポートフォリオ実績!B1690="","", ポートフォリオ実績!B1690)</f>
        <v/>
      </c>
      <c r="C1689" s="10" t="str">
        <f>IF(ポートフォリオ実績!C1690="","", ポートフォリオ実績!C1690)</f>
        <v/>
      </c>
      <c r="D1689" s="10" t="str">
        <f>IF(ポートフォリオ実績!D1690="","", ポートフォリオ実績!D1690)</f>
        <v/>
      </c>
      <c r="E1689" s="10" t="str">
        <f>IF(ポートフォリオ実績!E1690="","", ポートフォリオ実績!E1690)</f>
        <v/>
      </c>
      <c r="F1689" s="10" t="str">
        <f>IF(ポートフォリオ実績!F1690="","", ポートフォリオ実績!F1690)</f>
        <v/>
      </c>
      <c r="G1689" t="str">
        <f t="shared" si="286"/>
        <v/>
      </c>
      <c r="H1689">
        <f>IF(B1689&lt;&gt;"", SUMIFS(ポートフォリオ実績!$D$2:$D$2001, ポートフォリオ実績!$B$2:$B$2001, B1689, ポートフォリオ実績!$A$2:$A$2001, G1689), 0)</f>
        <v>0</v>
      </c>
      <c r="I1689">
        <f>IF(B1689&lt;&gt;"", SUMIFS(ポートフォリオ実績!$C$2:$C$2001, ポートフォリオ実績!$B$2:$B$2001, B1689, ポートフォリオ実績!$A$2:$A$2001, G1689), 0)</f>
        <v>0</v>
      </c>
      <c r="J1689">
        <f t="shared" si="287"/>
        <v>0</v>
      </c>
      <c r="K1689">
        <f t="shared" si="288"/>
        <v>0</v>
      </c>
      <c r="L1689">
        <f t="shared" si="289"/>
        <v>0</v>
      </c>
      <c r="M1689">
        <f t="shared" si="290"/>
        <v>0</v>
      </c>
      <c r="N1689">
        <f t="shared" si="291"/>
        <v>0</v>
      </c>
      <c r="O1689">
        <f t="shared" si="292"/>
        <v>0</v>
      </c>
      <c r="P1689" t="str">
        <f t="shared" si="293"/>
        <v/>
      </c>
      <c r="Q1689" t="str">
        <f>IF(B1689="","", IFERROR(VLOOKUP(B1689, '基準資産配分（設定）'!$A$2:$C$2001, 3, FALSE), ""))</f>
        <v/>
      </c>
      <c r="R1689" t="str">
        <f>IF(B1689="","", IFERROR(VLOOKUP(B1689, '基準資産配分（設定）'!$A$2:$C$2001, 2, FALSE)/100, 0))</f>
        <v/>
      </c>
      <c r="S1689" t="str">
        <f>IF(B1689="","", IFERROR(SUMIFS(ベンチマークリターン!$C$2:$C$2001, ベンチマークリターン!$A$2:$A$2001, A1689, ベンチマークリターン!$B$2:$B$2001, Q1689) / 100, 0))</f>
        <v/>
      </c>
      <c r="T1689" t="str">
        <f>IF(A1689="","", SUMIFS($H$2:$H$2000, $A$2:$A$2000, A1689))</f>
        <v/>
      </c>
      <c r="U1689" t="str">
        <f t="shared" si="294"/>
        <v/>
      </c>
      <c r="V1689" t="str">
        <f t="shared" si="295"/>
        <v/>
      </c>
      <c r="W1689" t="str">
        <f t="shared" si="296"/>
        <v/>
      </c>
    </row>
    <row r="1690" spans="1:23" x14ac:dyDescent="0.2">
      <c r="A1690" s="4" t="str">
        <f>IF(ポートフォリオ実績!A1691="","", ポートフォリオ実績!A1691)</f>
        <v/>
      </c>
      <c r="B1690" t="str">
        <f>IF(ポートフォリオ実績!B1691="","", ポートフォリオ実績!B1691)</f>
        <v/>
      </c>
      <c r="C1690" s="10" t="str">
        <f>IF(ポートフォリオ実績!C1691="","", ポートフォリオ実績!C1691)</f>
        <v/>
      </c>
      <c r="D1690" s="10" t="str">
        <f>IF(ポートフォリオ実績!D1691="","", ポートフォリオ実績!D1691)</f>
        <v/>
      </c>
      <c r="E1690" s="10" t="str">
        <f>IF(ポートフォリオ実績!E1691="","", ポートフォリオ実績!E1691)</f>
        <v/>
      </c>
      <c r="F1690" s="10" t="str">
        <f>IF(ポートフォリオ実績!F1691="","", ポートフォリオ実績!F1691)</f>
        <v/>
      </c>
      <c r="G1690" t="str">
        <f t="shared" si="286"/>
        <v/>
      </c>
      <c r="H1690">
        <f>IF(B1690&lt;&gt;"", SUMIFS(ポートフォリオ実績!$D$2:$D$2001, ポートフォリオ実績!$B$2:$B$2001, B1690, ポートフォリオ実績!$A$2:$A$2001, G1690), 0)</f>
        <v>0</v>
      </c>
      <c r="I1690">
        <f>IF(B1690&lt;&gt;"", SUMIFS(ポートフォリオ実績!$C$2:$C$2001, ポートフォリオ実績!$B$2:$B$2001, B1690, ポートフォリオ実績!$A$2:$A$2001, G1690), 0)</f>
        <v>0</v>
      </c>
      <c r="J1690">
        <f t="shared" si="287"/>
        <v>0</v>
      </c>
      <c r="K1690">
        <f t="shared" si="288"/>
        <v>0</v>
      </c>
      <c r="L1690">
        <f t="shared" si="289"/>
        <v>0</v>
      </c>
      <c r="M1690">
        <f t="shared" si="290"/>
        <v>0</v>
      </c>
      <c r="N1690">
        <f t="shared" si="291"/>
        <v>0</v>
      </c>
      <c r="O1690">
        <f t="shared" si="292"/>
        <v>0</v>
      </c>
      <c r="P1690" t="str">
        <f t="shared" si="293"/>
        <v/>
      </c>
      <c r="Q1690" t="str">
        <f>IF(B1690="","", IFERROR(VLOOKUP(B1690, '基準資産配分（設定）'!$A$2:$C$2001, 3, FALSE), ""))</f>
        <v/>
      </c>
      <c r="R1690" t="str">
        <f>IF(B1690="","", IFERROR(VLOOKUP(B1690, '基準資産配分（設定）'!$A$2:$C$2001, 2, FALSE)/100, 0))</f>
        <v/>
      </c>
      <c r="S1690" t="str">
        <f>IF(B1690="","", IFERROR(SUMIFS(ベンチマークリターン!$C$2:$C$2001, ベンチマークリターン!$A$2:$A$2001, A1690, ベンチマークリターン!$B$2:$B$2001, Q1690) / 100, 0))</f>
        <v/>
      </c>
      <c r="T1690" t="str">
        <f>IF(A1690="","", SUMIFS($H$2:$H$2000, $A$2:$A$2000, A1690))</f>
        <v/>
      </c>
      <c r="U1690" t="str">
        <f t="shared" si="294"/>
        <v/>
      </c>
      <c r="V1690" t="str">
        <f t="shared" si="295"/>
        <v/>
      </c>
      <c r="W1690" t="str">
        <f t="shared" si="296"/>
        <v/>
      </c>
    </row>
    <row r="1691" spans="1:23" x14ac:dyDescent="0.2">
      <c r="A1691" s="4" t="str">
        <f>IF(ポートフォリオ実績!A1692="","", ポートフォリオ実績!A1692)</f>
        <v/>
      </c>
      <c r="B1691" t="str">
        <f>IF(ポートフォリオ実績!B1692="","", ポートフォリオ実績!B1692)</f>
        <v/>
      </c>
      <c r="C1691" s="10" t="str">
        <f>IF(ポートフォリオ実績!C1692="","", ポートフォリオ実績!C1692)</f>
        <v/>
      </c>
      <c r="D1691" s="10" t="str">
        <f>IF(ポートフォリオ実績!D1692="","", ポートフォリオ実績!D1692)</f>
        <v/>
      </c>
      <c r="E1691" s="10" t="str">
        <f>IF(ポートフォリオ実績!E1692="","", ポートフォリオ実績!E1692)</f>
        <v/>
      </c>
      <c r="F1691" s="10" t="str">
        <f>IF(ポートフォリオ実績!F1692="","", ポートフォリオ実績!F1692)</f>
        <v/>
      </c>
      <c r="G1691" t="str">
        <f t="shared" si="286"/>
        <v/>
      </c>
      <c r="H1691">
        <f>IF(B1691&lt;&gt;"", SUMIFS(ポートフォリオ実績!$D$2:$D$2001, ポートフォリオ実績!$B$2:$B$2001, B1691, ポートフォリオ実績!$A$2:$A$2001, G1691), 0)</f>
        <v>0</v>
      </c>
      <c r="I1691">
        <f>IF(B1691&lt;&gt;"", SUMIFS(ポートフォリオ実績!$C$2:$C$2001, ポートフォリオ実績!$B$2:$B$2001, B1691, ポートフォリオ実績!$A$2:$A$2001, G1691), 0)</f>
        <v>0</v>
      </c>
      <c r="J1691">
        <f t="shared" si="287"/>
        <v>0</v>
      </c>
      <c r="K1691">
        <f t="shared" si="288"/>
        <v>0</v>
      </c>
      <c r="L1691">
        <f t="shared" si="289"/>
        <v>0</v>
      </c>
      <c r="M1691">
        <f t="shared" si="290"/>
        <v>0</v>
      </c>
      <c r="N1691">
        <f t="shared" si="291"/>
        <v>0</v>
      </c>
      <c r="O1691">
        <f t="shared" si="292"/>
        <v>0</v>
      </c>
      <c r="P1691" t="str">
        <f t="shared" si="293"/>
        <v/>
      </c>
      <c r="Q1691" t="str">
        <f>IF(B1691="","", IFERROR(VLOOKUP(B1691, '基準資産配分（設定）'!$A$2:$C$2001, 3, FALSE), ""))</f>
        <v/>
      </c>
      <c r="R1691" t="str">
        <f>IF(B1691="","", IFERROR(VLOOKUP(B1691, '基準資産配分（設定）'!$A$2:$C$2001, 2, FALSE)/100, 0))</f>
        <v/>
      </c>
      <c r="S1691" t="str">
        <f>IF(B1691="","", IFERROR(SUMIFS(ベンチマークリターン!$C$2:$C$2001, ベンチマークリターン!$A$2:$A$2001, A1691, ベンチマークリターン!$B$2:$B$2001, Q1691) / 100, 0))</f>
        <v/>
      </c>
      <c r="T1691" t="str">
        <f>IF(A1691="","", SUMIFS($H$2:$H$2000, $A$2:$A$2000, A1691))</f>
        <v/>
      </c>
      <c r="U1691" t="str">
        <f t="shared" si="294"/>
        <v/>
      </c>
      <c r="V1691" t="str">
        <f t="shared" si="295"/>
        <v/>
      </c>
      <c r="W1691" t="str">
        <f t="shared" si="296"/>
        <v/>
      </c>
    </row>
    <row r="1692" spans="1:23" x14ac:dyDescent="0.2">
      <c r="A1692" s="4" t="str">
        <f>IF(ポートフォリオ実績!A1693="","", ポートフォリオ実績!A1693)</f>
        <v/>
      </c>
      <c r="B1692" t="str">
        <f>IF(ポートフォリオ実績!B1693="","", ポートフォリオ実績!B1693)</f>
        <v/>
      </c>
      <c r="C1692" s="10" t="str">
        <f>IF(ポートフォリオ実績!C1693="","", ポートフォリオ実績!C1693)</f>
        <v/>
      </c>
      <c r="D1692" s="10" t="str">
        <f>IF(ポートフォリオ実績!D1693="","", ポートフォリオ実績!D1693)</f>
        <v/>
      </c>
      <c r="E1692" s="10" t="str">
        <f>IF(ポートフォリオ実績!E1693="","", ポートフォリオ実績!E1693)</f>
        <v/>
      </c>
      <c r="F1692" s="10" t="str">
        <f>IF(ポートフォリオ実績!F1693="","", ポートフォリオ実績!F1693)</f>
        <v/>
      </c>
      <c r="G1692" t="str">
        <f t="shared" si="286"/>
        <v/>
      </c>
      <c r="H1692">
        <f>IF(B1692&lt;&gt;"", SUMIFS(ポートフォリオ実績!$D$2:$D$2001, ポートフォリオ実績!$B$2:$B$2001, B1692, ポートフォリオ実績!$A$2:$A$2001, G1692), 0)</f>
        <v>0</v>
      </c>
      <c r="I1692">
        <f>IF(B1692&lt;&gt;"", SUMIFS(ポートフォリオ実績!$C$2:$C$2001, ポートフォリオ実績!$B$2:$B$2001, B1692, ポートフォリオ実績!$A$2:$A$2001, G1692), 0)</f>
        <v>0</v>
      </c>
      <c r="J1692">
        <f t="shared" si="287"/>
        <v>0</v>
      </c>
      <c r="K1692">
        <f t="shared" si="288"/>
        <v>0</v>
      </c>
      <c r="L1692">
        <f t="shared" si="289"/>
        <v>0</v>
      </c>
      <c r="M1692">
        <f t="shared" si="290"/>
        <v>0</v>
      </c>
      <c r="N1692">
        <f t="shared" si="291"/>
        <v>0</v>
      </c>
      <c r="O1692">
        <f t="shared" si="292"/>
        <v>0</v>
      </c>
      <c r="P1692" t="str">
        <f t="shared" si="293"/>
        <v/>
      </c>
      <c r="Q1692" t="str">
        <f>IF(B1692="","", IFERROR(VLOOKUP(B1692, '基準資産配分（設定）'!$A$2:$C$2001, 3, FALSE), ""))</f>
        <v/>
      </c>
      <c r="R1692" t="str">
        <f>IF(B1692="","", IFERROR(VLOOKUP(B1692, '基準資産配分（設定）'!$A$2:$C$2001, 2, FALSE)/100, 0))</f>
        <v/>
      </c>
      <c r="S1692" t="str">
        <f>IF(B1692="","", IFERROR(SUMIFS(ベンチマークリターン!$C$2:$C$2001, ベンチマークリターン!$A$2:$A$2001, A1692, ベンチマークリターン!$B$2:$B$2001, Q1692) / 100, 0))</f>
        <v/>
      </c>
      <c r="T1692" t="str">
        <f>IF(A1692="","", SUMIFS($H$2:$H$2000, $A$2:$A$2000, A1692))</f>
        <v/>
      </c>
      <c r="U1692" t="str">
        <f t="shared" si="294"/>
        <v/>
      </c>
      <c r="V1692" t="str">
        <f t="shared" si="295"/>
        <v/>
      </c>
      <c r="W1692" t="str">
        <f t="shared" si="296"/>
        <v/>
      </c>
    </row>
    <row r="1693" spans="1:23" x14ac:dyDescent="0.2">
      <c r="A1693" s="4" t="str">
        <f>IF(ポートフォリオ実績!A1694="","", ポートフォリオ実績!A1694)</f>
        <v/>
      </c>
      <c r="B1693" t="str">
        <f>IF(ポートフォリオ実績!B1694="","", ポートフォリオ実績!B1694)</f>
        <v/>
      </c>
      <c r="C1693" s="10" t="str">
        <f>IF(ポートフォリオ実績!C1694="","", ポートフォリオ実績!C1694)</f>
        <v/>
      </c>
      <c r="D1693" s="10" t="str">
        <f>IF(ポートフォリオ実績!D1694="","", ポートフォリオ実績!D1694)</f>
        <v/>
      </c>
      <c r="E1693" s="10" t="str">
        <f>IF(ポートフォリオ実績!E1694="","", ポートフォリオ実績!E1694)</f>
        <v/>
      </c>
      <c r="F1693" s="10" t="str">
        <f>IF(ポートフォリオ実績!F1694="","", ポートフォリオ実績!F1694)</f>
        <v/>
      </c>
      <c r="G1693" t="str">
        <f t="shared" si="286"/>
        <v/>
      </c>
      <c r="H1693">
        <f>IF(B1693&lt;&gt;"", SUMIFS(ポートフォリオ実績!$D$2:$D$2001, ポートフォリオ実績!$B$2:$B$2001, B1693, ポートフォリオ実績!$A$2:$A$2001, G1693), 0)</f>
        <v>0</v>
      </c>
      <c r="I1693">
        <f>IF(B1693&lt;&gt;"", SUMIFS(ポートフォリオ実績!$C$2:$C$2001, ポートフォリオ実績!$B$2:$B$2001, B1693, ポートフォリオ実績!$A$2:$A$2001, G1693), 0)</f>
        <v>0</v>
      </c>
      <c r="J1693">
        <f t="shared" si="287"/>
        <v>0</v>
      </c>
      <c r="K1693">
        <f t="shared" si="288"/>
        <v>0</v>
      </c>
      <c r="L1693">
        <f t="shared" si="289"/>
        <v>0</v>
      </c>
      <c r="M1693">
        <f t="shared" si="290"/>
        <v>0</v>
      </c>
      <c r="N1693">
        <f t="shared" si="291"/>
        <v>0</v>
      </c>
      <c r="O1693">
        <f t="shared" si="292"/>
        <v>0</v>
      </c>
      <c r="P1693" t="str">
        <f t="shared" si="293"/>
        <v/>
      </c>
      <c r="Q1693" t="str">
        <f>IF(B1693="","", IFERROR(VLOOKUP(B1693, '基準資産配分（設定）'!$A$2:$C$2001, 3, FALSE), ""))</f>
        <v/>
      </c>
      <c r="R1693" t="str">
        <f>IF(B1693="","", IFERROR(VLOOKUP(B1693, '基準資産配分（設定）'!$A$2:$C$2001, 2, FALSE)/100, 0))</f>
        <v/>
      </c>
      <c r="S1693" t="str">
        <f>IF(B1693="","", IFERROR(SUMIFS(ベンチマークリターン!$C$2:$C$2001, ベンチマークリターン!$A$2:$A$2001, A1693, ベンチマークリターン!$B$2:$B$2001, Q1693) / 100, 0))</f>
        <v/>
      </c>
      <c r="T1693" t="str">
        <f>IF(A1693="","", SUMIFS($H$2:$H$2000, $A$2:$A$2000, A1693))</f>
        <v/>
      </c>
      <c r="U1693" t="str">
        <f t="shared" si="294"/>
        <v/>
      </c>
      <c r="V1693" t="str">
        <f t="shared" si="295"/>
        <v/>
      </c>
      <c r="W1693" t="str">
        <f t="shared" si="296"/>
        <v/>
      </c>
    </row>
    <row r="1694" spans="1:23" x14ac:dyDescent="0.2">
      <c r="A1694" s="4" t="str">
        <f>IF(ポートフォリオ実績!A1695="","", ポートフォリオ実績!A1695)</f>
        <v/>
      </c>
      <c r="B1694" t="str">
        <f>IF(ポートフォリオ実績!B1695="","", ポートフォリオ実績!B1695)</f>
        <v/>
      </c>
      <c r="C1694" s="10" t="str">
        <f>IF(ポートフォリオ実績!C1695="","", ポートフォリオ実績!C1695)</f>
        <v/>
      </c>
      <c r="D1694" s="10" t="str">
        <f>IF(ポートフォリオ実績!D1695="","", ポートフォリオ実績!D1695)</f>
        <v/>
      </c>
      <c r="E1694" s="10" t="str">
        <f>IF(ポートフォリオ実績!E1695="","", ポートフォリオ実績!E1695)</f>
        <v/>
      </c>
      <c r="F1694" s="10" t="str">
        <f>IF(ポートフォリオ実績!F1695="","", ポートフォリオ実績!F1695)</f>
        <v/>
      </c>
      <c r="G1694" t="str">
        <f t="shared" si="286"/>
        <v/>
      </c>
      <c r="H1694">
        <f>IF(B1694&lt;&gt;"", SUMIFS(ポートフォリオ実績!$D$2:$D$2001, ポートフォリオ実績!$B$2:$B$2001, B1694, ポートフォリオ実績!$A$2:$A$2001, G1694), 0)</f>
        <v>0</v>
      </c>
      <c r="I1694">
        <f>IF(B1694&lt;&gt;"", SUMIFS(ポートフォリオ実績!$C$2:$C$2001, ポートフォリオ実績!$B$2:$B$2001, B1694, ポートフォリオ実績!$A$2:$A$2001, G1694), 0)</f>
        <v>0</v>
      </c>
      <c r="J1694">
        <f t="shared" si="287"/>
        <v>0</v>
      </c>
      <c r="K1694">
        <f t="shared" si="288"/>
        <v>0</v>
      </c>
      <c r="L1694">
        <f t="shared" si="289"/>
        <v>0</v>
      </c>
      <c r="M1694">
        <f t="shared" si="290"/>
        <v>0</v>
      </c>
      <c r="N1694">
        <f t="shared" si="291"/>
        <v>0</v>
      </c>
      <c r="O1694">
        <f t="shared" si="292"/>
        <v>0</v>
      </c>
      <c r="P1694" t="str">
        <f t="shared" si="293"/>
        <v/>
      </c>
      <c r="Q1694" t="str">
        <f>IF(B1694="","", IFERROR(VLOOKUP(B1694, '基準資産配分（設定）'!$A$2:$C$2001, 3, FALSE), ""))</f>
        <v/>
      </c>
      <c r="R1694" t="str">
        <f>IF(B1694="","", IFERROR(VLOOKUP(B1694, '基準資産配分（設定）'!$A$2:$C$2001, 2, FALSE)/100, 0))</f>
        <v/>
      </c>
      <c r="S1694" t="str">
        <f>IF(B1694="","", IFERROR(SUMIFS(ベンチマークリターン!$C$2:$C$2001, ベンチマークリターン!$A$2:$A$2001, A1694, ベンチマークリターン!$B$2:$B$2001, Q1694) / 100, 0))</f>
        <v/>
      </c>
      <c r="T1694" t="str">
        <f>IF(A1694="","", SUMIFS($H$2:$H$2000, $A$2:$A$2000, A1694))</f>
        <v/>
      </c>
      <c r="U1694" t="str">
        <f t="shared" si="294"/>
        <v/>
      </c>
      <c r="V1694" t="str">
        <f t="shared" si="295"/>
        <v/>
      </c>
      <c r="W1694" t="str">
        <f t="shared" si="296"/>
        <v/>
      </c>
    </row>
    <row r="1695" spans="1:23" x14ac:dyDescent="0.2">
      <c r="A1695" s="4" t="str">
        <f>IF(ポートフォリオ実績!A1696="","", ポートフォリオ実績!A1696)</f>
        <v/>
      </c>
      <c r="B1695" t="str">
        <f>IF(ポートフォリオ実績!B1696="","", ポートフォリオ実績!B1696)</f>
        <v/>
      </c>
      <c r="C1695" s="10" t="str">
        <f>IF(ポートフォリオ実績!C1696="","", ポートフォリオ実績!C1696)</f>
        <v/>
      </c>
      <c r="D1695" s="10" t="str">
        <f>IF(ポートフォリオ実績!D1696="","", ポートフォリオ実績!D1696)</f>
        <v/>
      </c>
      <c r="E1695" s="10" t="str">
        <f>IF(ポートフォリオ実績!E1696="","", ポートフォリオ実績!E1696)</f>
        <v/>
      </c>
      <c r="F1695" s="10" t="str">
        <f>IF(ポートフォリオ実績!F1696="","", ポートフォリオ実績!F1696)</f>
        <v/>
      </c>
      <c r="G1695" t="str">
        <f t="shared" si="286"/>
        <v/>
      </c>
      <c r="H1695">
        <f>IF(B1695&lt;&gt;"", SUMIFS(ポートフォリオ実績!$D$2:$D$2001, ポートフォリオ実績!$B$2:$B$2001, B1695, ポートフォリオ実績!$A$2:$A$2001, G1695), 0)</f>
        <v>0</v>
      </c>
      <c r="I1695">
        <f>IF(B1695&lt;&gt;"", SUMIFS(ポートフォリオ実績!$C$2:$C$2001, ポートフォリオ実績!$B$2:$B$2001, B1695, ポートフォリオ実績!$A$2:$A$2001, G1695), 0)</f>
        <v>0</v>
      </c>
      <c r="J1695">
        <f t="shared" si="287"/>
        <v>0</v>
      </c>
      <c r="K1695">
        <f t="shared" si="288"/>
        <v>0</v>
      </c>
      <c r="L1695">
        <f t="shared" si="289"/>
        <v>0</v>
      </c>
      <c r="M1695">
        <f t="shared" si="290"/>
        <v>0</v>
      </c>
      <c r="N1695">
        <f t="shared" si="291"/>
        <v>0</v>
      </c>
      <c r="O1695">
        <f t="shared" si="292"/>
        <v>0</v>
      </c>
      <c r="P1695" t="str">
        <f t="shared" si="293"/>
        <v/>
      </c>
      <c r="Q1695" t="str">
        <f>IF(B1695="","", IFERROR(VLOOKUP(B1695, '基準資産配分（設定）'!$A$2:$C$2001, 3, FALSE), ""))</f>
        <v/>
      </c>
      <c r="R1695" t="str">
        <f>IF(B1695="","", IFERROR(VLOOKUP(B1695, '基準資産配分（設定）'!$A$2:$C$2001, 2, FALSE)/100, 0))</f>
        <v/>
      </c>
      <c r="S1695" t="str">
        <f>IF(B1695="","", IFERROR(SUMIFS(ベンチマークリターン!$C$2:$C$2001, ベンチマークリターン!$A$2:$A$2001, A1695, ベンチマークリターン!$B$2:$B$2001, Q1695) / 100, 0))</f>
        <v/>
      </c>
      <c r="T1695" t="str">
        <f>IF(A1695="","", SUMIFS($H$2:$H$2000, $A$2:$A$2000, A1695))</f>
        <v/>
      </c>
      <c r="U1695" t="str">
        <f t="shared" si="294"/>
        <v/>
      </c>
      <c r="V1695" t="str">
        <f t="shared" si="295"/>
        <v/>
      </c>
      <c r="W1695" t="str">
        <f t="shared" si="296"/>
        <v/>
      </c>
    </row>
    <row r="1696" spans="1:23" x14ac:dyDescent="0.2">
      <c r="A1696" s="4" t="str">
        <f>IF(ポートフォリオ実績!A1697="","", ポートフォリオ実績!A1697)</f>
        <v/>
      </c>
      <c r="B1696" t="str">
        <f>IF(ポートフォリオ実績!B1697="","", ポートフォリオ実績!B1697)</f>
        <v/>
      </c>
      <c r="C1696" s="10" t="str">
        <f>IF(ポートフォリオ実績!C1697="","", ポートフォリオ実績!C1697)</f>
        <v/>
      </c>
      <c r="D1696" s="10" t="str">
        <f>IF(ポートフォリオ実績!D1697="","", ポートフォリオ実績!D1697)</f>
        <v/>
      </c>
      <c r="E1696" s="10" t="str">
        <f>IF(ポートフォリオ実績!E1697="","", ポートフォリオ実績!E1697)</f>
        <v/>
      </c>
      <c r="F1696" s="10" t="str">
        <f>IF(ポートフォリオ実績!F1697="","", ポートフォリオ実績!F1697)</f>
        <v/>
      </c>
      <c r="G1696" t="str">
        <f t="shared" si="286"/>
        <v/>
      </c>
      <c r="H1696">
        <f>IF(B1696&lt;&gt;"", SUMIFS(ポートフォリオ実績!$D$2:$D$2001, ポートフォリオ実績!$B$2:$B$2001, B1696, ポートフォリオ実績!$A$2:$A$2001, G1696), 0)</f>
        <v>0</v>
      </c>
      <c r="I1696">
        <f>IF(B1696&lt;&gt;"", SUMIFS(ポートフォリオ実績!$C$2:$C$2001, ポートフォリオ実績!$B$2:$B$2001, B1696, ポートフォリオ実績!$A$2:$A$2001, G1696), 0)</f>
        <v>0</v>
      </c>
      <c r="J1696">
        <f t="shared" si="287"/>
        <v>0</v>
      </c>
      <c r="K1696">
        <f t="shared" si="288"/>
        <v>0</v>
      </c>
      <c r="L1696">
        <f t="shared" si="289"/>
        <v>0</v>
      </c>
      <c r="M1696">
        <f t="shared" si="290"/>
        <v>0</v>
      </c>
      <c r="N1696">
        <f t="shared" si="291"/>
        <v>0</v>
      </c>
      <c r="O1696">
        <f t="shared" si="292"/>
        <v>0</v>
      </c>
      <c r="P1696" t="str">
        <f t="shared" si="293"/>
        <v/>
      </c>
      <c r="Q1696" t="str">
        <f>IF(B1696="","", IFERROR(VLOOKUP(B1696, '基準資産配分（設定）'!$A$2:$C$2001, 3, FALSE), ""))</f>
        <v/>
      </c>
      <c r="R1696" t="str">
        <f>IF(B1696="","", IFERROR(VLOOKUP(B1696, '基準資産配分（設定）'!$A$2:$C$2001, 2, FALSE)/100, 0))</f>
        <v/>
      </c>
      <c r="S1696" t="str">
        <f>IF(B1696="","", IFERROR(SUMIFS(ベンチマークリターン!$C$2:$C$2001, ベンチマークリターン!$A$2:$A$2001, A1696, ベンチマークリターン!$B$2:$B$2001, Q1696) / 100, 0))</f>
        <v/>
      </c>
      <c r="T1696" t="str">
        <f>IF(A1696="","", SUMIFS($H$2:$H$2000, $A$2:$A$2000, A1696))</f>
        <v/>
      </c>
      <c r="U1696" t="str">
        <f t="shared" si="294"/>
        <v/>
      </c>
      <c r="V1696" t="str">
        <f t="shared" si="295"/>
        <v/>
      </c>
      <c r="W1696" t="str">
        <f t="shared" si="296"/>
        <v/>
      </c>
    </row>
    <row r="1697" spans="1:23" x14ac:dyDescent="0.2">
      <c r="A1697" s="4" t="str">
        <f>IF(ポートフォリオ実績!A1698="","", ポートフォリオ実績!A1698)</f>
        <v/>
      </c>
      <c r="B1697" t="str">
        <f>IF(ポートフォリオ実績!B1698="","", ポートフォリオ実績!B1698)</f>
        <v/>
      </c>
      <c r="C1697" s="10" t="str">
        <f>IF(ポートフォリオ実績!C1698="","", ポートフォリオ実績!C1698)</f>
        <v/>
      </c>
      <c r="D1697" s="10" t="str">
        <f>IF(ポートフォリオ実績!D1698="","", ポートフォリオ実績!D1698)</f>
        <v/>
      </c>
      <c r="E1697" s="10" t="str">
        <f>IF(ポートフォリオ実績!E1698="","", ポートフォリオ実績!E1698)</f>
        <v/>
      </c>
      <c r="F1697" s="10" t="str">
        <f>IF(ポートフォリオ実績!F1698="","", ポートフォリオ実績!F1698)</f>
        <v/>
      </c>
      <c r="G1697" t="str">
        <f t="shared" si="286"/>
        <v/>
      </c>
      <c r="H1697">
        <f>IF(B1697&lt;&gt;"", SUMIFS(ポートフォリオ実績!$D$2:$D$2001, ポートフォリオ実績!$B$2:$B$2001, B1697, ポートフォリオ実績!$A$2:$A$2001, G1697), 0)</f>
        <v>0</v>
      </c>
      <c r="I1697">
        <f>IF(B1697&lt;&gt;"", SUMIFS(ポートフォリオ実績!$C$2:$C$2001, ポートフォリオ実績!$B$2:$B$2001, B1697, ポートフォリオ実績!$A$2:$A$2001, G1697), 0)</f>
        <v>0</v>
      </c>
      <c r="J1697">
        <f t="shared" si="287"/>
        <v>0</v>
      </c>
      <c r="K1697">
        <f t="shared" si="288"/>
        <v>0</v>
      </c>
      <c r="L1697">
        <f t="shared" si="289"/>
        <v>0</v>
      </c>
      <c r="M1697">
        <f t="shared" si="290"/>
        <v>0</v>
      </c>
      <c r="N1697">
        <f t="shared" si="291"/>
        <v>0</v>
      </c>
      <c r="O1697">
        <f t="shared" si="292"/>
        <v>0</v>
      </c>
      <c r="P1697" t="str">
        <f t="shared" si="293"/>
        <v/>
      </c>
      <c r="Q1697" t="str">
        <f>IF(B1697="","", IFERROR(VLOOKUP(B1697, '基準資産配分（設定）'!$A$2:$C$2001, 3, FALSE), ""))</f>
        <v/>
      </c>
      <c r="R1697" t="str">
        <f>IF(B1697="","", IFERROR(VLOOKUP(B1697, '基準資産配分（設定）'!$A$2:$C$2001, 2, FALSE)/100, 0))</f>
        <v/>
      </c>
      <c r="S1697" t="str">
        <f>IF(B1697="","", IFERROR(SUMIFS(ベンチマークリターン!$C$2:$C$2001, ベンチマークリターン!$A$2:$A$2001, A1697, ベンチマークリターン!$B$2:$B$2001, Q1697) / 100, 0))</f>
        <v/>
      </c>
      <c r="T1697" t="str">
        <f>IF(A1697="","", SUMIFS($H$2:$H$2000, $A$2:$A$2000, A1697))</f>
        <v/>
      </c>
      <c r="U1697" t="str">
        <f t="shared" si="294"/>
        <v/>
      </c>
      <c r="V1697" t="str">
        <f t="shared" si="295"/>
        <v/>
      </c>
      <c r="W1697" t="str">
        <f t="shared" si="296"/>
        <v/>
      </c>
    </row>
    <row r="1698" spans="1:23" x14ac:dyDescent="0.2">
      <c r="A1698" s="4" t="str">
        <f>IF(ポートフォリオ実績!A1699="","", ポートフォリオ実績!A1699)</f>
        <v/>
      </c>
      <c r="B1698" t="str">
        <f>IF(ポートフォリオ実績!B1699="","", ポートフォリオ実績!B1699)</f>
        <v/>
      </c>
      <c r="C1698" s="10" t="str">
        <f>IF(ポートフォリオ実績!C1699="","", ポートフォリオ実績!C1699)</f>
        <v/>
      </c>
      <c r="D1698" s="10" t="str">
        <f>IF(ポートフォリオ実績!D1699="","", ポートフォリオ実績!D1699)</f>
        <v/>
      </c>
      <c r="E1698" s="10" t="str">
        <f>IF(ポートフォリオ実績!E1699="","", ポートフォリオ実績!E1699)</f>
        <v/>
      </c>
      <c r="F1698" s="10" t="str">
        <f>IF(ポートフォリオ実績!F1699="","", ポートフォリオ実績!F1699)</f>
        <v/>
      </c>
      <c r="G1698" t="str">
        <f t="shared" si="286"/>
        <v/>
      </c>
      <c r="H1698">
        <f>IF(B1698&lt;&gt;"", SUMIFS(ポートフォリオ実績!$D$2:$D$2001, ポートフォリオ実績!$B$2:$B$2001, B1698, ポートフォリオ実績!$A$2:$A$2001, G1698), 0)</f>
        <v>0</v>
      </c>
      <c r="I1698">
        <f>IF(B1698&lt;&gt;"", SUMIFS(ポートフォリオ実績!$C$2:$C$2001, ポートフォリオ実績!$B$2:$B$2001, B1698, ポートフォリオ実績!$A$2:$A$2001, G1698), 0)</f>
        <v>0</v>
      </c>
      <c r="J1698">
        <f t="shared" si="287"/>
        <v>0</v>
      </c>
      <c r="K1698">
        <f t="shared" si="288"/>
        <v>0</v>
      </c>
      <c r="L1698">
        <f t="shared" si="289"/>
        <v>0</v>
      </c>
      <c r="M1698">
        <f t="shared" si="290"/>
        <v>0</v>
      </c>
      <c r="N1698">
        <f t="shared" si="291"/>
        <v>0</v>
      </c>
      <c r="O1698">
        <f t="shared" si="292"/>
        <v>0</v>
      </c>
      <c r="P1698" t="str">
        <f t="shared" si="293"/>
        <v/>
      </c>
      <c r="Q1698" t="str">
        <f>IF(B1698="","", IFERROR(VLOOKUP(B1698, '基準資産配分（設定）'!$A$2:$C$2001, 3, FALSE), ""))</f>
        <v/>
      </c>
      <c r="R1698" t="str">
        <f>IF(B1698="","", IFERROR(VLOOKUP(B1698, '基準資産配分（設定）'!$A$2:$C$2001, 2, FALSE)/100, 0))</f>
        <v/>
      </c>
      <c r="S1698" t="str">
        <f>IF(B1698="","", IFERROR(SUMIFS(ベンチマークリターン!$C$2:$C$2001, ベンチマークリターン!$A$2:$A$2001, A1698, ベンチマークリターン!$B$2:$B$2001, Q1698) / 100, 0))</f>
        <v/>
      </c>
      <c r="T1698" t="str">
        <f>IF(A1698="","", SUMIFS($H$2:$H$2000, $A$2:$A$2000, A1698))</f>
        <v/>
      </c>
      <c r="U1698" t="str">
        <f t="shared" si="294"/>
        <v/>
      </c>
      <c r="V1698" t="str">
        <f t="shared" si="295"/>
        <v/>
      </c>
      <c r="W1698" t="str">
        <f t="shared" si="296"/>
        <v/>
      </c>
    </row>
    <row r="1699" spans="1:23" x14ac:dyDescent="0.2">
      <c r="A1699" s="4" t="str">
        <f>IF(ポートフォリオ実績!A1700="","", ポートフォリオ実績!A1700)</f>
        <v/>
      </c>
      <c r="B1699" t="str">
        <f>IF(ポートフォリオ実績!B1700="","", ポートフォリオ実績!B1700)</f>
        <v/>
      </c>
      <c r="C1699" s="10" t="str">
        <f>IF(ポートフォリオ実績!C1700="","", ポートフォリオ実績!C1700)</f>
        <v/>
      </c>
      <c r="D1699" s="10" t="str">
        <f>IF(ポートフォリオ実績!D1700="","", ポートフォリオ実績!D1700)</f>
        <v/>
      </c>
      <c r="E1699" s="10" t="str">
        <f>IF(ポートフォリオ実績!E1700="","", ポートフォリオ実績!E1700)</f>
        <v/>
      </c>
      <c r="F1699" s="10" t="str">
        <f>IF(ポートフォリオ実績!F1700="","", ポートフォリオ実績!F1700)</f>
        <v/>
      </c>
      <c r="G1699" t="str">
        <f t="shared" si="286"/>
        <v/>
      </c>
      <c r="H1699">
        <f>IF(B1699&lt;&gt;"", SUMIFS(ポートフォリオ実績!$D$2:$D$2001, ポートフォリオ実績!$B$2:$B$2001, B1699, ポートフォリオ実績!$A$2:$A$2001, G1699), 0)</f>
        <v>0</v>
      </c>
      <c r="I1699">
        <f>IF(B1699&lt;&gt;"", SUMIFS(ポートフォリオ実績!$C$2:$C$2001, ポートフォリオ実績!$B$2:$B$2001, B1699, ポートフォリオ実績!$A$2:$A$2001, G1699), 0)</f>
        <v>0</v>
      </c>
      <c r="J1699">
        <f t="shared" si="287"/>
        <v>0</v>
      </c>
      <c r="K1699">
        <f t="shared" si="288"/>
        <v>0</v>
      </c>
      <c r="L1699">
        <f t="shared" si="289"/>
        <v>0</v>
      </c>
      <c r="M1699">
        <f t="shared" si="290"/>
        <v>0</v>
      </c>
      <c r="N1699">
        <f t="shared" si="291"/>
        <v>0</v>
      </c>
      <c r="O1699">
        <f t="shared" si="292"/>
        <v>0</v>
      </c>
      <c r="P1699" t="str">
        <f t="shared" si="293"/>
        <v/>
      </c>
      <c r="Q1699" t="str">
        <f>IF(B1699="","", IFERROR(VLOOKUP(B1699, '基準資産配分（設定）'!$A$2:$C$2001, 3, FALSE), ""))</f>
        <v/>
      </c>
      <c r="R1699" t="str">
        <f>IF(B1699="","", IFERROR(VLOOKUP(B1699, '基準資産配分（設定）'!$A$2:$C$2001, 2, FALSE)/100, 0))</f>
        <v/>
      </c>
      <c r="S1699" t="str">
        <f>IF(B1699="","", IFERROR(SUMIFS(ベンチマークリターン!$C$2:$C$2001, ベンチマークリターン!$A$2:$A$2001, A1699, ベンチマークリターン!$B$2:$B$2001, Q1699) / 100, 0))</f>
        <v/>
      </c>
      <c r="T1699" t="str">
        <f>IF(A1699="","", SUMIFS($H$2:$H$2000, $A$2:$A$2000, A1699))</f>
        <v/>
      </c>
      <c r="U1699" t="str">
        <f t="shared" si="294"/>
        <v/>
      </c>
      <c r="V1699" t="str">
        <f t="shared" si="295"/>
        <v/>
      </c>
      <c r="W1699" t="str">
        <f t="shared" si="296"/>
        <v/>
      </c>
    </row>
    <row r="1700" spans="1:23" x14ac:dyDescent="0.2">
      <c r="A1700" s="4" t="str">
        <f>IF(ポートフォリオ実績!A1701="","", ポートフォリオ実績!A1701)</f>
        <v/>
      </c>
      <c r="B1700" t="str">
        <f>IF(ポートフォリオ実績!B1701="","", ポートフォリオ実績!B1701)</f>
        <v/>
      </c>
      <c r="C1700" s="10" t="str">
        <f>IF(ポートフォリオ実績!C1701="","", ポートフォリオ実績!C1701)</f>
        <v/>
      </c>
      <c r="D1700" s="10" t="str">
        <f>IF(ポートフォリオ実績!D1701="","", ポートフォリオ実績!D1701)</f>
        <v/>
      </c>
      <c r="E1700" s="10" t="str">
        <f>IF(ポートフォリオ実績!E1701="","", ポートフォリオ実績!E1701)</f>
        <v/>
      </c>
      <c r="F1700" s="10" t="str">
        <f>IF(ポートフォリオ実績!F1701="","", ポートフォリオ実績!F1701)</f>
        <v/>
      </c>
      <c r="G1700" t="str">
        <f t="shared" si="286"/>
        <v/>
      </c>
      <c r="H1700">
        <f>IF(B1700&lt;&gt;"", SUMIFS(ポートフォリオ実績!$D$2:$D$2001, ポートフォリオ実績!$B$2:$B$2001, B1700, ポートフォリオ実績!$A$2:$A$2001, G1700), 0)</f>
        <v>0</v>
      </c>
      <c r="I1700">
        <f>IF(B1700&lt;&gt;"", SUMIFS(ポートフォリオ実績!$C$2:$C$2001, ポートフォリオ実績!$B$2:$B$2001, B1700, ポートフォリオ実績!$A$2:$A$2001, G1700), 0)</f>
        <v>0</v>
      </c>
      <c r="J1700">
        <f t="shared" si="287"/>
        <v>0</v>
      </c>
      <c r="K1700">
        <f t="shared" si="288"/>
        <v>0</v>
      </c>
      <c r="L1700">
        <f t="shared" si="289"/>
        <v>0</v>
      </c>
      <c r="M1700">
        <f t="shared" si="290"/>
        <v>0</v>
      </c>
      <c r="N1700">
        <f t="shared" si="291"/>
        <v>0</v>
      </c>
      <c r="O1700">
        <f t="shared" si="292"/>
        <v>0</v>
      </c>
      <c r="P1700" t="str">
        <f t="shared" si="293"/>
        <v/>
      </c>
      <c r="Q1700" t="str">
        <f>IF(B1700="","", IFERROR(VLOOKUP(B1700, '基準資産配分（設定）'!$A$2:$C$2001, 3, FALSE), ""))</f>
        <v/>
      </c>
      <c r="R1700" t="str">
        <f>IF(B1700="","", IFERROR(VLOOKUP(B1700, '基準資産配分（設定）'!$A$2:$C$2001, 2, FALSE)/100, 0))</f>
        <v/>
      </c>
      <c r="S1700" t="str">
        <f>IF(B1700="","", IFERROR(SUMIFS(ベンチマークリターン!$C$2:$C$2001, ベンチマークリターン!$A$2:$A$2001, A1700, ベンチマークリターン!$B$2:$B$2001, Q1700) / 100, 0))</f>
        <v/>
      </c>
      <c r="T1700" t="str">
        <f>IF(A1700="","", SUMIFS($H$2:$H$2000, $A$2:$A$2000, A1700))</f>
        <v/>
      </c>
      <c r="U1700" t="str">
        <f t="shared" si="294"/>
        <v/>
      </c>
      <c r="V1700" t="str">
        <f t="shared" si="295"/>
        <v/>
      </c>
      <c r="W1700" t="str">
        <f t="shared" si="296"/>
        <v/>
      </c>
    </row>
    <row r="1701" spans="1:23" x14ac:dyDescent="0.2">
      <c r="A1701" s="4" t="str">
        <f>IF(ポートフォリオ実績!A1702="","", ポートフォリオ実績!A1702)</f>
        <v/>
      </c>
      <c r="B1701" t="str">
        <f>IF(ポートフォリオ実績!B1702="","", ポートフォリオ実績!B1702)</f>
        <v/>
      </c>
      <c r="C1701" s="10" t="str">
        <f>IF(ポートフォリオ実績!C1702="","", ポートフォリオ実績!C1702)</f>
        <v/>
      </c>
      <c r="D1701" s="10" t="str">
        <f>IF(ポートフォリオ実績!D1702="","", ポートフォリオ実績!D1702)</f>
        <v/>
      </c>
      <c r="E1701" s="10" t="str">
        <f>IF(ポートフォリオ実績!E1702="","", ポートフォリオ実績!E1702)</f>
        <v/>
      </c>
      <c r="F1701" s="10" t="str">
        <f>IF(ポートフォリオ実績!F1702="","", ポートフォリオ実績!F1702)</f>
        <v/>
      </c>
      <c r="G1701" t="str">
        <f t="shared" si="286"/>
        <v/>
      </c>
      <c r="H1701">
        <f>IF(B1701&lt;&gt;"", SUMIFS(ポートフォリオ実績!$D$2:$D$2001, ポートフォリオ実績!$B$2:$B$2001, B1701, ポートフォリオ実績!$A$2:$A$2001, G1701), 0)</f>
        <v>0</v>
      </c>
      <c r="I1701">
        <f>IF(B1701&lt;&gt;"", SUMIFS(ポートフォリオ実績!$C$2:$C$2001, ポートフォリオ実績!$B$2:$B$2001, B1701, ポートフォリオ実績!$A$2:$A$2001, G1701), 0)</f>
        <v>0</v>
      </c>
      <c r="J1701">
        <f t="shared" si="287"/>
        <v>0</v>
      </c>
      <c r="K1701">
        <f t="shared" si="288"/>
        <v>0</v>
      </c>
      <c r="L1701">
        <f t="shared" si="289"/>
        <v>0</v>
      </c>
      <c r="M1701">
        <f t="shared" si="290"/>
        <v>0</v>
      </c>
      <c r="N1701">
        <f t="shared" si="291"/>
        <v>0</v>
      </c>
      <c r="O1701">
        <f t="shared" si="292"/>
        <v>0</v>
      </c>
      <c r="P1701" t="str">
        <f t="shared" si="293"/>
        <v/>
      </c>
      <c r="Q1701" t="str">
        <f>IF(B1701="","", IFERROR(VLOOKUP(B1701, '基準資産配分（設定）'!$A$2:$C$2001, 3, FALSE), ""))</f>
        <v/>
      </c>
      <c r="R1701" t="str">
        <f>IF(B1701="","", IFERROR(VLOOKUP(B1701, '基準資産配分（設定）'!$A$2:$C$2001, 2, FALSE)/100, 0))</f>
        <v/>
      </c>
      <c r="S1701" t="str">
        <f>IF(B1701="","", IFERROR(SUMIFS(ベンチマークリターン!$C$2:$C$2001, ベンチマークリターン!$A$2:$A$2001, A1701, ベンチマークリターン!$B$2:$B$2001, Q1701) / 100, 0))</f>
        <v/>
      </c>
      <c r="T1701" t="str">
        <f>IF(A1701="","", SUMIFS($H$2:$H$2000, $A$2:$A$2000, A1701))</f>
        <v/>
      </c>
      <c r="U1701" t="str">
        <f t="shared" si="294"/>
        <v/>
      </c>
      <c r="V1701" t="str">
        <f t="shared" si="295"/>
        <v/>
      </c>
      <c r="W1701" t="str">
        <f t="shared" si="296"/>
        <v/>
      </c>
    </row>
    <row r="1702" spans="1:23" x14ac:dyDescent="0.2">
      <c r="A1702" s="4" t="str">
        <f>IF(ポートフォリオ実績!A1703="","", ポートフォリオ実績!A1703)</f>
        <v/>
      </c>
      <c r="B1702" t="str">
        <f>IF(ポートフォリオ実績!B1703="","", ポートフォリオ実績!B1703)</f>
        <v/>
      </c>
      <c r="C1702" s="10" t="str">
        <f>IF(ポートフォリオ実績!C1703="","", ポートフォリオ実績!C1703)</f>
        <v/>
      </c>
      <c r="D1702" s="10" t="str">
        <f>IF(ポートフォリオ実績!D1703="","", ポートフォリオ実績!D1703)</f>
        <v/>
      </c>
      <c r="E1702" s="10" t="str">
        <f>IF(ポートフォリオ実績!E1703="","", ポートフォリオ実績!E1703)</f>
        <v/>
      </c>
      <c r="F1702" s="10" t="str">
        <f>IF(ポートフォリオ実績!F1703="","", ポートフォリオ実績!F1703)</f>
        <v/>
      </c>
      <c r="G1702" t="str">
        <f t="shared" si="286"/>
        <v/>
      </c>
      <c r="H1702">
        <f>IF(B1702&lt;&gt;"", SUMIFS(ポートフォリオ実績!$D$2:$D$2001, ポートフォリオ実績!$B$2:$B$2001, B1702, ポートフォリオ実績!$A$2:$A$2001, G1702), 0)</f>
        <v>0</v>
      </c>
      <c r="I1702">
        <f>IF(B1702&lt;&gt;"", SUMIFS(ポートフォリオ実績!$C$2:$C$2001, ポートフォリオ実績!$B$2:$B$2001, B1702, ポートフォリオ実績!$A$2:$A$2001, G1702), 0)</f>
        <v>0</v>
      </c>
      <c r="J1702">
        <f t="shared" si="287"/>
        <v>0</v>
      </c>
      <c r="K1702">
        <f t="shared" si="288"/>
        <v>0</v>
      </c>
      <c r="L1702">
        <f t="shared" si="289"/>
        <v>0</v>
      </c>
      <c r="M1702">
        <f t="shared" si="290"/>
        <v>0</v>
      </c>
      <c r="N1702">
        <f t="shared" si="291"/>
        <v>0</v>
      </c>
      <c r="O1702">
        <f t="shared" si="292"/>
        <v>0</v>
      </c>
      <c r="P1702" t="str">
        <f t="shared" si="293"/>
        <v/>
      </c>
      <c r="Q1702" t="str">
        <f>IF(B1702="","", IFERROR(VLOOKUP(B1702, '基準資産配分（設定）'!$A$2:$C$2001, 3, FALSE), ""))</f>
        <v/>
      </c>
      <c r="R1702" t="str">
        <f>IF(B1702="","", IFERROR(VLOOKUP(B1702, '基準資産配分（設定）'!$A$2:$C$2001, 2, FALSE)/100, 0))</f>
        <v/>
      </c>
      <c r="S1702" t="str">
        <f>IF(B1702="","", IFERROR(SUMIFS(ベンチマークリターン!$C$2:$C$2001, ベンチマークリターン!$A$2:$A$2001, A1702, ベンチマークリターン!$B$2:$B$2001, Q1702) / 100, 0))</f>
        <v/>
      </c>
      <c r="T1702" t="str">
        <f>IF(A1702="","", SUMIFS($H$2:$H$2000, $A$2:$A$2000, A1702))</f>
        <v/>
      </c>
      <c r="U1702" t="str">
        <f t="shared" si="294"/>
        <v/>
      </c>
      <c r="V1702" t="str">
        <f t="shared" si="295"/>
        <v/>
      </c>
      <c r="W1702" t="str">
        <f t="shared" si="296"/>
        <v/>
      </c>
    </row>
    <row r="1703" spans="1:23" x14ac:dyDescent="0.2">
      <c r="A1703" s="4" t="str">
        <f>IF(ポートフォリオ実績!A1704="","", ポートフォリオ実績!A1704)</f>
        <v/>
      </c>
      <c r="B1703" t="str">
        <f>IF(ポートフォリオ実績!B1704="","", ポートフォリオ実績!B1704)</f>
        <v/>
      </c>
      <c r="C1703" s="10" t="str">
        <f>IF(ポートフォリオ実績!C1704="","", ポートフォリオ実績!C1704)</f>
        <v/>
      </c>
      <c r="D1703" s="10" t="str">
        <f>IF(ポートフォリオ実績!D1704="","", ポートフォリオ実績!D1704)</f>
        <v/>
      </c>
      <c r="E1703" s="10" t="str">
        <f>IF(ポートフォリオ実績!E1704="","", ポートフォリオ実績!E1704)</f>
        <v/>
      </c>
      <c r="F1703" s="10" t="str">
        <f>IF(ポートフォリオ実績!F1704="","", ポートフォリオ実績!F1704)</f>
        <v/>
      </c>
      <c r="G1703" t="str">
        <f t="shared" si="286"/>
        <v/>
      </c>
      <c r="H1703">
        <f>IF(B1703&lt;&gt;"", SUMIFS(ポートフォリオ実績!$D$2:$D$2001, ポートフォリオ実績!$B$2:$B$2001, B1703, ポートフォリオ実績!$A$2:$A$2001, G1703), 0)</f>
        <v>0</v>
      </c>
      <c r="I1703">
        <f>IF(B1703&lt;&gt;"", SUMIFS(ポートフォリオ実績!$C$2:$C$2001, ポートフォリオ実績!$B$2:$B$2001, B1703, ポートフォリオ実績!$A$2:$A$2001, G1703), 0)</f>
        <v>0</v>
      </c>
      <c r="J1703">
        <f t="shared" si="287"/>
        <v>0</v>
      </c>
      <c r="K1703">
        <f t="shared" si="288"/>
        <v>0</v>
      </c>
      <c r="L1703">
        <f t="shared" si="289"/>
        <v>0</v>
      </c>
      <c r="M1703">
        <f t="shared" si="290"/>
        <v>0</v>
      </c>
      <c r="N1703">
        <f t="shared" si="291"/>
        <v>0</v>
      </c>
      <c r="O1703">
        <f t="shared" si="292"/>
        <v>0</v>
      </c>
      <c r="P1703" t="str">
        <f t="shared" si="293"/>
        <v/>
      </c>
      <c r="Q1703" t="str">
        <f>IF(B1703="","", IFERROR(VLOOKUP(B1703, '基準資産配分（設定）'!$A$2:$C$2001, 3, FALSE), ""))</f>
        <v/>
      </c>
      <c r="R1703" t="str">
        <f>IF(B1703="","", IFERROR(VLOOKUP(B1703, '基準資産配分（設定）'!$A$2:$C$2001, 2, FALSE)/100, 0))</f>
        <v/>
      </c>
      <c r="S1703" t="str">
        <f>IF(B1703="","", IFERROR(SUMIFS(ベンチマークリターン!$C$2:$C$2001, ベンチマークリターン!$A$2:$A$2001, A1703, ベンチマークリターン!$B$2:$B$2001, Q1703) / 100, 0))</f>
        <v/>
      </c>
      <c r="T1703" t="str">
        <f>IF(A1703="","", SUMIFS($H$2:$H$2000, $A$2:$A$2000, A1703))</f>
        <v/>
      </c>
      <c r="U1703" t="str">
        <f t="shared" si="294"/>
        <v/>
      </c>
      <c r="V1703" t="str">
        <f t="shared" si="295"/>
        <v/>
      </c>
      <c r="W1703" t="str">
        <f t="shared" si="296"/>
        <v/>
      </c>
    </row>
    <row r="1704" spans="1:23" x14ac:dyDescent="0.2">
      <c r="A1704" s="4" t="str">
        <f>IF(ポートフォリオ実績!A1705="","", ポートフォリオ実績!A1705)</f>
        <v/>
      </c>
      <c r="B1704" t="str">
        <f>IF(ポートフォリオ実績!B1705="","", ポートフォリオ実績!B1705)</f>
        <v/>
      </c>
      <c r="C1704" s="10" t="str">
        <f>IF(ポートフォリオ実績!C1705="","", ポートフォリオ実績!C1705)</f>
        <v/>
      </c>
      <c r="D1704" s="10" t="str">
        <f>IF(ポートフォリオ実績!D1705="","", ポートフォリオ実績!D1705)</f>
        <v/>
      </c>
      <c r="E1704" s="10" t="str">
        <f>IF(ポートフォリオ実績!E1705="","", ポートフォリオ実績!E1705)</f>
        <v/>
      </c>
      <c r="F1704" s="10" t="str">
        <f>IF(ポートフォリオ実績!F1705="","", ポートフォリオ実績!F1705)</f>
        <v/>
      </c>
      <c r="G1704" t="str">
        <f t="shared" si="286"/>
        <v/>
      </c>
      <c r="H1704">
        <f>IF(B1704&lt;&gt;"", SUMIFS(ポートフォリオ実績!$D$2:$D$2001, ポートフォリオ実績!$B$2:$B$2001, B1704, ポートフォリオ実績!$A$2:$A$2001, G1704), 0)</f>
        <v>0</v>
      </c>
      <c r="I1704">
        <f>IF(B1704&lt;&gt;"", SUMIFS(ポートフォリオ実績!$C$2:$C$2001, ポートフォリオ実績!$B$2:$B$2001, B1704, ポートフォリオ実績!$A$2:$A$2001, G1704), 0)</f>
        <v>0</v>
      </c>
      <c r="J1704">
        <f t="shared" si="287"/>
        <v>0</v>
      </c>
      <c r="K1704">
        <f t="shared" si="288"/>
        <v>0</v>
      </c>
      <c r="L1704">
        <f t="shared" si="289"/>
        <v>0</v>
      </c>
      <c r="M1704">
        <f t="shared" si="290"/>
        <v>0</v>
      </c>
      <c r="N1704">
        <f t="shared" si="291"/>
        <v>0</v>
      </c>
      <c r="O1704">
        <f t="shared" si="292"/>
        <v>0</v>
      </c>
      <c r="P1704" t="str">
        <f t="shared" si="293"/>
        <v/>
      </c>
      <c r="Q1704" t="str">
        <f>IF(B1704="","", IFERROR(VLOOKUP(B1704, '基準資産配分（設定）'!$A$2:$C$2001, 3, FALSE), ""))</f>
        <v/>
      </c>
      <c r="R1704" t="str">
        <f>IF(B1704="","", IFERROR(VLOOKUP(B1704, '基準資産配分（設定）'!$A$2:$C$2001, 2, FALSE)/100, 0))</f>
        <v/>
      </c>
      <c r="S1704" t="str">
        <f>IF(B1704="","", IFERROR(SUMIFS(ベンチマークリターン!$C$2:$C$2001, ベンチマークリターン!$A$2:$A$2001, A1704, ベンチマークリターン!$B$2:$B$2001, Q1704) / 100, 0))</f>
        <v/>
      </c>
      <c r="T1704" t="str">
        <f>IF(A1704="","", SUMIFS($H$2:$H$2000, $A$2:$A$2000, A1704))</f>
        <v/>
      </c>
      <c r="U1704" t="str">
        <f t="shared" si="294"/>
        <v/>
      </c>
      <c r="V1704" t="str">
        <f t="shared" si="295"/>
        <v/>
      </c>
      <c r="W1704" t="str">
        <f t="shared" si="296"/>
        <v/>
      </c>
    </row>
    <row r="1705" spans="1:23" x14ac:dyDescent="0.2">
      <c r="A1705" s="4" t="str">
        <f>IF(ポートフォリオ実績!A1706="","", ポートフォリオ実績!A1706)</f>
        <v/>
      </c>
      <c r="B1705" t="str">
        <f>IF(ポートフォリオ実績!B1706="","", ポートフォリオ実績!B1706)</f>
        <v/>
      </c>
      <c r="C1705" s="10" t="str">
        <f>IF(ポートフォリオ実績!C1706="","", ポートフォリオ実績!C1706)</f>
        <v/>
      </c>
      <c r="D1705" s="10" t="str">
        <f>IF(ポートフォリオ実績!D1706="","", ポートフォリオ実績!D1706)</f>
        <v/>
      </c>
      <c r="E1705" s="10" t="str">
        <f>IF(ポートフォリオ実績!E1706="","", ポートフォリオ実績!E1706)</f>
        <v/>
      </c>
      <c r="F1705" s="10" t="str">
        <f>IF(ポートフォリオ実績!F1706="","", ポートフォリオ実績!F1706)</f>
        <v/>
      </c>
      <c r="G1705" t="str">
        <f t="shared" si="286"/>
        <v/>
      </c>
      <c r="H1705">
        <f>IF(B1705&lt;&gt;"", SUMIFS(ポートフォリオ実績!$D$2:$D$2001, ポートフォリオ実績!$B$2:$B$2001, B1705, ポートフォリオ実績!$A$2:$A$2001, G1705), 0)</f>
        <v>0</v>
      </c>
      <c r="I1705">
        <f>IF(B1705&lt;&gt;"", SUMIFS(ポートフォリオ実績!$C$2:$C$2001, ポートフォリオ実績!$B$2:$B$2001, B1705, ポートフォリオ実績!$A$2:$A$2001, G1705), 0)</f>
        <v>0</v>
      </c>
      <c r="J1705">
        <f t="shared" si="287"/>
        <v>0</v>
      </c>
      <c r="K1705">
        <f t="shared" si="288"/>
        <v>0</v>
      </c>
      <c r="L1705">
        <f t="shared" si="289"/>
        <v>0</v>
      </c>
      <c r="M1705">
        <f t="shared" si="290"/>
        <v>0</v>
      </c>
      <c r="N1705">
        <f t="shared" si="291"/>
        <v>0</v>
      </c>
      <c r="O1705">
        <f t="shared" si="292"/>
        <v>0</v>
      </c>
      <c r="P1705" t="str">
        <f t="shared" si="293"/>
        <v/>
      </c>
      <c r="Q1705" t="str">
        <f>IF(B1705="","", IFERROR(VLOOKUP(B1705, '基準資産配分（設定）'!$A$2:$C$2001, 3, FALSE), ""))</f>
        <v/>
      </c>
      <c r="R1705" t="str">
        <f>IF(B1705="","", IFERROR(VLOOKUP(B1705, '基準資産配分（設定）'!$A$2:$C$2001, 2, FALSE)/100, 0))</f>
        <v/>
      </c>
      <c r="S1705" t="str">
        <f>IF(B1705="","", IFERROR(SUMIFS(ベンチマークリターン!$C$2:$C$2001, ベンチマークリターン!$A$2:$A$2001, A1705, ベンチマークリターン!$B$2:$B$2001, Q1705) / 100, 0))</f>
        <v/>
      </c>
      <c r="T1705" t="str">
        <f>IF(A1705="","", SUMIFS($H$2:$H$2000, $A$2:$A$2000, A1705))</f>
        <v/>
      </c>
      <c r="U1705" t="str">
        <f t="shared" si="294"/>
        <v/>
      </c>
      <c r="V1705" t="str">
        <f t="shared" si="295"/>
        <v/>
      </c>
      <c r="W1705" t="str">
        <f t="shared" si="296"/>
        <v/>
      </c>
    </row>
    <row r="1706" spans="1:23" x14ac:dyDescent="0.2">
      <c r="A1706" s="4" t="str">
        <f>IF(ポートフォリオ実績!A1707="","", ポートフォリオ実績!A1707)</f>
        <v/>
      </c>
      <c r="B1706" t="str">
        <f>IF(ポートフォリオ実績!B1707="","", ポートフォリオ実績!B1707)</f>
        <v/>
      </c>
      <c r="C1706" s="10" t="str">
        <f>IF(ポートフォリオ実績!C1707="","", ポートフォリオ実績!C1707)</f>
        <v/>
      </c>
      <c r="D1706" s="10" t="str">
        <f>IF(ポートフォリオ実績!D1707="","", ポートフォリオ実績!D1707)</f>
        <v/>
      </c>
      <c r="E1706" s="10" t="str">
        <f>IF(ポートフォリオ実績!E1707="","", ポートフォリオ実績!E1707)</f>
        <v/>
      </c>
      <c r="F1706" s="10" t="str">
        <f>IF(ポートフォリオ実績!F1707="","", ポートフォリオ実績!F1707)</f>
        <v/>
      </c>
      <c r="G1706" t="str">
        <f t="shared" si="286"/>
        <v/>
      </c>
      <c r="H1706">
        <f>IF(B1706&lt;&gt;"", SUMIFS(ポートフォリオ実績!$D$2:$D$2001, ポートフォリオ実績!$B$2:$B$2001, B1706, ポートフォリオ実績!$A$2:$A$2001, G1706), 0)</f>
        <v>0</v>
      </c>
      <c r="I1706">
        <f>IF(B1706&lt;&gt;"", SUMIFS(ポートフォリオ実績!$C$2:$C$2001, ポートフォリオ実績!$B$2:$B$2001, B1706, ポートフォリオ実績!$A$2:$A$2001, G1706), 0)</f>
        <v>0</v>
      </c>
      <c r="J1706">
        <f t="shared" si="287"/>
        <v>0</v>
      </c>
      <c r="K1706">
        <f t="shared" si="288"/>
        <v>0</v>
      </c>
      <c r="L1706">
        <f t="shared" si="289"/>
        <v>0</v>
      </c>
      <c r="M1706">
        <f t="shared" si="290"/>
        <v>0</v>
      </c>
      <c r="N1706">
        <f t="shared" si="291"/>
        <v>0</v>
      </c>
      <c r="O1706">
        <f t="shared" si="292"/>
        <v>0</v>
      </c>
      <c r="P1706" t="str">
        <f t="shared" si="293"/>
        <v/>
      </c>
      <c r="Q1706" t="str">
        <f>IF(B1706="","", IFERROR(VLOOKUP(B1706, '基準資産配分（設定）'!$A$2:$C$2001, 3, FALSE), ""))</f>
        <v/>
      </c>
      <c r="R1706" t="str">
        <f>IF(B1706="","", IFERROR(VLOOKUP(B1706, '基準資産配分（設定）'!$A$2:$C$2001, 2, FALSE)/100, 0))</f>
        <v/>
      </c>
      <c r="S1706" t="str">
        <f>IF(B1706="","", IFERROR(SUMIFS(ベンチマークリターン!$C$2:$C$2001, ベンチマークリターン!$A$2:$A$2001, A1706, ベンチマークリターン!$B$2:$B$2001, Q1706) / 100, 0))</f>
        <v/>
      </c>
      <c r="T1706" t="str">
        <f>IF(A1706="","", SUMIFS($H$2:$H$2000, $A$2:$A$2000, A1706))</f>
        <v/>
      </c>
      <c r="U1706" t="str">
        <f t="shared" si="294"/>
        <v/>
      </c>
      <c r="V1706" t="str">
        <f t="shared" si="295"/>
        <v/>
      </c>
      <c r="W1706" t="str">
        <f t="shared" si="296"/>
        <v/>
      </c>
    </row>
    <row r="1707" spans="1:23" x14ac:dyDescent="0.2">
      <c r="A1707" s="4" t="str">
        <f>IF(ポートフォリオ実績!A1708="","", ポートフォリオ実績!A1708)</f>
        <v/>
      </c>
      <c r="B1707" t="str">
        <f>IF(ポートフォリオ実績!B1708="","", ポートフォリオ実績!B1708)</f>
        <v/>
      </c>
      <c r="C1707" s="10" t="str">
        <f>IF(ポートフォリオ実績!C1708="","", ポートフォリオ実績!C1708)</f>
        <v/>
      </c>
      <c r="D1707" s="10" t="str">
        <f>IF(ポートフォリオ実績!D1708="","", ポートフォリオ実績!D1708)</f>
        <v/>
      </c>
      <c r="E1707" s="10" t="str">
        <f>IF(ポートフォリオ実績!E1708="","", ポートフォリオ実績!E1708)</f>
        <v/>
      </c>
      <c r="F1707" s="10" t="str">
        <f>IF(ポートフォリオ実績!F1708="","", ポートフォリオ実績!F1708)</f>
        <v/>
      </c>
      <c r="G1707" t="str">
        <f t="shared" si="286"/>
        <v/>
      </c>
      <c r="H1707">
        <f>IF(B1707&lt;&gt;"", SUMIFS(ポートフォリオ実績!$D$2:$D$2001, ポートフォリオ実績!$B$2:$B$2001, B1707, ポートフォリオ実績!$A$2:$A$2001, G1707), 0)</f>
        <v>0</v>
      </c>
      <c r="I1707">
        <f>IF(B1707&lt;&gt;"", SUMIFS(ポートフォリオ実績!$C$2:$C$2001, ポートフォリオ実績!$B$2:$B$2001, B1707, ポートフォリオ実績!$A$2:$A$2001, G1707), 0)</f>
        <v>0</v>
      </c>
      <c r="J1707">
        <f t="shared" si="287"/>
        <v>0</v>
      </c>
      <c r="K1707">
        <f t="shared" si="288"/>
        <v>0</v>
      </c>
      <c r="L1707">
        <f t="shared" si="289"/>
        <v>0</v>
      </c>
      <c r="M1707">
        <f t="shared" si="290"/>
        <v>0</v>
      </c>
      <c r="N1707">
        <f t="shared" si="291"/>
        <v>0</v>
      </c>
      <c r="O1707">
        <f t="shared" si="292"/>
        <v>0</v>
      </c>
      <c r="P1707" t="str">
        <f t="shared" si="293"/>
        <v/>
      </c>
      <c r="Q1707" t="str">
        <f>IF(B1707="","", IFERROR(VLOOKUP(B1707, '基準資産配分（設定）'!$A$2:$C$2001, 3, FALSE), ""))</f>
        <v/>
      </c>
      <c r="R1707" t="str">
        <f>IF(B1707="","", IFERROR(VLOOKUP(B1707, '基準資産配分（設定）'!$A$2:$C$2001, 2, FALSE)/100, 0))</f>
        <v/>
      </c>
      <c r="S1707" t="str">
        <f>IF(B1707="","", IFERROR(SUMIFS(ベンチマークリターン!$C$2:$C$2001, ベンチマークリターン!$A$2:$A$2001, A1707, ベンチマークリターン!$B$2:$B$2001, Q1707) / 100, 0))</f>
        <v/>
      </c>
      <c r="T1707" t="str">
        <f>IF(A1707="","", SUMIFS($H$2:$H$2000, $A$2:$A$2000, A1707))</f>
        <v/>
      </c>
      <c r="U1707" t="str">
        <f t="shared" si="294"/>
        <v/>
      </c>
      <c r="V1707" t="str">
        <f t="shared" si="295"/>
        <v/>
      </c>
      <c r="W1707" t="str">
        <f t="shared" si="296"/>
        <v/>
      </c>
    </row>
    <row r="1708" spans="1:23" x14ac:dyDescent="0.2">
      <c r="A1708" s="4" t="str">
        <f>IF(ポートフォリオ実績!A1709="","", ポートフォリオ実績!A1709)</f>
        <v/>
      </c>
      <c r="B1708" t="str">
        <f>IF(ポートフォリオ実績!B1709="","", ポートフォリオ実績!B1709)</f>
        <v/>
      </c>
      <c r="C1708" s="10" t="str">
        <f>IF(ポートフォリオ実績!C1709="","", ポートフォリオ実績!C1709)</f>
        <v/>
      </c>
      <c r="D1708" s="10" t="str">
        <f>IF(ポートフォリオ実績!D1709="","", ポートフォリオ実績!D1709)</f>
        <v/>
      </c>
      <c r="E1708" s="10" t="str">
        <f>IF(ポートフォリオ実績!E1709="","", ポートフォリオ実績!E1709)</f>
        <v/>
      </c>
      <c r="F1708" s="10" t="str">
        <f>IF(ポートフォリオ実績!F1709="","", ポートフォリオ実績!F1709)</f>
        <v/>
      </c>
      <c r="G1708" t="str">
        <f t="shared" si="286"/>
        <v/>
      </c>
      <c r="H1708">
        <f>IF(B1708&lt;&gt;"", SUMIFS(ポートフォリオ実績!$D$2:$D$2001, ポートフォリオ実績!$B$2:$B$2001, B1708, ポートフォリオ実績!$A$2:$A$2001, G1708), 0)</f>
        <v>0</v>
      </c>
      <c r="I1708">
        <f>IF(B1708&lt;&gt;"", SUMIFS(ポートフォリオ実績!$C$2:$C$2001, ポートフォリオ実績!$B$2:$B$2001, B1708, ポートフォリオ実績!$A$2:$A$2001, G1708), 0)</f>
        <v>0</v>
      </c>
      <c r="J1708">
        <f t="shared" si="287"/>
        <v>0</v>
      </c>
      <c r="K1708">
        <f t="shared" si="288"/>
        <v>0</v>
      </c>
      <c r="L1708">
        <f t="shared" si="289"/>
        <v>0</v>
      </c>
      <c r="M1708">
        <f t="shared" si="290"/>
        <v>0</v>
      </c>
      <c r="N1708">
        <f t="shared" si="291"/>
        <v>0</v>
      </c>
      <c r="O1708">
        <f t="shared" si="292"/>
        <v>0</v>
      </c>
      <c r="P1708" t="str">
        <f t="shared" si="293"/>
        <v/>
      </c>
      <c r="Q1708" t="str">
        <f>IF(B1708="","", IFERROR(VLOOKUP(B1708, '基準資産配分（設定）'!$A$2:$C$2001, 3, FALSE), ""))</f>
        <v/>
      </c>
      <c r="R1708" t="str">
        <f>IF(B1708="","", IFERROR(VLOOKUP(B1708, '基準資産配分（設定）'!$A$2:$C$2001, 2, FALSE)/100, 0))</f>
        <v/>
      </c>
      <c r="S1708" t="str">
        <f>IF(B1708="","", IFERROR(SUMIFS(ベンチマークリターン!$C$2:$C$2001, ベンチマークリターン!$A$2:$A$2001, A1708, ベンチマークリターン!$B$2:$B$2001, Q1708) / 100, 0))</f>
        <v/>
      </c>
      <c r="T1708" t="str">
        <f>IF(A1708="","", SUMIFS($H$2:$H$2000, $A$2:$A$2000, A1708))</f>
        <v/>
      </c>
      <c r="U1708" t="str">
        <f t="shared" si="294"/>
        <v/>
      </c>
      <c r="V1708" t="str">
        <f t="shared" si="295"/>
        <v/>
      </c>
      <c r="W1708" t="str">
        <f t="shared" si="296"/>
        <v/>
      </c>
    </row>
    <row r="1709" spans="1:23" x14ac:dyDescent="0.2">
      <c r="A1709" s="4" t="str">
        <f>IF(ポートフォリオ実績!A1710="","", ポートフォリオ実績!A1710)</f>
        <v/>
      </c>
      <c r="B1709" t="str">
        <f>IF(ポートフォリオ実績!B1710="","", ポートフォリオ実績!B1710)</f>
        <v/>
      </c>
      <c r="C1709" s="10" t="str">
        <f>IF(ポートフォリオ実績!C1710="","", ポートフォリオ実績!C1710)</f>
        <v/>
      </c>
      <c r="D1709" s="10" t="str">
        <f>IF(ポートフォリオ実績!D1710="","", ポートフォリオ実績!D1710)</f>
        <v/>
      </c>
      <c r="E1709" s="10" t="str">
        <f>IF(ポートフォリオ実績!E1710="","", ポートフォリオ実績!E1710)</f>
        <v/>
      </c>
      <c r="F1709" s="10" t="str">
        <f>IF(ポートフォリオ実績!F1710="","", ポートフォリオ実績!F1710)</f>
        <v/>
      </c>
      <c r="G1709" t="str">
        <f t="shared" si="286"/>
        <v/>
      </c>
      <c r="H1709">
        <f>IF(B1709&lt;&gt;"", SUMIFS(ポートフォリオ実績!$D$2:$D$2001, ポートフォリオ実績!$B$2:$B$2001, B1709, ポートフォリオ実績!$A$2:$A$2001, G1709), 0)</f>
        <v>0</v>
      </c>
      <c r="I1709">
        <f>IF(B1709&lt;&gt;"", SUMIFS(ポートフォリオ実績!$C$2:$C$2001, ポートフォリオ実績!$B$2:$B$2001, B1709, ポートフォリオ実績!$A$2:$A$2001, G1709), 0)</f>
        <v>0</v>
      </c>
      <c r="J1709">
        <f t="shared" si="287"/>
        <v>0</v>
      </c>
      <c r="K1709">
        <f t="shared" si="288"/>
        <v>0</v>
      </c>
      <c r="L1709">
        <f t="shared" si="289"/>
        <v>0</v>
      </c>
      <c r="M1709">
        <f t="shared" si="290"/>
        <v>0</v>
      </c>
      <c r="N1709">
        <f t="shared" si="291"/>
        <v>0</v>
      </c>
      <c r="O1709">
        <f t="shared" si="292"/>
        <v>0</v>
      </c>
      <c r="P1709" t="str">
        <f t="shared" si="293"/>
        <v/>
      </c>
      <c r="Q1709" t="str">
        <f>IF(B1709="","", IFERROR(VLOOKUP(B1709, '基準資産配分（設定）'!$A$2:$C$2001, 3, FALSE), ""))</f>
        <v/>
      </c>
      <c r="R1709" t="str">
        <f>IF(B1709="","", IFERROR(VLOOKUP(B1709, '基準資産配分（設定）'!$A$2:$C$2001, 2, FALSE)/100, 0))</f>
        <v/>
      </c>
      <c r="S1709" t="str">
        <f>IF(B1709="","", IFERROR(SUMIFS(ベンチマークリターン!$C$2:$C$2001, ベンチマークリターン!$A$2:$A$2001, A1709, ベンチマークリターン!$B$2:$B$2001, Q1709) / 100, 0))</f>
        <v/>
      </c>
      <c r="T1709" t="str">
        <f>IF(A1709="","", SUMIFS($H$2:$H$2000, $A$2:$A$2000, A1709))</f>
        <v/>
      </c>
      <c r="U1709" t="str">
        <f t="shared" si="294"/>
        <v/>
      </c>
      <c r="V1709" t="str">
        <f t="shared" si="295"/>
        <v/>
      </c>
      <c r="W1709" t="str">
        <f t="shared" si="296"/>
        <v/>
      </c>
    </row>
    <row r="1710" spans="1:23" x14ac:dyDescent="0.2">
      <c r="A1710" s="4" t="str">
        <f>IF(ポートフォリオ実績!A1711="","", ポートフォリオ実績!A1711)</f>
        <v/>
      </c>
      <c r="B1710" t="str">
        <f>IF(ポートフォリオ実績!B1711="","", ポートフォリオ実績!B1711)</f>
        <v/>
      </c>
      <c r="C1710" s="10" t="str">
        <f>IF(ポートフォリオ実績!C1711="","", ポートフォリオ実績!C1711)</f>
        <v/>
      </c>
      <c r="D1710" s="10" t="str">
        <f>IF(ポートフォリオ実績!D1711="","", ポートフォリオ実績!D1711)</f>
        <v/>
      </c>
      <c r="E1710" s="10" t="str">
        <f>IF(ポートフォリオ実績!E1711="","", ポートフォリオ実績!E1711)</f>
        <v/>
      </c>
      <c r="F1710" s="10" t="str">
        <f>IF(ポートフォリオ実績!F1711="","", ポートフォリオ実績!F1711)</f>
        <v/>
      </c>
      <c r="G1710" t="str">
        <f t="shared" si="286"/>
        <v/>
      </c>
      <c r="H1710">
        <f>IF(B1710&lt;&gt;"", SUMIFS(ポートフォリオ実績!$D$2:$D$2001, ポートフォリオ実績!$B$2:$B$2001, B1710, ポートフォリオ実績!$A$2:$A$2001, G1710), 0)</f>
        <v>0</v>
      </c>
      <c r="I1710">
        <f>IF(B1710&lt;&gt;"", SUMIFS(ポートフォリオ実績!$C$2:$C$2001, ポートフォリオ実績!$B$2:$B$2001, B1710, ポートフォリオ実績!$A$2:$A$2001, G1710), 0)</f>
        <v>0</v>
      </c>
      <c r="J1710">
        <f t="shared" si="287"/>
        <v>0</v>
      </c>
      <c r="K1710">
        <f t="shared" si="288"/>
        <v>0</v>
      </c>
      <c r="L1710">
        <f t="shared" si="289"/>
        <v>0</v>
      </c>
      <c r="M1710">
        <f t="shared" si="290"/>
        <v>0</v>
      </c>
      <c r="N1710">
        <f t="shared" si="291"/>
        <v>0</v>
      </c>
      <c r="O1710">
        <f t="shared" si="292"/>
        <v>0</v>
      </c>
      <c r="P1710" t="str">
        <f t="shared" si="293"/>
        <v/>
      </c>
      <c r="Q1710" t="str">
        <f>IF(B1710="","", IFERROR(VLOOKUP(B1710, '基準資産配分（設定）'!$A$2:$C$2001, 3, FALSE), ""))</f>
        <v/>
      </c>
      <c r="R1710" t="str">
        <f>IF(B1710="","", IFERROR(VLOOKUP(B1710, '基準資産配分（設定）'!$A$2:$C$2001, 2, FALSE)/100, 0))</f>
        <v/>
      </c>
      <c r="S1710" t="str">
        <f>IF(B1710="","", IFERROR(SUMIFS(ベンチマークリターン!$C$2:$C$2001, ベンチマークリターン!$A$2:$A$2001, A1710, ベンチマークリターン!$B$2:$B$2001, Q1710) / 100, 0))</f>
        <v/>
      </c>
      <c r="T1710" t="str">
        <f>IF(A1710="","", SUMIFS($H$2:$H$2000, $A$2:$A$2000, A1710))</f>
        <v/>
      </c>
      <c r="U1710" t="str">
        <f t="shared" si="294"/>
        <v/>
      </c>
      <c r="V1710" t="str">
        <f t="shared" si="295"/>
        <v/>
      </c>
      <c r="W1710" t="str">
        <f t="shared" si="296"/>
        <v/>
      </c>
    </row>
    <row r="1711" spans="1:23" x14ac:dyDescent="0.2">
      <c r="A1711" s="4" t="str">
        <f>IF(ポートフォリオ実績!A1712="","", ポートフォリオ実績!A1712)</f>
        <v/>
      </c>
      <c r="B1711" t="str">
        <f>IF(ポートフォリオ実績!B1712="","", ポートフォリオ実績!B1712)</f>
        <v/>
      </c>
      <c r="C1711" s="10" t="str">
        <f>IF(ポートフォリオ実績!C1712="","", ポートフォリオ実績!C1712)</f>
        <v/>
      </c>
      <c r="D1711" s="10" t="str">
        <f>IF(ポートフォリオ実績!D1712="","", ポートフォリオ実績!D1712)</f>
        <v/>
      </c>
      <c r="E1711" s="10" t="str">
        <f>IF(ポートフォリオ実績!E1712="","", ポートフォリオ実績!E1712)</f>
        <v/>
      </c>
      <c r="F1711" s="10" t="str">
        <f>IF(ポートフォリオ実績!F1712="","", ポートフォリオ実績!F1712)</f>
        <v/>
      </c>
      <c r="G1711" t="str">
        <f t="shared" si="286"/>
        <v/>
      </c>
      <c r="H1711">
        <f>IF(B1711&lt;&gt;"", SUMIFS(ポートフォリオ実績!$D$2:$D$2001, ポートフォリオ実績!$B$2:$B$2001, B1711, ポートフォリオ実績!$A$2:$A$2001, G1711), 0)</f>
        <v>0</v>
      </c>
      <c r="I1711">
        <f>IF(B1711&lt;&gt;"", SUMIFS(ポートフォリオ実績!$C$2:$C$2001, ポートフォリオ実績!$B$2:$B$2001, B1711, ポートフォリオ実績!$A$2:$A$2001, G1711), 0)</f>
        <v>0</v>
      </c>
      <c r="J1711">
        <f t="shared" si="287"/>
        <v>0</v>
      </c>
      <c r="K1711">
        <f t="shared" si="288"/>
        <v>0</v>
      </c>
      <c r="L1711">
        <f t="shared" si="289"/>
        <v>0</v>
      </c>
      <c r="M1711">
        <f t="shared" si="290"/>
        <v>0</v>
      </c>
      <c r="N1711">
        <f t="shared" si="291"/>
        <v>0</v>
      </c>
      <c r="O1711">
        <f t="shared" si="292"/>
        <v>0</v>
      </c>
      <c r="P1711" t="str">
        <f t="shared" si="293"/>
        <v/>
      </c>
      <c r="Q1711" t="str">
        <f>IF(B1711="","", IFERROR(VLOOKUP(B1711, '基準資産配分（設定）'!$A$2:$C$2001, 3, FALSE), ""))</f>
        <v/>
      </c>
      <c r="R1711" t="str">
        <f>IF(B1711="","", IFERROR(VLOOKUP(B1711, '基準資産配分（設定）'!$A$2:$C$2001, 2, FALSE)/100, 0))</f>
        <v/>
      </c>
      <c r="S1711" t="str">
        <f>IF(B1711="","", IFERROR(SUMIFS(ベンチマークリターン!$C$2:$C$2001, ベンチマークリターン!$A$2:$A$2001, A1711, ベンチマークリターン!$B$2:$B$2001, Q1711) / 100, 0))</f>
        <v/>
      </c>
      <c r="T1711" t="str">
        <f>IF(A1711="","", SUMIFS($H$2:$H$2000, $A$2:$A$2000, A1711))</f>
        <v/>
      </c>
      <c r="U1711" t="str">
        <f t="shared" si="294"/>
        <v/>
      </c>
      <c r="V1711" t="str">
        <f t="shared" si="295"/>
        <v/>
      </c>
      <c r="W1711" t="str">
        <f t="shared" si="296"/>
        <v/>
      </c>
    </row>
    <row r="1712" spans="1:23" x14ac:dyDescent="0.2">
      <c r="A1712" s="4" t="str">
        <f>IF(ポートフォリオ実績!A1713="","", ポートフォリオ実績!A1713)</f>
        <v/>
      </c>
      <c r="B1712" t="str">
        <f>IF(ポートフォリオ実績!B1713="","", ポートフォリオ実績!B1713)</f>
        <v/>
      </c>
      <c r="C1712" s="10" t="str">
        <f>IF(ポートフォリオ実績!C1713="","", ポートフォリオ実績!C1713)</f>
        <v/>
      </c>
      <c r="D1712" s="10" t="str">
        <f>IF(ポートフォリオ実績!D1713="","", ポートフォリオ実績!D1713)</f>
        <v/>
      </c>
      <c r="E1712" s="10" t="str">
        <f>IF(ポートフォリオ実績!E1713="","", ポートフォリオ実績!E1713)</f>
        <v/>
      </c>
      <c r="F1712" s="10" t="str">
        <f>IF(ポートフォリオ実績!F1713="","", ポートフォリオ実績!F1713)</f>
        <v/>
      </c>
      <c r="G1712" t="str">
        <f t="shared" si="286"/>
        <v/>
      </c>
      <c r="H1712">
        <f>IF(B1712&lt;&gt;"", SUMIFS(ポートフォリオ実績!$D$2:$D$2001, ポートフォリオ実績!$B$2:$B$2001, B1712, ポートフォリオ実績!$A$2:$A$2001, G1712), 0)</f>
        <v>0</v>
      </c>
      <c r="I1712">
        <f>IF(B1712&lt;&gt;"", SUMIFS(ポートフォリオ実績!$C$2:$C$2001, ポートフォリオ実績!$B$2:$B$2001, B1712, ポートフォリオ実績!$A$2:$A$2001, G1712), 0)</f>
        <v>0</v>
      </c>
      <c r="J1712">
        <f t="shared" si="287"/>
        <v>0</v>
      </c>
      <c r="K1712">
        <f t="shared" si="288"/>
        <v>0</v>
      </c>
      <c r="L1712">
        <f t="shared" si="289"/>
        <v>0</v>
      </c>
      <c r="M1712">
        <f t="shared" si="290"/>
        <v>0</v>
      </c>
      <c r="N1712">
        <f t="shared" si="291"/>
        <v>0</v>
      </c>
      <c r="O1712">
        <f t="shared" si="292"/>
        <v>0</v>
      </c>
      <c r="P1712" t="str">
        <f t="shared" si="293"/>
        <v/>
      </c>
      <c r="Q1712" t="str">
        <f>IF(B1712="","", IFERROR(VLOOKUP(B1712, '基準資産配分（設定）'!$A$2:$C$2001, 3, FALSE), ""))</f>
        <v/>
      </c>
      <c r="R1712" t="str">
        <f>IF(B1712="","", IFERROR(VLOOKUP(B1712, '基準資産配分（設定）'!$A$2:$C$2001, 2, FALSE)/100, 0))</f>
        <v/>
      </c>
      <c r="S1712" t="str">
        <f>IF(B1712="","", IFERROR(SUMIFS(ベンチマークリターン!$C$2:$C$2001, ベンチマークリターン!$A$2:$A$2001, A1712, ベンチマークリターン!$B$2:$B$2001, Q1712) / 100, 0))</f>
        <v/>
      </c>
      <c r="T1712" t="str">
        <f>IF(A1712="","", SUMIFS($H$2:$H$2000, $A$2:$A$2000, A1712))</f>
        <v/>
      </c>
      <c r="U1712" t="str">
        <f t="shared" si="294"/>
        <v/>
      </c>
      <c r="V1712" t="str">
        <f t="shared" si="295"/>
        <v/>
      </c>
      <c r="W1712" t="str">
        <f t="shared" si="296"/>
        <v/>
      </c>
    </row>
    <row r="1713" spans="1:23" x14ac:dyDescent="0.2">
      <c r="A1713" s="4" t="str">
        <f>IF(ポートフォリオ実績!A1714="","", ポートフォリオ実績!A1714)</f>
        <v/>
      </c>
      <c r="B1713" t="str">
        <f>IF(ポートフォリオ実績!B1714="","", ポートフォリオ実績!B1714)</f>
        <v/>
      </c>
      <c r="C1713" s="10" t="str">
        <f>IF(ポートフォリオ実績!C1714="","", ポートフォリオ実績!C1714)</f>
        <v/>
      </c>
      <c r="D1713" s="10" t="str">
        <f>IF(ポートフォリオ実績!D1714="","", ポートフォリオ実績!D1714)</f>
        <v/>
      </c>
      <c r="E1713" s="10" t="str">
        <f>IF(ポートフォリオ実績!E1714="","", ポートフォリオ実績!E1714)</f>
        <v/>
      </c>
      <c r="F1713" s="10" t="str">
        <f>IF(ポートフォリオ実績!F1714="","", ポートフォリオ実績!F1714)</f>
        <v/>
      </c>
      <c r="G1713" t="str">
        <f t="shared" si="286"/>
        <v/>
      </c>
      <c r="H1713">
        <f>IF(B1713&lt;&gt;"", SUMIFS(ポートフォリオ実績!$D$2:$D$2001, ポートフォリオ実績!$B$2:$B$2001, B1713, ポートフォリオ実績!$A$2:$A$2001, G1713), 0)</f>
        <v>0</v>
      </c>
      <c r="I1713">
        <f>IF(B1713&lt;&gt;"", SUMIFS(ポートフォリオ実績!$C$2:$C$2001, ポートフォリオ実績!$B$2:$B$2001, B1713, ポートフォリオ実績!$A$2:$A$2001, G1713), 0)</f>
        <v>0</v>
      </c>
      <c r="J1713">
        <f t="shared" si="287"/>
        <v>0</v>
      </c>
      <c r="K1713">
        <f t="shared" si="288"/>
        <v>0</v>
      </c>
      <c r="L1713">
        <f t="shared" si="289"/>
        <v>0</v>
      </c>
      <c r="M1713">
        <f t="shared" si="290"/>
        <v>0</v>
      </c>
      <c r="N1713">
        <f t="shared" si="291"/>
        <v>0</v>
      </c>
      <c r="O1713">
        <f t="shared" si="292"/>
        <v>0</v>
      </c>
      <c r="P1713" t="str">
        <f t="shared" si="293"/>
        <v/>
      </c>
      <c r="Q1713" t="str">
        <f>IF(B1713="","", IFERROR(VLOOKUP(B1713, '基準資産配分（設定）'!$A$2:$C$2001, 3, FALSE), ""))</f>
        <v/>
      </c>
      <c r="R1713" t="str">
        <f>IF(B1713="","", IFERROR(VLOOKUP(B1713, '基準資産配分（設定）'!$A$2:$C$2001, 2, FALSE)/100, 0))</f>
        <v/>
      </c>
      <c r="S1713" t="str">
        <f>IF(B1713="","", IFERROR(SUMIFS(ベンチマークリターン!$C$2:$C$2001, ベンチマークリターン!$A$2:$A$2001, A1713, ベンチマークリターン!$B$2:$B$2001, Q1713) / 100, 0))</f>
        <v/>
      </c>
      <c r="T1713" t="str">
        <f>IF(A1713="","", SUMIFS($H$2:$H$2000, $A$2:$A$2000, A1713))</f>
        <v/>
      </c>
      <c r="U1713" t="str">
        <f t="shared" si="294"/>
        <v/>
      </c>
      <c r="V1713" t="str">
        <f t="shared" si="295"/>
        <v/>
      </c>
      <c r="W1713" t="str">
        <f t="shared" si="296"/>
        <v/>
      </c>
    </row>
    <row r="1714" spans="1:23" x14ac:dyDescent="0.2">
      <c r="A1714" s="4" t="str">
        <f>IF(ポートフォリオ実績!A1715="","", ポートフォリオ実績!A1715)</f>
        <v/>
      </c>
      <c r="B1714" t="str">
        <f>IF(ポートフォリオ実績!B1715="","", ポートフォリオ実績!B1715)</f>
        <v/>
      </c>
      <c r="C1714" s="10" t="str">
        <f>IF(ポートフォリオ実績!C1715="","", ポートフォリオ実績!C1715)</f>
        <v/>
      </c>
      <c r="D1714" s="10" t="str">
        <f>IF(ポートフォリオ実績!D1715="","", ポートフォリオ実績!D1715)</f>
        <v/>
      </c>
      <c r="E1714" s="10" t="str">
        <f>IF(ポートフォリオ実績!E1715="","", ポートフォリオ実績!E1715)</f>
        <v/>
      </c>
      <c r="F1714" s="10" t="str">
        <f>IF(ポートフォリオ実績!F1715="","", ポートフォリオ実績!F1715)</f>
        <v/>
      </c>
      <c r="G1714" t="str">
        <f t="shared" si="286"/>
        <v/>
      </c>
      <c r="H1714">
        <f>IF(B1714&lt;&gt;"", SUMIFS(ポートフォリオ実績!$D$2:$D$2001, ポートフォリオ実績!$B$2:$B$2001, B1714, ポートフォリオ実績!$A$2:$A$2001, G1714), 0)</f>
        <v>0</v>
      </c>
      <c r="I1714">
        <f>IF(B1714&lt;&gt;"", SUMIFS(ポートフォリオ実績!$C$2:$C$2001, ポートフォリオ実績!$B$2:$B$2001, B1714, ポートフォリオ実績!$A$2:$A$2001, G1714), 0)</f>
        <v>0</v>
      </c>
      <c r="J1714">
        <f t="shared" si="287"/>
        <v>0</v>
      </c>
      <c r="K1714">
        <f t="shared" si="288"/>
        <v>0</v>
      </c>
      <c r="L1714">
        <f t="shared" si="289"/>
        <v>0</v>
      </c>
      <c r="M1714">
        <f t="shared" si="290"/>
        <v>0</v>
      </c>
      <c r="N1714">
        <f t="shared" si="291"/>
        <v>0</v>
      </c>
      <c r="O1714">
        <f t="shared" si="292"/>
        <v>0</v>
      </c>
      <c r="P1714" t="str">
        <f t="shared" si="293"/>
        <v/>
      </c>
      <c r="Q1714" t="str">
        <f>IF(B1714="","", IFERROR(VLOOKUP(B1714, '基準資産配分（設定）'!$A$2:$C$2001, 3, FALSE), ""))</f>
        <v/>
      </c>
      <c r="R1714" t="str">
        <f>IF(B1714="","", IFERROR(VLOOKUP(B1714, '基準資産配分（設定）'!$A$2:$C$2001, 2, FALSE)/100, 0))</f>
        <v/>
      </c>
      <c r="S1714" t="str">
        <f>IF(B1714="","", IFERROR(SUMIFS(ベンチマークリターン!$C$2:$C$2001, ベンチマークリターン!$A$2:$A$2001, A1714, ベンチマークリターン!$B$2:$B$2001, Q1714) / 100, 0))</f>
        <v/>
      </c>
      <c r="T1714" t="str">
        <f>IF(A1714="","", SUMIFS($H$2:$H$2000, $A$2:$A$2000, A1714))</f>
        <v/>
      </c>
      <c r="U1714" t="str">
        <f t="shared" si="294"/>
        <v/>
      </c>
      <c r="V1714" t="str">
        <f t="shared" si="295"/>
        <v/>
      </c>
      <c r="W1714" t="str">
        <f t="shared" si="296"/>
        <v/>
      </c>
    </row>
    <row r="1715" spans="1:23" x14ac:dyDescent="0.2">
      <c r="A1715" s="4" t="str">
        <f>IF(ポートフォリオ実績!A1716="","", ポートフォリオ実績!A1716)</f>
        <v/>
      </c>
      <c r="B1715" t="str">
        <f>IF(ポートフォリオ実績!B1716="","", ポートフォリオ実績!B1716)</f>
        <v/>
      </c>
      <c r="C1715" s="10" t="str">
        <f>IF(ポートフォリオ実績!C1716="","", ポートフォリオ実績!C1716)</f>
        <v/>
      </c>
      <c r="D1715" s="10" t="str">
        <f>IF(ポートフォリオ実績!D1716="","", ポートフォリオ実績!D1716)</f>
        <v/>
      </c>
      <c r="E1715" s="10" t="str">
        <f>IF(ポートフォリオ実績!E1716="","", ポートフォリオ実績!E1716)</f>
        <v/>
      </c>
      <c r="F1715" s="10" t="str">
        <f>IF(ポートフォリオ実績!F1716="","", ポートフォリオ実績!F1716)</f>
        <v/>
      </c>
      <c r="G1715" t="str">
        <f t="shared" si="286"/>
        <v/>
      </c>
      <c r="H1715">
        <f>IF(B1715&lt;&gt;"", SUMIFS(ポートフォリオ実績!$D$2:$D$2001, ポートフォリオ実績!$B$2:$B$2001, B1715, ポートフォリオ実績!$A$2:$A$2001, G1715), 0)</f>
        <v>0</v>
      </c>
      <c r="I1715">
        <f>IF(B1715&lt;&gt;"", SUMIFS(ポートフォリオ実績!$C$2:$C$2001, ポートフォリオ実績!$B$2:$B$2001, B1715, ポートフォリオ実績!$A$2:$A$2001, G1715), 0)</f>
        <v>0</v>
      </c>
      <c r="J1715">
        <f t="shared" si="287"/>
        <v>0</v>
      </c>
      <c r="K1715">
        <f t="shared" si="288"/>
        <v>0</v>
      </c>
      <c r="L1715">
        <f t="shared" si="289"/>
        <v>0</v>
      </c>
      <c r="M1715">
        <f t="shared" si="290"/>
        <v>0</v>
      </c>
      <c r="N1715">
        <f t="shared" si="291"/>
        <v>0</v>
      </c>
      <c r="O1715">
        <f t="shared" si="292"/>
        <v>0</v>
      </c>
      <c r="P1715" t="str">
        <f t="shared" si="293"/>
        <v/>
      </c>
      <c r="Q1715" t="str">
        <f>IF(B1715="","", IFERROR(VLOOKUP(B1715, '基準資産配分（設定）'!$A$2:$C$2001, 3, FALSE), ""))</f>
        <v/>
      </c>
      <c r="R1715" t="str">
        <f>IF(B1715="","", IFERROR(VLOOKUP(B1715, '基準資産配分（設定）'!$A$2:$C$2001, 2, FALSE)/100, 0))</f>
        <v/>
      </c>
      <c r="S1715" t="str">
        <f>IF(B1715="","", IFERROR(SUMIFS(ベンチマークリターン!$C$2:$C$2001, ベンチマークリターン!$A$2:$A$2001, A1715, ベンチマークリターン!$B$2:$B$2001, Q1715) / 100, 0))</f>
        <v/>
      </c>
      <c r="T1715" t="str">
        <f>IF(A1715="","", SUMIFS($H$2:$H$2000, $A$2:$A$2000, A1715))</f>
        <v/>
      </c>
      <c r="U1715" t="str">
        <f t="shared" si="294"/>
        <v/>
      </c>
      <c r="V1715" t="str">
        <f t="shared" si="295"/>
        <v/>
      </c>
      <c r="W1715" t="str">
        <f t="shared" si="296"/>
        <v/>
      </c>
    </row>
    <row r="1716" spans="1:23" x14ac:dyDescent="0.2">
      <c r="A1716" s="4" t="str">
        <f>IF(ポートフォリオ実績!A1717="","", ポートフォリオ実績!A1717)</f>
        <v/>
      </c>
      <c r="B1716" t="str">
        <f>IF(ポートフォリオ実績!B1717="","", ポートフォリオ実績!B1717)</f>
        <v/>
      </c>
      <c r="C1716" s="10" t="str">
        <f>IF(ポートフォリオ実績!C1717="","", ポートフォリオ実績!C1717)</f>
        <v/>
      </c>
      <c r="D1716" s="10" t="str">
        <f>IF(ポートフォリオ実績!D1717="","", ポートフォリオ実績!D1717)</f>
        <v/>
      </c>
      <c r="E1716" s="10" t="str">
        <f>IF(ポートフォリオ実績!E1717="","", ポートフォリオ実績!E1717)</f>
        <v/>
      </c>
      <c r="F1716" s="10" t="str">
        <f>IF(ポートフォリオ実績!F1717="","", ポートフォリオ実績!F1717)</f>
        <v/>
      </c>
      <c r="G1716" t="str">
        <f t="shared" si="286"/>
        <v/>
      </c>
      <c r="H1716">
        <f>IF(B1716&lt;&gt;"", SUMIFS(ポートフォリオ実績!$D$2:$D$2001, ポートフォリオ実績!$B$2:$B$2001, B1716, ポートフォリオ実績!$A$2:$A$2001, G1716), 0)</f>
        <v>0</v>
      </c>
      <c r="I1716">
        <f>IF(B1716&lt;&gt;"", SUMIFS(ポートフォリオ実績!$C$2:$C$2001, ポートフォリオ実績!$B$2:$B$2001, B1716, ポートフォリオ実績!$A$2:$A$2001, G1716), 0)</f>
        <v>0</v>
      </c>
      <c r="J1716">
        <f t="shared" si="287"/>
        <v>0</v>
      </c>
      <c r="K1716">
        <f t="shared" si="288"/>
        <v>0</v>
      </c>
      <c r="L1716">
        <f t="shared" si="289"/>
        <v>0</v>
      </c>
      <c r="M1716">
        <f t="shared" si="290"/>
        <v>0</v>
      </c>
      <c r="N1716">
        <f t="shared" si="291"/>
        <v>0</v>
      </c>
      <c r="O1716">
        <f t="shared" si="292"/>
        <v>0</v>
      </c>
      <c r="P1716" t="str">
        <f t="shared" si="293"/>
        <v/>
      </c>
      <c r="Q1716" t="str">
        <f>IF(B1716="","", IFERROR(VLOOKUP(B1716, '基準資産配分（設定）'!$A$2:$C$2001, 3, FALSE), ""))</f>
        <v/>
      </c>
      <c r="R1716" t="str">
        <f>IF(B1716="","", IFERROR(VLOOKUP(B1716, '基準資産配分（設定）'!$A$2:$C$2001, 2, FALSE)/100, 0))</f>
        <v/>
      </c>
      <c r="S1716" t="str">
        <f>IF(B1716="","", IFERROR(SUMIFS(ベンチマークリターン!$C$2:$C$2001, ベンチマークリターン!$A$2:$A$2001, A1716, ベンチマークリターン!$B$2:$B$2001, Q1716) / 100, 0))</f>
        <v/>
      </c>
      <c r="T1716" t="str">
        <f>IF(A1716="","", SUMIFS($H$2:$H$2000, $A$2:$A$2000, A1716))</f>
        <v/>
      </c>
      <c r="U1716" t="str">
        <f t="shared" si="294"/>
        <v/>
      </c>
      <c r="V1716" t="str">
        <f t="shared" si="295"/>
        <v/>
      </c>
      <c r="W1716" t="str">
        <f t="shared" si="296"/>
        <v/>
      </c>
    </row>
    <row r="1717" spans="1:23" x14ac:dyDescent="0.2">
      <c r="A1717" s="4" t="str">
        <f>IF(ポートフォリオ実績!A1718="","", ポートフォリオ実績!A1718)</f>
        <v/>
      </c>
      <c r="B1717" t="str">
        <f>IF(ポートフォリオ実績!B1718="","", ポートフォリオ実績!B1718)</f>
        <v/>
      </c>
      <c r="C1717" s="10" t="str">
        <f>IF(ポートフォリオ実績!C1718="","", ポートフォリオ実績!C1718)</f>
        <v/>
      </c>
      <c r="D1717" s="10" t="str">
        <f>IF(ポートフォリオ実績!D1718="","", ポートフォリオ実績!D1718)</f>
        <v/>
      </c>
      <c r="E1717" s="10" t="str">
        <f>IF(ポートフォリオ実績!E1718="","", ポートフォリオ実績!E1718)</f>
        <v/>
      </c>
      <c r="F1717" s="10" t="str">
        <f>IF(ポートフォリオ実績!F1718="","", ポートフォリオ実績!F1718)</f>
        <v/>
      </c>
      <c r="G1717" t="str">
        <f t="shared" si="286"/>
        <v/>
      </c>
      <c r="H1717">
        <f>IF(B1717&lt;&gt;"", SUMIFS(ポートフォリオ実績!$D$2:$D$2001, ポートフォリオ実績!$B$2:$B$2001, B1717, ポートフォリオ実績!$A$2:$A$2001, G1717), 0)</f>
        <v>0</v>
      </c>
      <c r="I1717">
        <f>IF(B1717&lt;&gt;"", SUMIFS(ポートフォリオ実績!$C$2:$C$2001, ポートフォリオ実績!$B$2:$B$2001, B1717, ポートフォリオ実績!$A$2:$A$2001, G1717), 0)</f>
        <v>0</v>
      </c>
      <c r="J1717">
        <f t="shared" si="287"/>
        <v>0</v>
      </c>
      <c r="K1717">
        <f t="shared" si="288"/>
        <v>0</v>
      </c>
      <c r="L1717">
        <f t="shared" si="289"/>
        <v>0</v>
      </c>
      <c r="M1717">
        <f t="shared" si="290"/>
        <v>0</v>
      </c>
      <c r="N1717">
        <f t="shared" si="291"/>
        <v>0</v>
      </c>
      <c r="O1717">
        <f t="shared" si="292"/>
        <v>0</v>
      </c>
      <c r="P1717" t="str">
        <f t="shared" si="293"/>
        <v/>
      </c>
      <c r="Q1717" t="str">
        <f>IF(B1717="","", IFERROR(VLOOKUP(B1717, '基準資産配分（設定）'!$A$2:$C$2001, 3, FALSE), ""))</f>
        <v/>
      </c>
      <c r="R1717" t="str">
        <f>IF(B1717="","", IFERROR(VLOOKUP(B1717, '基準資産配分（設定）'!$A$2:$C$2001, 2, FALSE)/100, 0))</f>
        <v/>
      </c>
      <c r="S1717" t="str">
        <f>IF(B1717="","", IFERROR(SUMIFS(ベンチマークリターン!$C$2:$C$2001, ベンチマークリターン!$A$2:$A$2001, A1717, ベンチマークリターン!$B$2:$B$2001, Q1717) / 100, 0))</f>
        <v/>
      </c>
      <c r="T1717" t="str">
        <f>IF(A1717="","", SUMIFS($H$2:$H$2000, $A$2:$A$2000, A1717))</f>
        <v/>
      </c>
      <c r="U1717" t="str">
        <f t="shared" si="294"/>
        <v/>
      </c>
      <c r="V1717" t="str">
        <f t="shared" si="295"/>
        <v/>
      </c>
      <c r="W1717" t="str">
        <f t="shared" si="296"/>
        <v/>
      </c>
    </row>
    <row r="1718" spans="1:23" x14ac:dyDescent="0.2">
      <c r="A1718" s="4" t="str">
        <f>IF(ポートフォリオ実績!A1719="","", ポートフォリオ実績!A1719)</f>
        <v/>
      </c>
      <c r="B1718" t="str">
        <f>IF(ポートフォリオ実績!B1719="","", ポートフォリオ実績!B1719)</f>
        <v/>
      </c>
      <c r="C1718" s="10" t="str">
        <f>IF(ポートフォリオ実績!C1719="","", ポートフォリオ実績!C1719)</f>
        <v/>
      </c>
      <c r="D1718" s="10" t="str">
        <f>IF(ポートフォリオ実績!D1719="","", ポートフォリオ実績!D1719)</f>
        <v/>
      </c>
      <c r="E1718" s="10" t="str">
        <f>IF(ポートフォリオ実績!E1719="","", ポートフォリオ実績!E1719)</f>
        <v/>
      </c>
      <c r="F1718" s="10" t="str">
        <f>IF(ポートフォリオ実績!F1719="","", ポートフォリオ実績!F1719)</f>
        <v/>
      </c>
      <c r="G1718" t="str">
        <f t="shared" si="286"/>
        <v/>
      </c>
      <c r="H1718">
        <f>IF(B1718&lt;&gt;"", SUMIFS(ポートフォリオ実績!$D$2:$D$2001, ポートフォリオ実績!$B$2:$B$2001, B1718, ポートフォリオ実績!$A$2:$A$2001, G1718), 0)</f>
        <v>0</v>
      </c>
      <c r="I1718">
        <f>IF(B1718&lt;&gt;"", SUMIFS(ポートフォリオ実績!$C$2:$C$2001, ポートフォリオ実績!$B$2:$B$2001, B1718, ポートフォリオ実績!$A$2:$A$2001, G1718), 0)</f>
        <v>0</v>
      </c>
      <c r="J1718">
        <f t="shared" si="287"/>
        <v>0</v>
      </c>
      <c r="K1718">
        <f t="shared" si="288"/>
        <v>0</v>
      </c>
      <c r="L1718">
        <f t="shared" si="289"/>
        <v>0</v>
      </c>
      <c r="M1718">
        <f t="shared" si="290"/>
        <v>0</v>
      </c>
      <c r="N1718">
        <f t="shared" si="291"/>
        <v>0</v>
      </c>
      <c r="O1718">
        <f t="shared" si="292"/>
        <v>0</v>
      </c>
      <c r="P1718" t="str">
        <f t="shared" si="293"/>
        <v/>
      </c>
      <c r="Q1718" t="str">
        <f>IF(B1718="","", IFERROR(VLOOKUP(B1718, '基準資産配分（設定）'!$A$2:$C$2001, 3, FALSE), ""))</f>
        <v/>
      </c>
      <c r="R1718" t="str">
        <f>IF(B1718="","", IFERROR(VLOOKUP(B1718, '基準資産配分（設定）'!$A$2:$C$2001, 2, FALSE)/100, 0))</f>
        <v/>
      </c>
      <c r="S1718" t="str">
        <f>IF(B1718="","", IFERROR(SUMIFS(ベンチマークリターン!$C$2:$C$2001, ベンチマークリターン!$A$2:$A$2001, A1718, ベンチマークリターン!$B$2:$B$2001, Q1718) / 100, 0))</f>
        <v/>
      </c>
      <c r="T1718" t="str">
        <f>IF(A1718="","", SUMIFS($H$2:$H$2000, $A$2:$A$2000, A1718))</f>
        <v/>
      </c>
      <c r="U1718" t="str">
        <f t="shared" si="294"/>
        <v/>
      </c>
      <c r="V1718" t="str">
        <f t="shared" si="295"/>
        <v/>
      </c>
      <c r="W1718" t="str">
        <f t="shared" si="296"/>
        <v/>
      </c>
    </row>
    <row r="1719" spans="1:23" x14ac:dyDescent="0.2">
      <c r="A1719" s="4" t="str">
        <f>IF(ポートフォリオ実績!A1720="","", ポートフォリオ実績!A1720)</f>
        <v/>
      </c>
      <c r="B1719" t="str">
        <f>IF(ポートフォリオ実績!B1720="","", ポートフォリオ実績!B1720)</f>
        <v/>
      </c>
      <c r="C1719" s="10" t="str">
        <f>IF(ポートフォリオ実績!C1720="","", ポートフォリオ実績!C1720)</f>
        <v/>
      </c>
      <c r="D1719" s="10" t="str">
        <f>IF(ポートフォリオ実績!D1720="","", ポートフォリオ実績!D1720)</f>
        <v/>
      </c>
      <c r="E1719" s="10" t="str">
        <f>IF(ポートフォリオ実績!E1720="","", ポートフォリオ実績!E1720)</f>
        <v/>
      </c>
      <c r="F1719" s="10" t="str">
        <f>IF(ポートフォリオ実績!F1720="","", ポートフォリオ実績!F1720)</f>
        <v/>
      </c>
      <c r="G1719" t="str">
        <f t="shared" si="286"/>
        <v/>
      </c>
      <c r="H1719">
        <f>IF(B1719&lt;&gt;"", SUMIFS(ポートフォリオ実績!$D$2:$D$2001, ポートフォリオ実績!$B$2:$B$2001, B1719, ポートフォリオ実績!$A$2:$A$2001, G1719), 0)</f>
        <v>0</v>
      </c>
      <c r="I1719">
        <f>IF(B1719&lt;&gt;"", SUMIFS(ポートフォリオ実績!$C$2:$C$2001, ポートフォリオ実績!$B$2:$B$2001, B1719, ポートフォリオ実績!$A$2:$A$2001, G1719), 0)</f>
        <v>0</v>
      </c>
      <c r="J1719">
        <f t="shared" si="287"/>
        <v>0</v>
      </c>
      <c r="K1719">
        <f t="shared" si="288"/>
        <v>0</v>
      </c>
      <c r="L1719">
        <f t="shared" si="289"/>
        <v>0</v>
      </c>
      <c r="M1719">
        <f t="shared" si="290"/>
        <v>0</v>
      </c>
      <c r="N1719">
        <f t="shared" si="291"/>
        <v>0</v>
      </c>
      <c r="O1719">
        <f t="shared" si="292"/>
        <v>0</v>
      </c>
      <c r="P1719" t="str">
        <f t="shared" si="293"/>
        <v/>
      </c>
      <c r="Q1719" t="str">
        <f>IF(B1719="","", IFERROR(VLOOKUP(B1719, '基準資産配分（設定）'!$A$2:$C$2001, 3, FALSE), ""))</f>
        <v/>
      </c>
      <c r="R1719" t="str">
        <f>IF(B1719="","", IFERROR(VLOOKUP(B1719, '基準資産配分（設定）'!$A$2:$C$2001, 2, FALSE)/100, 0))</f>
        <v/>
      </c>
      <c r="S1719" t="str">
        <f>IF(B1719="","", IFERROR(SUMIFS(ベンチマークリターン!$C$2:$C$2001, ベンチマークリターン!$A$2:$A$2001, A1719, ベンチマークリターン!$B$2:$B$2001, Q1719) / 100, 0))</f>
        <v/>
      </c>
      <c r="T1719" t="str">
        <f>IF(A1719="","", SUMIFS($H$2:$H$2000, $A$2:$A$2000, A1719))</f>
        <v/>
      </c>
      <c r="U1719" t="str">
        <f t="shared" si="294"/>
        <v/>
      </c>
      <c r="V1719" t="str">
        <f t="shared" si="295"/>
        <v/>
      </c>
      <c r="W1719" t="str">
        <f t="shared" si="296"/>
        <v/>
      </c>
    </row>
    <row r="1720" spans="1:23" x14ac:dyDescent="0.2">
      <c r="A1720" s="4" t="str">
        <f>IF(ポートフォリオ実績!A1721="","", ポートフォリオ実績!A1721)</f>
        <v/>
      </c>
      <c r="B1720" t="str">
        <f>IF(ポートフォリオ実績!B1721="","", ポートフォリオ実績!B1721)</f>
        <v/>
      </c>
      <c r="C1720" s="10" t="str">
        <f>IF(ポートフォリオ実績!C1721="","", ポートフォリオ実績!C1721)</f>
        <v/>
      </c>
      <c r="D1720" s="10" t="str">
        <f>IF(ポートフォリオ実績!D1721="","", ポートフォリオ実績!D1721)</f>
        <v/>
      </c>
      <c r="E1720" s="10" t="str">
        <f>IF(ポートフォリオ実績!E1721="","", ポートフォリオ実績!E1721)</f>
        <v/>
      </c>
      <c r="F1720" s="10" t="str">
        <f>IF(ポートフォリオ実績!F1721="","", ポートフォリオ実績!F1721)</f>
        <v/>
      </c>
      <c r="G1720" t="str">
        <f t="shared" si="286"/>
        <v/>
      </c>
      <c r="H1720">
        <f>IF(B1720&lt;&gt;"", SUMIFS(ポートフォリオ実績!$D$2:$D$2001, ポートフォリオ実績!$B$2:$B$2001, B1720, ポートフォリオ実績!$A$2:$A$2001, G1720), 0)</f>
        <v>0</v>
      </c>
      <c r="I1720">
        <f>IF(B1720&lt;&gt;"", SUMIFS(ポートフォリオ実績!$C$2:$C$2001, ポートフォリオ実績!$B$2:$B$2001, B1720, ポートフォリオ実績!$A$2:$A$2001, G1720), 0)</f>
        <v>0</v>
      </c>
      <c r="J1720">
        <f t="shared" si="287"/>
        <v>0</v>
      </c>
      <c r="K1720">
        <f t="shared" si="288"/>
        <v>0</v>
      </c>
      <c r="L1720">
        <f t="shared" si="289"/>
        <v>0</v>
      </c>
      <c r="M1720">
        <f t="shared" si="290"/>
        <v>0</v>
      </c>
      <c r="N1720">
        <f t="shared" si="291"/>
        <v>0</v>
      </c>
      <c r="O1720">
        <f t="shared" si="292"/>
        <v>0</v>
      </c>
      <c r="P1720" t="str">
        <f t="shared" si="293"/>
        <v/>
      </c>
      <c r="Q1720" t="str">
        <f>IF(B1720="","", IFERROR(VLOOKUP(B1720, '基準資産配分（設定）'!$A$2:$C$2001, 3, FALSE), ""))</f>
        <v/>
      </c>
      <c r="R1720" t="str">
        <f>IF(B1720="","", IFERROR(VLOOKUP(B1720, '基準資産配分（設定）'!$A$2:$C$2001, 2, FALSE)/100, 0))</f>
        <v/>
      </c>
      <c r="S1720" t="str">
        <f>IF(B1720="","", IFERROR(SUMIFS(ベンチマークリターン!$C$2:$C$2001, ベンチマークリターン!$A$2:$A$2001, A1720, ベンチマークリターン!$B$2:$B$2001, Q1720) / 100, 0))</f>
        <v/>
      </c>
      <c r="T1720" t="str">
        <f>IF(A1720="","", SUMIFS($H$2:$H$2000, $A$2:$A$2000, A1720))</f>
        <v/>
      </c>
      <c r="U1720" t="str">
        <f t="shared" si="294"/>
        <v/>
      </c>
      <c r="V1720" t="str">
        <f t="shared" si="295"/>
        <v/>
      </c>
      <c r="W1720" t="str">
        <f t="shared" si="296"/>
        <v/>
      </c>
    </row>
    <row r="1721" spans="1:23" x14ac:dyDescent="0.2">
      <c r="A1721" s="4" t="str">
        <f>IF(ポートフォリオ実績!A1722="","", ポートフォリオ実績!A1722)</f>
        <v/>
      </c>
      <c r="B1721" t="str">
        <f>IF(ポートフォリオ実績!B1722="","", ポートフォリオ実績!B1722)</f>
        <v/>
      </c>
      <c r="C1721" s="10" t="str">
        <f>IF(ポートフォリオ実績!C1722="","", ポートフォリオ実績!C1722)</f>
        <v/>
      </c>
      <c r="D1721" s="10" t="str">
        <f>IF(ポートフォリオ実績!D1722="","", ポートフォリオ実績!D1722)</f>
        <v/>
      </c>
      <c r="E1721" s="10" t="str">
        <f>IF(ポートフォリオ実績!E1722="","", ポートフォリオ実績!E1722)</f>
        <v/>
      </c>
      <c r="F1721" s="10" t="str">
        <f>IF(ポートフォリオ実績!F1722="","", ポートフォリオ実績!F1722)</f>
        <v/>
      </c>
      <c r="G1721" t="str">
        <f t="shared" si="286"/>
        <v/>
      </c>
      <c r="H1721">
        <f>IF(B1721&lt;&gt;"", SUMIFS(ポートフォリオ実績!$D$2:$D$2001, ポートフォリオ実績!$B$2:$B$2001, B1721, ポートフォリオ実績!$A$2:$A$2001, G1721), 0)</f>
        <v>0</v>
      </c>
      <c r="I1721">
        <f>IF(B1721&lt;&gt;"", SUMIFS(ポートフォリオ実績!$C$2:$C$2001, ポートフォリオ実績!$B$2:$B$2001, B1721, ポートフォリオ実績!$A$2:$A$2001, G1721), 0)</f>
        <v>0</v>
      </c>
      <c r="J1721">
        <f t="shared" si="287"/>
        <v>0</v>
      </c>
      <c r="K1721">
        <f t="shared" si="288"/>
        <v>0</v>
      </c>
      <c r="L1721">
        <f t="shared" si="289"/>
        <v>0</v>
      </c>
      <c r="M1721">
        <f t="shared" si="290"/>
        <v>0</v>
      </c>
      <c r="N1721">
        <f t="shared" si="291"/>
        <v>0</v>
      </c>
      <c r="O1721">
        <f t="shared" si="292"/>
        <v>0</v>
      </c>
      <c r="P1721" t="str">
        <f t="shared" si="293"/>
        <v/>
      </c>
      <c r="Q1721" t="str">
        <f>IF(B1721="","", IFERROR(VLOOKUP(B1721, '基準資産配分（設定）'!$A$2:$C$2001, 3, FALSE), ""))</f>
        <v/>
      </c>
      <c r="R1721" t="str">
        <f>IF(B1721="","", IFERROR(VLOOKUP(B1721, '基準資産配分（設定）'!$A$2:$C$2001, 2, FALSE)/100, 0))</f>
        <v/>
      </c>
      <c r="S1721" t="str">
        <f>IF(B1721="","", IFERROR(SUMIFS(ベンチマークリターン!$C$2:$C$2001, ベンチマークリターン!$A$2:$A$2001, A1721, ベンチマークリターン!$B$2:$B$2001, Q1721) / 100, 0))</f>
        <v/>
      </c>
      <c r="T1721" t="str">
        <f>IF(A1721="","", SUMIFS($H$2:$H$2000, $A$2:$A$2000, A1721))</f>
        <v/>
      </c>
      <c r="U1721" t="str">
        <f t="shared" si="294"/>
        <v/>
      </c>
      <c r="V1721" t="str">
        <f t="shared" si="295"/>
        <v/>
      </c>
      <c r="W1721" t="str">
        <f t="shared" si="296"/>
        <v/>
      </c>
    </row>
    <row r="1722" spans="1:23" x14ac:dyDescent="0.2">
      <c r="A1722" s="4" t="str">
        <f>IF(ポートフォリオ実績!A1723="","", ポートフォリオ実績!A1723)</f>
        <v/>
      </c>
      <c r="B1722" t="str">
        <f>IF(ポートフォリオ実績!B1723="","", ポートフォリオ実績!B1723)</f>
        <v/>
      </c>
      <c r="C1722" s="10" t="str">
        <f>IF(ポートフォリオ実績!C1723="","", ポートフォリオ実績!C1723)</f>
        <v/>
      </c>
      <c r="D1722" s="10" t="str">
        <f>IF(ポートフォリオ実績!D1723="","", ポートフォリオ実績!D1723)</f>
        <v/>
      </c>
      <c r="E1722" s="10" t="str">
        <f>IF(ポートフォリオ実績!E1723="","", ポートフォリオ実績!E1723)</f>
        <v/>
      </c>
      <c r="F1722" s="10" t="str">
        <f>IF(ポートフォリオ実績!F1723="","", ポートフォリオ実績!F1723)</f>
        <v/>
      </c>
      <c r="G1722" t="str">
        <f t="shared" si="286"/>
        <v/>
      </c>
      <c r="H1722">
        <f>IF(B1722&lt;&gt;"", SUMIFS(ポートフォリオ実績!$D$2:$D$2001, ポートフォリオ実績!$B$2:$B$2001, B1722, ポートフォリオ実績!$A$2:$A$2001, G1722), 0)</f>
        <v>0</v>
      </c>
      <c r="I1722">
        <f>IF(B1722&lt;&gt;"", SUMIFS(ポートフォリオ実績!$C$2:$C$2001, ポートフォリオ実績!$B$2:$B$2001, B1722, ポートフォリオ実績!$A$2:$A$2001, G1722), 0)</f>
        <v>0</v>
      </c>
      <c r="J1722">
        <f t="shared" si="287"/>
        <v>0</v>
      </c>
      <c r="K1722">
        <f t="shared" si="288"/>
        <v>0</v>
      </c>
      <c r="L1722">
        <f t="shared" si="289"/>
        <v>0</v>
      </c>
      <c r="M1722">
        <f t="shared" si="290"/>
        <v>0</v>
      </c>
      <c r="N1722">
        <f t="shared" si="291"/>
        <v>0</v>
      </c>
      <c r="O1722">
        <f t="shared" si="292"/>
        <v>0</v>
      </c>
      <c r="P1722" t="str">
        <f t="shared" si="293"/>
        <v/>
      </c>
      <c r="Q1722" t="str">
        <f>IF(B1722="","", IFERROR(VLOOKUP(B1722, '基準資産配分（設定）'!$A$2:$C$2001, 3, FALSE), ""))</f>
        <v/>
      </c>
      <c r="R1722" t="str">
        <f>IF(B1722="","", IFERROR(VLOOKUP(B1722, '基準資産配分（設定）'!$A$2:$C$2001, 2, FALSE)/100, 0))</f>
        <v/>
      </c>
      <c r="S1722" t="str">
        <f>IF(B1722="","", IFERROR(SUMIFS(ベンチマークリターン!$C$2:$C$2001, ベンチマークリターン!$A$2:$A$2001, A1722, ベンチマークリターン!$B$2:$B$2001, Q1722) / 100, 0))</f>
        <v/>
      </c>
      <c r="T1722" t="str">
        <f>IF(A1722="","", SUMIFS($H$2:$H$2000, $A$2:$A$2000, A1722))</f>
        <v/>
      </c>
      <c r="U1722" t="str">
        <f t="shared" si="294"/>
        <v/>
      </c>
      <c r="V1722" t="str">
        <f t="shared" si="295"/>
        <v/>
      </c>
      <c r="W1722" t="str">
        <f t="shared" si="296"/>
        <v/>
      </c>
    </row>
    <row r="1723" spans="1:23" x14ac:dyDescent="0.2">
      <c r="A1723" s="4" t="str">
        <f>IF(ポートフォリオ実績!A1724="","", ポートフォリオ実績!A1724)</f>
        <v/>
      </c>
      <c r="B1723" t="str">
        <f>IF(ポートフォリオ実績!B1724="","", ポートフォリオ実績!B1724)</f>
        <v/>
      </c>
      <c r="C1723" s="10" t="str">
        <f>IF(ポートフォリオ実績!C1724="","", ポートフォリオ実績!C1724)</f>
        <v/>
      </c>
      <c r="D1723" s="10" t="str">
        <f>IF(ポートフォリオ実績!D1724="","", ポートフォリオ実績!D1724)</f>
        <v/>
      </c>
      <c r="E1723" s="10" t="str">
        <f>IF(ポートフォリオ実績!E1724="","", ポートフォリオ実績!E1724)</f>
        <v/>
      </c>
      <c r="F1723" s="10" t="str">
        <f>IF(ポートフォリオ実績!F1724="","", ポートフォリオ実績!F1724)</f>
        <v/>
      </c>
      <c r="G1723" t="str">
        <f t="shared" si="286"/>
        <v/>
      </c>
      <c r="H1723">
        <f>IF(B1723&lt;&gt;"", SUMIFS(ポートフォリオ実績!$D$2:$D$2001, ポートフォリオ実績!$B$2:$B$2001, B1723, ポートフォリオ実績!$A$2:$A$2001, G1723), 0)</f>
        <v>0</v>
      </c>
      <c r="I1723">
        <f>IF(B1723&lt;&gt;"", SUMIFS(ポートフォリオ実績!$C$2:$C$2001, ポートフォリオ実績!$B$2:$B$2001, B1723, ポートフォリオ実績!$A$2:$A$2001, G1723), 0)</f>
        <v>0</v>
      </c>
      <c r="J1723">
        <f t="shared" si="287"/>
        <v>0</v>
      </c>
      <c r="K1723">
        <f t="shared" si="288"/>
        <v>0</v>
      </c>
      <c r="L1723">
        <f t="shared" si="289"/>
        <v>0</v>
      </c>
      <c r="M1723">
        <f t="shared" si="290"/>
        <v>0</v>
      </c>
      <c r="N1723">
        <f t="shared" si="291"/>
        <v>0</v>
      </c>
      <c r="O1723">
        <f t="shared" si="292"/>
        <v>0</v>
      </c>
      <c r="P1723" t="str">
        <f t="shared" si="293"/>
        <v/>
      </c>
      <c r="Q1723" t="str">
        <f>IF(B1723="","", IFERROR(VLOOKUP(B1723, '基準資産配分（設定）'!$A$2:$C$2001, 3, FALSE), ""))</f>
        <v/>
      </c>
      <c r="R1723" t="str">
        <f>IF(B1723="","", IFERROR(VLOOKUP(B1723, '基準資産配分（設定）'!$A$2:$C$2001, 2, FALSE)/100, 0))</f>
        <v/>
      </c>
      <c r="S1723" t="str">
        <f>IF(B1723="","", IFERROR(SUMIFS(ベンチマークリターン!$C$2:$C$2001, ベンチマークリターン!$A$2:$A$2001, A1723, ベンチマークリターン!$B$2:$B$2001, Q1723) / 100, 0))</f>
        <v/>
      </c>
      <c r="T1723" t="str">
        <f>IF(A1723="","", SUMIFS($H$2:$H$2000, $A$2:$A$2000, A1723))</f>
        <v/>
      </c>
      <c r="U1723" t="str">
        <f t="shared" si="294"/>
        <v/>
      </c>
      <c r="V1723" t="str">
        <f t="shared" si="295"/>
        <v/>
      </c>
      <c r="W1723" t="str">
        <f t="shared" si="296"/>
        <v/>
      </c>
    </row>
    <row r="1724" spans="1:23" x14ac:dyDescent="0.2">
      <c r="A1724" s="4" t="str">
        <f>IF(ポートフォリオ実績!A1725="","", ポートフォリオ実績!A1725)</f>
        <v/>
      </c>
      <c r="B1724" t="str">
        <f>IF(ポートフォリオ実績!B1725="","", ポートフォリオ実績!B1725)</f>
        <v/>
      </c>
      <c r="C1724" s="10" t="str">
        <f>IF(ポートフォリオ実績!C1725="","", ポートフォリオ実績!C1725)</f>
        <v/>
      </c>
      <c r="D1724" s="10" t="str">
        <f>IF(ポートフォリオ実績!D1725="","", ポートフォリオ実績!D1725)</f>
        <v/>
      </c>
      <c r="E1724" s="10" t="str">
        <f>IF(ポートフォリオ実績!E1725="","", ポートフォリオ実績!E1725)</f>
        <v/>
      </c>
      <c r="F1724" s="10" t="str">
        <f>IF(ポートフォリオ実績!F1725="","", ポートフォリオ実績!F1725)</f>
        <v/>
      </c>
      <c r="G1724" t="str">
        <f t="shared" si="286"/>
        <v/>
      </c>
      <c r="H1724">
        <f>IF(B1724&lt;&gt;"", SUMIFS(ポートフォリオ実績!$D$2:$D$2001, ポートフォリオ実績!$B$2:$B$2001, B1724, ポートフォリオ実績!$A$2:$A$2001, G1724), 0)</f>
        <v>0</v>
      </c>
      <c r="I1724">
        <f>IF(B1724&lt;&gt;"", SUMIFS(ポートフォリオ実績!$C$2:$C$2001, ポートフォリオ実績!$B$2:$B$2001, B1724, ポートフォリオ実績!$A$2:$A$2001, G1724), 0)</f>
        <v>0</v>
      </c>
      <c r="J1724">
        <f t="shared" si="287"/>
        <v>0</v>
      </c>
      <c r="K1724">
        <f t="shared" si="288"/>
        <v>0</v>
      </c>
      <c r="L1724">
        <f t="shared" si="289"/>
        <v>0</v>
      </c>
      <c r="M1724">
        <f t="shared" si="290"/>
        <v>0</v>
      </c>
      <c r="N1724">
        <f t="shared" si="291"/>
        <v>0</v>
      </c>
      <c r="O1724">
        <f t="shared" si="292"/>
        <v>0</v>
      </c>
      <c r="P1724" t="str">
        <f t="shared" si="293"/>
        <v/>
      </c>
      <c r="Q1724" t="str">
        <f>IF(B1724="","", IFERROR(VLOOKUP(B1724, '基準資産配分（設定）'!$A$2:$C$2001, 3, FALSE), ""))</f>
        <v/>
      </c>
      <c r="R1724" t="str">
        <f>IF(B1724="","", IFERROR(VLOOKUP(B1724, '基準資産配分（設定）'!$A$2:$C$2001, 2, FALSE)/100, 0))</f>
        <v/>
      </c>
      <c r="S1724" t="str">
        <f>IF(B1724="","", IFERROR(SUMIFS(ベンチマークリターン!$C$2:$C$2001, ベンチマークリターン!$A$2:$A$2001, A1724, ベンチマークリターン!$B$2:$B$2001, Q1724) / 100, 0))</f>
        <v/>
      </c>
      <c r="T1724" t="str">
        <f>IF(A1724="","", SUMIFS($H$2:$H$2000, $A$2:$A$2000, A1724))</f>
        <v/>
      </c>
      <c r="U1724" t="str">
        <f t="shared" si="294"/>
        <v/>
      </c>
      <c r="V1724" t="str">
        <f t="shared" si="295"/>
        <v/>
      </c>
      <c r="W1724" t="str">
        <f t="shared" si="296"/>
        <v/>
      </c>
    </row>
    <row r="1725" spans="1:23" x14ac:dyDescent="0.2">
      <c r="A1725" s="4" t="str">
        <f>IF(ポートフォリオ実績!A1726="","", ポートフォリオ実績!A1726)</f>
        <v/>
      </c>
      <c r="B1725" t="str">
        <f>IF(ポートフォリオ実績!B1726="","", ポートフォリオ実績!B1726)</f>
        <v/>
      </c>
      <c r="C1725" s="10" t="str">
        <f>IF(ポートフォリオ実績!C1726="","", ポートフォリオ実績!C1726)</f>
        <v/>
      </c>
      <c r="D1725" s="10" t="str">
        <f>IF(ポートフォリオ実績!D1726="","", ポートフォリオ実績!D1726)</f>
        <v/>
      </c>
      <c r="E1725" s="10" t="str">
        <f>IF(ポートフォリオ実績!E1726="","", ポートフォリオ実績!E1726)</f>
        <v/>
      </c>
      <c r="F1725" s="10" t="str">
        <f>IF(ポートフォリオ実績!F1726="","", ポートフォリオ実績!F1726)</f>
        <v/>
      </c>
      <c r="G1725" t="str">
        <f t="shared" si="286"/>
        <v/>
      </c>
      <c r="H1725">
        <f>IF(B1725&lt;&gt;"", SUMIFS(ポートフォリオ実績!$D$2:$D$2001, ポートフォリオ実績!$B$2:$B$2001, B1725, ポートフォリオ実績!$A$2:$A$2001, G1725), 0)</f>
        <v>0</v>
      </c>
      <c r="I1725">
        <f>IF(B1725&lt;&gt;"", SUMIFS(ポートフォリオ実績!$C$2:$C$2001, ポートフォリオ実績!$B$2:$B$2001, B1725, ポートフォリオ実績!$A$2:$A$2001, G1725), 0)</f>
        <v>0</v>
      </c>
      <c r="J1725">
        <f t="shared" si="287"/>
        <v>0</v>
      </c>
      <c r="K1725">
        <f t="shared" si="288"/>
        <v>0</v>
      </c>
      <c r="L1725">
        <f t="shared" si="289"/>
        <v>0</v>
      </c>
      <c r="M1725">
        <f t="shared" si="290"/>
        <v>0</v>
      </c>
      <c r="N1725">
        <f t="shared" si="291"/>
        <v>0</v>
      </c>
      <c r="O1725">
        <f t="shared" si="292"/>
        <v>0</v>
      </c>
      <c r="P1725" t="str">
        <f t="shared" si="293"/>
        <v/>
      </c>
      <c r="Q1725" t="str">
        <f>IF(B1725="","", IFERROR(VLOOKUP(B1725, '基準資産配分（設定）'!$A$2:$C$2001, 3, FALSE), ""))</f>
        <v/>
      </c>
      <c r="R1725" t="str">
        <f>IF(B1725="","", IFERROR(VLOOKUP(B1725, '基準資産配分（設定）'!$A$2:$C$2001, 2, FALSE)/100, 0))</f>
        <v/>
      </c>
      <c r="S1725" t="str">
        <f>IF(B1725="","", IFERROR(SUMIFS(ベンチマークリターン!$C$2:$C$2001, ベンチマークリターン!$A$2:$A$2001, A1725, ベンチマークリターン!$B$2:$B$2001, Q1725) / 100, 0))</f>
        <v/>
      </c>
      <c r="T1725" t="str">
        <f>IF(A1725="","", SUMIFS($H$2:$H$2000, $A$2:$A$2000, A1725))</f>
        <v/>
      </c>
      <c r="U1725" t="str">
        <f t="shared" si="294"/>
        <v/>
      </c>
      <c r="V1725" t="str">
        <f t="shared" si="295"/>
        <v/>
      </c>
      <c r="W1725" t="str">
        <f t="shared" si="296"/>
        <v/>
      </c>
    </row>
    <row r="1726" spans="1:23" x14ac:dyDescent="0.2">
      <c r="A1726" s="4" t="str">
        <f>IF(ポートフォリオ実績!A1727="","", ポートフォリオ実績!A1727)</f>
        <v/>
      </c>
      <c r="B1726" t="str">
        <f>IF(ポートフォリオ実績!B1727="","", ポートフォリオ実績!B1727)</f>
        <v/>
      </c>
      <c r="C1726" s="10" t="str">
        <f>IF(ポートフォリオ実績!C1727="","", ポートフォリオ実績!C1727)</f>
        <v/>
      </c>
      <c r="D1726" s="10" t="str">
        <f>IF(ポートフォリオ実績!D1727="","", ポートフォリオ実績!D1727)</f>
        <v/>
      </c>
      <c r="E1726" s="10" t="str">
        <f>IF(ポートフォリオ実績!E1727="","", ポートフォリオ実績!E1727)</f>
        <v/>
      </c>
      <c r="F1726" s="10" t="str">
        <f>IF(ポートフォリオ実績!F1727="","", ポートフォリオ実績!F1727)</f>
        <v/>
      </c>
      <c r="G1726" t="str">
        <f t="shared" si="286"/>
        <v/>
      </c>
      <c r="H1726">
        <f>IF(B1726&lt;&gt;"", SUMIFS(ポートフォリオ実績!$D$2:$D$2001, ポートフォリオ実績!$B$2:$B$2001, B1726, ポートフォリオ実績!$A$2:$A$2001, G1726), 0)</f>
        <v>0</v>
      </c>
      <c r="I1726">
        <f>IF(B1726&lt;&gt;"", SUMIFS(ポートフォリオ実績!$C$2:$C$2001, ポートフォリオ実績!$B$2:$B$2001, B1726, ポートフォリオ実績!$A$2:$A$2001, G1726), 0)</f>
        <v>0</v>
      </c>
      <c r="J1726">
        <f t="shared" si="287"/>
        <v>0</v>
      </c>
      <c r="K1726">
        <f t="shared" si="288"/>
        <v>0</v>
      </c>
      <c r="L1726">
        <f t="shared" si="289"/>
        <v>0</v>
      </c>
      <c r="M1726">
        <f t="shared" si="290"/>
        <v>0</v>
      </c>
      <c r="N1726">
        <f t="shared" si="291"/>
        <v>0</v>
      </c>
      <c r="O1726">
        <f t="shared" si="292"/>
        <v>0</v>
      </c>
      <c r="P1726" t="str">
        <f t="shared" si="293"/>
        <v/>
      </c>
      <c r="Q1726" t="str">
        <f>IF(B1726="","", IFERROR(VLOOKUP(B1726, '基準資産配分（設定）'!$A$2:$C$2001, 3, FALSE), ""))</f>
        <v/>
      </c>
      <c r="R1726" t="str">
        <f>IF(B1726="","", IFERROR(VLOOKUP(B1726, '基準資産配分（設定）'!$A$2:$C$2001, 2, FALSE)/100, 0))</f>
        <v/>
      </c>
      <c r="S1726" t="str">
        <f>IF(B1726="","", IFERROR(SUMIFS(ベンチマークリターン!$C$2:$C$2001, ベンチマークリターン!$A$2:$A$2001, A1726, ベンチマークリターン!$B$2:$B$2001, Q1726) / 100, 0))</f>
        <v/>
      </c>
      <c r="T1726" t="str">
        <f>IF(A1726="","", SUMIFS($H$2:$H$2000, $A$2:$A$2000, A1726))</f>
        <v/>
      </c>
      <c r="U1726" t="str">
        <f t="shared" si="294"/>
        <v/>
      </c>
      <c r="V1726" t="str">
        <f t="shared" si="295"/>
        <v/>
      </c>
      <c r="W1726" t="str">
        <f t="shared" si="296"/>
        <v/>
      </c>
    </row>
    <row r="1727" spans="1:23" x14ac:dyDescent="0.2">
      <c r="A1727" s="4" t="str">
        <f>IF(ポートフォリオ実績!A1728="","", ポートフォリオ実績!A1728)</f>
        <v/>
      </c>
      <c r="B1727" t="str">
        <f>IF(ポートフォリオ実績!B1728="","", ポートフォリオ実績!B1728)</f>
        <v/>
      </c>
      <c r="C1727" s="10" t="str">
        <f>IF(ポートフォリオ実績!C1728="","", ポートフォリオ実績!C1728)</f>
        <v/>
      </c>
      <c r="D1727" s="10" t="str">
        <f>IF(ポートフォリオ実績!D1728="","", ポートフォリオ実績!D1728)</f>
        <v/>
      </c>
      <c r="E1727" s="10" t="str">
        <f>IF(ポートフォリオ実績!E1728="","", ポートフォリオ実績!E1728)</f>
        <v/>
      </c>
      <c r="F1727" s="10" t="str">
        <f>IF(ポートフォリオ実績!F1728="","", ポートフォリオ実績!F1728)</f>
        <v/>
      </c>
      <c r="G1727" t="str">
        <f t="shared" si="286"/>
        <v/>
      </c>
      <c r="H1727">
        <f>IF(B1727&lt;&gt;"", SUMIFS(ポートフォリオ実績!$D$2:$D$2001, ポートフォリオ実績!$B$2:$B$2001, B1727, ポートフォリオ実績!$A$2:$A$2001, G1727), 0)</f>
        <v>0</v>
      </c>
      <c r="I1727">
        <f>IF(B1727&lt;&gt;"", SUMIFS(ポートフォリオ実績!$C$2:$C$2001, ポートフォリオ実績!$B$2:$B$2001, B1727, ポートフォリオ実績!$A$2:$A$2001, G1727), 0)</f>
        <v>0</v>
      </c>
      <c r="J1727">
        <f t="shared" si="287"/>
        <v>0</v>
      </c>
      <c r="K1727">
        <f t="shared" si="288"/>
        <v>0</v>
      </c>
      <c r="L1727">
        <f t="shared" si="289"/>
        <v>0</v>
      </c>
      <c r="M1727">
        <f t="shared" si="290"/>
        <v>0</v>
      </c>
      <c r="N1727">
        <f t="shared" si="291"/>
        <v>0</v>
      </c>
      <c r="O1727">
        <f t="shared" si="292"/>
        <v>0</v>
      </c>
      <c r="P1727" t="str">
        <f t="shared" si="293"/>
        <v/>
      </c>
      <c r="Q1727" t="str">
        <f>IF(B1727="","", IFERROR(VLOOKUP(B1727, '基準資産配分（設定）'!$A$2:$C$2001, 3, FALSE), ""))</f>
        <v/>
      </c>
      <c r="R1727" t="str">
        <f>IF(B1727="","", IFERROR(VLOOKUP(B1727, '基準資産配分（設定）'!$A$2:$C$2001, 2, FALSE)/100, 0))</f>
        <v/>
      </c>
      <c r="S1727" t="str">
        <f>IF(B1727="","", IFERROR(SUMIFS(ベンチマークリターン!$C$2:$C$2001, ベンチマークリターン!$A$2:$A$2001, A1727, ベンチマークリターン!$B$2:$B$2001, Q1727) / 100, 0))</f>
        <v/>
      </c>
      <c r="T1727" t="str">
        <f>IF(A1727="","", SUMIFS($H$2:$H$2000, $A$2:$A$2000, A1727))</f>
        <v/>
      </c>
      <c r="U1727" t="str">
        <f t="shared" si="294"/>
        <v/>
      </c>
      <c r="V1727" t="str">
        <f t="shared" si="295"/>
        <v/>
      </c>
      <c r="W1727" t="str">
        <f t="shared" si="296"/>
        <v/>
      </c>
    </row>
    <row r="1728" spans="1:23" x14ac:dyDescent="0.2">
      <c r="A1728" s="4" t="str">
        <f>IF(ポートフォリオ実績!A1729="","", ポートフォリオ実績!A1729)</f>
        <v/>
      </c>
      <c r="B1728" t="str">
        <f>IF(ポートフォリオ実績!B1729="","", ポートフォリオ実績!B1729)</f>
        <v/>
      </c>
      <c r="C1728" s="10" t="str">
        <f>IF(ポートフォリオ実績!C1729="","", ポートフォリオ実績!C1729)</f>
        <v/>
      </c>
      <c r="D1728" s="10" t="str">
        <f>IF(ポートフォリオ実績!D1729="","", ポートフォリオ実績!D1729)</f>
        <v/>
      </c>
      <c r="E1728" s="10" t="str">
        <f>IF(ポートフォリオ実績!E1729="","", ポートフォリオ実績!E1729)</f>
        <v/>
      </c>
      <c r="F1728" s="10" t="str">
        <f>IF(ポートフォリオ実績!F1729="","", ポートフォリオ実績!F1729)</f>
        <v/>
      </c>
      <c r="G1728" t="str">
        <f t="shared" si="286"/>
        <v/>
      </c>
      <c r="H1728">
        <f>IF(B1728&lt;&gt;"", SUMIFS(ポートフォリオ実績!$D$2:$D$2001, ポートフォリオ実績!$B$2:$B$2001, B1728, ポートフォリオ実績!$A$2:$A$2001, G1728), 0)</f>
        <v>0</v>
      </c>
      <c r="I1728">
        <f>IF(B1728&lt;&gt;"", SUMIFS(ポートフォリオ実績!$C$2:$C$2001, ポートフォリオ実績!$B$2:$B$2001, B1728, ポートフォリオ実績!$A$2:$A$2001, G1728), 0)</f>
        <v>0</v>
      </c>
      <c r="J1728">
        <f t="shared" si="287"/>
        <v>0</v>
      </c>
      <c r="K1728">
        <f t="shared" si="288"/>
        <v>0</v>
      </c>
      <c r="L1728">
        <f t="shared" si="289"/>
        <v>0</v>
      </c>
      <c r="M1728">
        <f t="shared" si="290"/>
        <v>0</v>
      </c>
      <c r="N1728">
        <f t="shared" si="291"/>
        <v>0</v>
      </c>
      <c r="O1728">
        <f t="shared" si="292"/>
        <v>0</v>
      </c>
      <c r="P1728" t="str">
        <f t="shared" si="293"/>
        <v/>
      </c>
      <c r="Q1728" t="str">
        <f>IF(B1728="","", IFERROR(VLOOKUP(B1728, '基準資産配分（設定）'!$A$2:$C$2001, 3, FALSE), ""))</f>
        <v/>
      </c>
      <c r="R1728" t="str">
        <f>IF(B1728="","", IFERROR(VLOOKUP(B1728, '基準資産配分（設定）'!$A$2:$C$2001, 2, FALSE)/100, 0))</f>
        <v/>
      </c>
      <c r="S1728" t="str">
        <f>IF(B1728="","", IFERROR(SUMIFS(ベンチマークリターン!$C$2:$C$2001, ベンチマークリターン!$A$2:$A$2001, A1728, ベンチマークリターン!$B$2:$B$2001, Q1728) / 100, 0))</f>
        <v/>
      </c>
      <c r="T1728" t="str">
        <f>IF(A1728="","", SUMIFS($H$2:$H$2000, $A$2:$A$2000, A1728))</f>
        <v/>
      </c>
      <c r="U1728" t="str">
        <f t="shared" si="294"/>
        <v/>
      </c>
      <c r="V1728" t="str">
        <f t="shared" si="295"/>
        <v/>
      </c>
      <c r="W1728" t="str">
        <f t="shared" si="296"/>
        <v/>
      </c>
    </row>
    <row r="1729" spans="1:23" x14ac:dyDescent="0.2">
      <c r="A1729" s="4" t="str">
        <f>IF(ポートフォリオ実績!A1730="","", ポートフォリオ実績!A1730)</f>
        <v/>
      </c>
      <c r="B1729" t="str">
        <f>IF(ポートフォリオ実績!B1730="","", ポートフォリオ実績!B1730)</f>
        <v/>
      </c>
      <c r="C1729" s="10" t="str">
        <f>IF(ポートフォリオ実績!C1730="","", ポートフォリオ実績!C1730)</f>
        <v/>
      </c>
      <c r="D1729" s="10" t="str">
        <f>IF(ポートフォリオ実績!D1730="","", ポートフォリオ実績!D1730)</f>
        <v/>
      </c>
      <c r="E1729" s="10" t="str">
        <f>IF(ポートフォリオ実績!E1730="","", ポートフォリオ実績!E1730)</f>
        <v/>
      </c>
      <c r="F1729" s="10" t="str">
        <f>IF(ポートフォリオ実績!F1730="","", ポートフォリオ実績!F1730)</f>
        <v/>
      </c>
      <c r="G1729" t="str">
        <f t="shared" ref="G1729:G1792" si="297">IF(A1729&lt;&gt;"", EOMONTH(A1729, -1), "")</f>
        <v/>
      </c>
      <c r="H1729">
        <f>IF(B1729&lt;&gt;"", SUMIFS(ポートフォリオ実績!$D$2:$D$2001, ポートフォリオ実績!$B$2:$B$2001, B1729, ポートフォリオ実績!$A$2:$A$2001, G1729), 0)</f>
        <v>0</v>
      </c>
      <c r="I1729">
        <f>IF(B1729&lt;&gt;"", SUMIFS(ポートフォリオ実績!$C$2:$C$2001, ポートフォリオ実績!$B$2:$B$2001, B1729, ポートフォリオ実績!$A$2:$A$2001, G1729), 0)</f>
        <v>0</v>
      </c>
      <c r="J1729">
        <f t="shared" ref="J1729:J1792" si="298">IF(A1729&lt;&gt;"", D1729-C1729, 0)</f>
        <v>0</v>
      </c>
      <c r="K1729">
        <f t="shared" ref="K1729:K1792" si="299">IF(A1729&lt;&gt;"", H1729-I1729, 0)</f>
        <v>0</v>
      </c>
      <c r="L1729">
        <f t="shared" ref="L1729:L1792" si="300">IF(H1729=0, 0, J1729-K1729)</f>
        <v>0</v>
      </c>
      <c r="M1729">
        <f t="shared" ref="M1729:M1792" si="301">IF(A1729&lt;&gt;"", E1729+F1729+L1729, 0)</f>
        <v>0</v>
      </c>
      <c r="N1729">
        <f t="shared" ref="N1729:N1792" si="302">IF(H1729=0, 0, (D1729-H1729)-M1729)</f>
        <v>0</v>
      </c>
      <c r="O1729">
        <f t="shared" ref="O1729:O1792" si="303">IF(A1729&lt;&gt;"", H1729+N1729*0.5, 0)</f>
        <v>0</v>
      </c>
      <c r="P1729" t="str">
        <f t="shared" ref="P1729:P1792" si="304">IF(A1729="","", IF(O1729&gt;0.000001, M1729/O1729, IF(ABS(M1729)&lt;0.000001, 0, 0)))</f>
        <v/>
      </c>
      <c r="Q1729" t="str">
        <f>IF(B1729="","", IFERROR(VLOOKUP(B1729, '基準資産配分（設定）'!$A$2:$C$2001, 3, FALSE), ""))</f>
        <v/>
      </c>
      <c r="R1729" t="str">
        <f>IF(B1729="","", IFERROR(VLOOKUP(B1729, '基準資産配分（設定）'!$A$2:$C$2001, 2, FALSE)/100, 0))</f>
        <v/>
      </c>
      <c r="S1729" t="str">
        <f>IF(B1729="","", IFERROR(SUMIFS(ベンチマークリターン!$C$2:$C$2001, ベンチマークリターン!$A$2:$A$2001, A1729, ベンチマークリターン!$B$2:$B$2001, Q1729) / 100, 0))</f>
        <v/>
      </c>
      <c r="T1729" t="str">
        <f>IF(A1729="","", SUMIFS($H$2:$H$2000, $A$2:$A$2000, A1729))</f>
        <v/>
      </c>
      <c r="U1729" t="str">
        <f t="shared" ref="U1729:U1792" si="305">IF(A1729="","", IFERROR(H1729/T1729, 0))</f>
        <v/>
      </c>
      <c r="V1729" t="str">
        <f t="shared" ref="V1729:V1792" si="306">IF(A1729="","", U1729*P1729)</f>
        <v/>
      </c>
      <c r="W1729" t="str">
        <f t="shared" ref="W1729:W1792" si="307">IF(A1729="","", R1729*S1729)</f>
        <v/>
      </c>
    </row>
    <row r="1730" spans="1:23" x14ac:dyDescent="0.2">
      <c r="A1730" s="4" t="str">
        <f>IF(ポートフォリオ実績!A1731="","", ポートフォリオ実績!A1731)</f>
        <v/>
      </c>
      <c r="B1730" t="str">
        <f>IF(ポートフォリオ実績!B1731="","", ポートフォリオ実績!B1731)</f>
        <v/>
      </c>
      <c r="C1730" s="10" t="str">
        <f>IF(ポートフォリオ実績!C1731="","", ポートフォリオ実績!C1731)</f>
        <v/>
      </c>
      <c r="D1730" s="10" t="str">
        <f>IF(ポートフォリオ実績!D1731="","", ポートフォリオ実績!D1731)</f>
        <v/>
      </c>
      <c r="E1730" s="10" t="str">
        <f>IF(ポートフォリオ実績!E1731="","", ポートフォリオ実績!E1731)</f>
        <v/>
      </c>
      <c r="F1730" s="10" t="str">
        <f>IF(ポートフォリオ実績!F1731="","", ポートフォリオ実績!F1731)</f>
        <v/>
      </c>
      <c r="G1730" t="str">
        <f t="shared" si="297"/>
        <v/>
      </c>
      <c r="H1730">
        <f>IF(B1730&lt;&gt;"", SUMIFS(ポートフォリオ実績!$D$2:$D$2001, ポートフォリオ実績!$B$2:$B$2001, B1730, ポートフォリオ実績!$A$2:$A$2001, G1730), 0)</f>
        <v>0</v>
      </c>
      <c r="I1730">
        <f>IF(B1730&lt;&gt;"", SUMIFS(ポートフォリオ実績!$C$2:$C$2001, ポートフォリオ実績!$B$2:$B$2001, B1730, ポートフォリオ実績!$A$2:$A$2001, G1730), 0)</f>
        <v>0</v>
      </c>
      <c r="J1730">
        <f t="shared" si="298"/>
        <v>0</v>
      </c>
      <c r="K1730">
        <f t="shared" si="299"/>
        <v>0</v>
      </c>
      <c r="L1730">
        <f t="shared" si="300"/>
        <v>0</v>
      </c>
      <c r="M1730">
        <f t="shared" si="301"/>
        <v>0</v>
      </c>
      <c r="N1730">
        <f t="shared" si="302"/>
        <v>0</v>
      </c>
      <c r="O1730">
        <f t="shared" si="303"/>
        <v>0</v>
      </c>
      <c r="P1730" t="str">
        <f t="shared" si="304"/>
        <v/>
      </c>
      <c r="Q1730" t="str">
        <f>IF(B1730="","", IFERROR(VLOOKUP(B1730, '基準資産配分（設定）'!$A$2:$C$2001, 3, FALSE), ""))</f>
        <v/>
      </c>
      <c r="R1730" t="str">
        <f>IF(B1730="","", IFERROR(VLOOKUP(B1730, '基準資産配分（設定）'!$A$2:$C$2001, 2, FALSE)/100, 0))</f>
        <v/>
      </c>
      <c r="S1730" t="str">
        <f>IF(B1730="","", IFERROR(SUMIFS(ベンチマークリターン!$C$2:$C$2001, ベンチマークリターン!$A$2:$A$2001, A1730, ベンチマークリターン!$B$2:$B$2001, Q1730) / 100, 0))</f>
        <v/>
      </c>
      <c r="T1730" t="str">
        <f>IF(A1730="","", SUMIFS($H$2:$H$2000, $A$2:$A$2000, A1730))</f>
        <v/>
      </c>
      <c r="U1730" t="str">
        <f t="shared" si="305"/>
        <v/>
      </c>
      <c r="V1730" t="str">
        <f t="shared" si="306"/>
        <v/>
      </c>
      <c r="W1730" t="str">
        <f t="shared" si="307"/>
        <v/>
      </c>
    </row>
    <row r="1731" spans="1:23" x14ac:dyDescent="0.2">
      <c r="A1731" s="4" t="str">
        <f>IF(ポートフォリオ実績!A1732="","", ポートフォリオ実績!A1732)</f>
        <v/>
      </c>
      <c r="B1731" t="str">
        <f>IF(ポートフォリオ実績!B1732="","", ポートフォリオ実績!B1732)</f>
        <v/>
      </c>
      <c r="C1731" s="10" t="str">
        <f>IF(ポートフォリオ実績!C1732="","", ポートフォリオ実績!C1732)</f>
        <v/>
      </c>
      <c r="D1731" s="10" t="str">
        <f>IF(ポートフォリオ実績!D1732="","", ポートフォリオ実績!D1732)</f>
        <v/>
      </c>
      <c r="E1731" s="10" t="str">
        <f>IF(ポートフォリオ実績!E1732="","", ポートフォリオ実績!E1732)</f>
        <v/>
      </c>
      <c r="F1731" s="10" t="str">
        <f>IF(ポートフォリオ実績!F1732="","", ポートフォリオ実績!F1732)</f>
        <v/>
      </c>
      <c r="G1731" t="str">
        <f t="shared" si="297"/>
        <v/>
      </c>
      <c r="H1731">
        <f>IF(B1731&lt;&gt;"", SUMIFS(ポートフォリオ実績!$D$2:$D$2001, ポートフォリオ実績!$B$2:$B$2001, B1731, ポートフォリオ実績!$A$2:$A$2001, G1731), 0)</f>
        <v>0</v>
      </c>
      <c r="I1731">
        <f>IF(B1731&lt;&gt;"", SUMIFS(ポートフォリオ実績!$C$2:$C$2001, ポートフォリオ実績!$B$2:$B$2001, B1731, ポートフォリオ実績!$A$2:$A$2001, G1731), 0)</f>
        <v>0</v>
      </c>
      <c r="J1731">
        <f t="shared" si="298"/>
        <v>0</v>
      </c>
      <c r="K1731">
        <f t="shared" si="299"/>
        <v>0</v>
      </c>
      <c r="L1731">
        <f t="shared" si="300"/>
        <v>0</v>
      </c>
      <c r="M1731">
        <f t="shared" si="301"/>
        <v>0</v>
      </c>
      <c r="N1731">
        <f t="shared" si="302"/>
        <v>0</v>
      </c>
      <c r="O1731">
        <f t="shared" si="303"/>
        <v>0</v>
      </c>
      <c r="P1731" t="str">
        <f t="shared" si="304"/>
        <v/>
      </c>
      <c r="Q1731" t="str">
        <f>IF(B1731="","", IFERROR(VLOOKUP(B1731, '基準資産配分（設定）'!$A$2:$C$2001, 3, FALSE), ""))</f>
        <v/>
      </c>
      <c r="R1731" t="str">
        <f>IF(B1731="","", IFERROR(VLOOKUP(B1731, '基準資産配分（設定）'!$A$2:$C$2001, 2, FALSE)/100, 0))</f>
        <v/>
      </c>
      <c r="S1731" t="str">
        <f>IF(B1731="","", IFERROR(SUMIFS(ベンチマークリターン!$C$2:$C$2001, ベンチマークリターン!$A$2:$A$2001, A1731, ベンチマークリターン!$B$2:$B$2001, Q1731) / 100, 0))</f>
        <v/>
      </c>
      <c r="T1731" t="str">
        <f>IF(A1731="","", SUMIFS($H$2:$H$2000, $A$2:$A$2000, A1731))</f>
        <v/>
      </c>
      <c r="U1731" t="str">
        <f t="shared" si="305"/>
        <v/>
      </c>
      <c r="V1731" t="str">
        <f t="shared" si="306"/>
        <v/>
      </c>
      <c r="W1731" t="str">
        <f t="shared" si="307"/>
        <v/>
      </c>
    </row>
    <row r="1732" spans="1:23" x14ac:dyDescent="0.2">
      <c r="A1732" s="4" t="str">
        <f>IF(ポートフォリオ実績!A1733="","", ポートフォリオ実績!A1733)</f>
        <v/>
      </c>
      <c r="B1732" t="str">
        <f>IF(ポートフォリオ実績!B1733="","", ポートフォリオ実績!B1733)</f>
        <v/>
      </c>
      <c r="C1732" s="10" t="str">
        <f>IF(ポートフォリオ実績!C1733="","", ポートフォリオ実績!C1733)</f>
        <v/>
      </c>
      <c r="D1732" s="10" t="str">
        <f>IF(ポートフォリオ実績!D1733="","", ポートフォリオ実績!D1733)</f>
        <v/>
      </c>
      <c r="E1732" s="10" t="str">
        <f>IF(ポートフォリオ実績!E1733="","", ポートフォリオ実績!E1733)</f>
        <v/>
      </c>
      <c r="F1732" s="10" t="str">
        <f>IF(ポートフォリオ実績!F1733="","", ポートフォリオ実績!F1733)</f>
        <v/>
      </c>
      <c r="G1732" t="str">
        <f t="shared" si="297"/>
        <v/>
      </c>
      <c r="H1732">
        <f>IF(B1732&lt;&gt;"", SUMIFS(ポートフォリオ実績!$D$2:$D$2001, ポートフォリオ実績!$B$2:$B$2001, B1732, ポートフォリオ実績!$A$2:$A$2001, G1732), 0)</f>
        <v>0</v>
      </c>
      <c r="I1732">
        <f>IF(B1732&lt;&gt;"", SUMIFS(ポートフォリオ実績!$C$2:$C$2001, ポートフォリオ実績!$B$2:$B$2001, B1732, ポートフォリオ実績!$A$2:$A$2001, G1732), 0)</f>
        <v>0</v>
      </c>
      <c r="J1732">
        <f t="shared" si="298"/>
        <v>0</v>
      </c>
      <c r="K1732">
        <f t="shared" si="299"/>
        <v>0</v>
      </c>
      <c r="L1732">
        <f t="shared" si="300"/>
        <v>0</v>
      </c>
      <c r="M1732">
        <f t="shared" si="301"/>
        <v>0</v>
      </c>
      <c r="N1732">
        <f t="shared" si="302"/>
        <v>0</v>
      </c>
      <c r="O1732">
        <f t="shared" si="303"/>
        <v>0</v>
      </c>
      <c r="P1732" t="str">
        <f t="shared" si="304"/>
        <v/>
      </c>
      <c r="Q1732" t="str">
        <f>IF(B1732="","", IFERROR(VLOOKUP(B1732, '基準資産配分（設定）'!$A$2:$C$2001, 3, FALSE), ""))</f>
        <v/>
      </c>
      <c r="R1732" t="str">
        <f>IF(B1732="","", IFERROR(VLOOKUP(B1732, '基準資産配分（設定）'!$A$2:$C$2001, 2, FALSE)/100, 0))</f>
        <v/>
      </c>
      <c r="S1732" t="str">
        <f>IF(B1732="","", IFERROR(SUMIFS(ベンチマークリターン!$C$2:$C$2001, ベンチマークリターン!$A$2:$A$2001, A1732, ベンチマークリターン!$B$2:$B$2001, Q1732) / 100, 0))</f>
        <v/>
      </c>
      <c r="T1732" t="str">
        <f>IF(A1732="","", SUMIFS($H$2:$H$2000, $A$2:$A$2000, A1732))</f>
        <v/>
      </c>
      <c r="U1732" t="str">
        <f t="shared" si="305"/>
        <v/>
      </c>
      <c r="V1732" t="str">
        <f t="shared" si="306"/>
        <v/>
      </c>
      <c r="W1732" t="str">
        <f t="shared" si="307"/>
        <v/>
      </c>
    </row>
    <row r="1733" spans="1:23" x14ac:dyDescent="0.2">
      <c r="A1733" s="4" t="str">
        <f>IF(ポートフォリオ実績!A1734="","", ポートフォリオ実績!A1734)</f>
        <v/>
      </c>
      <c r="B1733" t="str">
        <f>IF(ポートフォリオ実績!B1734="","", ポートフォリオ実績!B1734)</f>
        <v/>
      </c>
      <c r="C1733" s="10" t="str">
        <f>IF(ポートフォリオ実績!C1734="","", ポートフォリオ実績!C1734)</f>
        <v/>
      </c>
      <c r="D1733" s="10" t="str">
        <f>IF(ポートフォリオ実績!D1734="","", ポートフォリオ実績!D1734)</f>
        <v/>
      </c>
      <c r="E1733" s="10" t="str">
        <f>IF(ポートフォリオ実績!E1734="","", ポートフォリオ実績!E1734)</f>
        <v/>
      </c>
      <c r="F1733" s="10" t="str">
        <f>IF(ポートフォリオ実績!F1734="","", ポートフォリオ実績!F1734)</f>
        <v/>
      </c>
      <c r="G1733" t="str">
        <f t="shared" si="297"/>
        <v/>
      </c>
      <c r="H1733">
        <f>IF(B1733&lt;&gt;"", SUMIFS(ポートフォリオ実績!$D$2:$D$2001, ポートフォリオ実績!$B$2:$B$2001, B1733, ポートフォリオ実績!$A$2:$A$2001, G1733), 0)</f>
        <v>0</v>
      </c>
      <c r="I1733">
        <f>IF(B1733&lt;&gt;"", SUMIFS(ポートフォリオ実績!$C$2:$C$2001, ポートフォリオ実績!$B$2:$B$2001, B1733, ポートフォリオ実績!$A$2:$A$2001, G1733), 0)</f>
        <v>0</v>
      </c>
      <c r="J1733">
        <f t="shared" si="298"/>
        <v>0</v>
      </c>
      <c r="K1733">
        <f t="shared" si="299"/>
        <v>0</v>
      </c>
      <c r="L1733">
        <f t="shared" si="300"/>
        <v>0</v>
      </c>
      <c r="M1733">
        <f t="shared" si="301"/>
        <v>0</v>
      </c>
      <c r="N1733">
        <f t="shared" si="302"/>
        <v>0</v>
      </c>
      <c r="O1733">
        <f t="shared" si="303"/>
        <v>0</v>
      </c>
      <c r="P1733" t="str">
        <f t="shared" si="304"/>
        <v/>
      </c>
      <c r="Q1733" t="str">
        <f>IF(B1733="","", IFERROR(VLOOKUP(B1733, '基準資産配分（設定）'!$A$2:$C$2001, 3, FALSE), ""))</f>
        <v/>
      </c>
      <c r="R1733" t="str">
        <f>IF(B1733="","", IFERROR(VLOOKUP(B1733, '基準資産配分（設定）'!$A$2:$C$2001, 2, FALSE)/100, 0))</f>
        <v/>
      </c>
      <c r="S1733" t="str">
        <f>IF(B1733="","", IFERROR(SUMIFS(ベンチマークリターン!$C$2:$C$2001, ベンチマークリターン!$A$2:$A$2001, A1733, ベンチマークリターン!$B$2:$B$2001, Q1733) / 100, 0))</f>
        <v/>
      </c>
      <c r="T1733" t="str">
        <f>IF(A1733="","", SUMIFS($H$2:$H$2000, $A$2:$A$2000, A1733))</f>
        <v/>
      </c>
      <c r="U1733" t="str">
        <f t="shared" si="305"/>
        <v/>
      </c>
      <c r="V1733" t="str">
        <f t="shared" si="306"/>
        <v/>
      </c>
      <c r="W1733" t="str">
        <f t="shared" si="307"/>
        <v/>
      </c>
    </row>
    <row r="1734" spans="1:23" x14ac:dyDescent="0.2">
      <c r="A1734" s="4" t="str">
        <f>IF(ポートフォリオ実績!A1735="","", ポートフォリオ実績!A1735)</f>
        <v/>
      </c>
      <c r="B1734" t="str">
        <f>IF(ポートフォリオ実績!B1735="","", ポートフォリオ実績!B1735)</f>
        <v/>
      </c>
      <c r="C1734" s="10" t="str">
        <f>IF(ポートフォリオ実績!C1735="","", ポートフォリオ実績!C1735)</f>
        <v/>
      </c>
      <c r="D1734" s="10" t="str">
        <f>IF(ポートフォリオ実績!D1735="","", ポートフォリオ実績!D1735)</f>
        <v/>
      </c>
      <c r="E1734" s="10" t="str">
        <f>IF(ポートフォリオ実績!E1735="","", ポートフォリオ実績!E1735)</f>
        <v/>
      </c>
      <c r="F1734" s="10" t="str">
        <f>IF(ポートフォリオ実績!F1735="","", ポートフォリオ実績!F1735)</f>
        <v/>
      </c>
      <c r="G1734" t="str">
        <f t="shared" si="297"/>
        <v/>
      </c>
      <c r="H1734">
        <f>IF(B1734&lt;&gt;"", SUMIFS(ポートフォリオ実績!$D$2:$D$2001, ポートフォリオ実績!$B$2:$B$2001, B1734, ポートフォリオ実績!$A$2:$A$2001, G1734), 0)</f>
        <v>0</v>
      </c>
      <c r="I1734">
        <f>IF(B1734&lt;&gt;"", SUMIFS(ポートフォリオ実績!$C$2:$C$2001, ポートフォリオ実績!$B$2:$B$2001, B1734, ポートフォリオ実績!$A$2:$A$2001, G1734), 0)</f>
        <v>0</v>
      </c>
      <c r="J1734">
        <f t="shared" si="298"/>
        <v>0</v>
      </c>
      <c r="K1734">
        <f t="shared" si="299"/>
        <v>0</v>
      </c>
      <c r="L1734">
        <f t="shared" si="300"/>
        <v>0</v>
      </c>
      <c r="M1734">
        <f t="shared" si="301"/>
        <v>0</v>
      </c>
      <c r="N1734">
        <f t="shared" si="302"/>
        <v>0</v>
      </c>
      <c r="O1734">
        <f t="shared" si="303"/>
        <v>0</v>
      </c>
      <c r="P1734" t="str">
        <f t="shared" si="304"/>
        <v/>
      </c>
      <c r="Q1734" t="str">
        <f>IF(B1734="","", IFERROR(VLOOKUP(B1734, '基準資産配分（設定）'!$A$2:$C$2001, 3, FALSE), ""))</f>
        <v/>
      </c>
      <c r="R1734" t="str">
        <f>IF(B1734="","", IFERROR(VLOOKUP(B1734, '基準資産配分（設定）'!$A$2:$C$2001, 2, FALSE)/100, 0))</f>
        <v/>
      </c>
      <c r="S1734" t="str">
        <f>IF(B1734="","", IFERROR(SUMIFS(ベンチマークリターン!$C$2:$C$2001, ベンチマークリターン!$A$2:$A$2001, A1734, ベンチマークリターン!$B$2:$B$2001, Q1734) / 100, 0))</f>
        <v/>
      </c>
      <c r="T1734" t="str">
        <f>IF(A1734="","", SUMIFS($H$2:$H$2000, $A$2:$A$2000, A1734))</f>
        <v/>
      </c>
      <c r="U1734" t="str">
        <f t="shared" si="305"/>
        <v/>
      </c>
      <c r="V1734" t="str">
        <f t="shared" si="306"/>
        <v/>
      </c>
      <c r="W1734" t="str">
        <f t="shared" si="307"/>
        <v/>
      </c>
    </row>
    <row r="1735" spans="1:23" x14ac:dyDescent="0.2">
      <c r="A1735" s="4" t="str">
        <f>IF(ポートフォリオ実績!A1736="","", ポートフォリオ実績!A1736)</f>
        <v/>
      </c>
      <c r="B1735" t="str">
        <f>IF(ポートフォリオ実績!B1736="","", ポートフォリオ実績!B1736)</f>
        <v/>
      </c>
      <c r="C1735" s="10" t="str">
        <f>IF(ポートフォリオ実績!C1736="","", ポートフォリオ実績!C1736)</f>
        <v/>
      </c>
      <c r="D1735" s="10" t="str">
        <f>IF(ポートフォリオ実績!D1736="","", ポートフォリオ実績!D1736)</f>
        <v/>
      </c>
      <c r="E1735" s="10" t="str">
        <f>IF(ポートフォリオ実績!E1736="","", ポートフォリオ実績!E1736)</f>
        <v/>
      </c>
      <c r="F1735" s="10" t="str">
        <f>IF(ポートフォリオ実績!F1736="","", ポートフォリオ実績!F1736)</f>
        <v/>
      </c>
      <c r="G1735" t="str">
        <f t="shared" si="297"/>
        <v/>
      </c>
      <c r="H1735">
        <f>IF(B1735&lt;&gt;"", SUMIFS(ポートフォリオ実績!$D$2:$D$2001, ポートフォリオ実績!$B$2:$B$2001, B1735, ポートフォリオ実績!$A$2:$A$2001, G1735), 0)</f>
        <v>0</v>
      </c>
      <c r="I1735">
        <f>IF(B1735&lt;&gt;"", SUMIFS(ポートフォリオ実績!$C$2:$C$2001, ポートフォリオ実績!$B$2:$B$2001, B1735, ポートフォリオ実績!$A$2:$A$2001, G1735), 0)</f>
        <v>0</v>
      </c>
      <c r="J1735">
        <f t="shared" si="298"/>
        <v>0</v>
      </c>
      <c r="K1735">
        <f t="shared" si="299"/>
        <v>0</v>
      </c>
      <c r="L1735">
        <f t="shared" si="300"/>
        <v>0</v>
      </c>
      <c r="M1735">
        <f t="shared" si="301"/>
        <v>0</v>
      </c>
      <c r="N1735">
        <f t="shared" si="302"/>
        <v>0</v>
      </c>
      <c r="O1735">
        <f t="shared" si="303"/>
        <v>0</v>
      </c>
      <c r="P1735" t="str">
        <f t="shared" si="304"/>
        <v/>
      </c>
      <c r="Q1735" t="str">
        <f>IF(B1735="","", IFERROR(VLOOKUP(B1735, '基準資産配分（設定）'!$A$2:$C$2001, 3, FALSE), ""))</f>
        <v/>
      </c>
      <c r="R1735" t="str">
        <f>IF(B1735="","", IFERROR(VLOOKUP(B1735, '基準資産配分（設定）'!$A$2:$C$2001, 2, FALSE)/100, 0))</f>
        <v/>
      </c>
      <c r="S1735" t="str">
        <f>IF(B1735="","", IFERROR(SUMIFS(ベンチマークリターン!$C$2:$C$2001, ベンチマークリターン!$A$2:$A$2001, A1735, ベンチマークリターン!$B$2:$B$2001, Q1735) / 100, 0))</f>
        <v/>
      </c>
      <c r="T1735" t="str">
        <f>IF(A1735="","", SUMIFS($H$2:$H$2000, $A$2:$A$2000, A1735))</f>
        <v/>
      </c>
      <c r="U1735" t="str">
        <f t="shared" si="305"/>
        <v/>
      </c>
      <c r="V1735" t="str">
        <f t="shared" si="306"/>
        <v/>
      </c>
      <c r="W1735" t="str">
        <f t="shared" si="307"/>
        <v/>
      </c>
    </row>
    <row r="1736" spans="1:23" x14ac:dyDescent="0.2">
      <c r="A1736" s="4" t="str">
        <f>IF(ポートフォリオ実績!A1737="","", ポートフォリオ実績!A1737)</f>
        <v/>
      </c>
      <c r="B1736" t="str">
        <f>IF(ポートフォリオ実績!B1737="","", ポートフォリオ実績!B1737)</f>
        <v/>
      </c>
      <c r="C1736" s="10" t="str">
        <f>IF(ポートフォリオ実績!C1737="","", ポートフォリオ実績!C1737)</f>
        <v/>
      </c>
      <c r="D1736" s="10" t="str">
        <f>IF(ポートフォリオ実績!D1737="","", ポートフォリオ実績!D1737)</f>
        <v/>
      </c>
      <c r="E1736" s="10" t="str">
        <f>IF(ポートフォリオ実績!E1737="","", ポートフォリオ実績!E1737)</f>
        <v/>
      </c>
      <c r="F1736" s="10" t="str">
        <f>IF(ポートフォリオ実績!F1737="","", ポートフォリオ実績!F1737)</f>
        <v/>
      </c>
      <c r="G1736" t="str">
        <f t="shared" si="297"/>
        <v/>
      </c>
      <c r="H1736">
        <f>IF(B1736&lt;&gt;"", SUMIFS(ポートフォリオ実績!$D$2:$D$2001, ポートフォリオ実績!$B$2:$B$2001, B1736, ポートフォリオ実績!$A$2:$A$2001, G1736), 0)</f>
        <v>0</v>
      </c>
      <c r="I1736">
        <f>IF(B1736&lt;&gt;"", SUMIFS(ポートフォリオ実績!$C$2:$C$2001, ポートフォリオ実績!$B$2:$B$2001, B1736, ポートフォリオ実績!$A$2:$A$2001, G1736), 0)</f>
        <v>0</v>
      </c>
      <c r="J1736">
        <f t="shared" si="298"/>
        <v>0</v>
      </c>
      <c r="K1736">
        <f t="shared" si="299"/>
        <v>0</v>
      </c>
      <c r="L1736">
        <f t="shared" si="300"/>
        <v>0</v>
      </c>
      <c r="M1736">
        <f t="shared" si="301"/>
        <v>0</v>
      </c>
      <c r="N1736">
        <f t="shared" si="302"/>
        <v>0</v>
      </c>
      <c r="O1736">
        <f t="shared" si="303"/>
        <v>0</v>
      </c>
      <c r="P1736" t="str">
        <f t="shared" si="304"/>
        <v/>
      </c>
      <c r="Q1736" t="str">
        <f>IF(B1736="","", IFERROR(VLOOKUP(B1736, '基準資産配分（設定）'!$A$2:$C$2001, 3, FALSE), ""))</f>
        <v/>
      </c>
      <c r="R1736" t="str">
        <f>IF(B1736="","", IFERROR(VLOOKUP(B1736, '基準資産配分（設定）'!$A$2:$C$2001, 2, FALSE)/100, 0))</f>
        <v/>
      </c>
      <c r="S1736" t="str">
        <f>IF(B1736="","", IFERROR(SUMIFS(ベンチマークリターン!$C$2:$C$2001, ベンチマークリターン!$A$2:$A$2001, A1736, ベンチマークリターン!$B$2:$B$2001, Q1736) / 100, 0))</f>
        <v/>
      </c>
      <c r="T1736" t="str">
        <f>IF(A1736="","", SUMIFS($H$2:$H$2000, $A$2:$A$2000, A1736))</f>
        <v/>
      </c>
      <c r="U1736" t="str">
        <f t="shared" si="305"/>
        <v/>
      </c>
      <c r="V1736" t="str">
        <f t="shared" si="306"/>
        <v/>
      </c>
      <c r="W1736" t="str">
        <f t="shared" si="307"/>
        <v/>
      </c>
    </row>
    <row r="1737" spans="1:23" x14ac:dyDescent="0.2">
      <c r="A1737" s="4" t="str">
        <f>IF(ポートフォリオ実績!A1738="","", ポートフォリオ実績!A1738)</f>
        <v/>
      </c>
      <c r="B1737" t="str">
        <f>IF(ポートフォリオ実績!B1738="","", ポートフォリオ実績!B1738)</f>
        <v/>
      </c>
      <c r="C1737" s="10" t="str">
        <f>IF(ポートフォリオ実績!C1738="","", ポートフォリオ実績!C1738)</f>
        <v/>
      </c>
      <c r="D1737" s="10" t="str">
        <f>IF(ポートフォリオ実績!D1738="","", ポートフォリオ実績!D1738)</f>
        <v/>
      </c>
      <c r="E1737" s="10" t="str">
        <f>IF(ポートフォリオ実績!E1738="","", ポートフォリオ実績!E1738)</f>
        <v/>
      </c>
      <c r="F1737" s="10" t="str">
        <f>IF(ポートフォリオ実績!F1738="","", ポートフォリオ実績!F1738)</f>
        <v/>
      </c>
      <c r="G1737" t="str">
        <f t="shared" si="297"/>
        <v/>
      </c>
      <c r="H1737">
        <f>IF(B1737&lt;&gt;"", SUMIFS(ポートフォリオ実績!$D$2:$D$2001, ポートフォリオ実績!$B$2:$B$2001, B1737, ポートフォリオ実績!$A$2:$A$2001, G1737), 0)</f>
        <v>0</v>
      </c>
      <c r="I1737">
        <f>IF(B1737&lt;&gt;"", SUMIFS(ポートフォリオ実績!$C$2:$C$2001, ポートフォリオ実績!$B$2:$B$2001, B1737, ポートフォリオ実績!$A$2:$A$2001, G1737), 0)</f>
        <v>0</v>
      </c>
      <c r="J1737">
        <f t="shared" si="298"/>
        <v>0</v>
      </c>
      <c r="K1737">
        <f t="shared" si="299"/>
        <v>0</v>
      </c>
      <c r="L1737">
        <f t="shared" si="300"/>
        <v>0</v>
      </c>
      <c r="M1737">
        <f t="shared" si="301"/>
        <v>0</v>
      </c>
      <c r="N1737">
        <f t="shared" si="302"/>
        <v>0</v>
      </c>
      <c r="O1737">
        <f t="shared" si="303"/>
        <v>0</v>
      </c>
      <c r="P1737" t="str">
        <f t="shared" si="304"/>
        <v/>
      </c>
      <c r="Q1737" t="str">
        <f>IF(B1737="","", IFERROR(VLOOKUP(B1737, '基準資産配分（設定）'!$A$2:$C$2001, 3, FALSE), ""))</f>
        <v/>
      </c>
      <c r="R1737" t="str">
        <f>IF(B1737="","", IFERROR(VLOOKUP(B1737, '基準資産配分（設定）'!$A$2:$C$2001, 2, FALSE)/100, 0))</f>
        <v/>
      </c>
      <c r="S1737" t="str">
        <f>IF(B1737="","", IFERROR(SUMIFS(ベンチマークリターン!$C$2:$C$2001, ベンチマークリターン!$A$2:$A$2001, A1737, ベンチマークリターン!$B$2:$B$2001, Q1737) / 100, 0))</f>
        <v/>
      </c>
      <c r="T1737" t="str">
        <f>IF(A1737="","", SUMIFS($H$2:$H$2000, $A$2:$A$2000, A1737))</f>
        <v/>
      </c>
      <c r="U1737" t="str">
        <f t="shared" si="305"/>
        <v/>
      </c>
      <c r="V1737" t="str">
        <f t="shared" si="306"/>
        <v/>
      </c>
      <c r="W1737" t="str">
        <f t="shared" si="307"/>
        <v/>
      </c>
    </row>
    <row r="1738" spans="1:23" x14ac:dyDescent="0.2">
      <c r="A1738" s="4" t="str">
        <f>IF(ポートフォリオ実績!A1739="","", ポートフォリオ実績!A1739)</f>
        <v/>
      </c>
      <c r="B1738" t="str">
        <f>IF(ポートフォリオ実績!B1739="","", ポートフォリオ実績!B1739)</f>
        <v/>
      </c>
      <c r="C1738" s="10" t="str">
        <f>IF(ポートフォリオ実績!C1739="","", ポートフォリオ実績!C1739)</f>
        <v/>
      </c>
      <c r="D1738" s="10" t="str">
        <f>IF(ポートフォリオ実績!D1739="","", ポートフォリオ実績!D1739)</f>
        <v/>
      </c>
      <c r="E1738" s="10" t="str">
        <f>IF(ポートフォリオ実績!E1739="","", ポートフォリオ実績!E1739)</f>
        <v/>
      </c>
      <c r="F1738" s="10" t="str">
        <f>IF(ポートフォリオ実績!F1739="","", ポートフォリオ実績!F1739)</f>
        <v/>
      </c>
      <c r="G1738" t="str">
        <f t="shared" si="297"/>
        <v/>
      </c>
      <c r="H1738">
        <f>IF(B1738&lt;&gt;"", SUMIFS(ポートフォリオ実績!$D$2:$D$2001, ポートフォリオ実績!$B$2:$B$2001, B1738, ポートフォリオ実績!$A$2:$A$2001, G1738), 0)</f>
        <v>0</v>
      </c>
      <c r="I1738">
        <f>IF(B1738&lt;&gt;"", SUMIFS(ポートフォリオ実績!$C$2:$C$2001, ポートフォリオ実績!$B$2:$B$2001, B1738, ポートフォリオ実績!$A$2:$A$2001, G1738), 0)</f>
        <v>0</v>
      </c>
      <c r="J1738">
        <f t="shared" si="298"/>
        <v>0</v>
      </c>
      <c r="K1738">
        <f t="shared" si="299"/>
        <v>0</v>
      </c>
      <c r="L1738">
        <f t="shared" si="300"/>
        <v>0</v>
      </c>
      <c r="M1738">
        <f t="shared" si="301"/>
        <v>0</v>
      </c>
      <c r="N1738">
        <f t="shared" si="302"/>
        <v>0</v>
      </c>
      <c r="O1738">
        <f t="shared" si="303"/>
        <v>0</v>
      </c>
      <c r="P1738" t="str">
        <f t="shared" si="304"/>
        <v/>
      </c>
      <c r="Q1738" t="str">
        <f>IF(B1738="","", IFERROR(VLOOKUP(B1738, '基準資産配分（設定）'!$A$2:$C$2001, 3, FALSE), ""))</f>
        <v/>
      </c>
      <c r="R1738" t="str">
        <f>IF(B1738="","", IFERROR(VLOOKUP(B1738, '基準資産配分（設定）'!$A$2:$C$2001, 2, FALSE)/100, 0))</f>
        <v/>
      </c>
      <c r="S1738" t="str">
        <f>IF(B1738="","", IFERROR(SUMIFS(ベンチマークリターン!$C$2:$C$2001, ベンチマークリターン!$A$2:$A$2001, A1738, ベンチマークリターン!$B$2:$B$2001, Q1738) / 100, 0))</f>
        <v/>
      </c>
      <c r="T1738" t="str">
        <f>IF(A1738="","", SUMIFS($H$2:$H$2000, $A$2:$A$2000, A1738))</f>
        <v/>
      </c>
      <c r="U1738" t="str">
        <f t="shared" si="305"/>
        <v/>
      </c>
      <c r="V1738" t="str">
        <f t="shared" si="306"/>
        <v/>
      </c>
      <c r="W1738" t="str">
        <f t="shared" si="307"/>
        <v/>
      </c>
    </row>
    <row r="1739" spans="1:23" x14ac:dyDescent="0.2">
      <c r="A1739" s="4" t="str">
        <f>IF(ポートフォリオ実績!A1740="","", ポートフォリオ実績!A1740)</f>
        <v/>
      </c>
      <c r="B1739" t="str">
        <f>IF(ポートフォリオ実績!B1740="","", ポートフォリオ実績!B1740)</f>
        <v/>
      </c>
      <c r="C1739" s="10" t="str">
        <f>IF(ポートフォリオ実績!C1740="","", ポートフォリオ実績!C1740)</f>
        <v/>
      </c>
      <c r="D1739" s="10" t="str">
        <f>IF(ポートフォリオ実績!D1740="","", ポートフォリオ実績!D1740)</f>
        <v/>
      </c>
      <c r="E1739" s="10" t="str">
        <f>IF(ポートフォリオ実績!E1740="","", ポートフォリオ実績!E1740)</f>
        <v/>
      </c>
      <c r="F1739" s="10" t="str">
        <f>IF(ポートフォリオ実績!F1740="","", ポートフォリオ実績!F1740)</f>
        <v/>
      </c>
      <c r="G1739" t="str">
        <f t="shared" si="297"/>
        <v/>
      </c>
      <c r="H1739">
        <f>IF(B1739&lt;&gt;"", SUMIFS(ポートフォリオ実績!$D$2:$D$2001, ポートフォリオ実績!$B$2:$B$2001, B1739, ポートフォリオ実績!$A$2:$A$2001, G1739), 0)</f>
        <v>0</v>
      </c>
      <c r="I1739">
        <f>IF(B1739&lt;&gt;"", SUMIFS(ポートフォリオ実績!$C$2:$C$2001, ポートフォリオ実績!$B$2:$B$2001, B1739, ポートフォリオ実績!$A$2:$A$2001, G1739), 0)</f>
        <v>0</v>
      </c>
      <c r="J1739">
        <f t="shared" si="298"/>
        <v>0</v>
      </c>
      <c r="K1739">
        <f t="shared" si="299"/>
        <v>0</v>
      </c>
      <c r="L1739">
        <f t="shared" si="300"/>
        <v>0</v>
      </c>
      <c r="M1739">
        <f t="shared" si="301"/>
        <v>0</v>
      </c>
      <c r="N1739">
        <f t="shared" si="302"/>
        <v>0</v>
      </c>
      <c r="O1739">
        <f t="shared" si="303"/>
        <v>0</v>
      </c>
      <c r="P1739" t="str">
        <f t="shared" si="304"/>
        <v/>
      </c>
      <c r="Q1739" t="str">
        <f>IF(B1739="","", IFERROR(VLOOKUP(B1739, '基準資産配分（設定）'!$A$2:$C$2001, 3, FALSE), ""))</f>
        <v/>
      </c>
      <c r="R1739" t="str">
        <f>IF(B1739="","", IFERROR(VLOOKUP(B1739, '基準資産配分（設定）'!$A$2:$C$2001, 2, FALSE)/100, 0))</f>
        <v/>
      </c>
      <c r="S1739" t="str">
        <f>IF(B1739="","", IFERROR(SUMIFS(ベンチマークリターン!$C$2:$C$2001, ベンチマークリターン!$A$2:$A$2001, A1739, ベンチマークリターン!$B$2:$B$2001, Q1739) / 100, 0))</f>
        <v/>
      </c>
      <c r="T1739" t="str">
        <f>IF(A1739="","", SUMIFS($H$2:$H$2000, $A$2:$A$2000, A1739))</f>
        <v/>
      </c>
      <c r="U1739" t="str">
        <f t="shared" si="305"/>
        <v/>
      </c>
      <c r="V1739" t="str">
        <f t="shared" si="306"/>
        <v/>
      </c>
      <c r="W1739" t="str">
        <f t="shared" si="307"/>
        <v/>
      </c>
    </row>
    <row r="1740" spans="1:23" x14ac:dyDescent="0.2">
      <c r="A1740" s="4" t="str">
        <f>IF(ポートフォリオ実績!A1741="","", ポートフォリオ実績!A1741)</f>
        <v/>
      </c>
      <c r="B1740" t="str">
        <f>IF(ポートフォリオ実績!B1741="","", ポートフォリオ実績!B1741)</f>
        <v/>
      </c>
      <c r="C1740" s="10" t="str">
        <f>IF(ポートフォリオ実績!C1741="","", ポートフォリオ実績!C1741)</f>
        <v/>
      </c>
      <c r="D1740" s="10" t="str">
        <f>IF(ポートフォリオ実績!D1741="","", ポートフォリオ実績!D1741)</f>
        <v/>
      </c>
      <c r="E1740" s="10" t="str">
        <f>IF(ポートフォリオ実績!E1741="","", ポートフォリオ実績!E1741)</f>
        <v/>
      </c>
      <c r="F1740" s="10" t="str">
        <f>IF(ポートフォリオ実績!F1741="","", ポートフォリオ実績!F1741)</f>
        <v/>
      </c>
      <c r="G1740" t="str">
        <f t="shared" si="297"/>
        <v/>
      </c>
      <c r="H1740">
        <f>IF(B1740&lt;&gt;"", SUMIFS(ポートフォリオ実績!$D$2:$D$2001, ポートフォリオ実績!$B$2:$B$2001, B1740, ポートフォリオ実績!$A$2:$A$2001, G1740), 0)</f>
        <v>0</v>
      </c>
      <c r="I1740">
        <f>IF(B1740&lt;&gt;"", SUMIFS(ポートフォリオ実績!$C$2:$C$2001, ポートフォリオ実績!$B$2:$B$2001, B1740, ポートフォリオ実績!$A$2:$A$2001, G1740), 0)</f>
        <v>0</v>
      </c>
      <c r="J1740">
        <f t="shared" si="298"/>
        <v>0</v>
      </c>
      <c r="K1740">
        <f t="shared" si="299"/>
        <v>0</v>
      </c>
      <c r="L1740">
        <f t="shared" si="300"/>
        <v>0</v>
      </c>
      <c r="M1740">
        <f t="shared" si="301"/>
        <v>0</v>
      </c>
      <c r="N1740">
        <f t="shared" si="302"/>
        <v>0</v>
      </c>
      <c r="O1740">
        <f t="shared" si="303"/>
        <v>0</v>
      </c>
      <c r="P1740" t="str">
        <f t="shared" si="304"/>
        <v/>
      </c>
      <c r="Q1740" t="str">
        <f>IF(B1740="","", IFERROR(VLOOKUP(B1740, '基準資産配分（設定）'!$A$2:$C$2001, 3, FALSE), ""))</f>
        <v/>
      </c>
      <c r="R1740" t="str">
        <f>IF(B1740="","", IFERROR(VLOOKUP(B1740, '基準資産配分（設定）'!$A$2:$C$2001, 2, FALSE)/100, 0))</f>
        <v/>
      </c>
      <c r="S1740" t="str">
        <f>IF(B1740="","", IFERROR(SUMIFS(ベンチマークリターン!$C$2:$C$2001, ベンチマークリターン!$A$2:$A$2001, A1740, ベンチマークリターン!$B$2:$B$2001, Q1740) / 100, 0))</f>
        <v/>
      </c>
      <c r="T1740" t="str">
        <f>IF(A1740="","", SUMIFS($H$2:$H$2000, $A$2:$A$2000, A1740))</f>
        <v/>
      </c>
      <c r="U1740" t="str">
        <f t="shared" si="305"/>
        <v/>
      </c>
      <c r="V1740" t="str">
        <f t="shared" si="306"/>
        <v/>
      </c>
      <c r="W1740" t="str">
        <f t="shared" si="307"/>
        <v/>
      </c>
    </row>
    <row r="1741" spans="1:23" x14ac:dyDescent="0.2">
      <c r="A1741" s="4" t="str">
        <f>IF(ポートフォリオ実績!A1742="","", ポートフォリオ実績!A1742)</f>
        <v/>
      </c>
      <c r="B1741" t="str">
        <f>IF(ポートフォリオ実績!B1742="","", ポートフォリオ実績!B1742)</f>
        <v/>
      </c>
      <c r="C1741" s="10" t="str">
        <f>IF(ポートフォリオ実績!C1742="","", ポートフォリオ実績!C1742)</f>
        <v/>
      </c>
      <c r="D1741" s="10" t="str">
        <f>IF(ポートフォリオ実績!D1742="","", ポートフォリオ実績!D1742)</f>
        <v/>
      </c>
      <c r="E1741" s="10" t="str">
        <f>IF(ポートフォリオ実績!E1742="","", ポートフォリオ実績!E1742)</f>
        <v/>
      </c>
      <c r="F1741" s="10" t="str">
        <f>IF(ポートフォリオ実績!F1742="","", ポートフォリオ実績!F1742)</f>
        <v/>
      </c>
      <c r="G1741" t="str">
        <f t="shared" si="297"/>
        <v/>
      </c>
      <c r="H1741">
        <f>IF(B1741&lt;&gt;"", SUMIFS(ポートフォリオ実績!$D$2:$D$2001, ポートフォリオ実績!$B$2:$B$2001, B1741, ポートフォリオ実績!$A$2:$A$2001, G1741), 0)</f>
        <v>0</v>
      </c>
      <c r="I1741">
        <f>IF(B1741&lt;&gt;"", SUMIFS(ポートフォリオ実績!$C$2:$C$2001, ポートフォリオ実績!$B$2:$B$2001, B1741, ポートフォリオ実績!$A$2:$A$2001, G1741), 0)</f>
        <v>0</v>
      </c>
      <c r="J1741">
        <f t="shared" si="298"/>
        <v>0</v>
      </c>
      <c r="K1741">
        <f t="shared" si="299"/>
        <v>0</v>
      </c>
      <c r="L1741">
        <f t="shared" si="300"/>
        <v>0</v>
      </c>
      <c r="M1741">
        <f t="shared" si="301"/>
        <v>0</v>
      </c>
      <c r="N1741">
        <f t="shared" si="302"/>
        <v>0</v>
      </c>
      <c r="O1741">
        <f t="shared" si="303"/>
        <v>0</v>
      </c>
      <c r="P1741" t="str">
        <f t="shared" si="304"/>
        <v/>
      </c>
      <c r="Q1741" t="str">
        <f>IF(B1741="","", IFERROR(VLOOKUP(B1741, '基準資産配分（設定）'!$A$2:$C$2001, 3, FALSE), ""))</f>
        <v/>
      </c>
      <c r="R1741" t="str">
        <f>IF(B1741="","", IFERROR(VLOOKUP(B1741, '基準資産配分（設定）'!$A$2:$C$2001, 2, FALSE)/100, 0))</f>
        <v/>
      </c>
      <c r="S1741" t="str">
        <f>IF(B1741="","", IFERROR(SUMIFS(ベンチマークリターン!$C$2:$C$2001, ベンチマークリターン!$A$2:$A$2001, A1741, ベンチマークリターン!$B$2:$B$2001, Q1741) / 100, 0))</f>
        <v/>
      </c>
      <c r="T1741" t="str">
        <f>IF(A1741="","", SUMIFS($H$2:$H$2000, $A$2:$A$2000, A1741))</f>
        <v/>
      </c>
      <c r="U1741" t="str">
        <f t="shared" si="305"/>
        <v/>
      </c>
      <c r="V1741" t="str">
        <f t="shared" si="306"/>
        <v/>
      </c>
      <c r="W1741" t="str">
        <f t="shared" si="307"/>
        <v/>
      </c>
    </row>
    <row r="1742" spans="1:23" x14ac:dyDescent="0.2">
      <c r="A1742" s="4" t="str">
        <f>IF(ポートフォリオ実績!A1743="","", ポートフォリオ実績!A1743)</f>
        <v/>
      </c>
      <c r="B1742" t="str">
        <f>IF(ポートフォリオ実績!B1743="","", ポートフォリオ実績!B1743)</f>
        <v/>
      </c>
      <c r="C1742" s="10" t="str">
        <f>IF(ポートフォリオ実績!C1743="","", ポートフォリオ実績!C1743)</f>
        <v/>
      </c>
      <c r="D1742" s="10" t="str">
        <f>IF(ポートフォリオ実績!D1743="","", ポートフォリオ実績!D1743)</f>
        <v/>
      </c>
      <c r="E1742" s="10" t="str">
        <f>IF(ポートフォリオ実績!E1743="","", ポートフォリオ実績!E1743)</f>
        <v/>
      </c>
      <c r="F1742" s="10" t="str">
        <f>IF(ポートフォリオ実績!F1743="","", ポートフォリオ実績!F1743)</f>
        <v/>
      </c>
      <c r="G1742" t="str">
        <f t="shared" si="297"/>
        <v/>
      </c>
      <c r="H1742">
        <f>IF(B1742&lt;&gt;"", SUMIFS(ポートフォリオ実績!$D$2:$D$2001, ポートフォリオ実績!$B$2:$B$2001, B1742, ポートフォリオ実績!$A$2:$A$2001, G1742), 0)</f>
        <v>0</v>
      </c>
      <c r="I1742">
        <f>IF(B1742&lt;&gt;"", SUMIFS(ポートフォリオ実績!$C$2:$C$2001, ポートフォリオ実績!$B$2:$B$2001, B1742, ポートフォリオ実績!$A$2:$A$2001, G1742), 0)</f>
        <v>0</v>
      </c>
      <c r="J1742">
        <f t="shared" si="298"/>
        <v>0</v>
      </c>
      <c r="K1742">
        <f t="shared" si="299"/>
        <v>0</v>
      </c>
      <c r="L1742">
        <f t="shared" si="300"/>
        <v>0</v>
      </c>
      <c r="M1742">
        <f t="shared" si="301"/>
        <v>0</v>
      </c>
      <c r="N1742">
        <f t="shared" si="302"/>
        <v>0</v>
      </c>
      <c r="O1742">
        <f t="shared" si="303"/>
        <v>0</v>
      </c>
      <c r="P1742" t="str">
        <f t="shared" si="304"/>
        <v/>
      </c>
      <c r="Q1742" t="str">
        <f>IF(B1742="","", IFERROR(VLOOKUP(B1742, '基準資産配分（設定）'!$A$2:$C$2001, 3, FALSE), ""))</f>
        <v/>
      </c>
      <c r="R1742" t="str">
        <f>IF(B1742="","", IFERROR(VLOOKUP(B1742, '基準資産配分（設定）'!$A$2:$C$2001, 2, FALSE)/100, 0))</f>
        <v/>
      </c>
      <c r="S1742" t="str">
        <f>IF(B1742="","", IFERROR(SUMIFS(ベンチマークリターン!$C$2:$C$2001, ベンチマークリターン!$A$2:$A$2001, A1742, ベンチマークリターン!$B$2:$B$2001, Q1742) / 100, 0))</f>
        <v/>
      </c>
      <c r="T1742" t="str">
        <f>IF(A1742="","", SUMIFS($H$2:$H$2000, $A$2:$A$2000, A1742))</f>
        <v/>
      </c>
      <c r="U1742" t="str">
        <f t="shared" si="305"/>
        <v/>
      </c>
      <c r="V1742" t="str">
        <f t="shared" si="306"/>
        <v/>
      </c>
      <c r="W1742" t="str">
        <f t="shared" si="307"/>
        <v/>
      </c>
    </row>
    <row r="1743" spans="1:23" x14ac:dyDescent="0.2">
      <c r="A1743" s="4" t="str">
        <f>IF(ポートフォリオ実績!A1744="","", ポートフォリオ実績!A1744)</f>
        <v/>
      </c>
      <c r="B1743" t="str">
        <f>IF(ポートフォリオ実績!B1744="","", ポートフォリオ実績!B1744)</f>
        <v/>
      </c>
      <c r="C1743" s="10" t="str">
        <f>IF(ポートフォリオ実績!C1744="","", ポートフォリオ実績!C1744)</f>
        <v/>
      </c>
      <c r="D1743" s="10" t="str">
        <f>IF(ポートフォリオ実績!D1744="","", ポートフォリオ実績!D1744)</f>
        <v/>
      </c>
      <c r="E1743" s="10" t="str">
        <f>IF(ポートフォリオ実績!E1744="","", ポートフォリオ実績!E1744)</f>
        <v/>
      </c>
      <c r="F1743" s="10" t="str">
        <f>IF(ポートフォリオ実績!F1744="","", ポートフォリオ実績!F1744)</f>
        <v/>
      </c>
      <c r="G1743" t="str">
        <f t="shared" si="297"/>
        <v/>
      </c>
      <c r="H1743">
        <f>IF(B1743&lt;&gt;"", SUMIFS(ポートフォリオ実績!$D$2:$D$2001, ポートフォリオ実績!$B$2:$B$2001, B1743, ポートフォリオ実績!$A$2:$A$2001, G1743), 0)</f>
        <v>0</v>
      </c>
      <c r="I1743">
        <f>IF(B1743&lt;&gt;"", SUMIFS(ポートフォリオ実績!$C$2:$C$2001, ポートフォリオ実績!$B$2:$B$2001, B1743, ポートフォリオ実績!$A$2:$A$2001, G1743), 0)</f>
        <v>0</v>
      </c>
      <c r="J1743">
        <f t="shared" si="298"/>
        <v>0</v>
      </c>
      <c r="K1743">
        <f t="shared" si="299"/>
        <v>0</v>
      </c>
      <c r="L1743">
        <f t="shared" si="300"/>
        <v>0</v>
      </c>
      <c r="M1743">
        <f t="shared" si="301"/>
        <v>0</v>
      </c>
      <c r="N1743">
        <f t="shared" si="302"/>
        <v>0</v>
      </c>
      <c r="O1743">
        <f t="shared" si="303"/>
        <v>0</v>
      </c>
      <c r="P1743" t="str">
        <f t="shared" si="304"/>
        <v/>
      </c>
      <c r="Q1743" t="str">
        <f>IF(B1743="","", IFERROR(VLOOKUP(B1743, '基準資産配分（設定）'!$A$2:$C$2001, 3, FALSE), ""))</f>
        <v/>
      </c>
      <c r="R1743" t="str">
        <f>IF(B1743="","", IFERROR(VLOOKUP(B1743, '基準資産配分（設定）'!$A$2:$C$2001, 2, FALSE)/100, 0))</f>
        <v/>
      </c>
      <c r="S1743" t="str">
        <f>IF(B1743="","", IFERROR(SUMIFS(ベンチマークリターン!$C$2:$C$2001, ベンチマークリターン!$A$2:$A$2001, A1743, ベンチマークリターン!$B$2:$B$2001, Q1743) / 100, 0))</f>
        <v/>
      </c>
      <c r="T1743" t="str">
        <f>IF(A1743="","", SUMIFS($H$2:$H$2000, $A$2:$A$2000, A1743))</f>
        <v/>
      </c>
      <c r="U1743" t="str">
        <f t="shared" si="305"/>
        <v/>
      </c>
      <c r="V1743" t="str">
        <f t="shared" si="306"/>
        <v/>
      </c>
      <c r="W1743" t="str">
        <f t="shared" si="307"/>
        <v/>
      </c>
    </row>
    <row r="1744" spans="1:23" x14ac:dyDescent="0.2">
      <c r="A1744" s="4" t="str">
        <f>IF(ポートフォリオ実績!A1745="","", ポートフォリオ実績!A1745)</f>
        <v/>
      </c>
      <c r="B1744" t="str">
        <f>IF(ポートフォリオ実績!B1745="","", ポートフォリオ実績!B1745)</f>
        <v/>
      </c>
      <c r="C1744" s="10" t="str">
        <f>IF(ポートフォリオ実績!C1745="","", ポートフォリオ実績!C1745)</f>
        <v/>
      </c>
      <c r="D1744" s="10" t="str">
        <f>IF(ポートフォリオ実績!D1745="","", ポートフォリオ実績!D1745)</f>
        <v/>
      </c>
      <c r="E1744" s="10" t="str">
        <f>IF(ポートフォリオ実績!E1745="","", ポートフォリオ実績!E1745)</f>
        <v/>
      </c>
      <c r="F1744" s="10" t="str">
        <f>IF(ポートフォリオ実績!F1745="","", ポートフォリオ実績!F1745)</f>
        <v/>
      </c>
      <c r="G1744" t="str">
        <f t="shared" si="297"/>
        <v/>
      </c>
      <c r="H1744">
        <f>IF(B1744&lt;&gt;"", SUMIFS(ポートフォリオ実績!$D$2:$D$2001, ポートフォリオ実績!$B$2:$B$2001, B1744, ポートフォリオ実績!$A$2:$A$2001, G1744), 0)</f>
        <v>0</v>
      </c>
      <c r="I1744">
        <f>IF(B1744&lt;&gt;"", SUMIFS(ポートフォリオ実績!$C$2:$C$2001, ポートフォリオ実績!$B$2:$B$2001, B1744, ポートフォリオ実績!$A$2:$A$2001, G1744), 0)</f>
        <v>0</v>
      </c>
      <c r="J1744">
        <f t="shared" si="298"/>
        <v>0</v>
      </c>
      <c r="K1744">
        <f t="shared" si="299"/>
        <v>0</v>
      </c>
      <c r="L1744">
        <f t="shared" si="300"/>
        <v>0</v>
      </c>
      <c r="M1744">
        <f t="shared" si="301"/>
        <v>0</v>
      </c>
      <c r="N1744">
        <f t="shared" si="302"/>
        <v>0</v>
      </c>
      <c r="O1744">
        <f t="shared" si="303"/>
        <v>0</v>
      </c>
      <c r="P1744" t="str">
        <f t="shared" si="304"/>
        <v/>
      </c>
      <c r="Q1744" t="str">
        <f>IF(B1744="","", IFERROR(VLOOKUP(B1744, '基準資産配分（設定）'!$A$2:$C$2001, 3, FALSE), ""))</f>
        <v/>
      </c>
      <c r="R1744" t="str">
        <f>IF(B1744="","", IFERROR(VLOOKUP(B1744, '基準資産配分（設定）'!$A$2:$C$2001, 2, FALSE)/100, 0))</f>
        <v/>
      </c>
      <c r="S1744" t="str">
        <f>IF(B1744="","", IFERROR(SUMIFS(ベンチマークリターン!$C$2:$C$2001, ベンチマークリターン!$A$2:$A$2001, A1744, ベンチマークリターン!$B$2:$B$2001, Q1744) / 100, 0))</f>
        <v/>
      </c>
      <c r="T1744" t="str">
        <f>IF(A1744="","", SUMIFS($H$2:$H$2000, $A$2:$A$2000, A1744))</f>
        <v/>
      </c>
      <c r="U1744" t="str">
        <f t="shared" si="305"/>
        <v/>
      </c>
      <c r="V1744" t="str">
        <f t="shared" si="306"/>
        <v/>
      </c>
      <c r="W1744" t="str">
        <f t="shared" si="307"/>
        <v/>
      </c>
    </row>
    <row r="1745" spans="1:23" x14ac:dyDescent="0.2">
      <c r="A1745" s="4" t="str">
        <f>IF(ポートフォリオ実績!A1746="","", ポートフォリオ実績!A1746)</f>
        <v/>
      </c>
      <c r="B1745" t="str">
        <f>IF(ポートフォリオ実績!B1746="","", ポートフォリオ実績!B1746)</f>
        <v/>
      </c>
      <c r="C1745" s="10" t="str">
        <f>IF(ポートフォリオ実績!C1746="","", ポートフォリオ実績!C1746)</f>
        <v/>
      </c>
      <c r="D1745" s="10" t="str">
        <f>IF(ポートフォリオ実績!D1746="","", ポートフォリオ実績!D1746)</f>
        <v/>
      </c>
      <c r="E1745" s="10" t="str">
        <f>IF(ポートフォリオ実績!E1746="","", ポートフォリオ実績!E1746)</f>
        <v/>
      </c>
      <c r="F1745" s="10" t="str">
        <f>IF(ポートフォリオ実績!F1746="","", ポートフォリオ実績!F1746)</f>
        <v/>
      </c>
      <c r="G1745" t="str">
        <f t="shared" si="297"/>
        <v/>
      </c>
      <c r="H1745">
        <f>IF(B1745&lt;&gt;"", SUMIFS(ポートフォリオ実績!$D$2:$D$2001, ポートフォリオ実績!$B$2:$B$2001, B1745, ポートフォリオ実績!$A$2:$A$2001, G1745), 0)</f>
        <v>0</v>
      </c>
      <c r="I1745">
        <f>IF(B1745&lt;&gt;"", SUMIFS(ポートフォリオ実績!$C$2:$C$2001, ポートフォリオ実績!$B$2:$B$2001, B1745, ポートフォリオ実績!$A$2:$A$2001, G1745), 0)</f>
        <v>0</v>
      </c>
      <c r="J1745">
        <f t="shared" si="298"/>
        <v>0</v>
      </c>
      <c r="K1745">
        <f t="shared" si="299"/>
        <v>0</v>
      </c>
      <c r="L1745">
        <f t="shared" si="300"/>
        <v>0</v>
      </c>
      <c r="M1745">
        <f t="shared" si="301"/>
        <v>0</v>
      </c>
      <c r="N1745">
        <f t="shared" si="302"/>
        <v>0</v>
      </c>
      <c r="O1745">
        <f t="shared" si="303"/>
        <v>0</v>
      </c>
      <c r="P1745" t="str">
        <f t="shared" si="304"/>
        <v/>
      </c>
      <c r="Q1745" t="str">
        <f>IF(B1745="","", IFERROR(VLOOKUP(B1745, '基準資産配分（設定）'!$A$2:$C$2001, 3, FALSE), ""))</f>
        <v/>
      </c>
      <c r="R1745" t="str">
        <f>IF(B1745="","", IFERROR(VLOOKUP(B1745, '基準資産配分（設定）'!$A$2:$C$2001, 2, FALSE)/100, 0))</f>
        <v/>
      </c>
      <c r="S1745" t="str">
        <f>IF(B1745="","", IFERROR(SUMIFS(ベンチマークリターン!$C$2:$C$2001, ベンチマークリターン!$A$2:$A$2001, A1745, ベンチマークリターン!$B$2:$B$2001, Q1745) / 100, 0))</f>
        <v/>
      </c>
      <c r="T1745" t="str">
        <f>IF(A1745="","", SUMIFS($H$2:$H$2000, $A$2:$A$2000, A1745))</f>
        <v/>
      </c>
      <c r="U1745" t="str">
        <f t="shared" si="305"/>
        <v/>
      </c>
      <c r="V1745" t="str">
        <f t="shared" si="306"/>
        <v/>
      </c>
      <c r="W1745" t="str">
        <f t="shared" si="307"/>
        <v/>
      </c>
    </row>
    <row r="1746" spans="1:23" x14ac:dyDescent="0.2">
      <c r="A1746" s="4" t="str">
        <f>IF(ポートフォリオ実績!A1747="","", ポートフォリオ実績!A1747)</f>
        <v/>
      </c>
      <c r="B1746" t="str">
        <f>IF(ポートフォリオ実績!B1747="","", ポートフォリオ実績!B1747)</f>
        <v/>
      </c>
      <c r="C1746" s="10" t="str">
        <f>IF(ポートフォリオ実績!C1747="","", ポートフォリオ実績!C1747)</f>
        <v/>
      </c>
      <c r="D1746" s="10" t="str">
        <f>IF(ポートフォリオ実績!D1747="","", ポートフォリオ実績!D1747)</f>
        <v/>
      </c>
      <c r="E1746" s="10" t="str">
        <f>IF(ポートフォリオ実績!E1747="","", ポートフォリオ実績!E1747)</f>
        <v/>
      </c>
      <c r="F1746" s="10" t="str">
        <f>IF(ポートフォリオ実績!F1747="","", ポートフォリオ実績!F1747)</f>
        <v/>
      </c>
      <c r="G1746" t="str">
        <f t="shared" si="297"/>
        <v/>
      </c>
      <c r="H1746">
        <f>IF(B1746&lt;&gt;"", SUMIFS(ポートフォリオ実績!$D$2:$D$2001, ポートフォリオ実績!$B$2:$B$2001, B1746, ポートフォリオ実績!$A$2:$A$2001, G1746), 0)</f>
        <v>0</v>
      </c>
      <c r="I1746">
        <f>IF(B1746&lt;&gt;"", SUMIFS(ポートフォリオ実績!$C$2:$C$2001, ポートフォリオ実績!$B$2:$B$2001, B1746, ポートフォリオ実績!$A$2:$A$2001, G1746), 0)</f>
        <v>0</v>
      </c>
      <c r="J1746">
        <f t="shared" si="298"/>
        <v>0</v>
      </c>
      <c r="K1746">
        <f t="shared" si="299"/>
        <v>0</v>
      </c>
      <c r="L1746">
        <f t="shared" si="300"/>
        <v>0</v>
      </c>
      <c r="M1746">
        <f t="shared" si="301"/>
        <v>0</v>
      </c>
      <c r="N1746">
        <f t="shared" si="302"/>
        <v>0</v>
      </c>
      <c r="O1746">
        <f t="shared" si="303"/>
        <v>0</v>
      </c>
      <c r="P1746" t="str">
        <f t="shared" si="304"/>
        <v/>
      </c>
      <c r="Q1746" t="str">
        <f>IF(B1746="","", IFERROR(VLOOKUP(B1746, '基準資産配分（設定）'!$A$2:$C$2001, 3, FALSE), ""))</f>
        <v/>
      </c>
      <c r="R1746" t="str">
        <f>IF(B1746="","", IFERROR(VLOOKUP(B1746, '基準資産配分（設定）'!$A$2:$C$2001, 2, FALSE)/100, 0))</f>
        <v/>
      </c>
      <c r="S1746" t="str">
        <f>IF(B1746="","", IFERROR(SUMIFS(ベンチマークリターン!$C$2:$C$2001, ベンチマークリターン!$A$2:$A$2001, A1746, ベンチマークリターン!$B$2:$B$2001, Q1746) / 100, 0))</f>
        <v/>
      </c>
      <c r="T1746" t="str">
        <f>IF(A1746="","", SUMIFS($H$2:$H$2000, $A$2:$A$2000, A1746))</f>
        <v/>
      </c>
      <c r="U1746" t="str">
        <f t="shared" si="305"/>
        <v/>
      </c>
      <c r="V1746" t="str">
        <f t="shared" si="306"/>
        <v/>
      </c>
      <c r="W1746" t="str">
        <f t="shared" si="307"/>
        <v/>
      </c>
    </row>
    <row r="1747" spans="1:23" x14ac:dyDescent="0.2">
      <c r="A1747" s="4" t="str">
        <f>IF(ポートフォリオ実績!A1748="","", ポートフォリオ実績!A1748)</f>
        <v/>
      </c>
      <c r="B1747" t="str">
        <f>IF(ポートフォリオ実績!B1748="","", ポートフォリオ実績!B1748)</f>
        <v/>
      </c>
      <c r="C1747" s="10" t="str">
        <f>IF(ポートフォリオ実績!C1748="","", ポートフォリオ実績!C1748)</f>
        <v/>
      </c>
      <c r="D1747" s="10" t="str">
        <f>IF(ポートフォリオ実績!D1748="","", ポートフォリオ実績!D1748)</f>
        <v/>
      </c>
      <c r="E1747" s="10" t="str">
        <f>IF(ポートフォリオ実績!E1748="","", ポートフォリオ実績!E1748)</f>
        <v/>
      </c>
      <c r="F1747" s="10" t="str">
        <f>IF(ポートフォリオ実績!F1748="","", ポートフォリオ実績!F1748)</f>
        <v/>
      </c>
      <c r="G1747" t="str">
        <f t="shared" si="297"/>
        <v/>
      </c>
      <c r="H1747">
        <f>IF(B1747&lt;&gt;"", SUMIFS(ポートフォリオ実績!$D$2:$D$2001, ポートフォリオ実績!$B$2:$B$2001, B1747, ポートフォリオ実績!$A$2:$A$2001, G1747), 0)</f>
        <v>0</v>
      </c>
      <c r="I1747">
        <f>IF(B1747&lt;&gt;"", SUMIFS(ポートフォリオ実績!$C$2:$C$2001, ポートフォリオ実績!$B$2:$B$2001, B1747, ポートフォリオ実績!$A$2:$A$2001, G1747), 0)</f>
        <v>0</v>
      </c>
      <c r="J1747">
        <f t="shared" si="298"/>
        <v>0</v>
      </c>
      <c r="K1747">
        <f t="shared" si="299"/>
        <v>0</v>
      </c>
      <c r="L1747">
        <f t="shared" si="300"/>
        <v>0</v>
      </c>
      <c r="M1747">
        <f t="shared" si="301"/>
        <v>0</v>
      </c>
      <c r="N1747">
        <f t="shared" si="302"/>
        <v>0</v>
      </c>
      <c r="O1747">
        <f t="shared" si="303"/>
        <v>0</v>
      </c>
      <c r="P1747" t="str">
        <f t="shared" si="304"/>
        <v/>
      </c>
      <c r="Q1747" t="str">
        <f>IF(B1747="","", IFERROR(VLOOKUP(B1747, '基準資産配分（設定）'!$A$2:$C$2001, 3, FALSE), ""))</f>
        <v/>
      </c>
      <c r="R1747" t="str">
        <f>IF(B1747="","", IFERROR(VLOOKUP(B1747, '基準資産配分（設定）'!$A$2:$C$2001, 2, FALSE)/100, 0))</f>
        <v/>
      </c>
      <c r="S1747" t="str">
        <f>IF(B1747="","", IFERROR(SUMIFS(ベンチマークリターン!$C$2:$C$2001, ベンチマークリターン!$A$2:$A$2001, A1747, ベンチマークリターン!$B$2:$B$2001, Q1747) / 100, 0))</f>
        <v/>
      </c>
      <c r="T1747" t="str">
        <f>IF(A1747="","", SUMIFS($H$2:$H$2000, $A$2:$A$2000, A1747))</f>
        <v/>
      </c>
      <c r="U1747" t="str">
        <f t="shared" si="305"/>
        <v/>
      </c>
      <c r="V1747" t="str">
        <f t="shared" si="306"/>
        <v/>
      </c>
      <c r="W1747" t="str">
        <f t="shared" si="307"/>
        <v/>
      </c>
    </row>
    <row r="1748" spans="1:23" x14ac:dyDescent="0.2">
      <c r="A1748" s="4" t="str">
        <f>IF(ポートフォリオ実績!A1749="","", ポートフォリオ実績!A1749)</f>
        <v/>
      </c>
      <c r="B1748" t="str">
        <f>IF(ポートフォリオ実績!B1749="","", ポートフォリオ実績!B1749)</f>
        <v/>
      </c>
      <c r="C1748" s="10" t="str">
        <f>IF(ポートフォリオ実績!C1749="","", ポートフォリオ実績!C1749)</f>
        <v/>
      </c>
      <c r="D1748" s="10" t="str">
        <f>IF(ポートフォリオ実績!D1749="","", ポートフォリオ実績!D1749)</f>
        <v/>
      </c>
      <c r="E1748" s="10" t="str">
        <f>IF(ポートフォリオ実績!E1749="","", ポートフォリオ実績!E1749)</f>
        <v/>
      </c>
      <c r="F1748" s="10" t="str">
        <f>IF(ポートフォリオ実績!F1749="","", ポートフォリオ実績!F1749)</f>
        <v/>
      </c>
      <c r="G1748" t="str">
        <f t="shared" si="297"/>
        <v/>
      </c>
      <c r="H1748">
        <f>IF(B1748&lt;&gt;"", SUMIFS(ポートフォリオ実績!$D$2:$D$2001, ポートフォリオ実績!$B$2:$B$2001, B1748, ポートフォリオ実績!$A$2:$A$2001, G1748), 0)</f>
        <v>0</v>
      </c>
      <c r="I1748">
        <f>IF(B1748&lt;&gt;"", SUMIFS(ポートフォリオ実績!$C$2:$C$2001, ポートフォリオ実績!$B$2:$B$2001, B1748, ポートフォリオ実績!$A$2:$A$2001, G1748), 0)</f>
        <v>0</v>
      </c>
      <c r="J1748">
        <f t="shared" si="298"/>
        <v>0</v>
      </c>
      <c r="K1748">
        <f t="shared" si="299"/>
        <v>0</v>
      </c>
      <c r="L1748">
        <f t="shared" si="300"/>
        <v>0</v>
      </c>
      <c r="M1748">
        <f t="shared" si="301"/>
        <v>0</v>
      </c>
      <c r="N1748">
        <f t="shared" si="302"/>
        <v>0</v>
      </c>
      <c r="O1748">
        <f t="shared" si="303"/>
        <v>0</v>
      </c>
      <c r="P1748" t="str">
        <f t="shared" si="304"/>
        <v/>
      </c>
      <c r="Q1748" t="str">
        <f>IF(B1748="","", IFERROR(VLOOKUP(B1748, '基準資産配分（設定）'!$A$2:$C$2001, 3, FALSE), ""))</f>
        <v/>
      </c>
      <c r="R1748" t="str">
        <f>IF(B1748="","", IFERROR(VLOOKUP(B1748, '基準資産配分（設定）'!$A$2:$C$2001, 2, FALSE)/100, 0))</f>
        <v/>
      </c>
      <c r="S1748" t="str">
        <f>IF(B1748="","", IFERROR(SUMIFS(ベンチマークリターン!$C$2:$C$2001, ベンチマークリターン!$A$2:$A$2001, A1748, ベンチマークリターン!$B$2:$B$2001, Q1748) / 100, 0))</f>
        <v/>
      </c>
      <c r="T1748" t="str">
        <f>IF(A1748="","", SUMIFS($H$2:$H$2000, $A$2:$A$2000, A1748))</f>
        <v/>
      </c>
      <c r="U1748" t="str">
        <f t="shared" si="305"/>
        <v/>
      </c>
      <c r="V1748" t="str">
        <f t="shared" si="306"/>
        <v/>
      </c>
      <c r="W1748" t="str">
        <f t="shared" si="307"/>
        <v/>
      </c>
    </row>
    <row r="1749" spans="1:23" x14ac:dyDescent="0.2">
      <c r="A1749" s="4" t="str">
        <f>IF(ポートフォリオ実績!A1750="","", ポートフォリオ実績!A1750)</f>
        <v/>
      </c>
      <c r="B1749" t="str">
        <f>IF(ポートフォリオ実績!B1750="","", ポートフォリオ実績!B1750)</f>
        <v/>
      </c>
      <c r="C1749" s="10" t="str">
        <f>IF(ポートフォリオ実績!C1750="","", ポートフォリオ実績!C1750)</f>
        <v/>
      </c>
      <c r="D1749" s="10" t="str">
        <f>IF(ポートフォリオ実績!D1750="","", ポートフォリオ実績!D1750)</f>
        <v/>
      </c>
      <c r="E1749" s="10" t="str">
        <f>IF(ポートフォリオ実績!E1750="","", ポートフォリオ実績!E1750)</f>
        <v/>
      </c>
      <c r="F1749" s="10" t="str">
        <f>IF(ポートフォリオ実績!F1750="","", ポートフォリオ実績!F1750)</f>
        <v/>
      </c>
      <c r="G1749" t="str">
        <f t="shared" si="297"/>
        <v/>
      </c>
      <c r="H1749">
        <f>IF(B1749&lt;&gt;"", SUMIFS(ポートフォリオ実績!$D$2:$D$2001, ポートフォリオ実績!$B$2:$B$2001, B1749, ポートフォリオ実績!$A$2:$A$2001, G1749), 0)</f>
        <v>0</v>
      </c>
      <c r="I1749">
        <f>IF(B1749&lt;&gt;"", SUMIFS(ポートフォリオ実績!$C$2:$C$2001, ポートフォリオ実績!$B$2:$B$2001, B1749, ポートフォリオ実績!$A$2:$A$2001, G1749), 0)</f>
        <v>0</v>
      </c>
      <c r="J1749">
        <f t="shared" si="298"/>
        <v>0</v>
      </c>
      <c r="K1749">
        <f t="shared" si="299"/>
        <v>0</v>
      </c>
      <c r="L1749">
        <f t="shared" si="300"/>
        <v>0</v>
      </c>
      <c r="M1749">
        <f t="shared" si="301"/>
        <v>0</v>
      </c>
      <c r="N1749">
        <f t="shared" si="302"/>
        <v>0</v>
      </c>
      <c r="O1749">
        <f t="shared" si="303"/>
        <v>0</v>
      </c>
      <c r="P1749" t="str">
        <f t="shared" si="304"/>
        <v/>
      </c>
      <c r="Q1749" t="str">
        <f>IF(B1749="","", IFERROR(VLOOKUP(B1749, '基準資産配分（設定）'!$A$2:$C$2001, 3, FALSE), ""))</f>
        <v/>
      </c>
      <c r="R1749" t="str">
        <f>IF(B1749="","", IFERROR(VLOOKUP(B1749, '基準資産配分（設定）'!$A$2:$C$2001, 2, FALSE)/100, 0))</f>
        <v/>
      </c>
      <c r="S1749" t="str">
        <f>IF(B1749="","", IFERROR(SUMIFS(ベンチマークリターン!$C$2:$C$2001, ベンチマークリターン!$A$2:$A$2001, A1749, ベンチマークリターン!$B$2:$B$2001, Q1749) / 100, 0))</f>
        <v/>
      </c>
      <c r="T1749" t="str">
        <f>IF(A1749="","", SUMIFS($H$2:$H$2000, $A$2:$A$2000, A1749))</f>
        <v/>
      </c>
      <c r="U1749" t="str">
        <f t="shared" si="305"/>
        <v/>
      </c>
      <c r="V1749" t="str">
        <f t="shared" si="306"/>
        <v/>
      </c>
      <c r="W1749" t="str">
        <f t="shared" si="307"/>
        <v/>
      </c>
    </row>
    <row r="1750" spans="1:23" x14ac:dyDescent="0.2">
      <c r="A1750" s="4" t="str">
        <f>IF(ポートフォリオ実績!A1751="","", ポートフォリオ実績!A1751)</f>
        <v/>
      </c>
      <c r="B1750" t="str">
        <f>IF(ポートフォリオ実績!B1751="","", ポートフォリオ実績!B1751)</f>
        <v/>
      </c>
      <c r="C1750" s="10" t="str">
        <f>IF(ポートフォリオ実績!C1751="","", ポートフォリオ実績!C1751)</f>
        <v/>
      </c>
      <c r="D1750" s="10" t="str">
        <f>IF(ポートフォリオ実績!D1751="","", ポートフォリオ実績!D1751)</f>
        <v/>
      </c>
      <c r="E1750" s="10" t="str">
        <f>IF(ポートフォリオ実績!E1751="","", ポートフォリオ実績!E1751)</f>
        <v/>
      </c>
      <c r="F1750" s="10" t="str">
        <f>IF(ポートフォリオ実績!F1751="","", ポートフォリオ実績!F1751)</f>
        <v/>
      </c>
      <c r="G1750" t="str">
        <f t="shared" si="297"/>
        <v/>
      </c>
      <c r="H1750">
        <f>IF(B1750&lt;&gt;"", SUMIFS(ポートフォリオ実績!$D$2:$D$2001, ポートフォリオ実績!$B$2:$B$2001, B1750, ポートフォリオ実績!$A$2:$A$2001, G1750), 0)</f>
        <v>0</v>
      </c>
      <c r="I1750">
        <f>IF(B1750&lt;&gt;"", SUMIFS(ポートフォリオ実績!$C$2:$C$2001, ポートフォリオ実績!$B$2:$B$2001, B1750, ポートフォリオ実績!$A$2:$A$2001, G1750), 0)</f>
        <v>0</v>
      </c>
      <c r="J1750">
        <f t="shared" si="298"/>
        <v>0</v>
      </c>
      <c r="K1750">
        <f t="shared" si="299"/>
        <v>0</v>
      </c>
      <c r="L1750">
        <f t="shared" si="300"/>
        <v>0</v>
      </c>
      <c r="M1750">
        <f t="shared" si="301"/>
        <v>0</v>
      </c>
      <c r="N1750">
        <f t="shared" si="302"/>
        <v>0</v>
      </c>
      <c r="O1750">
        <f t="shared" si="303"/>
        <v>0</v>
      </c>
      <c r="P1750" t="str">
        <f t="shared" si="304"/>
        <v/>
      </c>
      <c r="Q1750" t="str">
        <f>IF(B1750="","", IFERROR(VLOOKUP(B1750, '基準資産配分（設定）'!$A$2:$C$2001, 3, FALSE), ""))</f>
        <v/>
      </c>
      <c r="R1750" t="str">
        <f>IF(B1750="","", IFERROR(VLOOKUP(B1750, '基準資産配分（設定）'!$A$2:$C$2001, 2, FALSE)/100, 0))</f>
        <v/>
      </c>
      <c r="S1750" t="str">
        <f>IF(B1750="","", IFERROR(SUMIFS(ベンチマークリターン!$C$2:$C$2001, ベンチマークリターン!$A$2:$A$2001, A1750, ベンチマークリターン!$B$2:$B$2001, Q1750) / 100, 0))</f>
        <v/>
      </c>
      <c r="T1750" t="str">
        <f>IF(A1750="","", SUMIFS($H$2:$H$2000, $A$2:$A$2000, A1750))</f>
        <v/>
      </c>
      <c r="U1750" t="str">
        <f t="shared" si="305"/>
        <v/>
      </c>
      <c r="V1750" t="str">
        <f t="shared" si="306"/>
        <v/>
      </c>
      <c r="W1750" t="str">
        <f t="shared" si="307"/>
        <v/>
      </c>
    </row>
    <row r="1751" spans="1:23" x14ac:dyDescent="0.2">
      <c r="A1751" s="4" t="str">
        <f>IF(ポートフォリオ実績!A1752="","", ポートフォリオ実績!A1752)</f>
        <v/>
      </c>
      <c r="B1751" t="str">
        <f>IF(ポートフォリオ実績!B1752="","", ポートフォリオ実績!B1752)</f>
        <v/>
      </c>
      <c r="C1751" s="10" t="str">
        <f>IF(ポートフォリオ実績!C1752="","", ポートフォリオ実績!C1752)</f>
        <v/>
      </c>
      <c r="D1751" s="10" t="str">
        <f>IF(ポートフォリオ実績!D1752="","", ポートフォリオ実績!D1752)</f>
        <v/>
      </c>
      <c r="E1751" s="10" t="str">
        <f>IF(ポートフォリオ実績!E1752="","", ポートフォリオ実績!E1752)</f>
        <v/>
      </c>
      <c r="F1751" s="10" t="str">
        <f>IF(ポートフォリオ実績!F1752="","", ポートフォリオ実績!F1752)</f>
        <v/>
      </c>
      <c r="G1751" t="str">
        <f t="shared" si="297"/>
        <v/>
      </c>
      <c r="H1751">
        <f>IF(B1751&lt;&gt;"", SUMIFS(ポートフォリオ実績!$D$2:$D$2001, ポートフォリオ実績!$B$2:$B$2001, B1751, ポートフォリオ実績!$A$2:$A$2001, G1751), 0)</f>
        <v>0</v>
      </c>
      <c r="I1751">
        <f>IF(B1751&lt;&gt;"", SUMIFS(ポートフォリオ実績!$C$2:$C$2001, ポートフォリオ実績!$B$2:$B$2001, B1751, ポートフォリオ実績!$A$2:$A$2001, G1751), 0)</f>
        <v>0</v>
      </c>
      <c r="J1751">
        <f t="shared" si="298"/>
        <v>0</v>
      </c>
      <c r="K1751">
        <f t="shared" si="299"/>
        <v>0</v>
      </c>
      <c r="L1751">
        <f t="shared" si="300"/>
        <v>0</v>
      </c>
      <c r="M1751">
        <f t="shared" si="301"/>
        <v>0</v>
      </c>
      <c r="N1751">
        <f t="shared" si="302"/>
        <v>0</v>
      </c>
      <c r="O1751">
        <f t="shared" si="303"/>
        <v>0</v>
      </c>
      <c r="P1751" t="str">
        <f t="shared" si="304"/>
        <v/>
      </c>
      <c r="Q1751" t="str">
        <f>IF(B1751="","", IFERROR(VLOOKUP(B1751, '基準資産配分（設定）'!$A$2:$C$2001, 3, FALSE), ""))</f>
        <v/>
      </c>
      <c r="R1751" t="str">
        <f>IF(B1751="","", IFERROR(VLOOKUP(B1751, '基準資産配分（設定）'!$A$2:$C$2001, 2, FALSE)/100, 0))</f>
        <v/>
      </c>
      <c r="S1751" t="str">
        <f>IF(B1751="","", IFERROR(SUMIFS(ベンチマークリターン!$C$2:$C$2001, ベンチマークリターン!$A$2:$A$2001, A1751, ベンチマークリターン!$B$2:$B$2001, Q1751) / 100, 0))</f>
        <v/>
      </c>
      <c r="T1751" t="str">
        <f>IF(A1751="","", SUMIFS($H$2:$H$2000, $A$2:$A$2000, A1751))</f>
        <v/>
      </c>
      <c r="U1751" t="str">
        <f t="shared" si="305"/>
        <v/>
      </c>
      <c r="V1751" t="str">
        <f t="shared" si="306"/>
        <v/>
      </c>
      <c r="W1751" t="str">
        <f t="shared" si="307"/>
        <v/>
      </c>
    </row>
    <row r="1752" spans="1:23" x14ac:dyDescent="0.2">
      <c r="A1752" s="4" t="str">
        <f>IF(ポートフォリオ実績!A1753="","", ポートフォリオ実績!A1753)</f>
        <v/>
      </c>
      <c r="B1752" t="str">
        <f>IF(ポートフォリオ実績!B1753="","", ポートフォリオ実績!B1753)</f>
        <v/>
      </c>
      <c r="C1752" s="10" t="str">
        <f>IF(ポートフォリオ実績!C1753="","", ポートフォリオ実績!C1753)</f>
        <v/>
      </c>
      <c r="D1752" s="10" t="str">
        <f>IF(ポートフォリオ実績!D1753="","", ポートフォリオ実績!D1753)</f>
        <v/>
      </c>
      <c r="E1752" s="10" t="str">
        <f>IF(ポートフォリオ実績!E1753="","", ポートフォリオ実績!E1753)</f>
        <v/>
      </c>
      <c r="F1752" s="10" t="str">
        <f>IF(ポートフォリオ実績!F1753="","", ポートフォリオ実績!F1753)</f>
        <v/>
      </c>
      <c r="G1752" t="str">
        <f t="shared" si="297"/>
        <v/>
      </c>
      <c r="H1752">
        <f>IF(B1752&lt;&gt;"", SUMIFS(ポートフォリオ実績!$D$2:$D$2001, ポートフォリオ実績!$B$2:$B$2001, B1752, ポートフォリオ実績!$A$2:$A$2001, G1752), 0)</f>
        <v>0</v>
      </c>
      <c r="I1752">
        <f>IF(B1752&lt;&gt;"", SUMIFS(ポートフォリオ実績!$C$2:$C$2001, ポートフォリオ実績!$B$2:$B$2001, B1752, ポートフォリオ実績!$A$2:$A$2001, G1752), 0)</f>
        <v>0</v>
      </c>
      <c r="J1752">
        <f t="shared" si="298"/>
        <v>0</v>
      </c>
      <c r="K1752">
        <f t="shared" si="299"/>
        <v>0</v>
      </c>
      <c r="L1752">
        <f t="shared" si="300"/>
        <v>0</v>
      </c>
      <c r="M1752">
        <f t="shared" si="301"/>
        <v>0</v>
      </c>
      <c r="N1752">
        <f t="shared" si="302"/>
        <v>0</v>
      </c>
      <c r="O1752">
        <f t="shared" si="303"/>
        <v>0</v>
      </c>
      <c r="P1752" t="str">
        <f t="shared" si="304"/>
        <v/>
      </c>
      <c r="Q1752" t="str">
        <f>IF(B1752="","", IFERROR(VLOOKUP(B1752, '基準資産配分（設定）'!$A$2:$C$2001, 3, FALSE), ""))</f>
        <v/>
      </c>
      <c r="R1752" t="str">
        <f>IF(B1752="","", IFERROR(VLOOKUP(B1752, '基準資産配分（設定）'!$A$2:$C$2001, 2, FALSE)/100, 0))</f>
        <v/>
      </c>
      <c r="S1752" t="str">
        <f>IF(B1752="","", IFERROR(SUMIFS(ベンチマークリターン!$C$2:$C$2001, ベンチマークリターン!$A$2:$A$2001, A1752, ベンチマークリターン!$B$2:$B$2001, Q1752) / 100, 0))</f>
        <v/>
      </c>
      <c r="T1752" t="str">
        <f>IF(A1752="","", SUMIFS($H$2:$H$2000, $A$2:$A$2000, A1752))</f>
        <v/>
      </c>
      <c r="U1752" t="str">
        <f t="shared" si="305"/>
        <v/>
      </c>
      <c r="V1752" t="str">
        <f t="shared" si="306"/>
        <v/>
      </c>
      <c r="W1752" t="str">
        <f t="shared" si="307"/>
        <v/>
      </c>
    </row>
    <row r="1753" spans="1:23" x14ac:dyDescent="0.2">
      <c r="A1753" s="4" t="str">
        <f>IF(ポートフォリオ実績!A1754="","", ポートフォリオ実績!A1754)</f>
        <v/>
      </c>
      <c r="B1753" t="str">
        <f>IF(ポートフォリオ実績!B1754="","", ポートフォリオ実績!B1754)</f>
        <v/>
      </c>
      <c r="C1753" s="10" t="str">
        <f>IF(ポートフォリオ実績!C1754="","", ポートフォリオ実績!C1754)</f>
        <v/>
      </c>
      <c r="D1753" s="10" t="str">
        <f>IF(ポートフォリオ実績!D1754="","", ポートフォリオ実績!D1754)</f>
        <v/>
      </c>
      <c r="E1753" s="10" t="str">
        <f>IF(ポートフォリオ実績!E1754="","", ポートフォリオ実績!E1754)</f>
        <v/>
      </c>
      <c r="F1753" s="10" t="str">
        <f>IF(ポートフォリオ実績!F1754="","", ポートフォリオ実績!F1754)</f>
        <v/>
      </c>
      <c r="G1753" t="str">
        <f t="shared" si="297"/>
        <v/>
      </c>
      <c r="H1753">
        <f>IF(B1753&lt;&gt;"", SUMIFS(ポートフォリオ実績!$D$2:$D$2001, ポートフォリオ実績!$B$2:$B$2001, B1753, ポートフォリオ実績!$A$2:$A$2001, G1753), 0)</f>
        <v>0</v>
      </c>
      <c r="I1753">
        <f>IF(B1753&lt;&gt;"", SUMIFS(ポートフォリオ実績!$C$2:$C$2001, ポートフォリオ実績!$B$2:$B$2001, B1753, ポートフォリオ実績!$A$2:$A$2001, G1753), 0)</f>
        <v>0</v>
      </c>
      <c r="J1753">
        <f t="shared" si="298"/>
        <v>0</v>
      </c>
      <c r="K1753">
        <f t="shared" si="299"/>
        <v>0</v>
      </c>
      <c r="L1753">
        <f t="shared" si="300"/>
        <v>0</v>
      </c>
      <c r="M1753">
        <f t="shared" si="301"/>
        <v>0</v>
      </c>
      <c r="N1753">
        <f t="shared" si="302"/>
        <v>0</v>
      </c>
      <c r="O1753">
        <f t="shared" si="303"/>
        <v>0</v>
      </c>
      <c r="P1753" t="str">
        <f t="shared" si="304"/>
        <v/>
      </c>
      <c r="Q1753" t="str">
        <f>IF(B1753="","", IFERROR(VLOOKUP(B1753, '基準資産配分（設定）'!$A$2:$C$2001, 3, FALSE), ""))</f>
        <v/>
      </c>
      <c r="R1753" t="str">
        <f>IF(B1753="","", IFERROR(VLOOKUP(B1753, '基準資産配分（設定）'!$A$2:$C$2001, 2, FALSE)/100, 0))</f>
        <v/>
      </c>
      <c r="S1753" t="str">
        <f>IF(B1753="","", IFERROR(SUMIFS(ベンチマークリターン!$C$2:$C$2001, ベンチマークリターン!$A$2:$A$2001, A1753, ベンチマークリターン!$B$2:$B$2001, Q1753) / 100, 0))</f>
        <v/>
      </c>
      <c r="T1753" t="str">
        <f>IF(A1753="","", SUMIFS($H$2:$H$2000, $A$2:$A$2000, A1753))</f>
        <v/>
      </c>
      <c r="U1753" t="str">
        <f t="shared" si="305"/>
        <v/>
      </c>
      <c r="V1753" t="str">
        <f t="shared" si="306"/>
        <v/>
      </c>
      <c r="W1753" t="str">
        <f t="shared" si="307"/>
        <v/>
      </c>
    </row>
    <row r="1754" spans="1:23" x14ac:dyDescent="0.2">
      <c r="A1754" s="4" t="str">
        <f>IF(ポートフォリオ実績!A1755="","", ポートフォリオ実績!A1755)</f>
        <v/>
      </c>
      <c r="B1754" t="str">
        <f>IF(ポートフォリオ実績!B1755="","", ポートフォリオ実績!B1755)</f>
        <v/>
      </c>
      <c r="C1754" s="10" t="str">
        <f>IF(ポートフォリオ実績!C1755="","", ポートフォリオ実績!C1755)</f>
        <v/>
      </c>
      <c r="D1754" s="10" t="str">
        <f>IF(ポートフォリオ実績!D1755="","", ポートフォリオ実績!D1755)</f>
        <v/>
      </c>
      <c r="E1754" s="10" t="str">
        <f>IF(ポートフォリオ実績!E1755="","", ポートフォリオ実績!E1755)</f>
        <v/>
      </c>
      <c r="F1754" s="10" t="str">
        <f>IF(ポートフォリオ実績!F1755="","", ポートフォリオ実績!F1755)</f>
        <v/>
      </c>
      <c r="G1754" t="str">
        <f t="shared" si="297"/>
        <v/>
      </c>
      <c r="H1754">
        <f>IF(B1754&lt;&gt;"", SUMIFS(ポートフォリオ実績!$D$2:$D$2001, ポートフォリオ実績!$B$2:$B$2001, B1754, ポートフォリオ実績!$A$2:$A$2001, G1754), 0)</f>
        <v>0</v>
      </c>
      <c r="I1754">
        <f>IF(B1754&lt;&gt;"", SUMIFS(ポートフォリオ実績!$C$2:$C$2001, ポートフォリオ実績!$B$2:$B$2001, B1754, ポートフォリオ実績!$A$2:$A$2001, G1754), 0)</f>
        <v>0</v>
      </c>
      <c r="J1754">
        <f t="shared" si="298"/>
        <v>0</v>
      </c>
      <c r="K1754">
        <f t="shared" si="299"/>
        <v>0</v>
      </c>
      <c r="L1754">
        <f t="shared" si="300"/>
        <v>0</v>
      </c>
      <c r="M1754">
        <f t="shared" si="301"/>
        <v>0</v>
      </c>
      <c r="N1754">
        <f t="shared" si="302"/>
        <v>0</v>
      </c>
      <c r="O1754">
        <f t="shared" si="303"/>
        <v>0</v>
      </c>
      <c r="P1754" t="str">
        <f t="shared" si="304"/>
        <v/>
      </c>
      <c r="Q1754" t="str">
        <f>IF(B1754="","", IFERROR(VLOOKUP(B1754, '基準資産配分（設定）'!$A$2:$C$2001, 3, FALSE), ""))</f>
        <v/>
      </c>
      <c r="R1754" t="str">
        <f>IF(B1754="","", IFERROR(VLOOKUP(B1754, '基準資産配分（設定）'!$A$2:$C$2001, 2, FALSE)/100, 0))</f>
        <v/>
      </c>
      <c r="S1754" t="str">
        <f>IF(B1754="","", IFERROR(SUMIFS(ベンチマークリターン!$C$2:$C$2001, ベンチマークリターン!$A$2:$A$2001, A1754, ベンチマークリターン!$B$2:$B$2001, Q1754) / 100, 0))</f>
        <v/>
      </c>
      <c r="T1754" t="str">
        <f>IF(A1754="","", SUMIFS($H$2:$H$2000, $A$2:$A$2000, A1754))</f>
        <v/>
      </c>
      <c r="U1754" t="str">
        <f t="shared" si="305"/>
        <v/>
      </c>
      <c r="V1754" t="str">
        <f t="shared" si="306"/>
        <v/>
      </c>
      <c r="W1754" t="str">
        <f t="shared" si="307"/>
        <v/>
      </c>
    </row>
    <row r="1755" spans="1:23" x14ac:dyDescent="0.2">
      <c r="A1755" s="4" t="str">
        <f>IF(ポートフォリオ実績!A1756="","", ポートフォリオ実績!A1756)</f>
        <v/>
      </c>
      <c r="B1755" t="str">
        <f>IF(ポートフォリオ実績!B1756="","", ポートフォリオ実績!B1756)</f>
        <v/>
      </c>
      <c r="C1755" s="10" t="str">
        <f>IF(ポートフォリオ実績!C1756="","", ポートフォリオ実績!C1756)</f>
        <v/>
      </c>
      <c r="D1755" s="10" t="str">
        <f>IF(ポートフォリオ実績!D1756="","", ポートフォリオ実績!D1756)</f>
        <v/>
      </c>
      <c r="E1755" s="10" t="str">
        <f>IF(ポートフォリオ実績!E1756="","", ポートフォリオ実績!E1756)</f>
        <v/>
      </c>
      <c r="F1755" s="10" t="str">
        <f>IF(ポートフォリオ実績!F1756="","", ポートフォリオ実績!F1756)</f>
        <v/>
      </c>
      <c r="G1755" t="str">
        <f t="shared" si="297"/>
        <v/>
      </c>
      <c r="H1755">
        <f>IF(B1755&lt;&gt;"", SUMIFS(ポートフォリオ実績!$D$2:$D$2001, ポートフォリオ実績!$B$2:$B$2001, B1755, ポートフォリオ実績!$A$2:$A$2001, G1755), 0)</f>
        <v>0</v>
      </c>
      <c r="I1755">
        <f>IF(B1755&lt;&gt;"", SUMIFS(ポートフォリオ実績!$C$2:$C$2001, ポートフォリオ実績!$B$2:$B$2001, B1755, ポートフォリオ実績!$A$2:$A$2001, G1755), 0)</f>
        <v>0</v>
      </c>
      <c r="J1755">
        <f t="shared" si="298"/>
        <v>0</v>
      </c>
      <c r="K1755">
        <f t="shared" si="299"/>
        <v>0</v>
      </c>
      <c r="L1755">
        <f t="shared" si="300"/>
        <v>0</v>
      </c>
      <c r="M1755">
        <f t="shared" si="301"/>
        <v>0</v>
      </c>
      <c r="N1755">
        <f t="shared" si="302"/>
        <v>0</v>
      </c>
      <c r="O1755">
        <f t="shared" si="303"/>
        <v>0</v>
      </c>
      <c r="P1755" t="str">
        <f t="shared" si="304"/>
        <v/>
      </c>
      <c r="Q1755" t="str">
        <f>IF(B1755="","", IFERROR(VLOOKUP(B1755, '基準資産配分（設定）'!$A$2:$C$2001, 3, FALSE), ""))</f>
        <v/>
      </c>
      <c r="R1755" t="str">
        <f>IF(B1755="","", IFERROR(VLOOKUP(B1755, '基準資産配分（設定）'!$A$2:$C$2001, 2, FALSE)/100, 0))</f>
        <v/>
      </c>
      <c r="S1755" t="str">
        <f>IF(B1755="","", IFERROR(SUMIFS(ベンチマークリターン!$C$2:$C$2001, ベンチマークリターン!$A$2:$A$2001, A1755, ベンチマークリターン!$B$2:$B$2001, Q1755) / 100, 0))</f>
        <v/>
      </c>
      <c r="T1755" t="str">
        <f>IF(A1755="","", SUMIFS($H$2:$H$2000, $A$2:$A$2000, A1755))</f>
        <v/>
      </c>
      <c r="U1755" t="str">
        <f t="shared" si="305"/>
        <v/>
      </c>
      <c r="V1755" t="str">
        <f t="shared" si="306"/>
        <v/>
      </c>
      <c r="W1755" t="str">
        <f t="shared" si="307"/>
        <v/>
      </c>
    </row>
    <row r="1756" spans="1:23" x14ac:dyDescent="0.2">
      <c r="A1756" s="4" t="str">
        <f>IF(ポートフォリオ実績!A1757="","", ポートフォリオ実績!A1757)</f>
        <v/>
      </c>
      <c r="B1756" t="str">
        <f>IF(ポートフォリオ実績!B1757="","", ポートフォリオ実績!B1757)</f>
        <v/>
      </c>
      <c r="C1756" s="10" t="str">
        <f>IF(ポートフォリオ実績!C1757="","", ポートフォリオ実績!C1757)</f>
        <v/>
      </c>
      <c r="D1756" s="10" t="str">
        <f>IF(ポートフォリオ実績!D1757="","", ポートフォリオ実績!D1757)</f>
        <v/>
      </c>
      <c r="E1756" s="10" t="str">
        <f>IF(ポートフォリオ実績!E1757="","", ポートフォリオ実績!E1757)</f>
        <v/>
      </c>
      <c r="F1756" s="10" t="str">
        <f>IF(ポートフォリオ実績!F1757="","", ポートフォリオ実績!F1757)</f>
        <v/>
      </c>
      <c r="G1756" t="str">
        <f t="shared" si="297"/>
        <v/>
      </c>
      <c r="H1756">
        <f>IF(B1756&lt;&gt;"", SUMIFS(ポートフォリオ実績!$D$2:$D$2001, ポートフォリオ実績!$B$2:$B$2001, B1756, ポートフォリオ実績!$A$2:$A$2001, G1756), 0)</f>
        <v>0</v>
      </c>
      <c r="I1756">
        <f>IF(B1756&lt;&gt;"", SUMIFS(ポートフォリオ実績!$C$2:$C$2001, ポートフォリオ実績!$B$2:$B$2001, B1756, ポートフォリオ実績!$A$2:$A$2001, G1756), 0)</f>
        <v>0</v>
      </c>
      <c r="J1756">
        <f t="shared" si="298"/>
        <v>0</v>
      </c>
      <c r="K1756">
        <f t="shared" si="299"/>
        <v>0</v>
      </c>
      <c r="L1756">
        <f t="shared" si="300"/>
        <v>0</v>
      </c>
      <c r="M1756">
        <f t="shared" si="301"/>
        <v>0</v>
      </c>
      <c r="N1756">
        <f t="shared" si="302"/>
        <v>0</v>
      </c>
      <c r="O1756">
        <f t="shared" si="303"/>
        <v>0</v>
      </c>
      <c r="P1756" t="str">
        <f t="shared" si="304"/>
        <v/>
      </c>
      <c r="Q1756" t="str">
        <f>IF(B1756="","", IFERROR(VLOOKUP(B1756, '基準資産配分（設定）'!$A$2:$C$2001, 3, FALSE), ""))</f>
        <v/>
      </c>
      <c r="R1756" t="str">
        <f>IF(B1756="","", IFERROR(VLOOKUP(B1756, '基準資産配分（設定）'!$A$2:$C$2001, 2, FALSE)/100, 0))</f>
        <v/>
      </c>
      <c r="S1756" t="str">
        <f>IF(B1756="","", IFERROR(SUMIFS(ベンチマークリターン!$C$2:$C$2001, ベンチマークリターン!$A$2:$A$2001, A1756, ベンチマークリターン!$B$2:$B$2001, Q1756) / 100, 0))</f>
        <v/>
      </c>
      <c r="T1756" t="str">
        <f>IF(A1756="","", SUMIFS($H$2:$H$2000, $A$2:$A$2000, A1756))</f>
        <v/>
      </c>
      <c r="U1756" t="str">
        <f t="shared" si="305"/>
        <v/>
      </c>
      <c r="V1756" t="str">
        <f t="shared" si="306"/>
        <v/>
      </c>
      <c r="W1756" t="str">
        <f t="shared" si="307"/>
        <v/>
      </c>
    </row>
    <row r="1757" spans="1:23" x14ac:dyDescent="0.2">
      <c r="A1757" s="4" t="str">
        <f>IF(ポートフォリオ実績!A1758="","", ポートフォリオ実績!A1758)</f>
        <v/>
      </c>
      <c r="B1757" t="str">
        <f>IF(ポートフォリオ実績!B1758="","", ポートフォリオ実績!B1758)</f>
        <v/>
      </c>
      <c r="C1757" s="10" t="str">
        <f>IF(ポートフォリオ実績!C1758="","", ポートフォリオ実績!C1758)</f>
        <v/>
      </c>
      <c r="D1757" s="10" t="str">
        <f>IF(ポートフォリオ実績!D1758="","", ポートフォリオ実績!D1758)</f>
        <v/>
      </c>
      <c r="E1757" s="10" t="str">
        <f>IF(ポートフォリオ実績!E1758="","", ポートフォリオ実績!E1758)</f>
        <v/>
      </c>
      <c r="F1757" s="10" t="str">
        <f>IF(ポートフォリオ実績!F1758="","", ポートフォリオ実績!F1758)</f>
        <v/>
      </c>
      <c r="G1757" t="str">
        <f t="shared" si="297"/>
        <v/>
      </c>
      <c r="H1757">
        <f>IF(B1757&lt;&gt;"", SUMIFS(ポートフォリオ実績!$D$2:$D$2001, ポートフォリオ実績!$B$2:$B$2001, B1757, ポートフォリオ実績!$A$2:$A$2001, G1757), 0)</f>
        <v>0</v>
      </c>
      <c r="I1757">
        <f>IF(B1757&lt;&gt;"", SUMIFS(ポートフォリオ実績!$C$2:$C$2001, ポートフォリオ実績!$B$2:$B$2001, B1757, ポートフォリオ実績!$A$2:$A$2001, G1757), 0)</f>
        <v>0</v>
      </c>
      <c r="J1757">
        <f t="shared" si="298"/>
        <v>0</v>
      </c>
      <c r="K1757">
        <f t="shared" si="299"/>
        <v>0</v>
      </c>
      <c r="L1757">
        <f t="shared" si="300"/>
        <v>0</v>
      </c>
      <c r="M1757">
        <f t="shared" si="301"/>
        <v>0</v>
      </c>
      <c r="N1757">
        <f t="shared" si="302"/>
        <v>0</v>
      </c>
      <c r="O1757">
        <f t="shared" si="303"/>
        <v>0</v>
      </c>
      <c r="P1757" t="str">
        <f t="shared" si="304"/>
        <v/>
      </c>
      <c r="Q1757" t="str">
        <f>IF(B1757="","", IFERROR(VLOOKUP(B1757, '基準資産配分（設定）'!$A$2:$C$2001, 3, FALSE), ""))</f>
        <v/>
      </c>
      <c r="R1757" t="str">
        <f>IF(B1757="","", IFERROR(VLOOKUP(B1757, '基準資産配分（設定）'!$A$2:$C$2001, 2, FALSE)/100, 0))</f>
        <v/>
      </c>
      <c r="S1757" t="str">
        <f>IF(B1757="","", IFERROR(SUMIFS(ベンチマークリターン!$C$2:$C$2001, ベンチマークリターン!$A$2:$A$2001, A1757, ベンチマークリターン!$B$2:$B$2001, Q1757) / 100, 0))</f>
        <v/>
      </c>
      <c r="T1757" t="str">
        <f>IF(A1757="","", SUMIFS($H$2:$H$2000, $A$2:$A$2000, A1757))</f>
        <v/>
      </c>
      <c r="U1757" t="str">
        <f t="shared" si="305"/>
        <v/>
      </c>
      <c r="V1757" t="str">
        <f t="shared" si="306"/>
        <v/>
      </c>
      <c r="W1757" t="str">
        <f t="shared" si="307"/>
        <v/>
      </c>
    </row>
    <row r="1758" spans="1:23" x14ac:dyDescent="0.2">
      <c r="A1758" s="4" t="str">
        <f>IF(ポートフォリオ実績!A1759="","", ポートフォリオ実績!A1759)</f>
        <v/>
      </c>
      <c r="B1758" t="str">
        <f>IF(ポートフォリオ実績!B1759="","", ポートフォリオ実績!B1759)</f>
        <v/>
      </c>
      <c r="C1758" s="10" t="str">
        <f>IF(ポートフォリオ実績!C1759="","", ポートフォリオ実績!C1759)</f>
        <v/>
      </c>
      <c r="D1758" s="10" t="str">
        <f>IF(ポートフォリオ実績!D1759="","", ポートフォリオ実績!D1759)</f>
        <v/>
      </c>
      <c r="E1758" s="10" t="str">
        <f>IF(ポートフォリオ実績!E1759="","", ポートフォリオ実績!E1759)</f>
        <v/>
      </c>
      <c r="F1758" s="10" t="str">
        <f>IF(ポートフォリオ実績!F1759="","", ポートフォリオ実績!F1759)</f>
        <v/>
      </c>
      <c r="G1758" t="str">
        <f t="shared" si="297"/>
        <v/>
      </c>
      <c r="H1758">
        <f>IF(B1758&lt;&gt;"", SUMIFS(ポートフォリオ実績!$D$2:$D$2001, ポートフォリオ実績!$B$2:$B$2001, B1758, ポートフォリオ実績!$A$2:$A$2001, G1758), 0)</f>
        <v>0</v>
      </c>
      <c r="I1758">
        <f>IF(B1758&lt;&gt;"", SUMIFS(ポートフォリオ実績!$C$2:$C$2001, ポートフォリオ実績!$B$2:$B$2001, B1758, ポートフォリオ実績!$A$2:$A$2001, G1758), 0)</f>
        <v>0</v>
      </c>
      <c r="J1758">
        <f t="shared" si="298"/>
        <v>0</v>
      </c>
      <c r="K1758">
        <f t="shared" si="299"/>
        <v>0</v>
      </c>
      <c r="L1758">
        <f t="shared" si="300"/>
        <v>0</v>
      </c>
      <c r="M1758">
        <f t="shared" si="301"/>
        <v>0</v>
      </c>
      <c r="N1758">
        <f t="shared" si="302"/>
        <v>0</v>
      </c>
      <c r="O1758">
        <f t="shared" si="303"/>
        <v>0</v>
      </c>
      <c r="P1758" t="str">
        <f t="shared" si="304"/>
        <v/>
      </c>
      <c r="Q1758" t="str">
        <f>IF(B1758="","", IFERROR(VLOOKUP(B1758, '基準資産配分（設定）'!$A$2:$C$2001, 3, FALSE), ""))</f>
        <v/>
      </c>
      <c r="R1758" t="str">
        <f>IF(B1758="","", IFERROR(VLOOKUP(B1758, '基準資産配分（設定）'!$A$2:$C$2001, 2, FALSE)/100, 0))</f>
        <v/>
      </c>
      <c r="S1758" t="str">
        <f>IF(B1758="","", IFERROR(SUMIFS(ベンチマークリターン!$C$2:$C$2001, ベンチマークリターン!$A$2:$A$2001, A1758, ベンチマークリターン!$B$2:$B$2001, Q1758) / 100, 0))</f>
        <v/>
      </c>
      <c r="T1758" t="str">
        <f>IF(A1758="","", SUMIFS($H$2:$H$2000, $A$2:$A$2000, A1758))</f>
        <v/>
      </c>
      <c r="U1758" t="str">
        <f t="shared" si="305"/>
        <v/>
      </c>
      <c r="V1758" t="str">
        <f t="shared" si="306"/>
        <v/>
      </c>
      <c r="W1758" t="str">
        <f t="shared" si="307"/>
        <v/>
      </c>
    </row>
    <row r="1759" spans="1:23" x14ac:dyDescent="0.2">
      <c r="A1759" s="4" t="str">
        <f>IF(ポートフォリオ実績!A1760="","", ポートフォリオ実績!A1760)</f>
        <v/>
      </c>
      <c r="B1759" t="str">
        <f>IF(ポートフォリオ実績!B1760="","", ポートフォリオ実績!B1760)</f>
        <v/>
      </c>
      <c r="C1759" s="10" t="str">
        <f>IF(ポートフォリオ実績!C1760="","", ポートフォリオ実績!C1760)</f>
        <v/>
      </c>
      <c r="D1759" s="10" t="str">
        <f>IF(ポートフォリオ実績!D1760="","", ポートフォリオ実績!D1760)</f>
        <v/>
      </c>
      <c r="E1759" s="10" t="str">
        <f>IF(ポートフォリオ実績!E1760="","", ポートフォリオ実績!E1760)</f>
        <v/>
      </c>
      <c r="F1759" s="10" t="str">
        <f>IF(ポートフォリオ実績!F1760="","", ポートフォリオ実績!F1760)</f>
        <v/>
      </c>
      <c r="G1759" t="str">
        <f t="shared" si="297"/>
        <v/>
      </c>
      <c r="H1759">
        <f>IF(B1759&lt;&gt;"", SUMIFS(ポートフォリオ実績!$D$2:$D$2001, ポートフォリオ実績!$B$2:$B$2001, B1759, ポートフォリオ実績!$A$2:$A$2001, G1759), 0)</f>
        <v>0</v>
      </c>
      <c r="I1759">
        <f>IF(B1759&lt;&gt;"", SUMIFS(ポートフォリオ実績!$C$2:$C$2001, ポートフォリオ実績!$B$2:$B$2001, B1759, ポートフォリオ実績!$A$2:$A$2001, G1759), 0)</f>
        <v>0</v>
      </c>
      <c r="J1759">
        <f t="shared" si="298"/>
        <v>0</v>
      </c>
      <c r="K1759">
        <f t="shared" si="299"/>
        <v>0</v>
      </c>
      <c r="L1759">
        <f t="shared" si="300"/>
        <v>0</v>
      </c>
      <c r="M1759">
        <f t="shared" si="301"/>
        <v>0</v>
      </c>
      <c r="N1759">
        <f t="shared" si="302"/>
        <v>0</v>
      </c>
      <c r="O1759">
        <f t="shared" si="303"/>
        <v>0</v>
      </c>
      <c r="P1759" t="str">
        <f t="shared" si="304"/>
        <v/>
      </c>
      <c r="Q1759" t="str">
        <f>IF(B1759="","", IFERROR(VLOOKUP(B1759, '基準資産配分（設定）'!$A$2:$C$2001, 3, FALSE), ""))</f>
        <v/>
      </c>
      <c r="R1759" t="str">
        <f>IF(B1759="","", IFERROR(VLOOKUP(B1759, '基準資産配分（設定）'!$A$2:$C$2001, 2, FALSE)/100, 0))</f>
        <v/>
      </c>
      <c r="S1759" t="str">
        <f>IF(B1759="","", IFERROR(SUMIFS(ベンチマークリターン!$C$2:$C$2001, ベンチマークリターン!$A$2:$A$2001, A1759, ベンチマークリターン!$B$2:$B$2001, Q1759) / 100, 0))</f>
        <v/>
      </c>
      <c r="T1759" t="str">
        <f>IF(A1759="","", SUMIFS($H$2:$H$2000, $A$2:$A$2000, A1759))</f>
        <v/>
      </c>
      <c r="U1759" t="str">
        <f t="shared" si="305"/>
        <v/>
      </c>
      <c r="V1759" t="str">
        <f t="shared" si="306"/>
        <v/>
      </c>
      <c r="W1759" t="str">
        <f t="shared" si="307"/>
        <v/>
      </c>
    </row>
    <row r="1760" spans="1:23" x14ac:dyDescent="0.2">
      <c r="A1760" s="4" t="str">
        <f>IF(ポートフォリオ実績!A1761="","", ポートフォリオ実績!A1761)</f>
        <v/>
      </c>
      <c r="B1760" t="str">
        <f>IF(ポートフォリオ実績!B1761="","", ポートフォリオ実績!B1761)</f>
        <v/>
      </c>
      <c r="C1760" s="10" t="str">
        <f>IF(ポートフォリオ実績!C1761="","", ポートフォリオ実績!C1761)</f>
        <v/>
      </c>
      <c r="D1760" s="10" t="str">
        <f>IF(ポートフォリオ実績!D1761="","", ポートフォリオ実績!D1761)</f>
        <v/>
      </c>
      <c r="E1760" s="10" t="str">
        <f>IF(ポートフォリオ実績!E1761="","", ポートフォリオ実績!E1761)</f>
        <v/>
      </c>
      <c r="F1760" s="10" t="str">
        <f>IF(ポートフォリオ実績!F1761="","", ポートフォリオ実績!F1761)</f>
        <v/>
      </c>
      <c r="G1760" t="str">
        <f t="shared" si="297"/>
        <v/>
      </c>
      <c r="H1760">
        <f>IF(B1760&lt;&gt;"", SUMIFS(ポートフォリオ実績!$D$2:$D$2001, ポートフォリオ実績!$B$2:$B$2001, B1760, ポートフォリオ実績!$A$2:$A$2001, G1760), 0)</f>
        <v>0</v>
      </c>
      <c r="I1760">
        <f>IF(B1760&lt;&gt;"", SUMIFS(ポートフォリオ実績!$C$2:$C$2001, ポートフォリオ実績!$B$2:$B$2001, B1760, ポートフォリオ実績!$A$2:$A$2001, G1760), 0)</f>
        <v>0</v>
      </c>
      <c r="J1760">
        <f t="shared" si="298"/>
        <v>0</v>
      </c>
      <c r="K1760">
        <f t="shared" si="299"/>
        <v>0</v>
      </c>
      <c r="L1760">
        <f t="shared" si="300"/>
        <v>0</v>
      </c>
      <c r="M1760">
        <f t="shared" si="301"/>
        <v>0</v>
      </c>
      <c r="N1760">
        <f t="shared" si="302"/>
        <v>0</v>
      </c>
      <c r="O1760">
        <f t="shared" si="303"/>
        <v>0</v>
      </c>
      <c r="P1760" t="str">
        <f t="shared" si="304"/>
        <v/>
      </c>
      <c r="Q1760" t="str">
        <f>IF(B1760="","", IFERROR(VLOOKUP(B1760, '基準資産配分（設定）'!$A$2:$C$2001, 3, FALSE), ""))</f>
        <v/>
      </c>
      <c r="R1760" t="str">
        <f>IF(B1760="","", IFERROR(VLOOKUP(B1760, '基準資産配分（設定）'!$A$2:$C$2001, 2, FALSE)/100, 0))</f>
        <v/>
      </c>
      <c r="S1760" t="str">
        <f>IF(B1760="","", IFERROR(SUMIFS(ベンチマークリターン!$C$2:$C$2001, ベンチマークリターン!$A$2:$A$2001, A1760, ベンチマークリターン!$B$2:$B$2001, Q1760) / 100, 0))</f>
        <v/>
      </c>
      <c r="T1760" t="str">
        <f>IF(A1760="","", SUMIFS($H$2:$H$2000, $A$2:$A$2000, A1760))</f>
        <v/>
      </c>
      <c r="U1760" t="str">
        <f t="shared" si="305"/>
        <v/>
      </c>
      <c r="V1760" t="str">
        <f t="shared" si="306"/>
        <v/>
      </c>
      <c r="W1760" t="str">
        <f t="shared" si="307"/>
        <v/>
      </c>
    </row>
    <row r="1761" spans="1:23" x14ac:dyDescent="0.2">
      <c r="A1761" s="4" t="str">
        <f>IF(ポートフォリオ実績!A1762="","", ポートフォリオ実績!A1762)</f>
        <v/>
      </c>
      <c r="B1761" t="str">
        <f>IF(ポートフォリオ実績!B1762="","", ポートフォリオ実績!B1762)</f>
        <v/>
      </c>
      <c r="C1761" s="10" t="str">
        <f>IF(ポートフォリオ実績!C1762="","", ポートフォリオ実績!C1762)</f>
        <v/>
      </c>
      <c r="D1761" s="10" t="str">
        <f>IF(ポートフォリオ実績!D1762="","", ポートフォリオ実績!D1762)</f>
        <v/>
      </c>
      <c r="E1761" s="10" t="str">
        <f>IF(ポートフォリオ実績!E1762="","", ポートフォリオ実績!E1762)</f>
        <v/>
      </c>
      <c r="F1761" s="10" t="str">
        <f>IF(ポートフォリオ実績!F1762="","", ポートフォリオ実績!F1762)</f>
        <v/>
      </c>
      <c r="G1761" t="str">
        <f t="shared" si="297"/>
        <v/>
      </c>
      <c r="H1761">
        <f>IF(B1761&lt;&gt;"", SUMIFS(ポートフォリオ実績!$D$2:$D$2001, ポートフォリオ実績!$B$2:$B$2001, B1761, ポートフォリオ実績!$A$2:$A$2001, G1761), 0)</f>
        <v>0</v>
      </c>
      <c r="I1761">
        <f>IF(B1761&lt;&gt;"", SUMIFS(ポートフォリオ実績!$C$2:$C$2001, ポートフォリオ実績!$B$2:$B$2001, B1761, ポートフォリオ実績!$A$2:$A$2001, G1761), 0)</f>
        <v>0</v>
      </c>
      <c r="J1761">
        <f t="shared" si="298"/>
        <v>0</v>
      </c>
      <c r="K1761">
        <f t="shared" si="299"/>
        <v>0</v>
      </c>
      <c r="L1761">
        <f t="shared" si="300"/>
        <v>0</v>
      </c>
      <c r="M1761">
        <f t="shared" si="301"/>
        <v>0</v>
      </c>
      <c r="N1761">
        <f t="shared" si="302"/>
        <v>0</v>
      </c>
      <c r="O1761">
        <f t="shared" si="303"/>
        <v>0</v>
      </c>
      <c r="P1761" t="str">
        <f t="shared" si="304"/>
        <v/>
      </c>
      <c r="Q1761" t="str">
        <f>IF(B1761="","", IFERROR(VLOOKUP(B1761, '基準資産配分（設定）'!$A$2:$C$2001, 3, FALSE), ""))</f>
        <v/>
      </c>
      <c r="R1761" t="str">
        <f>IF(B1761="","", IFERROR(VLOOKUP(B1761, '基準資産配分（設定）'!$A$2:$C$2001, 2, FALSE)/100, 0))</f>
        <v/>
      </c>
      <c r="S1761" t="str">
        <f>IF(B1761="","", IFERROR(SUMIFS(ベンチマークリターン!$C$2:$C$2001, ベンチマークリターン!$A$2:$A$2001, A1761, ベンチマークリターン!$B$2:$B$2001, Q1761) / 100, 0))</f>
        <v/>
      </c>
      <c r="T1761" t="str">
        <f>IF(A1761="","", SUMIFS($H$2:$H$2000, $A$2:$A$2000, A1761))</f>
        <v/>
      </c>
      <c r="U1761" t="str">
        <f t="shared" si="305"/>
        <v/>
      </c>
      <c r="V1761" t="str">
        <f t="shared" si="306"/>
        <v/>
      </c>
      <c r="W1761" t="str">
        <f t="shared" si="307"/>
        <v/>
      </c>
    </row>
    <row r="1762" spans="1:23" x14ac:dyDescent="0.2">
      <c r="A1762" s="4" t="str">
        <f>IF(ポートフォリオ実績!A1763="","", ポートフォリオ実績!A1763)</f>
        <v/>
      </c>
      <c r="B1762" t="str">
        <f>IF(ポートフォリオ実績!B1763="","", ポートフォリオ実績!B1763)</f>
        <v/>
      </c>
      <c r="C1762" s="10" t="str">
        <f>IF(ポートフォリオ実績!C1763="","", ポートフォリオ実績!C1763)</f>
        <v/>
      </c>
      <c r="D1762" s="10" t="str">
        <f>IF(ポートフォリオ実績!D1763="","", ポートフォリオ実績!D1763)</f>
        <v/>
      </c>
      <c r="E1762" s="10" t="str">
        <f>IF(ポートフォリオ実績!E1763="","", ポートフォリオ実績!E1763)</f>
        <v/>
      </c>
      <c r="F1762" s="10" t="str">
        <f>IF(ポートフォリオ実績!F1763="","", ポートフォリオ実績!F1763)</f>
        <v/>
      </c>
      <c r="G1762" t="str">
        <f t="shared" si="297"/>
        <v/>
      </c>
      <c r="H1762">
        <f>IF(B1762&lt;&gt;"", SUMIFS(ポートフォリオ実績!$D$2:$D$2001, ポートフォリオ実績!$B$2:$B$2001, B1762, ポートフォリオ実績!$A$2:$A$2001, G1762), 0)</f>
        <v>0</v>
      </c>
      <c r="I1762">
        <f>IF(B1762&lt;&gt;"", SUMIFS(ポートフォリオ実績!$C$2:$C$2001, ポートフォリオ実績!$B$2:$B$2001, B1762, ポートフォリオ実績!$A$2:$A$2001, G1762), 0)</f>
        <v>0</v>
      </c>
      <c r="J1762">
        <f t="shared" si="298"/>
        <v>0</v>
      </c>
      <c r="K1762">
        <f t="shared" si="299"/>
        <v>0</v>
      </c>
      <c r="L1762">
        <f t="shared" si="300"/>
        <v>0</v>
      </c>
      <c r="M1762">
        <f t="shared" si="301"/>
        <v>0</v>
      </c>
      <c r="N1762">
        <f t="shared" si="302"/>
        <v>0</v>
      </c>
      <c r="O1762">
        <f t="shared" si="303"/>
        <v>0</v>
      </c>
      <c r="P1762" t="str">
        <f t="shared" si="304"/>
        <v/>
      </c>
      <c r="Q1762" t="str">
        <f>IF(B1762="","", IFERROR(VLOOKUP(B1762, '基準資産配分（設定）'!$A$2:$C$2001, 3, FALSE), ""))</f>
        <v/>
      </c>
      <c r="R1762" t="str">
        <f>IF(B1762="","", IFERROR(VLOOKUP(B1762, '基準資産配分（設定）'!$A$2:$C$2001, 2, FALSE)/100, 0))</f>
        <v/>
      </c>
      <c r="S1762" t="str">
        <f>IF(B1762="","", IFERROR(SUMIFS(ベンチマークリターン!$C$2:$C$2001, ベンチマークリターン!$A$2:$A$2001, A1762, ベンチマークリターン!$B$2:$B$2001, Q1762) / 100, 0))</f>
        <v/>
      </c>
      <c r="T1762" t="str">
        <f>IF(A1762="","", SUMIFS($H$2:$H$2000, $A$2:$A$2000, A1762))</f>
        <v/>
      </c>
      <c r="U1762" t="str">
        <f t="shared" si="305"/>
        <v/>
      </c>
      <c r="V1762" t="str">
        <f t="shared" si="306"/>
        <v/>
      </c>
      <c r="W1762" t="str">
        <f t="shared" si="307"/>
        <v/>
      </c>
    </row>
    <row r="1763" spans="1:23" x14ac:dyDescent="0.2">
      <c r="A1763" s="4" t="str">
        <f>IF(ポートフォリオ実績!A1764="","", ポートフォリオ実績!A1764)</f>
        <v/>
      </c>
      <c r="B1763" t="str">
        <f>IF(ポートフォリオ実績!B1764="","", ポートフォリオ実績!B1764)</f>
        <v/>
      </c>
      <c r="C1763" s="10" t="str">
        <f>IF(ポートフォリオ実績!C1764="","", ポートフォリオ実績!C1764)</f>
        <v/>
      </c>
      <c r="D1763" s="10" t="str">
        <f>IF(ポートフォリオ実績!D1764="","", ポートフォリオ実績!D1764)</f>
        <v/>
      </c>
      <c r="E1763" s="10" t="str">
        <f>IF(ポートフォリオ実績!E1764="","", ポートフォリオ実績!E1764)</f>
        <v/>
      </c>
      <c r="F1763" s="10" t="str">
        <f>IF(ポートフォリオ実績!F1764="","", ポートフォリオ実績!F1764)</f>
        <v/>
      </c>
      <c r="G1763" t="str">
        <f t="shared" si="297"/>
        <v/>
      </c>
      <c r="H1763">
        <f>IF(B1763&lt;&gt;"", SUMIFS(ポートフォリオ実績!$D$2:$D$2001, ポートフォリオ実績!$B$2:$B$2001, B1763, ポートフォリオ実績!$A$2:$A$2001, G1763), 0)</f>
        <v>0</v>
      </c>
      <c r="I1763">
        <f>IF(B1763&lt;&gt;"", SUMIFS(ポートフォリオ実績!$C$2:$C$2001, ポートフォリオ実績!$B$2:$B$2001, B1763, ポートフォリオ実績!$A$2:$A$2001, G1763), 0)</f>
        <v>0</v>
      </c>
      <c r="J1763">
        <f t="shared" si="298"/>
        <v>0</v>
      </c>
      <c r="K1763">
        <f t="shared" si="299"/>
        <v>0</v>
      </c>
      <c r="L1763">
        <f t="shared" si="300"/>
        <v>0</v>
      </c>
      <c r="M1763">
        <f t="shared" si="301"/>
        <v>0</v>
      </c>
      <c r="N1763">
        <f t="shared" si="302"/>
        <v>0</v>
      </c>
      <c r="O1763">
        <f t="shared" si="303"/>
        <v>0</v>
      </c>
      <c r="P1763" t="str">
        <f t="shared" si="304"/>
        <v/>
      </c>
      <c r="Q1763" t="str">
        <f>IF(B1763="","", IFERROR(VLOOKUP(B1763, '基準資産配分（設定）'!$A$2:$C$2001, 3, FALSE), ""))</f>
        <v/>
      </c>
      <c r="R1763" t="str">
        <f>IF(B1763="","", IFERROR(VLOOKUP(B1763, '基準資産配分（設定）'!$A$2:$C$2001, 2, FALSE)/100, 0))</f>
        <v/>
      </c>
      <c r="S1763" t="str">
        <f>IF(B1763="","", IFERROR(SUMIFS(ベンチマークリターン!$C$2:$C$2001, ベンチマークリターン!$A$2:$A$2001, A1763, ベンチマークリターン!$B$2:$B$2001, Q1763) / 100, 0))</f>
        <v/>
      </c>
      <c r="T1763" t="str">
        <f>IF(A1763="","", SUMIFS($H$2:$H$2000, $A$2:$A$2000, A1763))</f>
        <v/>
      </c>
      <c r="U1763" t="str">
        <f t="shared" si="305"/>
        <v/>
      </c>
      <c r="V1763" t="str">
        <f t="shared" si="306"/>
        <v/>
      </c>
      <c r="W1763" t="str">
        <f t="shared" si="307"/>
        <v/>
      </c>
    </row>
    <row r="1764" spans="1:23" x14ac:dyDescent="0.2">
      <c r="A1764" s="4" t="str">
        <f>IF(ポートフォリオ実績!A1765="","", ポートフォリオ実績!A1765)</f>
        <v/>
      </c>
      <c r="B1764" t="str">
        <f>IF(ポートフォリオ実績!B1765="","", ポートフォリオ実績!B1765)</f>
        <v/>
      </c>
      <c r="C1764" s="10" t="str">
        <f>IF(ポートフォリオ実績!C1765="","", ポートフォリオ実績!C1765)</f>
        <v/>
      </c>
      <c r="D1764" s="10" t="str">
        <f>IF(ポートフォリオ実績!D1765="","", ポートフォリオ実績!D1765)</f>
        <v/>
      </c>
      <c r="E1764" s="10" t="str">
        <f>IF(ポートフォリオ実績!E1765="","", ポートフォリオ実績!E1765)</f>
        <v/>
      </c>
      <c r="F1764" s="10" t="str">
        <f>IF(ポートフォリオ実績!F1765="","", ポートフォリオ実績!F1765)</f>
        <v/>
      </c>
      <c r="G1764" t="str">
        <f t="shared" si="297"/>
        <v/>
      </c>
      <c r="H1764">
        <f>IF(B1764&lt;&gt;"", SUMIFS(ポートフォリオ実績!$D$2:$D$2001, ポートフォリオ実績!$B$2:$B$2001, B1764, ポートフォリオ実績!$A$2:$A$2001, G1764), 0)</f>
        <v>0</v>
      </c>
      <c r="I1764">
        <f>IF(B1764&lt;&gt;"", SUMIFS(ポートフォリオ実績!$C$2:$C$2001, ポートフォリオ実績!$B$2:$B$2001, B1764, ポートフォリオ実績!$A$2:$A$2001, G1764), 0)</f>
        <v>0</v>
      </c>
      <c r="J1764">
        <f t="shared" si="298"/>
        <v>0</v>
      </c>
      <c r="K1764">
        <f t="shared" si="299"/>
        <v>0</v>
      </c>
      <c r="L1764">
        <f t="shared" si="300"/>
        <v>0</v>
      </c>
      <c r="M1764">
        <f t="shared" si="301"/>
        <v>0</v>
      </c>
      <c r="N1764">
        <f t="shared" si="302"/>
        <v>0</v>
      </c>
      <c r="O1764">
        <f t="shared" si="303"/>
        <v>0</v>
      </c>
      <c r="P1764" t="str">
        <f t="shared" si="304"/>
        <v/>
      </c>
      <c r="Q1764" t="str">
        <f>IF(B1764="","", IFERROR(VLOOKUP(B1764, '基準資産配分（設定）'!$A$2:$C$2001, 3, FALSE), ""))</f>
        <v/>
      </c>
      <c r="R1764" t="str">
        <f>IF(B1764="","", IFERROR(VLOOKUP(B1764, '基準資産配分（設定）'!$A$2:$C$2001, 2, FALSE)/100, 0))</f>
        <v/>
      </c>
      <c r="S1764" t="str">
        <f>IF(B1764="","", IFERROR(SUMIFS(ベンチマークリターン!$C$2:$C$2001, ベンチマークリターン!$A$2:$A$2001, A1764, ベンチマークリターン!$B$2:$B$2001, Q1764) / 100, 0))</f>
        <v/>
      </c>
      <c r="T1764" t="str">
        <f>IF(A1764="","", SUMIFS($H$2:$H$2000, $A$2:$A$2000, A1764))</f>
        <v/>
      </c>
      <c r="U1764" t="str">
        <f t="shared" si="305"/>
        <v/>
      </c>
      <c r="V1764" t="str">
        <f t="shared" si="306"/>
        <v/>
      </c>
      <c r="W1764" t="str">
        <f t="shared" si="307"/>
        <v/>
      </c>
    </row>
    <row r="1765" spans="1:23" x14ac:dyDescent="0.2">
      <c r="A1765" s="4" t="str">
        <f>IF(ポートフォリオ実績!A1766="","", ポートフォリオ実績!A1766)</f>
        <v/>
      </c>
      <c r="B1765" t="str">
        <f>IF(ポートフォリオ実績!B1766="","", ポートフォリオ実績!B1766)</f>
        <v/>
      </c>
      <c r="C1765" s="10" t="str">
        <f>IF(ポートフォリオ実績!C1766="","", ポートフォリオ実績!C1766)</f>
        <v/>
      </c>
      <c r="D1765" s="10" t="str">
        <f>IF(ポートフォリオ実績!D1766="","", ポートフォリオ実績!D1766)</f>
        <v/>
      </c>
      <c r="E1765" s="10" t="str">
        <f>IF(ポートフォリオ実績!E1766="","", ポートフォリオ実績!E1766)</f>
        <v/>
      </c>
      <c r="F1765" s="10" t="str">
        <f>IF(ポートフォリオ実績!F1766="","", ポートフォリオ実績!F1766)</f>
        <v/>
      </c>
      <c r="G1765" t="str">
        <f t="shared" si="297"/>
        <v/>
      </c>
      <c r="H1765">
        <f>IF(B1765&lt;&gt;"", SUMIFS(ポートフォリオ実績!$D$2:$D$2001, ポートフォリオ実績!$B$2:$B$2001, B1765, ポートフォリオ実績!$A$2:$A$2001, G1765), 0)</f>
        <v>0</v>
      </c>
      <c r="I1765">
        <f>IF(B1765&lt;&gt;"", SUMIFS(ポートフォリオ実績!$C$2:$C$2001, ポートフォリオ実績!$B$2:$B$2001, B1765, ポートフォリオ実績!$A$2:$A$2001, G1765), 0)</f>
        <v>0</v>
      </c>
      <c r="J1765">
        <f t="shared" si="298"/>
        <v>0</v>
      </c>
      <c r="K1765">
        <f t="shared" si="299"/>
        <v>0</v>
      </c>
      <c r="L1765">
        <f t="shared" si="300"/>
        <v>0</v>
      </c>
      <c r="M1765">
        <f t="shared" si="301"/>
        <v>0</v>
      </c>
      <c r="N1765">
        <f t="shared" si="302"/>
        <v>0</v>
      </c>
      <c r="O1765">
        <f t="shared" si="303"/>
        <v>0</v>
      </c>
      <c r="P1765" t="str">
        <f t="shared" si="304"/>
        <v/>
      </c>
      <c r="Q1765" t="str">
        <f>IF(B1765="","", IFERROR(VLOOKUP(B1765, '基準資産配分（設定）'!$A$2:$C$2001, 3, FALSE), ""))</f>
        <v/>
      </c>
      <c r="R1765" t="str">
        <f>IF(B1765="","", IFERROR(VLOOKUP(B1765, '基準資産配分（設定）'!$A$2:$C$2001, 2, FALSE)/100, 0))</f>
        <v/>
      </c>
      <c r="S1765" t="str">
        <f>IF(B1765="","", IFERROR(SUMIFS(ベンチマークリターン!$C$2:$C$2001, ベンチマークリターン!$A$2:$A$2001, A1765, ベンチマークリターン!$B$2:$B$2001, Q1765) / 100, 0))</f>
        <v/>
      </c>
      <c r="T1765" t="str">
        <f>IF(A1765="","", SUMIFS($H$2:$H$2000, $A$2:$A$2000, A1765))</f>
        <v/>
      </c>
      <c r="U1765" t="str">
        <f t="shared" si="305"/>
        <v/>
      </c>
      <c r="V1765" t="str">
        <f t="shared" si="306"/>
        <v/>
      </c>
      <c r="W1765" t="str">
        <f t="shared" si="307"/>
        <v/>
      </c>
    </row>
    <row r="1766" spans="1:23" x14ac:dyDescent="0.2">
      <c r="A1766" s="4" t="str">
        <f>IF(ポートフォリオ実績!A1767="","", ポートフォリオ実績!A1767)</f>
        <v/>
      </c>
      <c r="B1766" t="str">
        <f>IF(ポートフォリオ実績!B1767="","", ポートフォリオ実績!B1767)</f>
        <v/>
      </c>
      <c r="C1766" s="10" t="str">
        <f>IF(ポートフォリオ実績!C1767="","", ポートフォリオ実績!C1767)</f>
        <v/>
      </c>
      <c r="D1766" s="10" t="str">
        <f>IF(ポートフォリオ実績!D1767="","", ポートフォリオ実績!D1767)</f>
        <v/>
      </c>
      <c r="E1766" s="10" t="str">
        <f>IF(ポートフォリオ実績!E1767="","", ポートフォリオ実績!E1767)</f>
        <v/>
      </c>
      <c r="F1766" s="10" t="str">
        <f>IF(ポートフォリオ実績!F1767="","", ポートフォリオ実績!F1767)</f>
        <v/>
      </c>
      <c r="G1766" t="str">
        <f t="shared" si="297"/>
        <v/>
      </c>
      <c r="H1766">
        <f>IF(B1766&lt;&gt;"", SUMIFS(ポートフォリオ実績!$D$2:$D$2001, ポートフォリオ実績!$B$2:$B$2001, B1766, ポートフォリオ実績!$A$2:$A$2001, G1766), 0)</f>
        <v>0</v>
      </c>
      <c r="I1766">
        <f>IF(B1766&lt;&gt;"", SUMIFS(ポートフォリオ実績!$C$2:$C$2001, ポートフォリオ実績!$B$2:$B$2001, B1766, ポートフォリオ実績!$A$2:$A$2001, G1766), 0)</f>
        <v>0</v>
      </c>
      <c r="J1766">
        <f t="shared" si="298"/>
        <v>0</v>
      </c>
      <c r="K1766">
        <f t="shared" si="299"/>
        <v>0</v>
      </c>
      <c r="L1766">
        <f t="shared" si="300"/>
        <v>0</v>
      </c>
      <c r="M1766">
        <f t="shared" si="301"/>
        <v>0</v>
      </c>
      <c r="N1766">
        <f t="shared" si="302"/>
        <v>0</v>
      </c>
      <c r="O1766">
        <f t="shared" si="303"/>
        <v>0</v>
      </c>
      <c r="P1766" t="str">
        <f t="shared" si="304"/>
        <v/>
      </c>
      <c r="Q1766" t="str">
        <f>IF(B1766="","", IFERROR(VLOOKUP(B1766, '基準資産配分（設定）'!$A$2:$C$2001, 3, FALSE), ""))</f>
        <v/>
      </c>
      <c r="R1766" t="str">
        <f>IF(B1766="","", IFERROR(VLOOKUP(B1766, '基準資産配分（設定）'!$A$2:$C$2001, 2, FALSE)/100, 0))</f>
        <v/>
      </c>
      <c r="S1766" t="str">
        <f>IF(B1766="","", IFERROR(SUMIFS(ベンチマークリターン!$C$2:$C$2001, ベンチマークリターン!$A$2:$A$2001, A1766, ベンチマークリターン!$B$2:$B$2001, Q1766) / 100, 0))</f>
        <v/>
      </c>
      <c r="T1766" t="str">
        <f>IF(A1766="","", SUMIFS($H$2:$H$2000, $A$2:$A$2000, A1766))</f>
        <v/>
      </c>
      <c r="U1766" t="str">
        <f t="shared" si="305"/>
        <v/>
      </c>
      <c r="V1766" t="str">
        <f t="shared" si="306"/>
        <v/>
      </c>
      <c r="W1766" t="str">
        <f t="shared" si="307"/>
        <v/>
      </c>
    </row>
    <row r="1767" spans="1:23" x14ac:dyDescent="0.2">
      <c r="A1767" s="4" t="str">
        <f>IF(ポートフォリオ実績!A1768="","", ポートフォリオ実績!A1768)</f>
        <v/>
      </c>
      <c r="B1767" t="str">
        <f>IF(ポートフォリオ実績!B1768="","", ポートフォリオ実績!B1768)</f>
        <v/>
      </c>
      <c r="C1767" s="10" t="str">
        <f>IF(ポートフォリオ実績!C1768="","", ポートフォリオ実績!C1768)</f>
        <v/>
      </c>
      <c r="D1767" s="10" t="str">
        <f>IF(ポートフォリオ実績!D1768="","", ポートフォリオ実績!D1768)</f>
        <v/>
      </c>
      <c r="E1767" s="10" t="str">
        <f>IF(ポートフォリオ実績!E1768="","", ポートフォリオ実績!E1768)</f>
        <v/>
      </c>
      <c r="F1767" s="10" t="str">
        <f>IF(ポートフォリオ実績!F1768="","", ポートフォリオ実績!F1768)</f>
        <v/>
      </c>
      <c r="G1767" t="str">
        <f t="shared" si="297"/>
        <v/>
      </c>
      <c r="H1767">
        <f>IF(B1767&lt;&gt;"", SUMIFS(ポートフォリオ実績!$D$2:$D$2001, ポートフォリオ実績!$B$2:$B$2001, B1767, ポートフォリオ実績!$A$2:$A$2001, G1767), 0)</f>
        <v>0</v>
      </c>
      <c r="I1767">
        <f>IF(B1767&lt;&gt;"", SUMIFS(ポートフォリオ実績!$C$2:$C$2001, ポートフォリオ実績!$B$2:$B$2001, B1767, ポートフォリオ実績!$A$2:$A$2001, G1767), 0)</f>
        <v>0</v>
      </c>
      <c r="J1767">
        <f t="shared" si="298"/>
        <v>0</v>
      </c>
      <c r="K1767">
        <f t="shared" si="299"/>
        <v>0</v>
      </c>
      <c r="L1767">
        <f t="shared" si="300"/>
        <v>0</v>
      </c>
      <c r="M1767">
        <f t="shared" si="301"/>
        <v>0</v>
      </c>
      <c r="N1767">
        <f t="shared" si="302"/>
        <v>0</v>
      </c>
      <c r="O1767">
        <f t="shared" si="303"/>
        <v>0</v>
      </c>
      <c r="P1767" t="str">
        <f t="shared" si="304"/>
        <v/>
      </c>
      <c r="Q1767" t="str">
        <f>IF(B1767="","", IFERROR(VLOOKUP(B1767, '基準資産配分（設定）'!$A$2:$C$2001, 3, FALSE), ""))</f>
        <v/>
      </c>
      <c r="R1767" t="str">
        <f>IF(B1767="","", IFERROR(VLOOKUP(B1767, '基準資産配分（設定）'!$A$2:$C$2001, 2, FALSE)/100, 0))</f>
        <v/>
      </c>
      <c r="S1767" t="str">
        <f>IF(B1767="","", IFERROR(SUMIFS(ベンチマークリターン!$C$2:$C$2001, ベンチマークリターン!$A$2:$A$2001, A1767, ベンチマークリターン!$B$2:$B$2001, Q1767) / 100, 0))</f>
        <v/>
      </c>
      <c r="T1767" t="str">
        <f>IF(A1767="","", SUMIFS($H$2:$H$2000, $A$2:$A$2000, A1767))</f>
        <v/>
      </c>
      <c r="U1767" t="str">
        <f t="shared" si="305"/>
        <v/>
      </c>
      <c r="V1767" t="str">
        <f t="shared" si="306"/>
        <v/>
      </c>
      <c r="W1767" t="str">
        <f t="shared" si="307"/>
        <v/>
      </c>
    </row>
    <row r="1768" spans="1:23" x14ac:dyDescent="0.2">
      <c r="A1768" s="4" t="str">
        <f>IF(ポートフォリオ実績!A1769="","", ポートフォリオ実績!A1769)</f>
        <v/>
      </c>
      <c r="B1768" t="str">
        <f>IF(ポートフォリオ実績!B1769="","", ポートフォリオ実績!B1769)</f>
        <v/>
      </c>
      <c r="C1768" s="10" t="str">
        <f>IF(ポートフォリオ実績!C1769="","", ポートフォリオ実績!C1769)</f>
        <v/>
      </c>
      <c r="D1768" s="10" t="str">
        <f>IF(ポートフォリオ実績!D1769="","", ポートフォリオ実績!D1769)</f>
        <v/>
      </c>
      <c r="E1768" s="10" t="str">
        <f>IF(ポートフォリオ実績!E1769="","", ポートフォリオ実績!E1769)</f>
        <v/>
      </c>
      <c r="F1768" s="10" t="str">
        <f>IF(ポートフォリオ実績!F1769="","", ポートフォリオ実績!F1769)</f>
        <v/>
      </c>
      <c r="G1768" t="str">
        <f t="shared" si="297"/>
        <v/>
      </c>
      <c r="H1768">
        <f>IF(B1768&lt;&gt;"", SUMIFS(ポートフォリオ実績!$D$2:$D$2001, ポートフォリオ実績!$B$2:$B$2001, B1768, ポートフォリオ実績!$A$2:$A$2001, G1768), 0)</f>
        <v>0</v>
      </c>
      <c r="I1768">
        <f>IF(B1768&lt;&gt;"", SUMIFS(ポートフォリオ実績!$C$2:$C$2001, ポートフォリオ実績!$B$2:$B$2001, B1768, ポートフォリオ実績!$A$2:$A$2001, G1768), 0)</f>
        <v>0</v>
      </c>
      <c r="J1768">
        <f t="shared" si="298"/>
        <v>0</v>
      </c>
      <c r="K1768">
        <f t="shared" si="299"/>
        <v>0</v>
      </c>
      <c r="L1768">
        <f t="shared" si="300"/>
        <v>0</v>
      </c>
      <c r="M1768">
        <f t="shared" si="301"/>
        <v>0</v>
      </c>
      <c r="N1768">
        <f t="shared" si="302"/>
        <v>0</v>
      </c>
      <c r="O1768">
        <f t="shared" si="303"/>
        <v>0</v>
      </c>
      <c r="P1768" t="str">
        <f t="shared" si="304"/>
        <v/>
      </c>
      <c r="Q1768" t="str">
        <f>IF(B1768="","", IFERROR(VLOOKUP(B1768, '基準資産配分（設定）'!$A$2:$C$2001, 3, FALSE), ""))</f>
        <v/>
      </c>
      <c r="R1768" t="str">
        <f>IF(B1768="","", IFERROR(VLOOKUP(B1768, '基準資産配分（設定）'!$A$2:$C$2001, 2, FALSE)/100, 0))</f>
        <v/>
      </c>
      <c r="S1768" t="str">
        <f>IF(B1768="","", IFERROR(SUMIFS(ベンチマークリターン!$C$2:$C$2001, ベンチマークリターン!$A$2:$A$2001, A1768, ベンチマークリターン!$B$2:$B$2001, Q1768) / 100, 0))</f>
        <v/>
      </c>
      <c r="T1768" t="str">
        <f>IF(A1768="","", SUMIFS($H$2:$H$2000, $A$2:$A$2000, A1768))</f>
        <v/>
      </c>
      <c r="U1768" t="str">
        <f t="shared" si="305"/>
        <v/>
      </c>
      <c r="V1768" t="str">
        <f t="shared" si="306"/>
        <v/>
      </c>
      <c r="W1768" t="str">
        <f t="shared" si="307"/>
        <v/>
      </c>
    </row>
    <row r="1769" spans="1:23" x14ac:dyDescent="0.2">
      <c r="A1769" s="4" t="str">
        <f>IF(ポートフォリオ実績!A1770="","", ポートフォリオ実績!A1770)</f>
        <v/>
      </c>
      <c r="B1769" t="str">
        <f>IF(ポートフォリオ実績!B1770="","", ポートフォリオ実績!B1770)</f>
        <v/>
      </c>
      <c r="C1769" s="10" t="str">
        <f>IF(ポートフォリオ実績!C1770="","", ポートフォリオ実績!C1770)</f>
        <v/>
      </c>
      <c r="D1769" s="10" t="str">
        <f>IF(ポートフォリオ実績!D1770="","", ポートフォリオ実績!D1770)</f>
        <v/>
      </c>
      <c r="E1769" s="10" t="str">
        <f>IF(ポートフォリオ実績!E1770="","", ポートフォリオ実績!E1770)</f>
        <v/>
      </c>
      <c r="F1769" s="10" t="str">
        <f>IF(ポートフォリオ実績!F1770="","", ポートフォリオ実績!F1770)</f>
        <v/>
      </c>
      <c r="G1769" t="str">
        <f t="shared" si="297"/>
        <v/>
      </c>
      <c r="H1769">
        <f>IF(B1769&lt;&gt;"", SUMIFS(ポートフォリオ実績!$D$2:$D$2001, ポートフォリオ実績!$B$2:$B$2001, B1769, ポートフォリオ実績!$A$2:$A$2001, G1769), 0)</f>
        <v>0</v>
      </c>
      <c r="I1769">
        <f>IF(B1769&lt;&gt;"", SUMIFS(ポートフォリオ実績!$C$2:$C$2001, ポートフォリオ実績!$B$2:$B$2001, B1769, ポートフォリオ実績!$A$2:$A$2001, G1769), 0)</f>
        <v>0</v>
      </c>
      <c r="J1769">
        <f t="shared" si="298"/>
        <v>0</v>
      </c>
      <c r="K1769">
        <f t="shared" si="299"/>
        <v>0</v>
      </c>
      <c r="L1769">
        <f t="shared" si="300"/>
        <v>0</v>
      </c>
      <c r="M1769">
        <f t="shared" si="301"/>
        <v>0</v>
      </c>
      <c r="N1769">
        <f t="shared" si="302"/>
        <v>0</v>
      </c>
      <c r="O1769">
        <f t="shared" si="303"/>
        <v>0</v>
      </c>
      <c r="P1769" t="str">
        <f t="shared" si="304"/>
        <v/>
      </c>
      <c r="Q1769" t="str">
        <f>IF(B1769="","", IFERROR(VLOOKUP(B1769, '基準資産配分（設定）'!$A$2:$C$2001, 3, FALSE), ""))</f>
        <v/>
      </c>
      <c r="R1769" t="str">
        <f>IF(B1769="","", IFERROR(VLOOKUP(B1769, '基準資産配分（設定）'!$A$2:$C$2001, 2, FALSE)/100, 0))</f>
        <v/>
      </c>
      <c r="S1769" t="str">
        <f>IF(B1769="","", IFERROR(SUMIFS(ベンチマークリターン!$C$2:$C$2001, ベンチマークリターン!$A$2:$A$2001, A1769, ベンチマークリターン!$B$2:$B$2001, Q1769) / 100, 0))</f>
        <v/>
      </c>
      <c r="T1769" t="str">
        <f>IF(A1769="","", SUMIFS($H$2:$H$2000, $A$2:$A$2000, A1769))</f>
        <v/>
      </c>
      <c r="U1769" t="str">
        <f t="shared" si="305"/>
        <v/>
      </c>
      <c r="V1769" t="str">
        <f t="shared" si="306"/>
        <v/>
      </c>
      <c r="W1769" t="str">
        <f t="shared" si="307"/>
        <v/>
      </c>
    </row>
    <row r="1770" spans="1:23" x14ac:dyDescent="0.2">
      <c r="A1770" s="4" t="str">
        <f>IF(ポートフォリオ実績!A1771="","", ポートフォリオ実績!A1771)</f>
        <v/>
      </c>
      <c r="B1770" t="str">
        <f>IF(ポートフォリオ実績!B1771="","", ポートフォリオ実績!B1771)</f>
        <v/>
      </c>
      <c r="C1770" s="10" t="str">
        <f>IF(ポートフォリオ実績!C1771="","", ポートフォリオ実績!C1771)</f>
        <v/>
      </c>
      <c r="D1770" s="10" t="str">
        <f>IF(ポートフォリオ実績!D1771="","", ポートフォリオ実績!D1771)</f>
        <v/>
      </c>
      <c r="E1770" s="10" t="str">
        <f>IF(ポートフォリオ実績!E1771="","", ポートフォリオ実績!E1771)</f>
        <v/>
      </c>
      <c r="F1770" s="10" t="str">
        <f>IF(ポートフォリオ実績!F1771="","", ポートフォリオ実績!F1771)</f>
        <v/>
      </c>
      <c r="G1770" t="str">
        <f t="shared" si="297"/>
        <v/>
      </c>
      <c r="H1770">
        <f>IF(B1770&lt;&gt;"", SUMIFS(ポートフォリオ実績!$D$2:$D$2001, ポートフォリオ実績!$B$2:$B$2001, B1770, ポートフォリオ実績!$A$2:$A$2001, G1770), 0)</f>
        <v>0</v>
      </c>
      <c r="I1770">
        <f>IF(B1770&lt;&gt;"", SUMIFS(ポートフォリオ実績!$C$2:$C$2001, ポートフォリオ実績!$B$2:$B$2001, B1770, ポートフォリオ実績!$A$2:$A$2001, G1770), 0)</f>
        <v>0</v>
      </c>
      <c r="J1770">
        <f t="shared" si="298"/>
        <v>0</v>
      </c>
      <c r="K1770">
        <f t="shared" si="299"/>
        <v>0</v>
      </c>
      <c r="L1770">
        <f t="shared" si="300"/>
        <v>0</v>
      </c>
      <c r="M1770">
        <f t="shared" si="301"/>
        <v>0</v>
      </c>
      <c r="N1770">
        <f t="shared" si="302"/>
        <v>0</v>
      </c>
      <c r="O1770">
        <f t="shared" si="303"/>
        <v>0</v>
      </c>
      <c r="P1770" t="str">
        <f t="shared" si="304"/>
        <v/>
      </c>
      <c r="Q1770" t="str">
        <f>IF(B1770="","", IFERROR(VLOOKUP(B1770, '基準資産配分（設定）'!$A$2:$C$2001, 3, FALSE), ""))</f>
        <v/>
      </c>
      <c r="R1770" t="str">
        <f>IF(B1770="","", IFERROR(VLOOKUP(B1770, '基準資産配分（設定）'!$A$2:$C$2001, 2, FALSE)/100, 0))</f>
        <v/>
      </c>
      <c r="S1770" t="str">
        <f>IF(B1770="","", IFERROR(SUMIFS(ベンチマークリターン!$C$2:$C$2001, ベンチマークリターン!$A$2:$A$2001, A1770, ベンチマークリターン!$B$2:$B$2001, Q1770) / 100, 0))</f>
        <v/>
      </c>
      <c r="T1770" t="str">
        <f>IF(A1770="","", SUMIFS($H$2:$H$2000, $A$2:$A$2000, A1770))</f>
        <v/>
      </c>
      <c r="U1770" t="str">
        <f t="shared" si="305"/>
        <v/>
      </c>
      <c r="V1770" t="str">
        <f t="shared" si="306"/>
        <v/>
      </c>
      <c r="W1770" t="str">
        <f t="shared" si="307"/>
        <v/>
      </c>
    </row>
    <row r="1771" spans="1:23" x14ac:dyDescent="0.2">
      <c r="A1771" s="4" t="str">
        <f>IF(ポートフォリオ実績!A1772="","", ポートフォリオ実績!A1772)</f>
        <v/>
      </c>
      <c r="B1771" t="str">
        <f>IF(ポートフォリオ実績!B1772="","", ポートフォリオ実績!B1772)</f>
        <v/>
      </c>
      <c r="C1771" s="10" t="str">
        <f>IF(ポートフォリオ実績!C1772="","", ポートフォリオ実績!C1772)</f>
        <v/>
      </c>
      <c r="D1771" s="10" t="str">
        <f>IF(ポートフォリオ実績!D1772="","", ポートフォリオ実績!D1772)</f>
        <v/>
      </c>
      <c r="E1771" s="10" t="str">
        <f>IF(ポートフォリオ実績!E1772="","", ポートフォリオ実績!E1772)</f>
        <v/>
      </c>
      <c r="F1771" s="10" t="str">
        <f>IF(ポートフォリオ実績!F1772="","", ポートフォリオ実績!F1772)</f>
        <v/>
      </c>
      <c r="G1771" t="str">
        <f t="shared" si="297"/>
        <v/>
      </c>
      <c r="H1771">
        <f>IF(B1771&lt;&gt;"", SUMIFS(ポートフォリオ実績!$D$2:$D$2001, ポートフォリオ実績!$B$2:$B$2001, B1771, ポートフォリオ実績!$A$2:$A$2001, G1771), 0)</f>
        <v>0</v>
      </c>
      <c r="I1771">
        <f>IF(B1771&lt;&gt;"", SUMIFS(ポートフォリオ実績!$C$2:$C$2001, ポートフォリオ実績!$B$2:$B$2001, B1771, ポートフォリオ実績!$A$2:$A$2001, G1771), 0)</f>
        <v>0</v>
      </c>
      <c r="J1771">
        <f t="shared" si="298"/>
        <v>0</v>
      </c>
      <c r="K1771">
        <f t="shared" si="299"/>
        <v>0</v>
      </c>
      <c r="L1771">
        <f t="shared" si="300"/>
        <v>0</v>
      </c>
      <c r="M1771">
        <f t="shared" si="301"/>
        <v>0</v>
      </c>
      <c r="N1771">
        <f t="shared" si="302"/>
        <v>0</v>
      </c>
      <c r="O1771">
        <f t="shared" si="303"/>
        <v>0</v>
      </c>
      <c r="P1771" t="str">
        <f t="shared" si="304"/>
        <v/>
      </c>
      <c r="Q1771" t="str">
        <f>IF(B1771="","", IFERROR(VLOOKUP(B1771, '基準資産配分（設定）'!$A$2:$C$2001, 3, FALSE), ""))</f>
        <v/>
      </c>
      <c r="R1771" t="str">
        <f>IF(B1771="","", IFERROR(VLOOKUP(B1771, '基準資産配分（設定）'!$A$2:$C$2001, 2, FALSE)/100, 0))</f>
        <v/>
      </c>
      <c r="S1771" t="str">
        <f>IF(B1771="","", IFERROR(SUMIFS(ベンチマークリターン!$C$2:$C$2001, ベンチマークリターン!$A$2:$A$2001, A1771, ベンチマークリターン!$B$2:$B$2001, Q1771) / 100, 0))</f>
        <v/>
      </c>
      <c r="T1771" t="str">
        <f>IF(A1771="","", SUMIFS($H$2:$H$2000, $A$2:$A$2000, A1771))</f>
        <v/>
      </c>
      <c r="U1771" t="str">
        <f t="shared" si="305"/>
        <v/>
      </c>
      <c r="V1771" t="str">
        <f t="shared" si="306"/>
        <v/>
      </c>
      <c r="W1771" t="str">
        <f t="shared" si="307"/>
        <v/>
      </c>
    </row>
    <row r="1772" spans="1:23" x14ac:dyDescent="0.2">
      <c r="A1772" s="4" t="str">
        <f>IF(ポートフォリオ実績!A1773="","", ポートフォリオ実績!A1773)</f>
        <v/>
      </c>
      <c r="B1772" t="str">
        <f>IF(ポートフォリオ実績!B1773="","", ポートフォリオ実績!B1773)</f>
        <v/>
      </c>
      <c r="C1772" s="10" t="str">
        <f>IF(ポートフォリオ実績!C1773="","", ポートフォリオ実績!C1773)</f>
        <v/>
      </c>
      <c r="D1772" s="10" t="str">
        <f>IF(ポートフォリオ実績!D1773="","", ポートフォリオ実績!D1773)</f>
        <v/>
      </c>
      <c r="E1772" s="10" t="str">
        <f>IF(ポートフォリオ実績!E1773="","", ポートフォリオ実績!E1773)</f>
        <v/>
      </c>
      <c r="F1772" s="10" t="str">
        <f>IF(ポートフォリオ実績!F1773="","", ポートフォリオ実績!F1773)</f>
        <v/>
      </c>
      <c r="G1772" t="str">
        <f t="shared" si="297"/>
        <v/>
      </c>
      <c r="H1772">
        <f>IF(B1772&lt;&gt;"", SUMIFS(ポートフォリオ実績!$D$2:$D$2001, ポートフォリオ実績!$B$2:$B$2001, B1772, ポートフォリオ実績!$A$2:$A$2001, G1772), 0)</f>
        <v>0</v>
      </c>
      <c r="I1772">
        <f>IF(B1772&lt;&gt;"", SUMIFS(ポートフォリオ実績!$C$2:$C$2001, ポートフォリオ実績!$B$2:$B$2001, B1772, ポートフォリオ実績!$A$2:$A$2001, G1772), 0)</f>
        <v>0</v>
      </c>
      <c r="J1772">
        <f t="shared" si="298"/>
        <v>0</v>
      </c>
      <c r="K1772">
        <f t="shared" si="299"/>
        <v>0</v>
      </c>
      <c r="L1772">
        <f t="shared" si="300"/>
        <v>0</v>
      </c>
      <c r="M1772">
        <f t="shared" si="301"/>
        <v>0</v>
      </c>
      <c r="N1772">
        <f t="shared" si="302"/>
        <v>0</v>
      </c>
      <c r="O1772">
        <f t="shared" si="303"/>
        <v>0</v>
      </c>
      <c r="P1772" t="str">
        <f t="shared" si="304"/>
        <v/>
      </c>
      <c r="Q1772" t="str">
        <f>IF(B1772="","", IFERROR(VLOOKUP(B1772, '基準資産配分（設定）'!$A$2:$C$2001, 3, FALSE), ""))</f>
        <v/>
      </c>
      <c r="R1772" t="str">
        <f>IF(B1772="","", IFERROR(VLOOKUP(B1772, '基準資産配分（設定）'!$A$2:$C$2001, 2, FALSE)/100, 0))</f>
        <v/>
      </c>
      <c r="S1772" t="str">
        <f>IF(B1772="","", IFERROR(SUMIFS(ベンチマークリターン!$C$2:$C$2001, ベンチマークリターン!$A$2:$A$2001, A1772, ベンチマークリターン!$B$2:$B$2001, Q1772) / 100, 0))</f>
        <v/>
      </c>
      <c r="T1772" t="str">
        <f>IF(A1772="","", SUMIFS($H$2:$H$2000, $A$2:$A$2000, A1772))</f>
        <v/>
      </c>
      <c r="U1772" t="str">
        <f t="shared" si="305"/>
        <v/>
      </c>
      <c r="V1772" t="str">
        <f t="shared" si="306"/>
        <v/>
      </c>
      <c r="W1772" t="str">
        <f t="shared" si="307"/>
        <v/>
      </c>
    </row>
    <row r="1773" spans="1:23" x14ac:dyDescent="0.2">
      <c r="A1773" s="4" t="str">
        <f>IF(ポートフォリオ実績!A1774="","", ポートフォリオ実績!A1774)</f>
        <v/>
      </c>
      <c r="B1773" t="str">
        <f>IF(ポートフォリオ実績!B1774="","", ポートフォリオ実績!B1774)</f>
        <v/>
      </c>
      <c r="C1773" s="10" t="str">
        <f>IF(ポートフォリオ実績!C1774="","", ポートフォリオ実績!C1774)</f>
        <v/>
      </c>
      <c r="D1773" s="10" t="str">
        <f>IF(ポートフォリオ実績!D1774="","", ポートフォリオ実績!D1774)</f>
        <v/>
      </c>
      <c r="E1773" s="10" t="str">
        <f>IF(ポートフォリオ実績!E1774="","", ポートフォリオ実績!E1774)</f>
        <v/>
      </c>
      <c r="F1773" s="10" t="str">
        <f>IF(ポートフォリオ実績!F1774="","", ポートフォリオ実績!F1774)</f>
        <v/>
      </c>
      <c r="G1773" t="str">
        <f t="shared" si="297"/>
        <v/>
      </c>
      <c r="H1773">
        <f>IF(B1773&lt;&gt;"", SUMIFS(ポートフォリオ実績!$D$2:$D$2001, ポートフォリオ実績!$B$2:$B$2001, B1773, ポートフォリオ実績!$A$2:$A$2001, G1773), 0)</f>
        <v>0</v>
      </c>
      <c r="I1773">
        <f>IF(B1773&lt;&gt;"", SUMIFS(ポートフォリオ実績!$C$2:$C$2001, ポートフォリオ実績!$B$2:$B$2001, B1773, ポートフォリオ実績!$A$2:$A$2001, G1773), 0)</f>
        <v>0</v>
      </c>
      <c r="J1773">
        <f t="shared" si="298"/>
        <v>0</v>
      </c>
      <c r="K1773">
        <f t="shared" si="299"/>
        <v>0</v>
      </c>
      <c r="L1773">
        <f t="shared" si="300"/>
        <v>0</v>
      </c>
      <c r="M1773">
        <f t="shared" si="301"/>
        <v>0</v>
      </c>
      <c r="N1773">
        <f t="shared" si="302"/>
        <v>0</v>
      </c>
      <c r="O1773">
        <f t="shared" si="303"/>
        <v>0</v>
      </c>
      <c r="P1773" t="str">
        <f t="shared" si="304"/>
        <v/>
      </c>
      <c r="Q1773" t="str">
        <f>IF(B1773="","", IFERROR(VLOOKUP(B1773, '基準資産配分（設定）'!$A$2:$C$2001, 3, FALSE), ""))</f>
        <v/>
      </c>
      <c r="R1773" t="str">
        <f>IF(B1773="","", IFERROR(VLOOKUP(B1773, '基準資産配分（設定）'!$A$2:$C$2001, 2, FALSE)/100, 0))</f>
        <v/>
      </c>
      <c r="S1773" t="str">
        <f>IF(B1773="","", IFERROR(SUMIFS(ベンチマークリターン!$C$2:$C$2001, ベンチマークリターン!$A$2:$A$2001, A1773, ベンチマークリターン!$B$2:$B$2001, Q1773) / 100, 0))</f>
        <v/>
      </c>
      <c r="T1773" t="str">
        <f>IF(A1773="","", SUMIFS($H$2:$H$2000, $A$2:$A$2000, A1773))</f>
        <v/>
      </c>
      <c r="U1773" t="str">
        <f t="shared" si="305"/>
        <v/>
      </c>
      <c r="V1773" t="str">
        <f t="shared" si="306"/>
        <v/>
      </c>
      <c r="W1773" t="str">
        <f t="shared" si="307"/>
        <v/>
      </c>
    </row>
    <row r="1774" spans="1:23" x14ac:dyDescent="0.2">
      <c r="A1774" s="4" t="str">
        <f>IF(ポートフォリオ実績!A1775="","", ポートフォリオ実績!A1775)</f>
        <v/>
      </c>
      <c r="B1774" t="str">
        <f>IF(ポートフォリオ実績!B1775="","", ポートフォリオ実績!B1775)</f>
        <v/>
      </c>
      <c r="C1774" s="10" t="str">
        <f>IF(ポートフォリオ実績!C1775="","", ポートフォリオ実績!C1775)</f>
        <v/>
      </c>
      <c r="D1774" s="10" t="str">
        <f>IF(ポートフォリオ実績!D1775="","", ポートフォリオ実績!D1775)</f>
        <v/>
      </c>
      <c r="E1774" s="10" t="str">
        <f>IF(ポートフォリオ実績!E1775="","", ポートフォリオ実績!E1775)</f>
        <v/>
      </c>
      <c r="F1774" s="10" t="str">
        <f>IF(ポートフォリオ実績!F1775="","", ポートフォリオ実績!F1775)</f>
        <v/>
      </c>
      <c r="G1774" t="str">
        <f t="shared" si="297"/>
        <v/>
      </c>
      <c r="H1774">
        <f>IF(B1774&lt;&gt;"", SUMIFS(ポートフォリオ実績!$D$2:$D$2001, ポートフォリオ実績!$B$2:$B$2001, B1774, ポートフォリオ実績!$A$2:$A$2001, G1774), 0)</f>
        <v>0</v>
      </c>
      <c r="I1774">
        <f>IF(B1774&lt;&gt;"", SUMIFS(ポートフォリオ実績!$C$2:$C$2001, ポートフォリオ実績!$B$2:$B$2001, B1774, ポートフォリオ実績!$A$2:$A$2001, G1774), 0)</f>
        <v>0</v>
      </c>
      <c r="J1774">
        <f t="shared" si="298"/>
        <v>0</v>
      </c>
      <c r="K1774">
        <f t="shared" si="299"/>
        <v>0</v>
      </c>
      <c r="L1774">
        <f t="shared" si="300"/>
        <v>0</v>
      </c>
      <c r="M1774">
        <f t="shared" si="301"/>
        <v>0</v>
      </c>
      <c r="N1774">
        <f t="shared" si="302"/>
        <v>0</v>
      </c>
      <c r="O1774">
        <f t="shared" si="303"/>
        <v>0</v>
      </c>
      <c r="P1774" t="str">
        <f t="shared" si="304"/>
        <v/>
      </c>
      <c r="Q1774" t="str">
        <f>IF(B1774="","", IFERROR(VLOOKUP(B1774, '基準資産配分（設定）'!$A$2:$C$2001, 3, FALSE), ""))</f>
        <v/>
      </c>
      <c r="R1774" t="str">
        <f>IF(B1774="","", IFERROR(VLOOKUP(B1774, '基準資産配分（設定）'!$A$2:$C$2001, 2, FALSE)/100, 0))</f>
        <v/>
      </c>
      <c r="S1774" t="str">
        <f>IF(B1774="","", IFERROR(SUMIFS(ベンチマークリターン!$C$2:$C$2001, ベンチマークリターン!$A$2:$A$2001, A1774, ベンチマークリターン!$B$2:$B$2001, Q1774) / 100, 0))</f>
        <v/>
      </c>
      <c r="T1774" t="str">
        <f>IF(A1774="","", SUMIFS($H$2:$H$2000, $A$2:$A$2000, A1774))</f>
        <v/>
      </c>
      <c r="U1774" t="str">
        <f t="shared" si="305"/>
        <v/>
      </c>
      <c r="V1774" t="str">
        <f t="shared" si="306"/>
        <v/>
      </c>
      <c r="W1774" t="str">
        <f t="shared" si="307"/>
        <v/>
      </c>
    </row>
    <row r="1775" spans="1:23" x14ac:dyDescent="0.2">
      <c r="A1775" s="4" t="str">
        <f>IF(ポートフォリオ実績!A1776="","", ポートフォリオ実績!A1776)</f>
        <v/>
      </c>
      <c r="B1775" t="str">
        <f>IF(ポートフォリオ実績!B1776="","", ポートフォリオ実績!B1776)</f>
        <v/>
      </c>
      <c r="C1775" s="10" t="str">
        <f>IF(ポートフォリオ実績!C1776="","", ポートフォリオ実績!C1776)</f>
        <v/>
      </c>
      <c r="D1775" s="10" t="str">
        <f>IF(ポートフォリオ実績!D1776="","", ポートフォリオ実績!D1776)</f>
        <v/>
      </c>
      <c r="E1775" s="10" t="str">
        <f>IF(ポートフォリオ実績!E1776="","", ポートフォリオ実績!E1776)</f>
        <v/>
      </c>
      <c r="F1775" s="10" t="str">
        <f>IF(ポートフォリオ実績!F1776="","", ポートフォリオ実績!F1776)</f>
        <v/>
      </c>
      <c r="G1775" t="str">
        <f t="shared" si="297"/>
        <v/>
      </c>
      <c r="H1775">
        <f>IF(B1775&lt;&gt;"", SUMIFS(ポートフォリオ実績!$D$2:$D$2001, ポートフォリオ実績!$B$2:$B$2001, B1775, ポートフォリオ実績!$A$2:$A$2001, G1775), 0)</f>
        <v>0</v>
      </c>
      <c r="I1775">
        <f>IF(B1775&lt;&gt;"", SUMIFS(ポートフォリオ実績!$C$2:$C$2001, ポートフォリオ実績!$B$2:$B$2001, B1775, ポートフォリオ実績!$A$2:$A$2001, G1775), 0)</f>
        <v>0</v>
      </c>
      <c r="J1775">
        <f t="shared" si="298"/>
        <v>0</v>
      </c>
      <c r="K1775">
        <f t="shared" si="299"/>
        <v>0</v>
      </c>
      <c r="L1775">
        <f t="shared" si="300"/>
        <v>0</v>
      </c>
      <c r="M1775">
        <f t="shared" si="301"/>
        <v>0</v>
      </c>
      <c r="N1775">
        <f t="shared" si="302"/>
        <v>0</v>
      </c>
      <c r="O1775">
        <f t="shared" si="303"/>
        <v>0</v>
      </c>
      <c r="P1775" t="str">
        <f t="shared" si="304"/>
        <v/>
      </c>
      <c r="Q1775" t="str">
        <f>IF(B1775="","", IFERROR(VLOOKUP(B1775, '基準資産配分（設定）'!$A$2:$C$2001, 3, FALSE), ""))</f>
        <v/>
      </c>
      <c r="R1775" t="str">
        <f>IF(B1775="","", IFERROR(VLOOKUP(B1775, '基準資産配分（設定）'!$A$2:$C$2001, 2, FALSE)/100, 0))</f>
        <v/>
      </c>
      <c r="S1775" t="str">
        <f>IF(B1775="","", IFERROR(SUMIFS(ベンチマークリターン!$C$2:$C$2001, ベンチマークリターン!$A$2:$A$2001, A1775, ベンチマークリターン!$B$2:$B$2001, Q1775) / 100, 0))</f>
        <v/>
      </c>
      <c r="T1775" t="str">
        <f>IF(A1775="","", SUMIFS($H$2:$H$2000, $A$2:$A$2000, A1775))</f>
        <v/>
      </c>
      <c r="U1775" t="str">
        <f t="shared" si="305"/>
        <v/>
      </c>
      <c r="V1775" t="str">
        <f t="shared" si="306"/>
        <v/>
      </c>
      <c r="W1775" t="str">
        <f t="shared" si="307"/>
        <v/>
      </c>
    </row>
    <row r="1776" spans="1:23" x14ac:dyDescent="0.2">
      <c r="A1776" s="4" t="str">
        <f>IF(ポートフォリオ実績!A1777="","", ポートフォリオ実績!A1777)</f>
        <v/>
      </c>
      <c r="B1776" t="str">
        <f>IF(ポートフォリオ実績!B1777="","", ポートフォリオ実績!B1777)</f>
        <v/>
      </c>
      <c r="C1776" s="10" t="str">
        <f>IF(ポートフォリオ実績!C1777="","", ポートフォリオ実績!C1777)</f>
        <v/>
      </c>
      <c r="D1776" s="10" t="str">
        <f>IF(ポートフォリオ実績!D1777="","", ポートフォリオ実績!D1777)</f>
        <v/>
      </c>
      <c r="E1776" s="10" t="str">
        <f>IF(ポートフォリオ実績!E1777="","", ポートフォリオ実績!E1777)</f>
        <v/>
      </c>
      <c r="F1776" s="10" t="str">
        <f>IF(ポートフォリオ実績!F1777="","", ポートフォリオ実績!F1777)</f>
        <v/>
      </c>
      <c r="G1776" t="str">
        <f t="shared" si="297"/>
        <v/>
      </c>
      <c r="H1776">
        <f>IF(B1776&lt;&gt;"", SUMIFS(ポートフォリオ実績!$D$2:$D$2001, ポートフォリオ実績!$B$2:$B$2001, B1776, ポートフォリオ実績!$A$2:$A$2001, G1776), 0)</f>
        <v>0</v>
      </c>
      <c r="I1776">
        <f>IF(B1776&lt;&gt;"", SUMIFS(ポートフォリオ実績!$C$2:$C$2001, ポートフォリオ実績!$B$2:$B$2001, B1776, ポートフォリオ実績!$A$2:$A$2001, G1776), 0)</f>
        <v>0</v>
      </c>
      <c r="J1776">
        <f t="shared" si="298"/>
        <v>0</v>
      </c>
      <c r="K1776">
        <f t="shared" si="299"/>
        <v>0</v>
      </c>
      <c r="L1776">
        <f t="shared" si="300"/>
        <v>0</v>
      </c>
      <c r="M1776">
        <f t="shared" si="301"/>
        <v>0</v>
      </c>
      <c r="N1776">
        <f t="shared" si="302"/>
        <v>0</v>
      </c>
      <c r="O1776">
        <f t="shared" si="303"/>
        <v>0</v>
      </c>
      <c r="P1776" t="str">
        <f t="shared" si="304"/>
        <v/>
      </c>
      <c r="Q1776" t="str">
        <f>IF(B1776="","", IFERROR(VLOOKUP(B1776, '基準資産配分（設定）'!$A$2:$C$2001, 3, FALSE), ""))</f>
        <v/>
      </c>
      <c r="R1776" t="str">
        <f>IF(B1776="","", IFERROR(VLOOKUP(B1776, '基準資産配分（設定）'!$A$2:$C$2001, 2, FALSE)/100, 0))</f>
        <v/>
      </c>
      <c r="S1776" t="str">
        <f>IF(B1776="","", IFERROR(SUMIFS(ベンチマークリターン!$C$2:$C$2001, ベンチマークリターン!$A$2:$A$2001, A1776, ベンチマークリターン!$B$2:$B$2001, Q1776) / 100, 0))</f>
        <v/>
      </c>
      <c r="T1776" t="str">
        <f>IF(A1776="","", SUMIFS($H$2:$H$2000, $A$2:$A$2000, A1776))</f>
        <v/>
      </c>
      <c r="U1776" t="str">
        <f t="shared" si="305"/>
        <v/>
      </c>
      <c r="V1776" t="str">
        <f t="shared" si="306"/>
        <v/>
      </c>
      <c r="W1776" t="str">
        <f t="shared" si="307"/>
        <v/>
      </c>
    </row>
    <row r="1777" spans="1:23" x14ac:dyDescent="0.2">
      <c r="A1777" s="4" t="str">
        <f>IF(ポートフォリオ実績!A1778="","", ポートフォリオ実績!A1778)</f>
        <v/>
      </c>
      <c r="B1777" t="str">
        <f>IF(ポートフォリオ実績!B1778="","", ポートフォリオ実績!B1778)</f>
        <v/>
      </c>
      <c r="C1777" s="10" t="str">
        <f>IF(ポートフォリオ実績!C1778="","", ポートフォリオ実績!C1778)</f>
        <v/>
      </c>
      <c r="D1777" s="10" t="str">
        <f>IF(ポートフォリオ実績!D1778="","", ポートフォリオ実績!D1778)</f>
        <v/>
      </c>
      <c r="E1777" s="10" t="str">
        <f>IF(ポートフォリオ実績!E1778="","", ポートフォリオ実績!E1778)</f>
        <v/>
      </c>
      <c r="F1777" s="10" t="str">
        <f>IF(ポートフォリオ実績!F1778="","", ポートフォリオ実績!F1778)</f>
        <v/>
      </c>
      <c r="G1777" t="str">
        <f t="shared" si="297"/>
        <v/>
      </c>
      <c r="H1777">
        <f>IF(B1777&lt;&gt;"", SUMIFS(ポートフォリオ実績!$D$2:$D$2001, ポートフォリオ実績!$B$2:$B$2001, B1777, ポートフォリオ実績!$A$2:$A$2001, G1777), 0)</f>
        <v>0</v>
      </c>
      <c r="I1777">
        <f>IF(B1777&lt;&gt;"", SUMIFS(ポートフォリオ実績!$C$2:$C$2001, ポートフォリオ実績!$B$2:$B$2001, B1777, ポートフォリオ実績!$A$2:$A$2001, G1777), 0)</f>
        <v>0</v>
      </c>
      <c r="J1777">
        <f t="shared" si="298"/>
        <v>0</v>
      </c>
      <c r="K1777">
        <f t="shared" si="299"/>
        <v>0</v>
      </c>
      <c r="L1777">
        <f t="shared" si="300"/>
        <v>0</v>
      </c>
      <c r="M1777">
        <f t="shared" si="301"/>
        <v>0</v>
      </c>
      <c r="N1777">
        <f t="shared" si="302"/>
        <v>0</v>
      </c>
      <c r="O1777">
        <f t="shared" si="303"/>
        <v>0</v>
      </c>
      <c r="P1777" t="str">
        <f t="shared" si="304"/>
        <v/>
      </c>
      <c r="Q1777" t="str">
        <f>IF(B1777="","", IFERROR(VLOOKUP(B1777, '基準資産配分（設定）'!$A$2:$C$2001, 3, FALSE), ""))</f>
        <v/>
      </c>
      <c r="R1777" t="str">
        <f>IF(B1777="","", IFERROR(VLOOKUP(B1777, '基準資産配分（設定）'!$A$2:$C$2001, 2, FALSE)/100, 0))</f>
        <v/>
      </c>
      <c r="S1777" t="str">
        <f>IF(B1777="","", IFERROR(SUMIFS(ベンチマークリターン!$C$2:$C$2001, ベンチマークリターン!$A$2:$A$2001, A1777, ベンチマークリターン!$B$2:$B$2001, Q1777) / 100, 0))</f>
        <v/>
      </c>
      <c r="T1777" t="str">
        <f>IF(A1777="","", SUMIFS($H$2:$H$2000, $A$2:$A$2000, A1777))</f>
        <v/>
      </c>
      <c r="U1777" t="str">
        <f t="shared" si="305"/>
        <v/>
      </c>
      <c r="V1777" t="str">
        <f t="shared" si="306"/>
        <v/>
      </c>
      <c r="W1777" t="str">
        <f t="shared" si="307"/>
        <v/>
      </c>
    </row>
    <row r="1778" spans="1:23" x14ac:dyDescent="0.2">
      <c r="A1778" s="4" t="str">
        <f>IF(ポートフォリオ実績!A1779="","", ポートフォリオ実績!A1779)</f>
        <v/>
      </c>
      <c r="B1778" t="str">
        <f>IF(ポートフォリオ実績!B1779="","", ポートフォリオ実績!B1779)</f>
        <v/>
      </c>
      <c r="C1778" s="10" t="str">
        <f>IF(ポートフォリオ実績!C1779="","", ポートフォリオ実績!C1779)</f>
        <v/>
      </c>
      <c r="D1778" s="10" t="str">
        <f>IF(ポートフォリオ実績!D1779="","", ポートフォリオ実績!D1779)</f>
        <v/>
      </c>
      <c r="E1778" s="10" t="str">
        <f>IF(ポートフォリオ実績!E1779="","", ポートフォリオ実績!E1779)</f>
        <v/>
      </c>
      <c r="F1778" s="10" t="str">
        <f>IF(ポートフォリオ実績!F1779="","", ポートフォリオ実績!F1779)</f>
        <v/>
      </c>
      <c r="G1778" t="str">
        <f t="shared" si="297"/>
        <v/>
      </c>
      <c r="H1778">
        <f>IF(B1778&lt;&gt;"", SUMIFS(ポートフォリオ実績!$D$2:$D$2001, ポートフォリオ実績!$B$2:$B$2001, B1778, ポートフォリオ実績!$A$2:$A$2001, G1778), 0)</f>
        <v>0</v>
      </c>
      <c r="I1778">
        <f>IF(B1778&lt;&gt;"", SUMIFS(ポートフォリオ実績!$C$2:$C$2001, ポートフォリオ実績!$B$2:$B$2001, B1778, ポートフォリオ実績!$A$2:$A$2001, G1778), 0)</f>
        <v>0</v>
      </c>
      <c r="J1778">
        <f t="shared" si="298"/>
        <v>0</v>
      </c>
      <c r="K1778">
        <f t="shared" si="299"/>
        <v>0</v>
      </c>
      <c r="L1778">
        <f t="shared" si="300"/>
        <v>0</v>
      </c>
      <c r="M1778">
        <f t="shared" si="301"/>
        <v>0</v>
      </c>
      <c r="N1778">
        <f t="shared" si="302"/>
        <v>0</v>
      </c>
      <c r="O1778">
        <f t="shared" si="303"/>
        <v>0</v>
      </c>
      <c r="P1778" t="str">
        <f t="shared" si="304"/>
        <v/>
      </c>
      <c r="Q1778" t="str">
        <f>IF(B1778="","", IFERROR(VLOOKUP(B1778, '基準資産配分（設定）'!$A$2:$C$2001, 3, FALSE), ""))</f>
        <v/>
      </c>
      <c r="R1778" t="str">
        <f>IF(B1778="","", IFERROR(VLOOKUP(B1778, '基準資産配分（設定）'!$A$2:$C$2001, 2, FALSE)/100, 0))</f>
        <v/>
      </c>
      <c r="S1778" t="str">
        <f>IF(B1778="","", IFERROR(SUMIFS(ベンチマークリターン!$C$2:$C$2001, ベンチマークリターン!$A$2:$A$2001, A1778, ベンチマークリターン!$B$2:$B$2001, Q1778) / 100, 0))</f>
        <v/>
      </c>
      <c r="T1778" t="str">
        <f>IF(A1778="","", SUMIFS($H$2:$H$2000, $A$2:$A$2000, A1778))</f>
        <v/>
      </c>
      <c r="U1778" t="str">
        <f t="shared" si="305"/>
        <v/>
      </c>
      <c r="V1778" t="str">
        <f t="shared" si="306"/>
        <v/>
      </c>
      <c r="W1778" t="str">
        <f t="shared" si="307"/>
        <v/>
      </c>
    </row>
    <row r="1779" spans="1:23" x14ac:dyDescent="0.2">
      <c r="A1779" s="4" t="str">
        <f>IF(ポートフォリオ実績!A1780="","", ポートフォリオ実績!A1780)</f>
        <v/>
      </c>
      <c r="B1779" t="str">
        <f>IF(ポートフォリオ実績!B1780="","", ポートフォリオ実績!B1780)</f>
        <v/>
      </c>
      <c r="C1779" s="10" t="str">
        <f>IF(ポートフォリオ実績!C1780="","", ポートフォリオ実績!C1780)</f>
        <v/>
      </c>
      <c r="D1779" s="10" t="str">
        <f>IF(ポートフォリオ実績!D1780="","", ポートフォリオ実績!D1780)</f>
        <v/>
      </c>
      <c r="E1779" s="10" t="str">
        <f>IF(ポートフォリオ実績!E1780="","", ポートフォリオ実績!E1780)</f>
        <v/>
      </c>
      <c r="F1779" s="10" t="str">
        <f>IF(ポートフォリオ実績!F1780="","", ポートフォリオ実績!F1780)</f>
        <v/>
      </c>
      <c r="G1779" t="str">
        <f t="shared" si="297"/>
        <v/>
      </c>
      <c r="H1779">
        <f>IF(B1779&lt;&gt;"", SUMIFS(ポートフォリオ実績!$D$2:$D$2001, ポートフォリオ実績!$B$2:$B$2001, B1779, ポートフォリオ実績!$A$2:$A$2001, G1779), 0)</f>
        <v>0</v>
      </c>
      <c r="I1779">
        <f>IF(B1779&lt;&gt;"", SUMIFS(ポートフォリオ実績!$C$2:$C$2001, ポートフォリオ実績!$B$2:$B$2001, B1779, ポートフォリオ実績!$A$2:$A$2001, G1779), 0)</f>
        <v>0</v>
      </c>
      <c r="J1779">
        <f t="shared" si="298"/>
        <v>0</v>
      </c>
      <c r="K1779">
        <f t="shared" si="299"/>
        <v>0</v>
      </c>
      <c r="L1779">
        <f t="shared" si="300"/>
        <v>0</v>
      </c>
      <c r="M1779">
        <f t="shared" si="301"/>
        <v>0</v>
      </c>
      <c r="N1779">
        <f t="shared" si="302"/>
        <v>0</v>
      </c>
      <c r="O1779">
        <f t="shared" si="303"/>
        <v>0</v>
      </c>
      <c r="P1779" t="str">
        <f t="shared" si="304"/>
        <v/>
      </c>
      <c r="Q1779" t="str">
        <f>IF(B1779="","", IFERROR(VLOOKUP(B1779, '基準資産配分（設定）'!$A$2:$C$2001, 3, FALSE), ""))</f>
        <v/>
      </c>
      <c r="R1779" t="str">
        <f>IF(B1779="","", IFERROR(VLOOKUP(B1779, '基準資産配分（設定）'!$A$2:$C$2001, 2, FALSE)/100, 0))</f>
        <v/>
      </c>
      <c r="S1779" t="str">
        <f>IF(B1779="","", IFERROR(SUMIFS(ベンチマークリターン!$C$2:$C$2001, ベンチマークリターン!$A$2:$A$2001, A1779, ベンチマークリターン!$B$2:$B$2001, Q1779) / 100, 0))</f>
        <v/>
      </c>
      <c r="T1779" t="str">
        <f>IF(A1779="","", SUMIFS($H$2:$H$2000, $A$2:$A$2000, A1779))</f>
        <v/>
      </c>
      <c r="U1779" t="str">
        <f t="shared" si="305"/>
        <v/>
      </c>
      <c r="V1779" t="str">
        <f t="shared" si="306"/>
        <v/>
      </c>
      <c r="W1779" t="str">
        <f t="shared" si="307"/>
        <v/>
      </c>
    </row>
    <row r="1780" spans="1:23" x14ac:dyDescent="0.2">
      <c r="A1780" s="4" t="str">
        <f>IF(ポートフォリオ実績!A1781="","", ポートフォリオ実績!A1781)</f>
        <v/>
      </c>
      <c r="B1780" t="str">
        <f>IF(ポートフォリオ実績!B1781="","", ポートフォリオ実績!B1781)</f>
        <v/>
      </c>
      <c r="C1780" s="10" t="str">
        <f>IF(ポートフォリオ実績!C1781="","", ポートフォリオ実績!C1781)</f>
        <v/>
      </c>
      <c r="D1780" s="10" t="str">
        <f>IF(ポートフォリオ実績!D1781="","", ポートフォリオ実績!D1781)</f>
        <v/>
      </c>
      <c r="E1780" s="10" t="str">
        <f>IF(ポートフォリオ実績!E1781="","", ポートフォリオ実績!E1781)</f>
        <v/>
      </c>
      <c r="F1780" s="10" t="str">
        <f>IF(ポートフォリオ実績!F1781="","", ポートフォリオ実績!F1781)</f>
        <v/>
      </c>
      <c r="G1780" t="str">
        <f t="shared" si="297"/>
        <v/>
      </c>
      <c r="H1780">
        <f>IF(B1780&lt;&gt;"", SUMIFS(ポートフォリオ実績!$D$2:$D$2001, ポートフォリオ実績!$B$2:$B$2001, B1780, ポートフォリオ実績!$A$2:$A$2001, G1780), 0)</f>
        <v>0</v>
      </c>
      <c r="I1780">
        <f>IF(B1780&lt;&gt;"", SUMIFS(ポートフォリオ実績!$C$2:$C$2001, ポートフォリオ実績!$B$2:$B$2001, B1780, ポートフォリオ実績!$A$2:$A$2001, G1780), 0)</f>
        <v>0</v>
      </c>
      <c r="J1780">
        <f t="shared" si="298"/>
        <v>0</v>
      </c>
      <c r="K1780">
        <f t="shared" si="299"/>
        <v>0</v>
      </c>
      <c r="L1780">
        <f t="shared" si="300"/>
        <v>0</v>
      </c>
      <c r="M1780">
        <f t="shared" si="301"/>
        <v>0</v>
      </c>
      <c r="N1780">
        <f t="shared" si="302"/>
        <v>0</v>
      </c>
      <c r="O1780">
        <f t="shared" si="303"/>
        <v>0</v>
      </c>
      <c r="P1780" t="str">
        <f t="shared" si="304"/>
        <v/>
      </c>
      <c r="Q1780" t="str">
        <f>IF(B1780="","", IFERROR(VLOOKUP(B1780, '基準資産配分（設定）'!$A$2:$C$2001, 3, FALSE), ""))</f>
        <v/>
      </c>
      <c r="R1780" t="str">
        <f>IF(B1780="","", IFERROR(VLOOKUP(B1780, '基準資産配分（設定）'!$A$2:$C$2001, 2, FALSE)/100, 0))</f>
        <v/>
      </c>
      <c r="S1780" t="str">
        <f>IF(B1780="","", IFERROR(SUMIFS(ベンチマークリターン!$C$2:$C$2001, ベンチマークリターン!$A$2:$A$2001, A1780, ベンチマークリターン!$B$2:$B$2001, Q1780) / 100, 0))</f>
        <v/>
      </c>
      <c r="T1780" t="str">
        <f>IF(A1780="","", SUMIFS($H$2:$H$2000, $A$2:$A$2000, A1780))</f>
        <v/>
      </c>
      <c r="U1780" t="str">
        <f t="shared" si="305"/>
        <v/>
      </c>
      <c r="V1780" t="str">
        <f t="shared" si="306"/>
        <v/>
      </c>
      <c r="W1780" t="str">
        <f t="shared" si="307"/>
        <v/>
      </c>
    </row>
    <row r="1781" spans="1:23" x14ac:dyDescent="0.2">
      <c r="A1781" s="4" t="str">
        <f>IF(ポートフォリオ実績!A1782="","", ポートフォリオ実績!A1782)</f>
        <v/>
      </c>
      <c r="B1781" t="str">
        <f>IF(ポートフォリオ実績!B1782="","", ポートフォリオ実績!B1782)</f>
        <v/>
      </c>
      <c r="C1781" s="10" t="str">
        <f>IF(ポートフォリオ実績!C1782="","", ポートフォリオ実績!C1782)</f>
        <v/>
      </c>
      <c r="D1781" s="10" t="str">
        <f>IF(ポートフォリオ実績!D1782="","", ポートフォリオ実績!D1782)</f>
        <v/>
      </c>
      <c r="E1781" s="10" t="str">
        <f>IF(ポートフォリオ実績!E1782="","", ポートフォリオ実績!E1782)</f>
        <v/>
      </c>
      <c r="F1781" s="10" t="str">
        <f>IF(ポートフォリオ実績!F1782="","", ポートフォリオ実績!F1782)</f>
        <v/>
      </c>
      <c r="G1781" t="str">
        <f t="shared" si="297"/>
        <v/>
      </c>
      <c r="H1781">
        <f>IF(B1781&lt;&gt;"", SUMIFS(ポートフォリオ実績!$D$2:$D$2001, ポートフォリオ実績!$B$2:$B$2001, B1781, ポートフォリオ実績!$A$2:$A$2001, G1781), 0)</f>
        <v>0</v>
      </c>
      <c r="I1781">
        <f>IF(B1781&lt;&gt;"", SUMIFS(ポートフォリオ実績!$C$2:$C$2001, ポートフォリオ実績!$B$2:$B$2001, B1781, ポートフォリオ実績!$A$2:$A$2001, G1781), 0)</f>
        <v>0</v>
      </c>
      <c r="J1781">
        <f t="shared" si="298"/>
        <v>0</v>
      </c>
      <c r="K1781">
        <f t="shared" si="299"/>
        <v>0</v>
      </c>
      <c r="L1781">
        <f t="shared" si="300"/>
        <v>0</v>
      </c>
      <c r="M1781">
        <f t="shared" si="301"/>
        <v>0</v>
      </c>
      <c r="N1781">
        <f t="shared" si="302"/>
        <v>0</v>
      </c>
      <c r="O1781">
        <f t="shared" si="303"/>
        <v>0</v>
      </c>
      <c r="P1781" t="str">
        <f t="shared" si="304"/>
        <v/>
      </c>
      <c r="Q1781" t="str">
        <f>IF(B1781="","", IFERROR(VLOOKUP(B1781, '基準資産配分（設定）'!$A$2:$C$2001, 3, FALSE), ""))</f>
        <v/>
      </c>
      <c r="R1781" t="str">
        <f>IF(B1781="","", IFERROR(VLOOKUP(B1781, '基準資産配分（設定）'!$A$2:$C$2001, 2, FALSE)/100, 0))</f>
        <v/>
      </c>
      <c r="S1781" t="str">
        <f>IF(B1781="","", IFERROR(SUMIFS(ベンチマークリターン!$C$2:$C$2001, ベンチマークリターン!$A$2:$A$2001, A1781, ベンチマークリターン!$B$2:$B$2001, Q1781) / 100, 0))</f>
        <v/>
      </c>
      <c r="T1781" t="str">
        <f>IF(A1781="","", SUMIFS($H$2:$H$2000, $A$2:$A$2000, A1781))</f>
        <v/>
      </c>
      <c r="U1781" t="str">
        <f t="shared" si="305"/>
        <v/>
      </c>
      <c r="V1781" t="str">
        <f t="shared" si="306"/>
        <v/>
      </c>
      <c r="W1781" t="str">
        <f t="shared" si="307"/>
        <v/>
      </c>
    </row>
    <row r="1782" spans="1:23" x14ac:dyDescent="0.2">
      <c r="A1782" s="4" t="str">
        <f>IF(ポートフォリオ実績!A1783="","", ポートフォリオ実績!A1783)</f>
        <v/>
      </c>
      <c r="B1782" t="str">
        <f>IF(ポートフォリオ実績!B1783="","", ポートフォリオ実績!B1783)</f>
        <v/>
      </c>
      <c r="C1782" s="10" t="str">
        <f>IF(ポートフォリオ実績!C1783="","", ポートフォリオ実績!C1783)</f>
        <v/>
      </c>
      <c r="D1782" s="10" t="str">
        <f>IF(ポートフォリオ実績!D1783="","", ポートフォリオ実績!D1783)</f>
        <v/>
      </c>
      <c r="E1782" s="10" t="str">
        <f>IF(ポートフォリオ実績!E1783="","", ポートフォリオ実績!E1783)</f>
        <v/>
      </c>
      <c r="F1782" s="10" t="str">
        <f>IF(ポートフォリオ実績!F1783="","", ポートフォリオ実績!F1783)</f>
        <v/>
      </c>
      <c r="G1782" t="str">
        <f t="shared" si="297"/>
        <v/>
      </c>
      <c r="H1782">
        <f>IF(B1782&lt;&gt;"", SUMIFS(ポートフォリオ実績!$D$2:$D$2001, ポートフォリオ実績!$B$2:$B$2001, B1782, ポートフォリオ実績!$A$2:$A$2001, G1782), 0)</f>
        <v>0</v>
      </c>
      <c r="I1782">
        <f>IF(B1782&lt;&gt;"", SUMIFS(ポートフォリオ実績!$C$2:$C$2001, ポートフォリオ実績!$B$2:$B$2001, B1782, ポートフォリオ実績!$A$2:$A$2001, G1782), 0)</f>
        <v>0</v>
      </c>
      <c r="J1782">
        <f t="shared" si="298"/>
        <v>0</v>
      </c>
      <c r="K1782">
        <f t="shared" si="299"/>
        <v>0</v>
      </c>
      <c r="L1782">
        <f t="shared" si="300"/>
        <v>0</v>
      </c>
      <c r="M1782">
        <f t="shared" si="301"/>
        <v>0</v>
      </c>
      <c r="N1782">
        <f t="shared" si="302"/>
        <v>0</v>
      </c>
      <c r="O1782">
        <f t="shared" si="303"/>
        <v>0</v>
      </c>
      <c r="P1782" t="str">
        <f t="shared" si="304"/>
        <v/>
      </c>
      <c r="Q1782" t="str">
        <f>IF(B1782="","", IFERROR(VLOOKUP(B1782, '基準資産配分（設定）'!$A$2:$C$2001, 3, FALSE), ""))</f>
        <v/>
      </c>
      <c r="R1782" t="str">
        <f>IF(B1782="","", IFERROR(VLOOKUP(B1782, '基準資産配分（設定）'!$A$2:$C$2001, 2, FALSE)/100, 0))</f>
        <v/>
      </c>
      <c r="S1782" t="str">
        <f>IF(B1782="","", IFERROR(SUMIFS(ベンチマークリターン!$C$2:$C$2001, ベンチマークリターン!$A$2:$A$2001, A1782, ベンチマークリターン!$B$2:$B$2001, Q1782) / 100, 0))</f>
        <v/>
      </c>
      <c r="T1782" t="str">
        <f>IF(A1782="","", SUMIFS($H$2:$H$2000, $A$2:$A$2000, A1782))</f>
        <v/>
      </c>
      <c r="U1782" t="str">
        <f t="shared" si="305"/>
        <v/>
      </c>
      <c r="V1782" t="str">
        <f t="shared" si="306"/>
        <v/>
      </c>
      <c r="W1782" t="str">
        <f t="shared" si="307"/>
        <v/>
      </c>
    </row>
    <row r="1783" spans="1:23" x14ac:dyDescent="0.2">
      <c r="A1783" s="4" t="str">
        <f>IF(ポートフォリオ実績!A1784="","", ポートフォリオ実績!A1784)</f>
        <v/>
      </c>
      <c r="B1783" t="str">
        <f>IF(ポートフォリオ実績!B1784="","", ポートフォリオ実績!B1784)</f>
        <v/>
      </c>
      <c r="C1783" s="10" t="str">
        <f>IF(ポートフォリオ実績!C1784="","", ポートフォリオ実績!C1784)</f>
        <v/>
      </c>
      <c r="D1783" s="10" t="str">
        <f>IF(ポートフォリオ実績!D1784="","", ポートフォリオ実績!D1784)</f>
        <v/>
      </c>
      <c r="E1783" s="10" t="str">
        <f>IF(ポートフォリオ実績!E1784="","", ポートフォリオ実績!E1784)</f>
        <v/>
      </c>
      <c r="F1783" s="10" t="str">
        <f>IF(ポートフォリオ実績!F1784="","", ポートフォリオ実績!F1784)</f>
        <v/>
      </c>
      <c r="G1783" t="str">
        <f t="shared" si="297"/>
        <v/>
      </c>
      <c r="H1783">
        <f>IF(B1783&lt;&gt;"", SUMIFS(ポートフォリオ実績!$D$2:$D$2001, ポートフォリオ実績!$B$2:$B$2001, B1783, ポートフォリオ実績!$A$2:$A$2001, G1783), 0)</f>
        <v>0</v>
      </c>
      <c r="I1783">
        <f>IF(B1783&lt;&gt;"", SUMIFS(ポートフォリオ実績!$C$2:$C$2001, ポートフォリオ実績!$B$2:$B$2001, B1783, ポートフォリオ実績!$A$2:$A$2001, G1783), 0)</f>
        <v>0</v>
      </c>
      <c r="J1783">
        <f t="shared" si="298"/>
        <v>0</v>
      </c>
      <c r="K1783">
        <f t="shared" si="299"/>
        <v>0</v>
      </c>
      <c r="L1783">
        <f t="shared" si="300"/>
        <v>0</v>
      </c>
      <c r="M1783">
        <f t="shared" si="301"/>
        <v>0</v>
      </c>
      <c r="N1783">
        <f t="shared" si="302"/>
        <v>0</v>
      </c>
      <c r="O1783">
        <f t="shared" si="303"/>
        <v>0</v>
      </c>
      <c r="P1783" t="str">
        <f t="shared" si="304"/>
        <v/>
      </c>
      <c r="Q1783" t="str">
        <f>IF(B1783="","", IFERROR(VLOOKUP(B1783, '基準資産配分（設定）'!$A$2:$C$2001, 3, FALSE), ""))</f>
        <v/>
      </c>
      <c r="R1783" t="str">
        <f>IF(B1783="","", IFERROR(VLOOKUP(B1783, '基準資産配分（設定）'!$A$2:$C$2001, 2, FALSE)/100, 0))</f>
        <v/>
      </c>
      <c r="S1783" t="str">
        <f>IF(B1783="","", IFERROR(SUMIFS(ベンチマークリターン!$C$2:$C$2001, ベンチマークリターン!$A$2:$A$2001, A1783, ベンチマークリターン!$B$2:$B$2001, Q1783) / 100, 0))</f>
        <v/>
      </c>
      <c r="T1783" t="str">
        <f>IF(A1783="","", SUMIFS($H$2:$H$2000, $A$2:$A$2000, A1783))</f>
        <v/>
      </c>
      <c r="U1783" t="str">
        <f t="shared" si="305"/>
        <v/>
      </c>
      <c r="V1783" t="str">
        <f t="shared" si="306"/>
        <v/>
      </c>
      <c r="W1783" t="str">
        <f t="shared" si="307"/>
        <v/>
      </c>
    </row>
    <row r="1784" spans="1:23" x14ac:dyDescent="0.2">
      <c r="A1784" s="4" t="str">
        <f>IF(ポートフォリオ実績!A1785="","", ポートフォリオ実績!A1785)</f>
        <v/>
      </c>
      <c r="B1784" t="str">
        <f>IF(ポートフォリオ実績!B1785="","", ポートフォリオ実績!B1785)</f>
        <v/>
      </c>
      <c r="C1784" s="10" t="str">
        <f>IF(ポートフォリオ実績!C1785="","", ポートフォリオ実績!C1785)</f>
        <v/>
      </c>
      <c r="D1784" s="10" t="str">
        <f>IF(ポートフォリオ実績!D1785="","", ポートフォリオ実績!D1785)</f>
        <v/>
      </c>
      <c r="E1784" s="10" t="str">
        <f>IF(ポートフォリオ実績!E1785="","", ポートフォリオ実績!E1785)</f>
        <v/>
      </c>
      <c r="F1784" s="10" t="str">
        <f>IF(ポートフォリオ実績!F1785="","", ポートフォリオ実績!F1785)</f>
        <v/>
      </c>
      <c r="G1784" t="str">
        <f t="shared" si="297"/>
        <v/>
      </c>
      <c r="H1784">
        <f>IF(B1784&lt;&gt;"", SUMIFS(ポートフォリオ実績!$D$2:$D$2001, ポートフォリオ実績!$B$2:$B$2001, B1784, ポートフォリオ実績!$A$2:$A$2001, G1784), 0)</f>
        <v>0</v>
      </c>
      <c r="I1784">
        <f>IF(B1784&lt;&gt;"", SUMIFS(ポートフォリオ実績!$C$2:$C$2001, ポートフォリオ実績!$B$2:$B$2001, B1784, ポートフォリオ実績!$A$2:$A$2001, G1784), 0)</f>
        <v>0</v>
      </c>
      <c r="J1784">
        <f t="shared" si="298"/>
        <v>0</v>
      </c>
      <c r="K1784">
        <f t="shared" si="299"/>
        <v>0</v>
      </c>
      <c r="L1784">
        <f t="shared" si="300"/>
        <v>0</v>
      </c>
      <c r="M1784">
        <f t="shared" si="301"/>
        <v>0</v>
      </c>
      <c r="N1784">
        <f t="shared" si="302"/>
        <v>0</v>
      </c>
      <c r="O1784">
        <f t="shared" si="303"/>
        <v>0</v>
      </c>
      <c r="P1784" t="str">
        <f t="shared" si="304"/>
        <v/>
      </c>
      <c r="Q1784" t="str">
        <f>IF(B1784="","", IFERROR(VLOOKUP(B1784, '基準資産配分（設定）'!$A$2:$C$2001, 3, FALSE), ""))</f>
        <v/>
      </c>
      <c r="R1784" t="str">
        <f>IF(B1784="","", IFERROR(VLOOKUP(B1784, '基準資産配分（設定）'!$A$2:$C$2001, 2, FALSE)/100, 0))</f>
        <v/>
      </c>
      <c r="S1784" t="str">
        <f>IF(B1784="","", IFERROR(SUMIFS(ベンチマークリターン!$C$2:$C$2001, ベンチマークリターン!$A$2:$A$2001, A1784, ベンチマークリターン!$B$2:$B$2001, Q1784) / 100, 0))</f>
        <v/>
      </c>
      <c r="T1784" t="str">
        <f>IF(A1784="","", SUMIFS($H$2:$H$2000, $A$2:$A$2000, A1784))</f>
        <v/>
      </c>
      <c r="U1784" t="str">
        <f t="shared" si="305"/>
        <v/>
      </c>
      <c r="V1784" t="str">
        <f t="shared" si="306"/>
        <v/>
      </c>
      <c r="W1784" t="str">
        <f t="shared" si="307"/>
        <v/>
      </c>
    </row>
    <row r="1785" spans="1:23" x14ac:dyDescent="0.2">
      <c r="A1785" s="4" t="str">
        <f>IF(ポートフォリオ実績!A1786="","", ポートフォリオ実績!A1786)</f>
        <v/>
      </c>
      <c r="B1785" t="str">
        <f>IF(ポートフォリオ実績!B1786="","", ポートフォリオ実績!B1786)</f>
        <v/>
      </c>
      <c r="C1785" s="10" t="str">
        <f>IF(ポートフォリオ実績!C1786="","", ポートフォリオ実績!C1786)</f>
        <v/>
      </c>
      <c r="D1785" s="10" t="str">
        <f>IF(ポートフォリオ実績!D1786="","", ポートフォリオ実績!D1786)</f>
        <v/>
      </c>
      <c r="E1785" s="10" t="str">
        <f>IF(ポートフォリオ実績!E1786="","", ポートフォリオ実績!E1786)</f>
        <v/>
      </c>
      <c r="F1785" s="10" t="str">
        <f>IF(ポートフォリオ実績!F1786="","", ポートフォリオ実績!F1786)</f>
        <v/>
      </c>
      <c r="G1785" t="str">
        <f t="shared" si="297"/>
        <v/>
      </c>
      <c r="H1785">
        <f>IF(B1785&lt;&gt;"", SUMIFS(ポートフォリオ実績!$D$2:$D$2001, ポートフォリオ実績!$B$2:$B$2001, B1785, ポートフォリオ実績!$A$2:$A$2001, G1785), 0)</f>
        <v>0</v>
      </c>
      <c r="I1785">
        <f>IF(B1785&lt;&gt;"", SUMIFS(ポートフォリオ実績!$C$2:$C$2001, ポートフォリオ実績!$B$2:$B$2001, B1785, ポートフォリオ実績!$A$2:$A$2001, G1785), 0)</f>
        <v>0</v>
      </c>
      <c r="J1785">
        <f t="shared" si="298"/>
        <v>0</v>
      </c>
      <c r="K1785">
        <f t="shared" si="299"/>
        <v>0</v>
      </c>
      <c r="L1785">
        <f t="shared" si="300"/>
        <v>0</v>
      </c>
      <c r="M1785">
        <f t="shared" si="301"/>
        <v>0</v>
      </c>
      <c r="N1785">
        <f t="shared" si="302"/>
        <v>0</v>
      </c>
      <c r="O1785">
        <f t="shared" si="303"/>
        <v>0</v>
      </c>
      <c r="P1785" t="str">
        <f t="shared" si="304"/>
        <v/>
      </c>
      <c r="Q1785" t="str">
        <f>IF(B1785="","", IFERROR(VLOOKUP(B1785, '基準資産配分（設定）'!$A$2:$C$2001, 3, FALSE), ""))</f>
        <v/>
      </c>
      <c r="R1785" t="str">
        <f>IF(B1785="","", IFERROR(VLOOKUP(B1785, '基準資産配分（設定）'!$A$2:$C$2001, 2, FALSE)/100, 0))</f>
        <v/>
      </c>
      <c r="S1785" t="str">
        <f>IF(B1785="","", IFERROR(SUMIFS(ベンチマークリターン!$C$2:$C$2001, ベンチマークリターン!$A$2:$A$2001, A1785, ベンチマークリターン!$B$2:$B$2001, Q1785) / 100, 0))</f>
        <v/>
      </c>
      <c r="T1785" t="str">
        <f>IF(A1785="","", SUMIFS($H$2:$H$2000, $A$2:$A$2000, A1785))</f>
        <v/>
      </c>
      <c r="U1785" t="str">
        <f t="shared" si="305"/>
        <v/>
      </c>
      <c r="V1785" t="str">
        <f t="shared" si="306"/>
        <v/>
      </c>
      <c r="W1785" t="str">
        <f t="shared" si="307"/>
        <v/>
      </c>
    </row>
    <row r="1786" spans="1:23" x14ac:dyDescent="0.2">
      <c r="A1786" s="4" t="str">
        <f>IF(ポートフォリオ実績!A1787="","", ポートフォリオ実績!A1787)</f>
        <v/>
      </c>
      <c r="B1786" t="str">
        <f>IF(ポートフォリオ実績!B1787="","", ポートフォリオ実績!B1787)</f>
        <v/>
      </c>
      <c r="C1786" s="10" t="str">
        <f>IF(ポートフォリオ実績!C1787="","", ポートフォリオ実績!C1787)</f>
        <v/>
      </c>
      <c r="D1786" s="10" t="str">
        <f>IF(ポートフォリオ実績!D1787="","", ポートフォリオ実績!D1787)</f>
        <v/>
      </c>
      <c r="E1786" s="10" t="str">
        <f>IF(ポートフォリオ実績!E1787="","", ポートフォリオ実績!E1787)</f>
        <v/>
      </c>
      <c r="F1786" s="10" t="str">
        <f>IF(ポートフォリオ実績!F1787="","", ポートフォリオ実績!F1787)</f>
        <v/>
      </c>
      <c r="G1786" t="str">
        <f t="shared" si="297"/>
        <v/>
      </c>
      <c r="H1786">
        <f>IF(B1786&lt;&gt;"", SUMIFS(ポートフォリオ実績!$D$2:$D$2001, ポートフォリオ実績!$B$2:$B$2001, B1786, ポートフォリオ実績!$A$2:$A$2001, G1786), 0)</f>
        <v>0</v>
      </c>
      <c r="I1786">
        <f>IF(B1786&lt;&gt;"", SUMIFS(ポートフォリオ実績!$C$2:$C$2001, ポートフォリオ実績!$B$2:$B$2001, B1786, ポートフォリオ実績!$A$2:$A$2001, G1786), 0)</f>
        <v>0</v>
      </c>
      <c r="J1786">
        <f t="shared" si="298"/>
        <v>0</v>
      </c>
      <c r="K1786">
        <f t="shared" si="299"/>
        <v>0</v>
      </c>
      <c r="L1786">
        <f t="shared" si="300"/>
        <v>0</v>
      </c>
      <c r="M1786">
        <f t="shared" si="301"/>
        <v>0</v>
      </c>
      <c r="N1786">
        <f t="shared" si="302"/>
        <v>0</v>
      </c>
      <c r="O1786">
        <f t="shared" si="303"/>
        <v>0</v>
      </c>
      <c r="P1786" t="str">
        <f t="shared" si="304"/>
        <v/>
      </c>
      <c r="Q1786" t="str">
        <f>IF(B1786="","", IFERROR(VLOOKUP(B1786, '基準資産配分（設定）'!$A$2:$C$2001, 3, FALSE), ""))</f>
        <v/>
      </c>
      <c r="R1786" t="str">
        <f>IF(B1786="","", IFERROR(VLOOKUP(B1786, '基準資産配分（設定）'!$A$2:$C$2001, 2, FALSE)/100, 0))</f>
        <v/>
      </c>
      <c r="S1786" t="str">
        <f>IF(B1786="","", IFERROR(SUMIFS(ベンチマークリターン!$C$2:$C$2001, ベンチマークリターン!$A$2:$A$2001, A1786, ベンチマークリターン!$B$2:$B$2001, Q1786) / 100, 0))</f>
        <v/>
      </c>
      <c r="T1786" t="str">
        <f>IF(A1786="","", SUMIFS($H$2:$H$2000, $A$2:$A$2000, A1786))</f>
        <v/>
      </c>
      <c r="U1786" t="str">
        <f t="shared" si="305"/>
        <v/>
      </c>
      <c r="V1786" t="str">
        <f t="shared" si="306"/>
        <v/>
      </c>
      <c r="W1786" t="str">
        <f t="shared" si="307"/>
        <v/>
      </c>
    </row>
    <row r="1787" spans="1:23" x14ac:dyDescent="0.2">
      <c r="A1787" s="4" t="str">
        <f>IF(ポートフォリオ実績!A1788="","", ポートフォリオ実績!A1788)</f>
        <v/>
      </c>
      <c r="B1787" t="str">
        <f>IF(ポートフォリオ実績!B1788="","", ポートフォリオ実績!B1788)</f>
        <v/>
      </c>
      <c r="C1787" s="10" t="str">
        <f>IF(ポートフォリオ実績!C1788="","", ポートフォリオ実績!C1788)</f>
        <v/>
      </c>
      <c r="D1787" s="10" t="str">
        <f>IF(ポートフォリオ実績!D1788="","", ポートフォリオ実績!D1788)</f>
        <v/>
      </c>
      <c r="E1787" s="10" t="str">
        <f>IF(ポートフォリオ実績!E1788="","", ポートフォリオ実績!E1788)</f>
        <v/>
      </c>
      <c r="F1787" s="10" t="str">
        <f>IF(ポートフォリオ実績!F1788="","", ポートフォリオ実績!F1788)</f>
        <v/>
      </c>
      <c r="G1787" t="str">
        <f t="shared" si="297"/>
        <v/>
      </c>
      <c r="H1787">
        <f>IF(B1787&lt;&gt;"", SUMIFS(ポートフォリオ実績!$D$2:$D$2001, ポートフォリオ実績!$B$2:$B$2001, B1787, ポートフォリオ実績!$A$2:$A$2001, G1787), 0)</f>
        <v>0</v>
      </c>
      <c r="I1787">
        <f>IF(B1787&lt;&gt;"", SUMIFS(ポートフォリオ実績!$C$2:$C$2001, ポートフォリオ実績!$B$2:$B$2001, B1787, ポートフォリオ実績!$A$2:$A$2001, G1787), 0)</f>
        <v>0</v>
      </c>
      <c r="J1787">
        <f t="shared" si="298"/>
        <v>0</v>
      </c>
      <c r="K1787">
        <f t="shared" si="299"/>
        <v>0</v>
      </c>
      <c r="L1787">
        <f t="shared" si="300"/>
        <v>0</v>
      </c>
      <c r="M1787">
        <f t="shared" si="301"/>
        <v>0</v>
      </c>
      <c r="N1787">
        <f t="shared" si="302"/>
        <v>0</v>
      </c>
      <c r="O1787">
        <f t="shared" si="303"/>
        <v>0</v>
      </c>
      <c r="P1787" t="str">
        <f t="shared" si="304"/>
        <v/>
      </c>
      <c r="Q1787" t="str">
        <f>IF(B1787="","", IFERROR(VLOOKUP(B1787, '基準資産配分（設定）'!$A$2:$C$2001, 3, FALSE), ""))</f>
        <v/>
      </c>
      <c r="R1787" t="str">
        <f>IF(B1787="","", IFERROR(VLOOKUP(B1787, '基準資産配分（設定）'!$A$2:$C$2001, 2, FALSE)/100, 0))</f>
        <v/>
      </c>
      <c r="S1787" t="str">
        <f>IF(B1787="","", IFERROR(SUMIFS(ベンチマークリターン!$C$2:$C$2001, ベンチマークリターン!$A$2:$A$2001, A1787, ベンチマークリターン!$B$2:$B$2001, Q1787) / 100, 0))</f>
        <v/>
      </c>
      <c r="T1787" t="str">
        <f>IF(A1787="","", SUMIFS($H$2:$H$2000, $A$2:$A$2000, A1787))</f>
        <v/>
      </c>
      <c r="U1787" t="str">
        <f t="shared" si="305"/>
        <v/>
      </c>
      <c r="V1787" t="str">
        <f t="shared" si="306"/>
        <v/>
      </c>
      <c r="W1787" t="str">
        <f t="shared" si="307"/>
        <v/>
      </c>
    </row>
    <row r="1788" spans="1:23" x14ac:dyDescent="0.2">
      <c r="A1788" s="4" t="str">
        <f>IF(ポートフォリオ実績!A1789="","", ポートフォリオ実績!A1789)</f>
        <v/>
      </c>
      <c r="B1788" t="str">
        <f>IF(ポートフォリオ実績!B1789="","", ポートフォリオ実績!B1789)</f>
        <v/>
      </c>
      <c r="C1788" s="10" t="str">
        <f>IF(ポートフォリオ実績!C1789="","", ポートフォリオ実績!C1789)</f>
        <v/>
      </c>
      <c r="D1788" s="10" t="str">
        <f>IF(ポートフォリオ実績!D1789="","", ポートフォリオ実績!D1789)</f>
        <v/>
      </c>
      <c r="E1788" s="10" t="str">
        <f>IF(ポートフォリオ実績!E1789="","", ポートフォリオ実績!E1789)</f>
        <v/>
      </c>
      <c r="F1788" s="10" t="str">
        <f>IF(ポートフォリオ実績!F1789="","", ポートフォリオ実績!F1789)</f>
        <v/>
      </c>
      <c r="G1788" t="str">
        <f t="shared" si="297"/>
        <v/>
      </c>
      <c r="H1788">
        <f>IF(B1788&lt;&gt;"", SUMIFS(ポートフォリオ実績!$D$2:$D$2001, ポートフォリオ実績!$B$2:$B$2001, B1788, ポートフォリオ実績!$A$2:$A$2001, G1788), 0)</f>
        <v>0</v>
      </c>
      <c r="I1788">
        <f>IF(B1788&lt;&gt;"", SUMIFS(ポートフォリオ実績!$C$2:$C$2001, ポートフォリオ実績!$B$2:$B$2001, B1788, ポートフォリオ実績!$A$2:$A$2001, G1788), 0)</f>
        <v>0</v>
      </c>
      <c r="J1788">
        <f t="shared" si="298"/>
        <v>0</v>
      </c>
      <c r="K1788">
        <f t="shared" si="299"/>
        <v>0</v>
      </c>
      <c r="L1788">
        <f t="shared" si="300"/>
        <v>0</v>
      </c>
      <c r="M1788">
        <f t="shared" si="301"/>
        <v>0</v>
      </c>
      <c r="N1788">
        <f t="shared" si="302"/>
        <v>0</v>
      </c>
      <c r="O1788">
        <f t="shared" si="303"/>
        <v>0</v>
      </c>
      <c r="P1788" t="str">
        <f t="shared" si="304"/>
        <v/>
      </c>
      <c r="Q1788" t="str">
        <f>IF(B1788="","", IFERROR(VLOOKUP(B1788, '基準資産配分（設定）'!$A$2:$C$2001, 3, FALSE), ""))</f>
        <v/>
      </c>
      <c r="R1788" t="str">
        <f>IF(B1788="","", IFERROR(VLOOKUP(B1788, '基準資産配分（設定）'!$A$2:$C$2001, 2, FALSE)/100, 0))</f>
        <v/>
      </c>
      <c r="S1788" t="str">
        <f>IF(B1788="","", IFERROR(SUMIFS(ベンチマークリターン!$C$2:$C$2001, ベンチマークリターン!$A$2:$A$2001, A1788, ベンチマークリターン!$B$2:$B$2001, Q1788) / 100, 0))</f>
        <v/>
      </c>
      <c r="T1788" t="str">
        <f>IF(A1788="","", SUMIFS($H$2:$H$2000, $A$2:$A$2000, A1788))</f>
        <v/>
      </c>
      <c r="U1788" t="str">
        <f t="shared" si="305"/>
        <v/>
      </c>
      <c r="V1788" t="str">
        <f t="shared" si="306"/>
        <v/>
      </c>
      <c r="W1788" t="str">
        <f t="shared" si="307"/>
        <v/>
      </c>
    </row>
    <row r="1789" spans="1:23" x14ac:dyDescent="0.2">
      <c r="A1789" s="4" t="str">
        <f>IF(ポートフォリオ実績!A1790="","", ポートフォリオ実績!A1790)</f>
        <v/>
      </c>
      <c r="B1789" t="str">
        <f>IF(ポートフォリオ実績!B1790="","", ポートフォリオ実績!B1790)</f>
        <v/>
      </c>
      <c r="C1789" s="10" t="str">
        <f>IF(ポートフォリオ実績!C1790="","", ポートフォリオ実績!C1790)</f>
        <v/>
      </c>
      <c r="D1789" s="10" t="str">
        <f>IF(ポートフォリオ実績!D1790="","", ポートフォリオ実績!D1790)</f>
        <v/>
      </c>
      <c r="E1789" s="10" t="str">
        <f>IF(ポートフォリオ実績!E1790="","", ポートフォリオ実績!E1790)</f>
        <v/>
      </c>
      <c r="F1789" s="10" t="str">
        <f>IF(ポートフォリオ実績!F1790="","", ポートフォリオ実績!F1790)</f>
        <v/>
      </c>
      <c r="G1789" t="str">
        <f t="shared" si="297"/>
        <v/>
      </c>
      <c r="H1789">
        <f>IF(B1789&lt;&gt;"", SUMIFS(ポートフォリオ実績!$D$2:$D$2001, ポートフォリオ実績!$B$2:$B$2001, B1789, ポートフォリオ実績!$A$2:$A$2001, G1789), 0)</f>
        <v>0</v>
      </c>
      <c r="I1789">
        <f>IF(B1789&lt;&gt;"", SUMIFS(ポートフォリオ実績!$C$2:$C$2001, ポートフォリオ実績!$B$2:$B$2001, B1789, ポートフォリオ実績!$A$2:$A$2001, G1789), 0)</f>
        <v>0</v>
      </c>
      <c r="J1789">
        <f t="shared" si="298"/>
        <v>0</v>
      </c>
      <c r="K1789">
        <f t="shared" si="299"/>
        <v>0</v>
      </c>
      <c r="L1789">
        <f t="shared" si="300"/>
        <v>0</v>
      </c>
      <c r="M1789">
        <f t="shared" si="301"/>
        <v>0</v>
      </c>
      <c r="N1789">
        <f t="shared" si="302"/>
        <v>0</v>
      </c>
      <c r="O1789">
        <f t="shared" si="303"/>
        <v>0</v>
      </c>
      <c r="P1789" t="str">
        <f t="shared" si="304"/>
        <v/>
      </c>
      <c r="Q1789" t="str">
        <f>IF(B1789="","", IFERROR(VLOOKUP(B1789, '基準資産配分（設定）'!$A$2:$C$2001, 3, FALSE), ""))</f>
        <v/>
      </c>
      <c r="R1789" t="str">
        <f>IF(B1789="","", IFERROR(VLOOKUP(B1789, '基準資産配分（設定）'!$A$2:$C$2001, 2, FALSE)/100, 0))</f>
        <v/>
      </c>
      <c r="S1789" t="str">
        <f>IF(B1789="","", IFERROR(SUMIFS(ベンチマークリターン!$C$2:$C$2001, ベンチマークリターン!$A$2:$A$2001, A1789, ベンチマークリターン!$B$2:$B$2001, Q1789) / 100, 0))</f>
        <v/>
      </c>
      <c r="T1789" t="str">
        <f>IF(A1789="","", SUMIFS($H$2:$H$2000, $A$2:$A$2000, A1789))</f>
        <v/>
      </c>
      <c r="U1789" t="str">
        <f t="shared" si="305"/>
        <v/>
      </c>
      <c r="V1789" t="str">
        <f t="shared" si="306"/>
        <v/>
      </c>
      <c r="W1789" t="str">
        <f t="shared" si="307"/>
        <v/>
      </c>
    </row>
    <row r="1790" spans="1:23" x14ac:dyDescent="0.2">
      <c r="A1790" s="4" t="str">
        <f>IF(ポートフォリオ実績!A1791="","", ポートフォリオ実績!A1791)</f>
        <v/>
      </c>
      <c r="B1790" t="str">
        <f>IF(ポートフォリオ実績!B1791="","", ポートフォリオ実績!B1791)</f>
        <v/>
      </c>
      <c r="C1790" s="10" t="str">
        <f>IF(ポートフォリオ実績!C1791="","", ポートフォリオ実績!C1791)</f>
        <v/>
      </c>
      <c r="D1790" s="10" t="str">
        <f>IF(ポートフォリオ実績!D1791="","", ポートフォリオ実績!D1791)</f>
        <v/>
      </c>
      <c r="E1790" s="10" t="str">
        <f>IF(ポートフォリオ実績!E1791="","", ポートフォリオ実績!E1791)</f>
        <v/>
      </c>
      <c r="F1790" s="10" t="str">
        <f>IF(ポートフォリオ実績!F1791="","", ポートフォリオ実績!F1791)</f>
        <v/>
      </c>
      <c r="G1790" t="str">
        <f t="shared" si="297"/>
        <v/>
      </c>
      <c r="H1790">
        <f>IF(B1790&lt;&gt;"", SUMIFS(ポートフォリオ実績!$D$2:$D$2001, ポートフォリオ実績!$B$2:$B$2001, B1790, ポートフォリオ実績!$A$2:$A$2001, G1790), 0)</f>
        <v>0</v>
      </c>
      <c r="I1790">
        <f>IF(B1790&lt;&gt;"", SUMIFS(ポートフォリオ実績!$C$2:$C$2001, ポートフォリオ実績!$B$2:$B$2001, B1790, ポートフォリオ実績!$A$2:$A$2001, G1790), 0)</f>
        <v>0</v>
      </c>
      <c r="J1790">
        <f t="shared" si="298"/>
        <v>0</v>
      </c>
      <c r="K1790">
        <f t="shared" si="299"/>
        <v>0</v>
      </c>
      <c r="L1790">
        <f t="shared" si="300"/>
        <v>0</v>
      </c>
      <c r="M1790">
        <f t="shared" si="301"/>
        <v>0</v>
      </c>
      <c r="N1790">
        <f t="shared" si="302"/>
        <v>0</v>
      </c>
      <c r="O1790">
        <f t="shared" si="303"/>
        <v>0</v>
      </c>
      <c r="P1790" t="str">
        <f t="shared" si="304"/>
        <v/>
      </c>
      <c r="Q1790" t="str">
        <f>IF(B1790="","", IFERROR(VLOOKUP(B1790, '基準資産配分（設定）'!$A$2:$C$2001, 3, FALSE), ""))</f>
        <v/>
      </c>
      <c r="R1790" t="str">
        <f>IF(B1790="","", IFERROR(VLOOKUP(B1790, '基準資産配分（設定）'!$A$2:$C$2001, 2, FALSE)/100, 0))</f>
        <v/>
      </c>
      <c r="S1790" t="str">
        <f>IF(B1790="","", IFERROR(SUMIFS(ベンチマークリターン!$C$2:$C$2001, ベンチマークリターン!$A$2:$A$2001, A1790, ベンチマークリターン!$B$2:$B$2001, Q1790) / 100, 0))</f>
        <v/>
      </c>
      <c r="T1790" t="str">
        <f>IF(A1790="","", SUMIFS($H$2:$H$2000, $A$2:$A$2000, A1790))</f>
        <v/>
      </c>
      <c r="U1790" t="str">
        <f t="shared" si="305"/>
        <v/>
      </c>
      <c r="V1790" t="str">
        <f t="shared" si="306"/>
        <v/>
      </c>
      <c r="W1790" t="str">
        <f t="shared" si="307"/>
        <v/>
      </c>
    </row>
    <row r="1791" spans="1:23" x14ac:dyDescent="0.2">
      <c r="A1791" s="4" t="str">
        <f>IF(ポートフォリオ実績!A1792="","", ポートフォリオ実績!A1792)</f>
        <v/>
      </c>
      <c r="B1791" t="str">
        <f>IF(ポートフォリオ実績!B1792="","", ポートフォリオ実績!B1792)</f>
        <v/>
      </c>
      <c r="C1791" s="10" t="str">
        <f>IF(ポートフォリオ実績!C1792="","", ポートフォリオ実績!C1792)</f>
        <v/>
      </c>
      <c r="D1791" s="10" t="str">
        <f>IF(ポートフォリオ実績!D1792="","", ポートフォリオ実績!D1792)</f>
        <v/>
      </c>
      <c r="E1791" s="10" t="str">
        <f>IF(ポートフォリオ実績!E1792="","", ポートフォリオ実績!E1792)</f>
        <v/>
      </c>
      <c r="F1791" s="10" t="str">
        <f>IF(ポートフォリオ実績!F1792="","", ポートフォリオ実績!F1792)</f>
        <v/>
      </c>
      <c r="G1791" t="str">
        <f t="shared" si="297"/>
        <v/>
      </c>
      <c r="H1791">
        <f>IF(B1791&lt;&gt;"", SUMIFS(ポートフォリオ実績!$D$2:$D$2001, ポートフォリオ実績!$B$2:$B$2001, B1791, ポートフォリオ実績!$A$2:$A$2001, G1791), 0)</f>
        <v>0</v>
      </c>
      <c r="I1791">
        <f>IF(B1791&lt;&gt;"", SUMIFS(ポートフォリオ実績!$C$2:$C$2001, ポートフォリオ実績!$B$2:$B$2001, B1791, ポートフォリオ実績!$A$2:$A$2001, G1791), 0)</f>
        <v>0</v>
      </c>
      <c r="J1791">
        <f t="shared" si="298"/>
        <v>0</v>
      </c>
      <c r="K1791">
        <f t="shared" si="299"/>
        <v>0</v>
      </c>
      <c r="L1791">
        <f t="shared" si="300"/>
        <v>0</v>
      </c>
      <c r="M1791">
        <f t="shared" si="301"/>
        <v>0</v>
      </c>
      <c r="N1791">
        <f t="shared" si="302"/>
        <v>0</v>
      </c>
      <c r="O1791">
        <f t="shared" si="303"/>
        <v>0</v>
      </c>
      <c r="P1791" t="str">
        <f t="shared" si="304"/>
        <v/>
      </c>
      <c r="Q1791" t="str">
        <f>IF(B1791="","", IFERROR(VLOOKUP(B1791, '基準資産配分（設定）'!$A$2:$C$2001, 3, FALSE), ""))</f>
        <v/>
      </c>
      <c r="R1791" t="str">
        <f>IF(B1791="","", IFERROR(VLOOKUP(B1791, '基準資産配分（設定）'!$A$2:$C$2001, 2, FALSE)/100, 0))</f>
        <v/>
      </c>
      <c r="S1791" t="str">
        <f>IF(B1791="","", IFERROR(SUMIFS(ベンチマークリターン!$C$2:$C$2001, ベンチマークリターン!$A$2:$A$2001, A1791, ベンチマークリターン!$B$2:$B$2001, Q1791) / 100, 0))</f>
        <v/>
      </c>
      <c r="T1791" t="str">
        <f>IF(A1791="","", SUMIFS($H$2:$H$2000, $A$2:$A$2000, A1791))</f>
        <v/>
      </c>
      <c r="U1791" t="str">
        <f t="shared" si="305"/>
        <v/>
      </c>
      <c r="V1791" t="str">
        <f t="shared" si="306"/>
        <v/>
      </c>
      <c r="W1791" t="str">
        <f t="shared" si="307"/>
        <v/>
      </c>
    </row>
    <row r="1792" spans="1:23" x14ac:dyDescent="0.2">
      <c r="A1792" s="4" t="str">
        <f>IF(ポートフォリオ実績!A1793="","", ポートフォリオ実績!A1793)</f>
        <v/>
      </c>
      <c r="B1792" t="str">
        <f>IF(ポートフォリオ実績!B1793="","", ポートフォリオ実績!B1793)</f>
        <v/>
      </c>
      <c r="C1792" s="10" t="str">
        <f>IF(ポートフォリオ実績!C1793="","", ポートフォリオ実績!C1793)</f>
        <v/>
      </c>
      <c r="D1792" s="10" t="str">
        <f>IF(ポートフォリオ実績!D1793="","", ポートフォリオ実績!D1793)</f>
        <v/>
      </c>
      <c r="E1792" s="10" t="str">
        <f>IF(ポートフォリオ実績!E1793="","", ポートフォリオ実績!E1793)</f>
        <v/>
      </c>
      <c r="F1792" s="10" t="str">
        <f>IF(ポートフォリオ実績!F1793="","", ポートフォリオ実績!F1793)</f>
        <v/>
      </c>
      <c r="G1792" t="str">
        <f t="shared" si="297"/>
        <v/>
      </c>
      <c r="H1792">
        <f>IF(B1792&lt;&gt;"", SUMIFS(ポートフォリオ実績!$D$2:$D$2001, ポートフォリオ実績!$B$2:$B$2001, B1792, ポートフォリオ実績!$A$2:$A$2001, G1792), 0)</f>
        <v>0</v>
      </c>
      <c r="I1792">
        <f>IF(B1792&lt;&gt;"", SUMIFS(ポートフォリオ実績!$C$2:$C$2001, ポートフォリオ実績!$B$2:$B$2001, B1792, ポートフォリオ実績!$A$2:$A$2001, G1792), 0)</f>
        <v>0</v>
      </c>
      <c r="J1792">
        <f t="shared" si="298"/>
        <v>0</v>
      </c>
      <c r="K1792">
        <f t="shared" si="299"/>
        <v>0</v>
      </c>
      <c r="L1792">
        <f t="shared" si="300"/>
        <v>0</v>
      </c>
      <c r="M1792">
        <f t="shared" si="301"/>
        <v>0</v>
      </c>
      <c r="N1792">
        <f t="shared" si="302"/>
        <v>0</v>
      </c>
      <c r="O1792">
        <f t="shared" si="303"/>
        <v>0</v>
      </c>
      <c r="P1792" t="str">
        <f t="shared" si="304"/>
        <v/>
      </c>
      <c r="Q1792" t="str">
        <f>IF(B1792="","", IFERROR(VLOOKUP(B1792, '基準資産配分（設定）'!$A$2:$C$2001, 3, FALSE), ""))</f>
        <v/>
      </c>
      <c r="R1792" t="str">
        <f>IF(B1792="","", IFERROR(VLOOKUP(B1792, '基準資産配分（設定）'!$A$2:$C$2001, 2, FALSE)/100, 0))</f>
        <v/>
      </c>
      <c r="S1792" t="str">
        <f>IF(B1792="","", IFERROR(SUMIFS(ベンチマークリターン!$C$2:$C$2001, ベンチマークリターン!$A$2:$A$2001, A1792, ベンチマークリターン!$B$2:$B$2001, Q1792) / 100, 0))</f>
        <v/>
      </c>
      <c r="T1792" t="str">
        <f>IF(A1792="","", SUMIFS($H$2:$H$2000, $A$2:$A$2000, A1792))</f>
        <v/>
      </c>
      <c r="U1792" t="str">
        <f t="shared" si="305"/>
        <v/>
      </c>
      <c r="V1792" t="str">
        <f t="shared" si="306"/>
        <v/>
      </c>
      <c r="W1792" t="str">
        <f t="shared" si="307"/>
        <v/>
      </c>
    </row>
    <row r="1793" spans="1:23" x14ac:dyDescent="0.2">
      <c r="A1793" s="4" t="str">
        <f>IF(ポートフォリオ実績!A1794="","", ポートフォリオ実績!A1794)</f>
        <v/>
      </c>
      <c r="B1793" t="str">
        <f>IF(ポートフォリオ実績!B1794="","", ポートフォリオ実績!B1794)</f>
        <v/>
      </c>
      <c r="C1793" s="10" t="str">
        <f>IF(ポートフォリオ実績!C1794="","", ポートフォリオ実績!C1794)</f>
        <v/>
      </c>
      <c r="D1793" s="10" t="str">
        <f>IF(ポートフォリオ実績!D1794="","", ポートフォリオ実績!D1794)</f>
        <v/>
      </c>
      <c r="E1793" s="10" t="str">
        <f>IF(ポートフォリオ実績!E1794="","", ポートフォリオ実績!E1794)</f>
        <v/>
      </c>
      <c r="F1793" s="10" t="str">
        <f>IF(ポートフォリオ実績!F1794="","", ポートフォリオ実績!F1794)</f>
        <v/>
      </c>
      <c r="G1793" t="str">
        <f t="shared" ref="G1793:G1856" si="308">IF(A1793&lt;&gt;"", EOMONTH(A1793, -1), "")</f>
        <v/>
      </c>
      <c r="H1793">
        <f>IF(B1793&lt;&gt;"", SUMIFS(ポートフォリオ実績!$D$2:$D$2001, ポートフォリオ実績!$B$2:$B$2001, B1793, ポートフォリオ実績!$A$2:$A$2001, G1793), 0)</f>
        <v>0</v>
      </c>
      <c r="I1793">
        <f>IF(B1793&lt;&gt;"", SUMIFS(ポートフォリオ実績!$C$2:$C$2001, ポートフォリオ実績!$B$2:$B$2001, B1793, ポートフォリオ実績!$A$2:$A$2001, G1793), 0)</f>
        <v>0</v>
      </c>
      <c r="J1793">
        <f t="shared" ref="J1793:J1856" si="309">IF(A1793&lt;&gt;"", D1793-C1793, 0)</f>
        <v>0</v>
      </c>
      <c r="K1793">
        <f t="shared" ref="K1793:K1856" si="310">IF(A1793&lt;&gt;"", H1793-I1793, 0)</f>
        <v>0</v>
      </c>
      <c r="L1793">
        <f t="shared" ref="L1793:L1856" si="311">IF(H1793=0, 0, J1793-K1793)</f>
        <v>0</v>
      </c>
      <c r="M1793">
        <f t="shared" ref="M1793:M1856" si="312">IF(A1793&lt;&gt;"", E1793+F1793+L1793, 0)</f>
        <v>0</v>
      </c>
      <c r="N1793">
        <f t="shared" ref="N1793:N1856" si="313">IF(H1793=0, 0, (D1793-H1793)-M1793)</f>
        <v>0</v>
      </c>
      <c r="O1793">
        <f t="shared" ref="O1793:O1856" si="314">IF(A1793&lt;&gt;"", H1793+N1793*0.5, 0)</f>
        <v>0</v>
      </c>
      <c r="P1793" t="str">
        <f t="shared" ref="P1793:P1856" si="315">IF(A1793="","", IF(O1793&gt;0.000001, M1793/O1793, IF(ABS(M1793)&lt;0.000001, 0, 0)))</f>
        <v/>
      </c>
      <c r="Q1793" t="str">
        <f>IF(B1793="","", IFERROR(VLOOKUP(B1793, '基準資産配分（設定）'!$A$2:$C$2001, 3, FALSE), ""))</f>
        <v/>
      </c>
      <c r="R1793" t="str">
        <f>IF(B1793="","", IFERROR(VLOOKUP(B1793, '基準資産配分（設定）'!$A$2:$C$2001, 2, FALSE)/100, 0))</f>
        <v/>
      </c>
      <c r="S1793" t="str">
        <f>IF(B1793="","", IFERROR(SUMIFS(ベンチマークリターン!$C$2:$C$2001, ベンチマークリターン!$A$2:$A$2001, A1793, ベンチマークリターン!$B$2:$B$2001, Q1793) / 100, 0))</f>
        <v/>
      </c>
      <c r="T1793" t="str">
        <f>IF(A1793="","", SUMIFS($H$2:$H$2000, $A$2:$A$2000, A1793))</f>
        <v/>
      </c>
      <c r="U1793" t="str">
        <f t="shared" ref="U1793:U1856" si="316">IF(A1793="","", IFERROR(H1793/T1793, 0))</f>
        <v/>
      </c>
      <c r="V1793" t="str">
        <f t="shared" ref="V1793:V1856" si="317">IF(A1793="","", U1793*P1793)</f>
        <v/>
      </c>
      <c r="W1793" t="str">
        <f t="shared" ref="W1793:W1856" si="318">IF(A1793="","", R1793*S1793)</f>
        <v/>
      </c>
    </row>
    <row r="1794" spans="1:23" x14ac:dyDescent="0.2">
      <c r="A1794" s="4" t="str">
        <f>IF(ポートフォリオ実績!A1795="","", ポートフォリオ実績!A1795)</f>
        <v/>
      </c>
      <c r="B1794" t="str">
        <f>IF(ポートフォリオ実績!B1795="","", ポートフォリオ実績!B1795)</f>
        <v/>
      </c>
      <c r="C1794" s="10" t="str">
        <f>IF(ポートフォリオ実績!C1795="","", ポートフォリオ実績!C1795)</f>
        <v/>
      </c>
      <c r="D1794" s="10" t="str">
        <f>IF(ポートフォリオ実績!D1795="","", ポートフォリオ実績!D1795)</f>
        <v/>
      </c>
      <c r="E1794" s="10" t="str">
        <f>IF(ポートフォリオ実績!E1795="","", ポートフォリオ実績!E1795)</f>
        <v/>
      </c>
      <c r="F1794" s="10" t="str">
        <f>IF(ポートフォリオ実績!F1795="","", ポートフォリオ実績!F1795)</f>
        <v/>
      </c>
      <c r="G1794" t="str">
        <f t="shared" si="308"/>
        <v/>
      </c>
      <c r="H1794">
        <f>IF(B1794&lt;&gt;"", SUMIFS(ポートフォリオ実績!$D$2:$D$2001, ポートフォリオ実績!$B$2:$B$2001, B1794, ポートフォリオ実績!$A$2:$A$2001, G1794), 0)</f>
        <v>0</v>
      </c>
      <c r="I1794">
        <f>IF(B1794&lt;&gt;"", SUMIFS(ポートフォリオ実績!$C$2:$C$2001, ポートフォリオ実績!$B$2:$B$2001, B1794, ポートフォリオ実績!$A$2:$A$2001, G1794), 0)</f>
        <v>0</v>
      </c>
      <c r="J1794">
        <f t="shared" si="309"/>
        <v>0</v>
      </c>
      <c r="K1794">
        <f t="shared" si="310"/>
        <v>0</v>
      </c>
      <c r="L1794">
        <f t="shared" si="311"/>
        <v>0</v>
      </c>
      <c r="M1794">
        <f t="shared" si="312"/>
        <v>0</v>
      </c>
      <c r="N1794">
        <f t="shared" si="313"/>
        <v>0</v>
      </c>
      <c r="O1794">
        <f t="shared" si="314"/>
        <v>0</v>
      </c>
      <c r="P1794" t="str">
        <f t="shared" si="315"/>
        <v/>
      </c>
      <c r="Q1794" t="str">
        <f>IF(B1794="","", IFERROR(VLOOKUP(B1794, '基準資産配分（設定）'!$A$2:$C$2001, 3, FALSE), ""))</f>
        <v/>
      </c>
      <c r="R1794" t="str">
        <f>IF(B1794="","", IFERROR(VLOOKUP(B1794, '基準資産配分（設定）'!$A$2:$C$2001, 2, FALSE)/100, 0))</f>
        <v/>
      </c>
      <c r="S1794" t="str">
        <f>IF(B1794="","", IFERROR(SUMIFS(ベンチマークリターン!$C$2:$C$2001, ベンチマークリターン!$A$2:$A$2001, A1794, ベンチマークリターン!$B$2:$B$2001, Q1794) / 100, 0))</f>
        <v/>
      </c>
      <c r="T1794" t="str">
        <f>IF(A1794="","", SUMIFS($H$2:$H$2000, $A$2:$A$2000, A1794))</f>
        <v/>
      </c>
      <c r="U1794" t="str">
        <f t="shared" si="316"/>
        <v/>
      </c>
      <c r="V1794" t="str">
        <f t="shared" si="317"/>
        <v/>
      </c>
      <c r="W1794" t="str">
        <f t="shared" si="318"/>
        <v/>
      </c>
    </row>
    <row r="1795" spans="1:23" x14ac:dyDescent="0.2">
      <c r="A1795" s="4" t="str">
        <f>IF(ポートフォリオ実績!A1796="","", ポートフォリオ実績!A1796)</f>
        <v/>
      </c>
      <c r="B1795" t="str">
        <f>IF(ポートフォリオ実績!B1796="","", ポートフォリオ実績!B1796)</f>
        <v/>
      </c>
      <c r="C1795" s="10" t="str">
        <f>IF(ポートフォリオ実績!C1796="","", ポートフォリオ実績!C1796)</f>
        <v/>
      </c>
      <c r="D1795" s="10" t="str">
        <f>IF(ポートフォリオ実績!D1796="","", ポートフォリオ実績!D1796)</f>
        <v/>
      </c>
      <c r="E1795" s="10" t="str">
        <f>IF(ポートフォリオ実績!E1796="","", ポートフォリオ実績!E1796)</f>
        <v/>
      </c>
      <c r="F1795" s="10" t="str">
        <f>IF(ポートフォリオ実績!F1796="","", ポートフォリオ実績!F1796)</f>
        <v/>
      </c>
      <c r="G1795" t="str">
        <f t="shared" si="308"/>
        <v/>
      </c>
      <c r="H1795">
        <f>IF(B1795&lt;&gt;"", SUMIFS(ポートフォリオ実績!$D$2:$D$2001, ポートフォリオ実績!$B$2:$B$2001, B1795, ポートフォリオ実績!$A$2:$A$2001, G1795), 0)</f>
        <v>0</v>
      </c>
      <c r="I1795">
        <f>IF(B1795&lt;&gt;"", SUMIFS(ポートフォリオ実績!$C$2:$C$2001, ポートフォリオ実績!$B$2:$B$2001, B1795, ポートフォリオ実績!$A$2:$A$2001, G1795), 0)</f>
        <v>0</v>
      </c>
      <c r="J1795">
        <f t="shared" si="309"/>
        <v>0</v>
      </c>
      <c r="K1795">
        <f t="shared" si="310"/>
        <v>0</v>
      </c>
      <c r="L1795">
        <f t="shared" si="311"/>
        <v>0</v>
      </c>
      <c r="M1795">
        <f t="shared" si="312"/>
        <v>0</v>
      </c>
      <c r="N1795">
        <f t="shared" si="313"/>
        <v>0</v>
      </c>
      <c r="O1795">
        <f t="shared" si="314"/>
        <v>0</v>
      </c>
      <c r="P1795" t="str">
        <f t="shared" si="315"/>
        <v/>
      </c>
      <c r="Q1795" t="str">
        <f>IF(B1795="","", IFERROR(VLOOKUP(B1795, '基準資産配分（設定）'!$A$2:$C$2001, 3, FALSE), ""))</f>
        <v/>
      </c>
      <c r="R1795" t="str">
        <f>IF(B1795="","", IFERROR(VLOOKUP(B1795, '基準資産配分（設定）'!$A$2:$C$2001, 2, FALSE)/100, 0))</f>
        <v/>
      </c>
      <c r="S1795" t="str">
        <f>IF(B1795="","", IFERROR(SUMIFS(ベンチマークリターン!$C$2:$C$2001, ベンチマークリターン!$A$2:$A$2001, A1795, ベンチマークリターン!$B$2:$B$2001, Q1795) / 100, 0))</f>
        <v/>
      </c>
      <c r="T1795" t="str">
        <f>IF(A1795="","", SUMIFS($H$2:$H$2000, $A$2:$A$2000, A1795))</f>
        <v/>
      </c>
      <c r="U1795" t="str">
        <f t="shared" si="316"/>
        <v/>
      </c>
      <c r="V1795" t="str">
        <f t="shared" si="317"/>
        <v/>
      </c>
      <c r="W1795" t="str">
        <f t="shared" si="318"/>
        <v/>
      </c>
    </row>
    <row r="1796" spans="1:23" x14ac:dyDescent="0.2">
      <c r="A1796" s="4" t="str">
        <f>IF(ポートフォリオ実績!A1797="","", ポートフォリオ実績!A1797)</f>
        <v/>
      </c>
      <c r="B1796" t="str">
        <f>IF(ポートフォリオ実績!B1797="","", ポートフォリオ実績!B1797)</f>
        <v/>
      </c>
      <c r="C1796" s="10" t="str">
        <f>IF(ポートフォリオ実績!C1797="","", ポートフォリオ実績!C1797)</f>
        <v/>
      </c>
      <c r="D1796" s="10" t="str">
        <f>IF(ポートフォリオ実績!D1797="","", ポートフォリオ実績!D1797)</f>
        <v/>
      </c>
      <c r="E1796" s="10" t="str">
        <f>IF(ポートフォリオ実績!E1797="","", ポートフォリオ実績!E1797)</f>
        <v/>
      </c>
      <c r="F1796" s="10" t="str">
        <f>IF(ポートフォリオ実績!F1797="","", ポートフォリオ実績!F1797)</f>
        <v/>
      </c>
      <c r="G1796" t="str">
        <f t="shared" si="308"/>
        <v/>
      </c>
      <c r="H1796">
        <f>IF(B1796&lt;&gt;"", SUMIFS(ポートフォリオ実績!$D$2:$D$2001, ポートフォリオ実績!$B$2:$B$2001, B1796, ポートフォリオ実績!$A$2:$A$2001, G1796), 0)</f>
        <v>0</v>
      </c>
      <c r="I1796">
        <f>IF(B1796&lt;&gt;"", SUMIFS(ポートフォリオ実績!$C$2:$C$2001, ポートフォリオ実績!$B$2:$B$2001, B1796, ポートフォリオ実績!$A$2:$A$2001, G1796), 0)</f>
        <v>0</v>
      </c>
      <c r="J1796">
        <f t="shared" si="309"/>
        <v>0</v>
      </c>
      <c r="K1796">
        <f t="shared" si="310"/>
        <v>0</v>
      </c>
      <c r="L1796">
        <f t="shared" si="311"/>
        <v>0</v>
      </c>
      <c r="M1796">
        <f t="shared" si="312"/>
        <v>0</v>
      </c>
      <c r="N1796">
        <f t="shared" si="313"/>
        <v>0</v>
      </c>
      <c r="O1796">
        <f t="shared" si="314"/>
        <v>0</v>
      </c>
      <c r="P1796" t="str">
        <f t="shared" si="315"/>
        <v/>
      </c>
      <c r="Q1796" t="str">
        <f>IF(B1796="","", IFERROR(VLOOKUP(B1796, '基準資産配分（設定）'!$A$2:$C$2001, 3, FALSE), ""))</f>
        <v/>
      </c>
      <c r="R1796" t="str">
        <f>IF(B1796="","", IFERROR(VLOOKUP(B1796, '基準資産配分（設定）'!$A$2:$C$2001, 2, FALSE)/100, 0))</f>
        <v/>
      </c>
      <c r="S1796" t="str">
        <f>IF(B1796="","", IFERROR(SUMIFS(ベンチマークリターン!$C$2:$C$2001, ベンチマークリターン!$A$2:$A$2001, A1796, ベンチマークリターン!$B$2:$B$2001, Q1796) / 100, 0))</f>
        <v/>
      </c>
      <c r="T1796" t="str">
        <f>IF(A1796="","", SUMIFS($H$2:$H$2000, $A$2:$A$2000, A1796))</f>
        <v/>
      </c>
      <c r="U1796" t="str">
        <f t="shared" si="316"/>
        <v/>
      </c>
      <c r="V1796" t="str">
        <f t="shared" si="317"/>
        <v/>
      </c>
      <c r="W1796" t="str">
        <f t="shared" si="318"/>
        <v/>
      </c>
    </row>
    <row r="1797" spans="1:23" x14ac:dyDescent="0.2">
      <c r="A1797" s="4" t="str">
        <f>IF(ポートフォリオ実績!A1798="","", ポートフォリオ実績!A1798)</f>
        <v/>
      </c>
      <c r="B1797" t="str">
        <f>IF(ポートフォリオ実績!B1798="","", ポートフォリオ実績!B1798)</f>
        <v/>
      </c>
      <c r="C1797" s="10" t="str">
        <f>IF(ポートフォリオ実績!C1798="","", ポートフォリオ実績!C1798)</f>
        <v/>
      </c>
      <c r="D1797" s="10" t="str">
        <f>IF(ポートフォリオ実績!D1798="","", ポートフォリオ実績!D1798)</f>
        <v/>
      </c>
      <c r="E1797" s="10" t="str">
        <f>IF(ポートフォリオ実績!E1798="","", ポートフォリオ実績!E1798)</f>
        <v/>
      </c>
      <c r="F1797" s="10" t="str">
        <f>IF(ポートフォリオ実績!F1798="","", ポートフォリオ実績!F1798)</f>
        <v/>
      </c>
      <c r="G1797" t="str">
        <f t="shared" si="308"/>
        <v/>
      </c>
      <c r="H1797">
        <f>IF(B1797&lt;&gt;"", SUMIFS(ポートフォリオ実績!$D$2:$D$2001, ポートフォリオ実績!$B$2:$B$2001, B1797, ポートフォリオ実績!$A$2:$A$2001, G1797), 0)</f>
        <v>0</v>
      </c>
      <c r="I1797">
        <f>IF(B1797&lt;&gt;"", SUMIFS(ポートフォリオ実績!$C$2:$C$2001, ポートフォリオ実績!$B$2:$B$2001, B1797, ポートフォリオ実績!$A$2:$A$2001, G1797), 0)</f>
        <v>0</v>
      </c>
      <c r="J1797">
        <f t="shared" si="309"/>
        <v>0</v>
      </c>
      <c r="K1797">
        <f t="shared" si="310"/>
        <v>0</v>
      </c>
      <c r="L1797">
        <f t="shared" si="311"/>
        <v>0</v>
      </c>
      <c r="M1797">
        <f t="shared" si="312"/>
        <v>0</v>
      </c>
      <c r="N1797">
        <f t="shared" si="313"/>
        <v>0</v>
      </c>
      <c r="O1797">
        <f t="shared" si="314"/>
        <v>0</v>
      </c>
      <c r="P1797" t="str">
        <f t="shared" si="315"/>
        <v/>
      </c>
      <c r="Q1797" t="str">
        <f>IF(B1797="","", IFERROR(VLOOKUP(B1797, '基準資産配分（設定）'!$A$2:$C$2001, 3, FALSE), ""))</f>
        <v/>
      </c>
      <c r="R1797" t="str">
        <f>IF(B1797="","", IFERROR(VLOOKUP(B1797, '基準資産配分（設定）'!$A$2:$C$2001, 2, FALSE)/100, 0))</f>
        <v/>
      </c>
      <c r="S1797" t="str">
        <f>IF(B1797="","", IFERROR(SUMIFS(ベンチマークリターン!$C$2:$C$2001, ベンチマークリターン!$A$2:$A$2001, A1797, ベンチマークリターン!$B$2:$B$2001, Q1797) / 100, 0))</f>
        <v/>
      </c>
      <c r="T1797" t="str">
        <f>IF(A1797="","", SUMIFS($H$2:$H$2000, $A$2:$A$2000, A1797))</f>
        <v/>
      </c>
      <c r="U1797" t="str">
        <f t="shared" si="316"/>
        <v/>
      </c>
      <c r="V1797" t="str">
        <f t="shared" si="317"/>
        <v/>
      </c>
      <c r="W1797" t="str">
        <f t="shared" si="318"/>
        <v/>
      </c>
    </row>
    <row r="1798" spans="1:23" x14ac:dyDescent="0.2">
      <c r="A1798" s="4" t="str">
        <f>IF(ポートフォリオ実績!A1799="","", ポートフォリオ実績!A1799)</f>
        <v/>
      </c>
      <c r="B1798" t="str">
        <f>IF(ポートフォリオ実績!B1799="","", ポートフォリオ実績!B1799)</f>
        <v/>
      </c>
      <c r="C1798" s="10" t="str">
        <f>IF(ポートフォリオ実績!C1799="","", ポートフォリオ実績!C1799)</f>
        <v/>
      </c>
      <c r="D1798" s="10" t="str">
        <f>IF(ポートフォリオ実績!D1799="","", ポートフォリオ実績!D1799)</f>
        <v/>
      </c>
      <c r="E1798" s="10" t="str">
        <f>IF(ポートフォリオ実績!E1799="","", ポートフォリオ実績!E1799)</f>
        <v/>
      </c>
      <c r="F1798" s="10" t="str">
        <f>IF(ポートフォリオ実績!F1799="","", ポートフォリオ実績!F1799)</f>
        <v/>
      </c>
      <c r="G1798" t="str">
        <f t="shared" si="308"/>
        <v/>
      </c>
      <c r="H1798">
        <f>IF(B1798&lt;&gt;"", SUMIFS(ポートフォリオ実績!$D$2:$D$2001, ポートフォリオ実績!$B$2:$B$2001, B1798, ポートフォリオ実績!$A$2:$A$2001, G1798), 0)</f>
        <v>0</v>
      </c>
      <c r="I1798">
        <f>IF(B1798&lt;&gt;"", SUMIFS(ポートフォリオ実績!$C$2:$C$2001, ポートフォリオ実績!$B$2:$B$2001, B1798, ポートフォリオ実績!$A$2:$A$2001, G1798), 0)</f>
        <v>0</v>
      </c>
      <c r="J1798">
        <f t="shared" si="309"/>
        <v>0</v>
      </c>
      <c r="K1798">
        <f t="shared" si="310"/>
        <v>0</v>
      </c>
      <c r="L1798">
        <f t="shared" si="311"/>
        <v>0</v>
      </c>
      <c r="M1798">
        <f t="shared" si="312"/>
        <v>0</v>
      </c>
      <c r="N1798">
        <f t="shared" si="313"/>
        <v>0</v>
      </c>
      <c r="O1798">
        <f t="shared" si="314"/>
        <v>0</v>
      </c>
      <c r="P1798" t="str">
        <f t="shared" si="315"/>
        <v/>
      </c>
      <c r="Q1798" t="str">
        <f>IF(B1798="","", IFERROR(VLOOKUP(B1798, '基準資産配分（設定）'!$A$2:$C$2001, 3, FALSE), ""))</f>
        <v/>
      </c>
      <c r="R1798" t="str">
        <f>IF(B1798="","", IFERROR(VLOOKUP(B1798, '基準資産配分（設定）'!$A$2:$C$2001, 2, FALSE)/100, 0))</f>
        <v/>
      </c>
      <c r="S1798" t="str">
        <f>IF(B1798="","", IFERROR(SUMIFS(ベンチマークリターン!$C$2:$C$2001, ベンチマークリターン!$A$2:$A$2001, A1798, ベンチマークリターン!$B$2:$B$2001, Q1798) / 100, 0))</f>
        <v/>
      </c>
      <c r="T1798" t="str">
        <f>IF(A1798="","", SUMIFS($H$2:$H$2000, $A$2:$A$2000, A1798))</f>
        <v/>
      </c>
      <c r="U1798" t="str">
        <f t="shared" si="316"/>
        <v/>
      </c>
      <c r="V1798" t="str">
        <f t="shared" si="317"/>
        <v/>
      </c>
      <c r="W1798" t="str">
        <f t="shared" si="318"/>
        <v/>
      </c>
    </row>
    <row r="1799" spans="1:23" x14ac:dyDescent="0.2">
      <c r="A1799" s="4" t="str">
        <f>IF(ポートフォリオ実績!A1800="","", ポートフォリオ実績!A1800)</f>
        <v/>
      </c>
      <c r="B1799" t="str">
        <f>IF(ポートフォリオ実績!B1800="","", ポートフォリオ実績!B1800)</f>
        <v/>
      </c>
      <c r="C1799" s="10" t="str">
        <f>IF(ポートフォリオ実績!C1800="","", ポートフォリオ実績!C1800)</f>
        <v/>
      </c>
      <c r="D1799" s="10" t="str">
        <f>IF(ポートフォリオ実績!D1800="","", ポートフォリオ実績!D1800)</f>
        <v/>
      </c>
      <c r="E1799" s="10" t="str">
        <f>IF(ポートフォリオ実績!E1800="","", ポートフォリオ実績!E1800)</f>
        <v/>
      </c>
      <c r="F1799" s="10" t="str">
        <f>IF(ポートフォリオ実績!F1800="","", ポートフォリオ実績!F1800)</f>
        <v/>
      </c>
      <c r="G1799" t="str">
        <f t="shared" si="308"/>
        <v/>
      </c>
      <c r="H1799">
        <f>IF(B1799&lt;&gt;"", SUMIFS(ポートフォリオ実績!$D$2:$D$2001, ポートフォリオ実績!$B$2:$B$2001, B1799, ポートフォリオ実績!$A$2:$A$2001, G1799), 0)</f>
        <v>0</v>
      </c>
      <c r="I1799">
        <f>IF(B1799&lt;&gt;"", SUMIFS(ポートフォリオ実績!$C$2:$C$2001, ポートフォリオ実績!$B$2:$B$2001, B1799, ポートフォリオ実績!$A$2:$A$2001, G1799), 0)</f>
        <v>0</v>
      </c>
      <c r="J1799">
        <f t="shared" si="309"/>
        <v>0</v>
      </c>
      <c r="K1799">
        <f t="shared" si="310"/>
        <v>0</v>
      </c>
      <c r="L1799">
        <f t="shared" si="311"/>
        <v>0</v>
      </c>
      <c r="M1799">
        <f t="shared" si="312"/>
        <v>0</v>
      </c>
      <c r="N1799">
        <f t="shared" si="313"/>
        <v>0</v>
      </c>
      <c r="O1799">
        <f t="shared" si="314"/>
        <v>0</v>
      </c>
      <c r="P1799" t="str">
        <f t="shared" si="315"/>
        <v/>
      </c>
      <c r="Q1799" t="str">
        <f>IF(B1799="","", IFERROR(VLOOKUP(B1799, '基準資産配分（設定）'!$A$2:$C$2001, 3, FALSE), ""))</f>
        <v/>
      </c>
      <c r="R1799" t="str">
        <f>IF(B1799="","", IFERROR(VLOOKUP(B1799, '基準資産配分（設定）'!$A$2:$C$2001, 2, FALSE)/100, 0))</f>
        <v/>
      </c>
      <c r="S1799" t="str">
        <f>IF(B1799="","", IFERROR(SUMIFS(ベンチマークリターン!$C$2:$C$2001, ベンチマークリターン!$A$2:$A$2001, A1799, ベンチマークリターン!$B$2:$B$2001, Q1799) / 100, 0))</f>
        <v/>
      </c>
      <c r="T1799" t="str">
        <f>IF(A1799="","", SUMIFS($H$2:$H$2000, $A$2:$A$2000, A1799))</f>
        <v/>
      </c>
      <c r="U1799" t="str">
        <f t="shared" si="316"/>
        <v/>
      </c>
      <c r="V1799" t="str">
        <f t="shared" si="317"/>
        <v/>
      </c>
      <c r="W1799" t="str">
        <f t="shared" si="318"/>
        <v/>
      </c>
    </row>
    <row r="1800" spans="1:23" x14ac:dyDescent="0.2">
      <c r="A1800" s="4" t="str">
        <f>IF(ポートフォリオ実績!A1801="","", ポートフォリオ実績!A1801)</f>
        <v/>
      </c>
      <c r="B1800" t="str">
        <f>IF(ポートフォリオ実績!B1801="","", ポートフォリオ実績!B1801)</f>
        <v/>
      </c>
      <c r="C1800" s="10" t="str">
        <f>IF(ポートフォリオ実績!C1801="","", ポートフォリオ実績!C1801)</f>
        <v/>
      </c>
      <c r="D1800" s="10" t="str">
        <f>IF(ポートフォリオ実績!D1801="","", ポートフォリオ実績!D1801)</f>
        <v/>
      </c>
      <c r="E1800" s="10" t="str">
        <f>IF(ポートフォリオ実績!E1801="","", ポートフォリオ実績!E1801)</f>
        <v/>
      </c>
      <c r="F1800" s="10" t="str">
        <f>IF(ポートフォリオ実績!F1801="","", ポートフォリオ実績!F1801)</f>
        <v/>
      </c>
      <c r="G1800" t="str">
        <f t="shared" si="308"/>
        <v/>
      </c>
      <c r="H1800">
        <f>IF(B1800&lt;&gt;"", SUMIFS(ポートフォリオ実績!$D$2:$D$2001, ポートフォリオ実績!$B$2:$B$2001, B1800, ポートフォリオ実績!$A$2:$A$2001, G1800), 0)</f>
        <v>0</v>
      </c>
      <c r="I1800">
        <f>IF(B1800&lt;&gt;"", SUMIFS(ポートフォリオ実績!$C$2:$C$2001, ポートフォリオ実績!$B$2:$B$2001, B1800, ポートフォリオ実績!$A$2:$A$2001, G1800), 0)</f>
        <v>0</v>
      </c>
      <c r="J1800">
        <f t="shared" si="309"/>
        <v>0</v>
      </c>
      <c r="K1800">
        <f t="shared" si="310"/>
        <v>0</v>
      </c>
      <c r="L1800">
        <f t="shared" si="311"/>
        <v>0</v>
      </c>
      <c r="M1800">
        <f t="shared" si="312"/>
        <v>0</v>
      </c>
      <c r="N1800">
        <f t="shared" si="313"/>
        <v>0</v>
      </c>
      <c r="O1800">
        <f t="shared" si="314"/>
        <v>0</v>
      </c>
      <c r="P1800" t="str">
        <f t="shared" si="315"/>
        <v/>
      </c>
      <c r="Q1800" t="str">
        <f>IF(B1800="","", IFERROR(VLOOKUP(B1800, '基準資産配分（設定）'!$A$2:$C$2001, 3, FALSE), ""))</f>
        <v/>
      </c>
      <c r="R1800" t="str">
        <f>IF(B1800="","", IFERROR(VLOOKUP(B1800, '基準資産配分（設定）'!$A$2:$C$2001, 2, FALSE)/100, 0))</f>
        <v/>
      </c>
      <c r="S1800" t="str">
        <f>IF(B1800="","", IFERROR(SUMIFS(ベンチマークリターン!$C$2:$C$2001, ベンチマークリターン!$A$2:$A$2001, A1800, ベンチマークリターン!$B$2:$B$2001, Q1800) / 100, 0))</f>
        <v/>
      </c>
      <c r="T1800" t="str">
        <f>IF(A1800="","", SUMIFS($H$2:$H$2000, $A$2:$A$2000, A1800))</f>
        <v/>
      </c>
      <c r="U1800" t="str">
        <f t="shared" si="316"/>
        <v/>
      </c>
      <c r="V1800" t="str">
        <f t="shared" si="317"/>
        <v/>
      </c>
      <c r="W1800" t="str">
        <f t="shared" si="318"/>
        <v/>
      </c>
    </row>
    <row r="1801" spans="1:23" x14ac:dyDescent="0.2">
      <c r="A1801" s="4" t="str">
        <f>IF(ポートフォリオ実績!A1802="","", ポートフォリオ実績!A1802)</f>
        <v/>
      </c>
      <c r="B1801" t="str">
        <f>IF(ポートフォリオ実績!B1802="","", ポートフォリオ実績!B1802)</f>
        <v/>
      </c>
      <c r="C1801" s="10" t="str">
        <f>IF(ポートフォリオ実績!C1802="","", ポートフォリオ実績!C1802)</f>
        <v/>
      </c>
      <c r="D1801" s="10" t="str">
        <f>IF(ポートフォリオ実績!D1802="","", ポートフォリオ実績!D1802)</f>
        <v/>
      </c>
      <c r="E1801" s="10" t="str">
        <f>IF(ポートフォリオ実績!E1802="","", ポートフォリオ実績!E1802)</f>
        <v/>
      </c>
      <c r="F1801" s="10" t="str">
        <f>IF(ポートフォリオ実績!F1802="","", ポートフォリオ実績!F1802)</f>
        <v/>
      </c>
      <c r="G1801" t="str">
        <f t="shared" si="308"/>
        <v/>
      </c>
      <c r="H1801">
        <f>IF(B1801&lt;&gt;"", SUMIFS(ポートフォリオ実績!$D$2:$D$2001, ポートフォリオ実績!$B$2:$B$2001, B1801, ポートフォリオ実績!$A$2:$A$2001, G1801), 0)</f>
        <v>0</v>
      </c>
      <c r="I1801">
        <f>IF(B1801&lt;&gt;"", SUMIFS(ポートフォリオ実績!$C$2:$C$2001, ポートフォリオ実績!$B$2:$B$2001, B1801, ポートフォリオ実績!$A$2:$A$2001, G1801), 0)</f>
        <v>0</v>
      </c>
      <c r="J1801">
        <f t="shared" si="309"/>
        <v>0</v>
      </c>
      <c r="K1801">
        <f t="shared" si="310"/>
        <v>0</v>
      </c>
      <c r="L1801">
        <f t="shared" si="311"/>
        <v>0</v>
      </c>
      <c r="M1801">
        <f t="shared" si="312"/>
        <v>0</v>
      </c>
      <c r="N1801">
        <f t="shared" si="313"/>
        <v>0</v>
      </c>
      <c r="O1801">
        <f t="shared" si="314"/>
        <v>0</v>
      </c>
      <c r="P1801" t="str">
        <f t="shared" si="315"/>
        <v/>
      </c>
      <c r="Q1801" t="str">
        <f>IF(B1801="","", IFERROR(VLOOKUP(B1801, '基準資産配分（設定）'!$A$2:$C$2001, 3, FALSE), ""))</f>
        <v/>
      </c>
      <c r="R1801" t="str">
        <f>IF(B1801="","", IFERROR(VLOOKUP(B1801, '基準資産配分（設定）'!$A$2:$C$2001, 2, FALSE)/100, 0))</f>
        <v/>
      </c>
      <c r="S1801" t="str">
        <f>IF(B1801="","", IFERROR(SUMIFS(ベンチマークリターン!$C$2:$C$2001, ベンチマークリターン!$A$2:$A$2001, A1801, ベンチマークリターン!$B$2:$B$2001, Q1801) / 100, 0))</f>
        <v/>
      </c>
      <c r="T1801" t="str">
        <f>IF(A1801="","", SUMIFS($H$2:$H$2000, $A$2:$A$2000, A1801))</f>
        <v/>
      </c>
      <c r="U1801" t="str">
        <f t="shared" si="316"/>
        <v/>
      </c>
      <c r="V1801" t="str">
        <f t="shared" si="317"/>
        <v/>
      </c>
      <c r="W1801" t="str">
        <f t="shared" si="318"/>
        <v/>
      </c>
    </row>
    <row r="1802" spans="1:23" x14ac:dyDescent="0.2">
      <c r="A1802" s="4" t="str">
        <f>IF(ポートフォリオ実績!A1803="","", ポートフォリオ実績!A1803)</f>
        <v/>
      </c>
      <c r="B1802" t="str">
        <f>IF(ポートフォリオ実績!B1803="","", ポートフォリオ実績!B1803)</f>
        <v/>
      </c>
      <c r="C1802" s="10" t="str">
        <f>IF(ポートフォリオ実績!C1803="","", ポートフォリオ実績!C1803)</f>
        <v/>
      </c>
      <c r="D1802" s="10" t="str">
        <f>IF(ポートフォリオ実績!D1803="","", ポートフォリオ実績!D1803)</f>
        <v/>
      </c>
      <c r="E1802" s="10" t="str">
        <f>IF(ポートフォリオ実績!E1803="","", ポートフォリオ実績!E1803)</f>
        <v/>
      </c>
      <c r="F1802" s="10" t="str">
        <f>IF(ポートフォリオ実績!F1803="","", ポートフォリオ実績!F1803)</f>
        <v/>
      </c>
      <c r="G1802" t="str">
        <f t="shared" si="308"/>
        <v/>
      </c>
      <c r="H1802">
        <f>IF(B1802&lt;&gt;"", SUMIFS(ポートフォリオ実績!$D$2:$D$2001, ポートフォリオ実績!$B$2:$B$2001, B1802, ポートフォリオ実績!$A$2:$A$2001, G1802), 0)</f>
        <v>0</v>
      </c>
      <c r="I1802">
        <f>IF(B1802&lt;&gt;"", SUMIFS(ポートフォリオ実績!$C$2:$C$2001, ポートフォリオ実績!$B$2:$B$2001, B1802, ポートフォリオ実績!$A$2:$A$2001, G1802), 0)</f>
        <v>0</v>
      </c>
      <c r="J1802">
        <f t="shared" si="309"/>
        <v>0</v>
      </c>
      <c r="K1802">
        <f t="shared" si="310"/>
        <v>0</v>
      </c>
      <c r="L1802">
        <f t="shared" si="311"/>
        <v>0</v>
      </c>
      <c r="M1802">
        <f t="shared" si="312"/>
        <v>0</v>
      </c>
      <c r="N1802">
        <f t="shared" si="313"/>
        <v>0</v>
      </c>
      <c r="O1802">
        <f t="shared" si="314"/>
        <v>0</v>
      </c>
      <c r="P1802" t="str">
        <f t="shared" si="315"/>
        <v/>
      </c>
      <c r="Q1802" t="str">
        <f>IF(B1802="","", IFERROR(VLOOKUP(B1802, '基準資産配分（設定）'!$A$2:$C$2001, 3, FALSE), ""))</f>
        <v/>
      </c>
      <c r="R1802" t="str">
        <f>IF(B1802="","", IFERROR(VLOOKUP(B1802, '基準資産配分（設定）'!$A$2:$C$2001, 2, FALSE)/100, 0))</f>
        <v/>
      </c>
      <c r="S1802" t="str">
        <f>IF(B1802="","", IFERROR(SUMIFS(ベンチマークリターン!$C$2:$C$2001, ベンチマークリターン!$A$2:$A$2001, A1802, ベンチマークリターン!$B$2:$B$2001, Q1802) / 100, 0))</f>
        <v/>
      </c>
      <c r="T1802" t="str">
        <f>IF(A1802="","", SUMIFS($H$2:$H$2000, $A$2:$A$2000, A1802))</f>
        <v/>
      </c>
      <c r="U1802" t="str">
        <f t="shared" si="316"/>
        <v/>
      </c>
      <c r="V1802" t="str">
        <f t="shared" si="317"/>
        <v/>
      </c>
      <c r="W1802" t="str">
        <f t="shared" si="318"/>
        <v/>
      </c>
    </row>
    <row r="1803" spans="1:23" x14ac:dyDescent="0.2">
      <c r="A1803" s="4" t="str">
        <f>IF(ポートフォリオ実績!A1804="","", ポートフォリオ実績!A1804)</f>
        <v/>
      </c>
      <c r="B1803" t="str">
        <f>IF(ポートフォリオ実績!B1804="","", ポートフォリオ実績!B1804)</f>
        <v/>
      </c>
      <c r="C1803" s="10" t="str">
        <f>IF(ポートフォリオ実績!C1804="","", ポートフォリオ実績!C1804)</f>
        <v/>
      </c>
      <c r="D1803" s="10" t="str">
        <f>IF(ポートフォリオ実績!D1804="","", ポートフォリオ実績!D1804)</f>
        <v/>
      </c>
      <c r="E1803" s="10" t="str">
        <f>IF(ポートフォリオ実績!E1804="","", ポートフォリオ実績!E1804)</f>
        <v/>
      </c>
      <c r="F1803" s="10" t="str">
        <f>IF(ポートフォリオ実績!F1804="","", ポートフォリオ実績!F1804)</f>
        <v/>
      </c>
      <c r="G1803" t="str">
        <f t="shared" si="308"/>
        <v/>
      </c>
      <c r="H1803">
        <f>IF(B1803&lt;&gt;"", SUMIFS(ポートフォリオ実績!$D$2:$D$2001, ポートフォリオ実績!$B$2:$B$2001, B1803, ポートフォリオ実績!$A$2:$A$2001, G1803), 0)</f>
        <v>0</v>
      </c>
      <c r="I1803">
        <f>IF(B1803&lt;&gt;"", SUMIFS(ポートフォリオ実績!$C$2:$C$2001, ポートフォリオ実績!$B$2:$B$2001, B1803, ポートフォリオ実績!$A$2:$A$2001, G1803), 0)</f>
        <v>0</v>
      </c>
      <c r="J1803">
        <f t="shared" si="309"/>
        <v>0</v>
      </c>
      <c r="K1803">
        <f t="shared" si="310"/>
        <v>0</v>
      </c>
      <c r="L1803">
        <f t="shared" si="311"/>
        <v>0</v>
      </c>
      <c r="M1803">
        <f t="shared" si="312"/>
        <v>0</v>
      </c>
      <c r="N1803">
        <f t="shared" si="313"/>
        <v>0</v>
      </c>
      <c r="O1803">
        <f t="shared" si="314"/>
        <v>0</v>
      </c>
      <c r="P1803" t="str">
        <f t="shared" si="315"/>
        <v/>
      </c>
      <c r="Q1803" t="str">
        <f>IF(B1803="","", IFERROR(VLOOKUP(B1803, '基準資産配分（設定）'!$A$2:$C$2001, 3, FALSE), ""))</f>
        <v/>
      </c>
      <c r="R1803" t="str">
        <f>IF(B1803="","", IFERROR(VLOOKUP(B1803, '基準資産配分（設定）'!$A$2:$C$2001, 2, FALSE)/100, 0))</f>
        <v/>
      </c>
      <c r="S1803" t="str">
        <f>IF(B1803="","", IFERROR(SUMIFS(ベンチマークリターン!$C$2:$C$2001, ベンチマークリターン!$A$2:$A$2001, A1803, ベンチマークリターン!$B$2:$B$2001, Q1803) / 100, 0))</f>
        <v/>
      </c>
      <c r="T1803" t="str">
        <f>IF(A1803="","", SUMIFS($H$2:$H$2000, $A$2:$A$2000, A1803))</f>
        <v/>
      </c>
      <c r="U1803" t="str">
        <f t="shared" si="316"/>
        <v/>
      </c>
      <c r="V1803" t="str">
        <f t="shared" si="317"/>
        <v/>
      </c>
      <c r="W1803" t="str">
        <f t="shared" si="318"/>
        <v/>
      </c>
    </row>
    <row r="1804" spans="1:23" x14ac:dyDescent="0.2">
      <c r="A1804" s="4" t="str">
        <f>IF(ポートフォリオ実績!A1805="","", ポートフォリオ実績!A1805)</f>
        <v/>
      </c>
      <c r="B1804" t="str">
        <f>IF(ポートフォリオ実績!B1805="","", ポートフォリオ実績!B1805)</f>
        <v/>
      </c>
      <c r="C1804" s="10" t="str">
        <f>IF(ポートフォリオ実績!C1805="","", ポートフォリオ実績!C1805)</f>
        <v/>
      </c>
      <c r="D1804" s="10" t="str">
        <f>IF(ポートフォリオ実績!D1805="","", ポートフォリオ実績!D1805)</f>
        <v/>
      </c>
      <c r="E1804" s="10" t="str">
        <f>IF(ポートフォリオ実績!E1805="","", ポートフォリオ実績!E1805)</f>
        <v/>
      </c>
      <c r="F1804" s="10" t="str">
        <f>IF(ポートフォリオ実績!F1805="","", ポートフォリオ実績!F1805)</f>
        <v/>
      </c>
      <c r="G1804" t="str">
        <f t="shared" si="308"/>
        <v/>
      </c>
      <c r="H1804">
        <f>IF(B1804&lt;&gt;"", SUMIFS(ポートフォリオ実績!$D$2:$D$2001, ポートフォリオ実績!$B$2:$B$2001, B1804, ポートフォリオ実績!$A$2:$A$2001, G1804), 0)</f>
        <v>0</v>
      </c>
      <c r="I1804">
        <f>IF(B1804&lt;&gt;"", SUMIFS(ポートフォリオ実績!$C$2:$C$2001, ポートフォリオ実績!$B$2:$B$2001, B1804, ポートフォリオ実績!$A$2:$A$2001, G1804), 0)</f>
        <v>0</v>
      </c>
      <c r="J1804">
        <f t="shared" si="309"/>
        <v>0</v>
      </c>
      <c r="K1804">
        <f t="shared" si="310"/>
        <v>0</v>
      </c>
      <c r="L1804">
        <f t="shared" si="311"/>
        <v>0</v>
      </c>
      <c r="M1804">
        <f t="shared" si="312"/>
        <v>0</v>
      </c>
      <c r="N1804">
        <f t="shared" si="313"/>
        <v>0</v>
      </c>
      <c r="O1804">
        <f t="shared" si="314"/>
        <v>0</v>
      </c>
      <c r="P1804" t="str">
        <f t="shared" si="315"/>
        <v/>
      </c>
      <c r="Q1804" t="str">
        <f>IF(B1804="","", IFERROR(VLOOKUP(B1804, '基準資産配分（設定）'!$A$2:$C$2001, 3, FALSE), ""))</f>
        <v/>
      </c>
      <c r="R1804" t="str">
        <f>IF(B1804="","", IFERROR(VLOOKUP(B1804, '基準資産配分（設定）'!$A$2:$C$2001, 2, FALSE)/100, 0))</f>
        <v/>
      </c>
      <c r="S1804" t="str">
        <f>IF(B1804="","", IFERROR(SUMIFS(ベンチマークリターン!$C$2:$C$2001, ベンチマークリターン!$A$2:$A$2001, A1804, ベンチマークリターン!$B$2:$B$2001, Q1804) / 100, 0))</f>
        <v/>
      </c>
      <c r="T1804" t="str">
        <f>IF(A1804="","", SUMIFS($H$2:$H$2000, $A$2:$A$2000, A1804))</f>
        <v/>
      </c>
      <c r="U1804" t="str">
        <f t="shared" si="316"/>
        <v/>
      </c>
      <c r="V1804" t="str">
        <f t="shared" si="317"/>
        <v/>
      </c>
      <c r="W1804" t="str">
        <f t="shared" si="318"/>
        <v/>
      </c>
    </row>
    <row r="1805" spans="1:23" x14ac:dyDescent="0.2">
      <c r="A1805" s="4" t="str">
        <f>IF(ポートフォリオ実績!A1806="","", ポートフォリオ実績!A1806)</f>
        <v/>
      </c>
      <c r="B1805" t="str">
        <f>IF(ポートフォリオ実績!B1806="","", ポートフォリオ実績!B1806)</f>
        <v/>
      </c>
      <c r="C1805" s="10" t="str">
        <f>IF(ポートフォリオ実績!C1806="","", ポートフォリオ実績!C1806)</f>
        <v/>
      </c>
      <c r="D1805" s="10" t="str">
        <f>IF(ポートフォリオ実績!D1806="","", ポートフォリオ実績!D1806)</f>
        <v/>
      </c>
      <c r="E1805" s="10" t="str">
        <f>IF(ポートフォリオ実績!E1806="","", ポートフォリオ実績!E1806)</f>
        <v/>
      </c>
      <c r="F1805" s="10" t="str">
        <f>IF(ポートフォリオ実績!F1806="","", ポートフォリオ実績!F1806)</f>
        <v/>
      </c>
      <c r="G1805" t="str">
        <f t="shared" si="308"/>
        <v/>
      </c>
      <c r="H1805">
        <f>IF(B1805&lt;&gt;"", SUMIFS(ポートフォリオ実績!$D$2:$D$2001, ポートフォリオ実績!$B$2:$B$2001, B1805, ポートフォリオ実績!$A$2:$A$2001, G1805), 0)</f>
        <v>0</v>
      </c>
      <c r="I1805">
        <f>IF(B1805&lt;&gt;"", SUMIFS(ポートフォリオ実績!$C$2:$C$2001, ポートフォリオ実績!$B$2:$B$2001, B1805, ポートフォリオ実績!$A$2:$A$2001, G1805), 0)</f>
        <v>0</v>
      </c>
      <c r="J1805">
        <f t="shared" si="309"/>
        <v>0</v>
      </c>
      <c r="K1805">
        <f t="shared" si="310"/>
        <v>0</v>
      </c>
      <c r="L1805">
        <f t="shared" si="311"/>
        <v>0</v>
      </c>
      <c r="M1805">
        <f t="shared" si="312"/>
        <v>0</v>
      </c>
      <c r="N1805">
        <f t="shared" si="313"/>
        <v>0</v>
      </c>
      <c r="O1805">
        <f t="shared" si="314"/>
        <v>0</v>
      </c>
      <c r="P1805" t="str">
        <f t="shared" si="315"/>
        <v/>
      </c>
      <c r="Q1805" t="str">
        <f>IF(B1805="","", IFERROR(VLOOKUP(B1805, '基準資産配分（設定）'!$A$2:$C$2001, 3, FALSE), ""))</f>
        <v/>
      </c>
      <c r="R1805" t="str">
        <f>IF(B1805="","", IFERROR(VLOOKUP(B1805, '基準資産配分（設定）'!$A$2:$C$2001, 2, FALSE)/100, 0))</f>
        <v/>
      </c>
      <c r="S1805" t="str">
        <f>IF(B1805="","", IFERROR(SUMIFS(ベンチマークリターン!$C$2:$C$2001, ベンチマークリターン!$A$2:$A$2001, A1805, ベンチマークリターン!$B$2:$B$2001, Q1805) / 100, 0))</f>
        <v/>
      </c>
      <c r="T1805" t="str">
        <f>IF(A1805="","", SUMIFS($H$2:$H$2000, $A$2:$A$2000, A1805))</f>
        <v/>
      </c>
      <c r="U1805" t="str">
        <f t="shared" si="316"/>
        <v/>
      </c>
      <c r="V1805" t="str">
        <f t="shared" si="317"/>
        <v/>
      </c>
      <c r="W1805" t="str">
        <f t="shared" si="318"/>
        <v/>
      </c>
    </row>
    <row r="1806" spans="1:23" x14ac:dyDescent="0.2">
      <c r="A1806" s="4" t="str">
        <f>IF(ポートフォリオ実績!A1807="","", ポートフォリオ実績!A1807)</f>
        <v/>
      </c>
      <c r="B1806" t="str">
        <f>IF(ポートフォリオ実績!B1807="","", ポートフォリオ実績!B1807)</f>
        <v/>
      </c>
      <c r="C1806" s="10" t="str">
        <f>IF(ポートフォリオ実績!C1807="","", ポートフォリオ実績!C1807)</f>
        <v/>
      </c>
      <c r="D1806" s="10" t="str">
        <f>IF(ポートフォリオ実績!D1807="","", ポートフォリオ実績!D1807)</f>
        <v/>
      </c>
      <c r="E1806" s="10" t="str">
        <f>IF(ポートフォリオ実績!E1807="","", ポートフォリオ実績!E1807)</f>
        <v/>
      </c>
      <c r="F1806" s="10" t="str">
        <f>IF(ポートフォリオ実績!F1807="","", ポートフォリオ実績!F1807)</f>
        <v/>
      </c>
      <c r="G1806" t="str">
        <f t="shared" si="308"/>
        <v/>
      </c>
      <c r="H1806">
        <f>IF(B1806&lt;&gt;"", SUMIFS(ポートフォリオ実績!$D$2:$D$2001, ポートフォリオ実績!$B$2:$B$2001, B1806, ポートフォリオ実績!$A$2:$A$2001, G1806), 0)</f>
        <v>0</v>
      </c>
      <c r="I1806">
        <f>IF(B1806&lt;&gt;"", SUMIFS(ポートフォリオ実績!$C$2:$C$2001, ポートフォリオ実績!$B$2:$B$2001, B1806, ポートフォリオ実績!$A$2:$A$2001, G1806), 0)</f>
        <v>0</v>
      </c>
      <c r="J1806">
        <f t="shared" si="309"/>
        <v>0</v>
      </c>
      <c r="K1806">
        <f t="shared" si="310"/>
        <v>0</v>
      </c>
      <c r="L1806">
        <f t="shared" si="311"/>
        <v>0</v>
      </c>
      <c r="M1806">
        <f t="shared" si="312"/>
        <v>0</v>
      </c>
      <c r="N1806">
        <f t="shared" si="313"/>
        <v>0</v>
      </c>
      <c r="O1806">
        <f t="shared" si="314"/>
        <v>0</v>
      </c>
      <c r="P1806" t="str">
        <f t="shared" si="315"/>
        <v/>
      </c>
      <c r="Q1806" t="str">
        <f>IF(B1806="","", IFERROR(VLOOKUP(B1806, '基準資産配分（設定）'!$A$2:$C$2001, 3, FALSE), ""))</f>
        <v/>
      </c>
      <c r="R1806" t="str">
        <f>IF(B1806="","", IFERROR(VLOOKUP(B1806, '基準資産配分（設定）'!$A$2:$C$2001, 2, FALSE)/100, 0))</f>
        <v/>
      </c>
      <c r="S1806" t="str">
        <f>IF(B1806="","", IFERROR(SUMIFS(ベンチマークリターン!$C$2:$C$2001, ベンチマークリターン!$A$2:$A$2001, A1806, ベンチマークリターン!$B$2:$B$2001, Q1806) / 100, 0))</f>
        <v/>
      </c>
      <c r="T1806" t="str">
        <f>IF(A1806="","", SUMIFS($H$2:$H$2000, $A$2:$A$2000, A1806))</f>
        <v/>
      </c>
      <c r="U1806" t="str">
        <f t="shared" si="316"/>
        <v/>
      </c>
      <c r="V1806" t="str">
        <f t="shared" si="317"/>
        <v/>
      </c>
      <c r="W1806" t="str">
        <f t="shared" si="318"/>
        <v/>
      </c>
    </row>
    <row r="1807" spans="1:23" x14ac:dyDescent="0.2">
      <c r="A1807" s="4" t="str">
        <f>IF(ポートフォリオ実績!A1808="","", ポートフォリオ実績!A1808)</f>
        <v/>
      </c>
      <c r="B1807" t="str">
        <f>IF(ポートフォリオ実績!B1808="","", ポートフォリオ実績!B1808)</f>
        <v/>
      </c>
      <c r="C1807" s="10" t="str">
        <f>IF(ポートフォリオ実績!C1808="","", ポートフォリオ実績!C1808)</f>
        <v/>
      </c>
      <c r="D1807" s="10" t="str">
        <f>IF(ポートフォリオ実績!D1808="","", ポートフォリオ実績!D1808)</f>
        <v/>
      </c>
      <c r="E1807" s="10" t="str">
        <f>IF(ポートフォリオ実績!E1808="","", ポートフォリオ実績!E1808)</f>
        <v/>
      </c>
      <c r="F1807" s="10" t="str">
        <f>IF(ポートフォリオ実績!F1808="","", ポートフォリオ実績!F1808)</f>
        <v/>
      </c>
      <c r="G1807" t="str">
        <f t="shared" si="308"/>
        <v/>
      </c>
      <c r="H1807">
        <f>IF(B1807&lt;&gt;"", SUMIFS(ポートフォリオ実績!$D$2:$D$2001, ポートフォリオ実績!$B$2:$B$2001, B1807, ポートフォリオ実績!$A$2:$A$2001, G1807), 0)</f>
        <v>0</v>
      </c>
      <c r="I1807">
        <f>IF(B1807&lt;&gt;"", SUMIFS(ポートフォリオ実績!$C$2:$C$2001, ポートフォリオ実績!$B$2:$B$2001, B1807, ポートフォリオ実績!$A$2:$A$2001, G1807), 0)</f>
        <v>0</v>
      </c>
      <c r="J1807">
        <f t="shared" si="309"/>
        <v>0</v>
      </c>
      <c r="K1807">
        <f t="shared" si="310"/>
        <v>0</v>
      </c>
      <c r="L1807">
        <f t="shared" si="311"/>
        <v>0</v>
      </c>
      <c r="M1807">
        <f t="shared" si="312"/>
        <v>0</v>
      </c>
      <c r="N1807">
        <f t="shared" si="313"/>
        <v>0</v>
      </c>
      <c r="O1807">
        <f t="shared" si="314"/>
        <v>0</v>
      </c>
      <c r="P1807" t="str">
        <f t="shared" si="315"/>
        <v/>
      </c>
      <c r="Q1807" t="str">
        <f>IF(B1807="","", IFERROR(VLOOKUP(B1807, '基準資産配分（設定）'!$A$2:$C$2001, 3, FALSE), ""))</f>
        <v/>
      </c>
      <c r="R1807" t="str">
        <f>IF(B1807="","", IFERROR(VLOOKUP(B1807, '基準資産配分（設定）'!$A$2:$C$2001, 2, FALSE)/100, 0))</f>
        <v/>
      </c>
      <c r="S1807" t="str">
        <f>IF(B1807="","", IFERROR(SUMIFS(ベンチマークリターン!$C$2:$C$2001, ベンチマークリターン!$A$2:$A$2001, A1807, ベンチマークリターン!$B$2:$B$2001, Q1807) / 100, 0))</f>
        <v/>
      </c>
      <c r="T1807" t="str">
        <f>IF(A1807="","", SUMIFS($H$2:$H$2000, $A$2:$A$2000, A1807))</f>
        <v/>
      </c>
      <c r="U1807" t="str">
        <f t="shared" si="316"/>
        <v/>
      </c>
      <c r="V1807" t="str">
        <f t="shared" si="317"/>
        <v/>
      </c>
      <c r="W1807" t="str">
        <f t="shared" si="318"/>
        <v/>
      </c>
    </row>
    <row r="1808" spans="1:23" x14ac:dyDescent="0.2">
      <c r="A1808" s="4" t="str">
        <f>IF(ポートフォリオ実績!A1809="","", ポートフォリオ実績!A1809)</f>
        <v/>
      </c>
      <c r="B1808" t="str">
        <f>IF(ポートフォリオ実績!B1809="","", ポートフォリオ実績!B1809)</f>
        <v/>
      </c>
      <c r="C1808" s="10" t="str">
        <f>IF(ポートフォリオ実績!C1809="","", ポートフォリオ実績!C1809)</f>
        <v/>
      </c>
      <c r="D1808" s="10" t="str">
        <f>IF(ポートフォリオ実績!D1809="","", ポートフォリオ実績!D1809)</f>
        <v/>
      </c>
      <c r="E1808" s="10" t="str">
        <f>IF(ポートフォリオ実績!E1809="","", ポートフォリオ実績!E1809)</f>
        <v/>
      </c>
      <c r="F1808" s="10" t="str">
        <f>IF(ポートフォリオ実績!F1809="","", ポートフォリオ実績!F1809)</f>
        <v/>
      </c>
      <c r="G1808" t="str">
        <f t="shared" si="308"/>
        <v/>
      </c>
      <c r="H1808">
        <f>IF(B1808&lt;&gt;"", SUMIFS(ポートフォリオ実績!$D$2:$D$2001, ポートフォリオ実績!$B$2:$B$2001, B1808, ポートフォリオ実績!$A$2:$A$2001, G1808), 0)</f>
        <v>0</v>
      </c>
      <c r="I1808">
        <f>IF(B1808&lt;&gt;"", SUMIFS(ポートフォリオ実績!$C$2:$C$2001, ポートフォリオ実績!$B$2:$B$2001, B1808, ポートフォリオ実績!$A$2:$A$2001, G1808), 0)</f>
        <v>0</v>
      </c>
      <c r="J1808">
        <f t="shared" si="309"/>
        <v>0</v>
      </c>
      <c r="K1808">
        <f t="shared" si="310"/>
        <v>0</v>
      </c>
      <c r="L1808">
        <f t="shared" si="311"/>
        <v>0</v>
      </c>
      <c r="M1808">
        <f t="shared" si="312"/>
        <v>0</v>
      </c>
      <c r="N1808">
        <f t="shared" si="313"/>
        <v>0</v>
      </c>
      <c r="O1808">
        <f t="shared" si="314"/>
        <v>0</v>
      </c>
      <c r="P1808" t="str">
        <f t="shared" si="315"/>
        <v/>
      </c>
      <c r="Q1808" t="str">
        <f>IF(B1808="","", IFERROR(VLOOKUP(B1808, '基準資産配分（設定）'!$A$2:$C$2001, 3, FALSE), ""))</f>
        <v/>
      </c>
      <c r="R1808" t="str">
        <f>IF(B1808="","", IFERROR(VLOOKUP(B1808, '基準資産配分（設定）'!$A$2:$C$2001, 2, FALSE)/100, 0))</f>
        <v/>
      </c>
      <c r="S1808" t="str">
        <f>IF(B1808="","", IFERROR(SUMIFS(ベンチマークリターン!$C$2:$C$2001, ベンチマークリターン!$A$2:$A$2001, A1808, ベンチマークリターン!$B$2:$B$2001, Q1808) / 100, 0))</f>
        <v/>
      </c>
      <c r="T1808" t="str">
        <f>IF(A1808="","", SUMIFS($H$2:$H$2000, $A$2:$A$2000, A1808))</f>
        <v/>
      </c>
      <c r="U1808" t="str">
        <f t="shared" si="316"/>
        <v/>
      </c>
      <c r="V1808" t="str">
        <f t="shared" si="317"/>
        <v/>
      </c>
      <c r="W1808" t="str">
        <f t="shared" si="318"/>
        <v/>
      </c>
    </row>
    <row r="1809" spans="1:23" x14ac:dyDescent="0.2">
      <c r="A1809" s="4" t="str">
        <f>IF(ポートフォリオ実績!A1810="","", ポートフォリオ実績!A1810)</f>
        <v/>
      </c>
      <c r="B1809" t="str">
        <f>IF(ポートフォリオ実績!B1810="","", ポートフォリオ実績!B1810)</f>
        <v/>
      </c>
      <c r="C1809" s="10" t="str">
        <f>IF(ポートフォリオ実績!C1810="","", ポートフォリオ実績!C1810)</f>
        <v/>
      </c>
      <c r="D1809" s="10" t="str">
        <f>IF(ポートフォリオ実績!D1810="","", ポートフォリオ実績!D1810)</f>
        <v/>
      </c>
      <c r="E1809" s="10" t="str">
        <f>IF(ポートフォリオ実績!E1810="","", ポートフォリオ実績!E1810)</f>
        <v/>
      </c>
      <c r="F1809" s="10" t="str">
        <f>IF(ポートフォリオ実績!F1810="","", ポートフォリオ実績!F1810)</f>
        <v/>
      </c>
      <c r="G1809" t="str">
        <f t="shared" si="308"/>
        <v/>
      </c>
      <c r="H1809">
        <f>IF(B1809&lt;&gt;"", SUMIFS(ポートフォリオ実績!$D$2:$D$2001, ポートフォリオ実績!$B$2:$B$2001, B1809, ポートフォリオ実績!$A$2:$A$2001, G1809), 0)</f>
        <v>0</v>
      </c>
      <c r="I1809">
        <f>IF(B1809&lt;&gt;"", SUMIFS(ポートフォリオ実績!$C$2:$C$2001, ポートフォリオ実績!$B$2:$B$2001, B1809, ポートフォリオ実績!$A$2:$A$2001, G1809), 0)</f>
        <v>0</v>
      </c>
      <c r="J1809">
        <f t="shared" si="309"/>
        <v>0</v>
      </c>
      <c r="K1809">
        <f t="shared" si="310"/>
        <v>0</v>
      </c>
      <c r="L1809">
        <f t="shared" si="311"/>
        <v>0</v>
      </c>
      <c r="M1809">
        <f t="shared" si="312"/>
        <v>0</v>
      </c>
      <c r="N1809">
        <f t="shared" si="313"/>
        <v>0</v>
      </c>
      <c r="O1809">
        <f t="shared" si="314"/>
        <v>0</v>
      </c>
      <c r="P1809" t="str">
        <f t="shared" si="315"/>
        <v/>
      </c>
      <c r="Q1809" t="str">
        <f>IF(B1809="","", IFERROR(VLOOKUP(B1809, '基準資産配分（設定）'!$A$2:$C$2001, 3, FALSE), ""))</f>
        <v/>
      </c>
      <c r="R1809" t="str">
        <f>IF(B1809="","", IFERROR(VLOOKUP(B1809, '基準資産配分（設定）'!$A$2:$C$2001, 2, FALSE)/100, 0))</f>
        <v/>
      </c>
      <c r="S1809" t="str">
        <f>IF(B1809="","", IFERROR(SUMIFS(ベンチマークリターン!$C$2:$C$2001, ベンチマークリターン!$A$2:$A$2001, A1809, ベンチマークリターン!$B$2:$B$2001, Q1809) / 100, 0))</f>
        <v/>
      </c>
      <c r="T1809" t="str">
        <f>IF(A1809="","", SUMIFS($H$2:$H$2000, $A$2:$A$2000, A1809))</f>
        <v/>
      </c>
      <c r="U1809" t="str">
        <f t="shared" si="316"/>
        <v/>
      </c>
      <c r="V1809" t="str">
        <f t="shared" si="317"/>
        <v/>
      </c>
      <c r="W1809" t="str">
        <f t="shared" si="318"/>
        <v/>
      </c>
    </row>
    <row r="1810" spans="1:23" x14ac:dyDescent="0.2">
      <c r="A1810" s="4" t="str">
        <f>IF(ポートフォリオ実績!A1811="","", ポートフォリオ実績!A1811)</f>
        <v/>
      </c>
      <c r="B1810" t="str">
        <f>IF(ポートフォリオ実績!B1811="","", ポートフォリオ実績!B1811)</f>
        <v/>
      </c>
      <c r="C1810" s="10" t="str">
        <f>IF(ポートフォリオ実績!C1811="","", ポートフォリオ実績!C1811)</f>
        <v/>
      </c>
      <c r="D1810" s="10" t="str">
        <f>IF(ポートフォリオ実績!D1811="","", ポートフォリオ実績!D1811)</f>
        <v/>
      </c>
      <c r="E1810" s="10" t="str">
        <f>IF(ポートフォリオ実績!E1811="","", ポートフォリオ実績!E1811)</f>
        <v/>
      </c>
      <c r="F1810" s="10" t="str">
        <f>IF(ポートフォリオ実績!F1811="","", ポートフォリオ実績!F1811)</f>
        <v/>
      </c>
      <c r="G1810" t="str">
        <f t="shared" si="308"/>
        <v/>
      </c>
      <c r="H1810">
        <f>IF(B1810&lt;&gt;"", SUMIFS(ポートフォリオ実績!$D$2:$D$2001, ポートフォリオ実績!$B$2:$B$2001, B1810, ポートフォリオ実績!$A$2:$A$2001, G1810), 0)</f>
        <v>0</v>
      </c>
      <c r="I1810">
        <f>IF(B1810&lt;&gt;"", SUMIFS(ポートフォリオ実績!$C$2:$C$2001, ポートフォリオ実績!$B$2:$B$2001, B1810, ポートフォリオ実績!$A$2:$A$2001, G1810), 0)</f>
        <v>0</v>
      </c>
      <c r="J1810">
        <f t="shared" si="309"/>
        <v>0</v>
      </c>
      <c r="K1810">
        <f t="shared" si="310"/>
        <v>0</v>
      </c>
      <c r="L1810">
        <f t="shared" si="311"/>
        <v>0</v>
      </c>
      <c r="M1810">
        <f t="shared" si="312"/>
        <v>0</v>
      </c>
      <c r="N1810">
        <f t="shared" si="313"/>
        <v>0</v>
      </c>
      <c r="O1810">
        <f t="shared" si="314"/>
        <v>0</v>
      </c>
      <c r="P1810" t="str">
        <f t="shared" si="315"/>
        <v/>
      </c>
      <c r="Q1810" t="str">
        <f>IF(B1810="","", IFERROR(VLOOKUP(B1810, '基準資産配分（設定）'!$A$2:$C$2001, 3, FALSE), ""))</f>
        <v/>
      </c>
      <c r="R1810" t="str">
        <f>IF(B1810="","", IFERROR(VLOOKUP(B1810, '基準資産配分（設定）'!$A$2:$C$2001, 2, FALSE)/100, 0))</f>
        <v/>
      </c>
      <c r="S1810" t="str">
        <f>IF(B1810="","", IFERROR(SUMIFS(ベンチマークリターン!$C$2:$C$2001, ベンチマークリターン!$A$2:$A$2001, A1810, ベンチマークリターン!$B$2:$B$2001, Q1810) / 100, 0))</f>
        <v/>
      </c>
      <c r="T1810" t="str">
        <f>IF(A1810="","", SUMIFS($H$2:$H$2000, $A$2:$A$2000, A1810))</f>
        <v/>
      </c>
      <c r="U1810" t="str">
        <f t="shared" si="316"/>
        <v/>
      </c>
      <c r="V1810" t="str">
        <f t="shared" si="317"/>
        <v/>
      </c>
      <c r="W1810" t="str">
        <f t="shared" si="318"/>
        <v/>
      </c>
    </row>
    <row r="1811" spans="1:23" x14ac:dyDescent="0.2">
      <c r="A1811" s="4" t="str">
        <f>IF(ポートフォリオ実績!A1812="","", ポートフォリオ実績!A1812)</f>
        <v/>
      </c>
      <c r="B1811" t="str">
        <f>IF(ポートフォリオ実績!B1812="","", ポートフォリオ実績!B1812)</f>
        <v/>
      </c>
      <c r="C1811" s="10" t="str">
        <f>IF(ポートフォリオ実績!C1812="","", ポートフォリオ実績!C1812)</f>
        <v/>
      </c>
      <c r="D1811" s="10" t="str">
        <f>IF(ポートフォリオ実績!D1812="","", ポートフォリオ実績!D1812)</f>
        <v/>
      </c>
      <c r="E1811" s="10" t="str">
        <f>IF(ポートフォリオ実績!E1812="","", ポートフォリオ実績!E1812)</f>
        <v/>
      </c>
      <c r="F1811" s="10" t="str">
        <f>IF(ポートフォリオ実績!F1812="","", ポートフォリオ実績!F1812)</f>
        <v/>
      </c>
      <c r="G1811" t="str">
        <f t="shared" si="308"/>
        <v/>
      </c>
      <c r="H1811">
        <f>IF(B1811&lt;&gt;"", SUMIFS(ポートフォリオ実績!$D$2:$D$2001, ポートフォリオ実績!$B$2:$B$2001, B1811, ポートフォリオ実績!$A$2:$A$2001, G1811), 0)</f>
        <v>0</v>
      </c>
      <c r="I1811">
        <f>IF(B1811&lt;&gt;"", SUMIFS(ポートフォリオ実績!$C$2:$C$2001, ポートフォリオ実績!$B$2:$B$2001, B1811, ポートフォリオ実績!$A$2:$A$2001, G1811), 0)</f>
        <v>0</v>
      </c>
      <c r="J1811">
        <f t="shared" si="309"/>
        <v>0</v>
      </c>
      <c r="K1811">
        <f t="shared" si="310"/>
        <v>0</v>
      </c>
      <c r="L1811">
        <f t="shared" si="311"/>
        <v>0</v>
      </c>
      <c r="M1811">
        <f t="shared" si="312"/>
        <v>0</v>
      </c>
      <c r="N1811">
        <f t="shared" si="313"/>
        <v>0</v>
      </c>
      <c r="O1811">
        <f t="shared" si="314"/>
        <v>0</v>
      </c>
      <c r="P1811" t="str">
        <f t="shared" si="315"/>
        <v/>
      </c>
      <c r="Q1811" t="str">
        <f>IF(B1811="","", IFERROR(VLOOKUP(B1811, '基準資産配分（設定）'!$A$2:$C$2001, 3, FALSE), ""))</f>
        <v/>
      </c>
      <c r="R1811" t="str">
        <f>IF(B1811="","", IFERROR(VLOOKUP(B1811, '基準資産配分（設定）'!$A$2:$C$2001, 2, FALSE)/100, 0))</f>
        <v/>
      </c>
      <c r="S1811" t="str">
        <f>IF(B1811="","", IFERROR(SUMIFS(ベンチマークリターン!$C$2:$C$2001, ベンチマークリターン!$A$2:$A$2001, A1811, ベンチマークリターン!$B$2:$B$2001, Q1811) / 100, 0))</f>
        <v/>
      </c>
      <c r="T1811" t="str">
        <f>IF(A1811="","", SUMIFS($H$2:$H$2000, $A$2:$A$2000, A1811))</f>
        <v/>
      </c>
      <c r="U1811" t="str">
        <f t="shared" si="316"/>
        <v/>
      </c>
      <c r="V1811" t="str">
        <f t="shared" si="317"/>
        <v/>
      </c>
      <c r="W1811" t="str">
        <f t="shared" si="318"/>
        <v/>
      </c>
    </row>
    <row r="1812" spans="1:23" x14ac:dyDescent="0.2">
      <c r="A1812" s="4" t="str">
        <f>IF(ポートフォリオ実績!A1813="","", ポートフォリオ実績!A1813)</f>
        <v/>
      </c>
      <c r="B1812" t="str">
        <f>IF(ポートフォリオ実績!B1813="","", ポートフォリオ実績!B1813)</f>
        <v/>
      </c>
      <c r="C1812" s="10" t="str">
        <f>IF(ポートフォリオ実績!C1813="","", ポートフォリオ実績!C1813)</f>
        <v/>
      </c>
      <c r="D1812" s="10" t="str">
        <f>IF(ポートフォリオ実績!D1813="","", ポートフォリオ実績!D1813)</f>
        <v/>
      </c>
      <c r="E1812" s="10" t="str">
        <f>IF(ポートフォリオ実績!E1813="","", ポートフォリオ実績!E1813)</f>
        <v/>
      </c>
      <c r="F1812" s="10" t="str">
        <f>IF(ポートフォリオ実績!F1813="","", ポートフォリオ実績!F1813)</f>
        <v/>
      </c>
      <c r="G1812" t="str">
        <f t="shared" si="308"/>
        <v/>
      </c>
      <c r="H1812">
        <f>IF(B1812&lt;&gt;"", SUMIFS(ポートフォリオ実績!$D$2:$D$2001, ポートフォリオ実績!$B$2:$B$2001, B1812, ポートフォリオ実績!$A$2:$A$2001, G1812), 0)</f>
        <v>0</v>
      </c>
      <c r="I1812">
        <f>IF(B1812&lt;&gt;"", SUMIFS(ポートフォリオ実績!$C$2:$C$2001, ポートフォリオ実績!$B$2:$B$2001, B1812, ポートフォリオ実績!$A$2:$A$2001, G1812), 0)</f>
        <v>0</v>
      </c>
      <c r="J1812">
        <f t="shared" si="309"/>
        <v>0</v>
      </c>
      <c r="K1812">
        <f t="shared" si="310"/>
        <v>0</v>
      </c>
      <c r="L1812">
        <f t="shared" si="311"/>
        <v>0</v>
      </c>
      <c r="M1812">
        <f t="shared" si="312"/>
        <v>0</v>
      </c>
      <c r="N1812">
        <f t="shared" si="313"/>
        <v>0</v>
      </c>
      <c r="O1812">
        <f t="shared" si="314"/>
        <v>0</v>
      </c>
      <c r="P1812" t="str">
        <f t="shared" si="315"/>
        <v/>
      </c>
      <c r="Q1812" t="str">
        <f>IF(B1812="","", IFERROR(VLOOKUP(B1812, '基準資産配分（設定）'!$A$2:$C$2001, 3, FALSE), ""))</f>
        <v/>
      </c>
      <c r="R1812" t="str">
        <f>IF(B1812="","", IFERROR(VLOOKUP(B1812, '基準資産配分（設定）'!$A$2:$C$2001, 2, FALSE)/100, 0))</f>
        <v/>
      </c>
      <c r="S1812" t="str">
        <f>IF(B1812="","", IFERROR(SUMIFS(ベンチマークリターン!$C$2:$C$2001, ベンチマークリターン!$A$2:$A$2001, A1812, ベンチマークリターン!$B$2:$B$2001, Q1812) / 100, 0))</f>
        <v/>
      </c>
      <c r="T1812" t="str">
        <f>IF(A1812="","", SUMIFS($H$2:$H$2000, $A$2:$A$2000, A1812))</f>
        <v/>
      </c>
      <c r="U1812" t="str">
        <f t="shared" si="316"/>
        <v/>
      </c>
      <c r="V1812" t="str">
        <f t="shared" si="317"/>
        <v/>
      </c>
      <c r="W1812" t="str">
        <f t="shared" si="318"/>
        <v/>
      </c>
    </row>
    <row r="1813" spans="1:23" x14ac:dyDescent="0.2">
      <c r="A1813" s="4" t="str">
        <f>IF(ポートフォリオ実績!A1814="","", ポートフォリオ実績!A1814)</f>
        <v/>
      </c>
      <c r="B1813" t="str">
        <f>IF(ポートフォリオ実績!B1814="","", ポートフォリオ実績!B1814)</f>
        <v/>
      </c>
      <c r="C1813" s="10" t="str">
        <f>IF(ポートフォリオ実績!C1814="","", ポートフォリオ実績!C1814)</f>
        <v/>
      </c>
      <c r="D1813" s="10" t="str">
        <f>IF(ポートフォリオ実績!D1814="","", ポートフォリオ実績!D1814)</f>
        <v/>
      </c>
      <c r="E1813" s="10" t="str">
        <f>IF(ポートフォリオ実績!E1814="","", ポートフォリオ実績!E1814)</f>
        <v/>
      </c>
      <c r="F1813" s="10" t="str">
        <f>IF(ポートフォリオ実績!F1814="","", ポートフォリオ実績!F1814)</f>
        <v/>
      </c>
      <c r="G1813" t="str">
        <f t="shared" si="308"/>
        <v/>
      </c>
      <c r="H1813">
        <f>IF(B1813&lt;&gt;"", SUMIFS(ポートフォリオ実績!$D$2:$D$2001, ポートフォリオ実績!$B$2:$B$2001, B1813, ポートフォリオ実績!$A$2:$A$2001, G1813), 0)</f>
        <v>0</v>
      </c>
      <c r="I1813">
        <f>IF(B1813&lt;&gt;"", SUMIFS(ポートフォリオ実績!$C$2:$C$2001, ポートフォリオ実績!$B$2:$B$2001, B1813, ポートフォリオ実績!$A$2:$A$2001, G1813), 0)</f>
        <v>0</v>
      </c>
      <c r="J1813">
        <f t="shared" si="309"/>
        <v>0</v>
      </c>
      <c r="K1813">
        <f t="shared" si="310"/>
        <v>0</v>
      </c>
      <c r="L1813">
        <f t="shared" si="311"/>
        <v>0</v>
      </c>
      <c r="M1813">
        <f t="shared" si="312"/>
        <v>0</v>
      </c>
      <c r="N1813">
        <f t="shared" si="313"/>
        <v>0</v>
      </c>
      <c r="O1813">
        <f t="shared" si="314"/>
        <v>0</v>
      </c>
      <c r="P1813" t="str">
        <f t="shared" si="315"/>
        <v/>
      </c>
      <c r="Q1813" t="str">
        <f>IF(B1813="","", IFERROR(VLOOKUP(B1813, '基準資産配分（設定）'!$A$2:$C$2001, 3, FALSE), ""))</f>
        <v/>
      </c>
      <c r="R1813" t="str">
        <f>IF(B1813="","", IFERROR(VLOOKUP(B1813, '基準資産配分（設定）'!$A$2:$C$2001, 2, FALSE)/100, 0))</f>
        <v/>
      </c>
      <c r="S1813" t="str">
        <f>IF(B1813="","", IFERROR(SUMIFS(ベンチマークリターン!$C$2:$C$2001, ベンチマークリターン!$A$2:$A$2001, A1813, ベンチマークリターン!$B$2:$B$2001, Q1813) / 100, 0))</f>
        <v/>
      </c>
      <c r="T1813" t="str">
        <f>IF(A1813="","", SUMIFS($H$2:$H$2000, $A$2:$A$2000, A1813))</f>
        <v/>
      </c>
      <c r="U1813" t="str">
        <f t="shared" si="316"/>
        <v/>
      </c>
      <c r="V1813" t="str">
        <f t="shared" si="317"/>
        <v/>
      </c>
      <c r="W1813" t="str">
        <f t="shared" si="318"/>
        <v/>
      </c>
    </row>
    <row r="1814" spans="1:23" x14ac:dyDescent="0.2">
      <c r="A1814" s="4" t="str">
        <f>IF(ポートフォリオ実績!A1815="","", ポートフォリオ実績!A1815)</f>
        <v/>
      </c>
      <c r="B1814" t="str">
        <f>IF(ポートフォリオ実績!B1815="","", ポートフォリオ実績!B1815)</f>
        <v/>
      </c>
      <c r="C1814" s="10" t="str">
        <f>IF(ポートフォリオ実績!C1815="","", ポートフォリオ実績!C1815)</f>
        <v/>
      </c>
      <c r="D1814" s="10" t="str">
        <f>IF(ポートフォリオ実績!D1815="","", ポートフォリオ実績!D1815)</f>
        <v/>
      </c>
      <c r="E1814" s="10" t="str">
        <f>IF(ポートフォリオ実績!E1815="","", ポートフォリオ実績!E1815)</f>
        <v/>
      </c>
      <c r="F1814" s="10" t="str">
        <f>IF(ポートフォリオ実績!F1815="","", ポートフォリオ実績!F1815)</f>
        <v/>
      </c>
      <c r="G1814" t="str">
        <f t="shared" si="308"/>
        <v/>
      </c>
      <c r="H1814">
        <f>IF(B1814&lt;&gt;"", SUMIFS(ポートフォリオ実績!$D$2:$D$2001, ポートフォリオ実績!$B$2:$B$2001, B1814, ポートフォリオ実績!$A$2:$A$2001, G1814), 0)</f>
        <v>0</v>
      </c>
      <c r="I1814">
        <f>IF(B1814&lt;&gt;"", SUMIFS(ポートフォリオ実績!$C$2:$C$2001, ポートフォリオ実績!$B$2:$B$2001, B1814, ポートフォリオ実績!$A$2:$A$2001, G1814), 0)</f>
        <v>0</v>
      </c>
      <c r="J1814">
        <f t="shared" si="309"/>
        <v>0</v>
      </c>
      <c r="K1814">
        <f t="shared" si="310"/>
        <v>0</v>
      </c>
      <c r="L1814">
        <f t="shared" si="311"/>
        <v>0</v>
      </c>
      <c r="M1814">
        <f t="shared" si="312"/>
        <v>0</v>
      </c>
      <c r="N1814">
        <f t="shared" si="313"/>
        <v>0</v>
      </c>
      <c r="O1814">
        <f t="shared" si="314"/>
        <v>0</v>
      </c>
      <c r="P1814" t="str">
        <f t="shared" si="315"/>
        <v/>
      </c>
      <c r="Q1814" t="str">
        <f>IF(B1814="","", IFERROR(VLOOKUP(B1814, '基準資産配分（設定）'!$A$2:$C$2001, 3, FALSE), ""))</f>
        <v/>
      </c>
      <c r="R1814" t="str">
        <f>IF(B1814="","", IFERROR(VLOOKUP(B1814, '基準資産配分（設定）'!$A$2:$C$2001, 2, FALSE)/100, 0))</f>
        <v/>
      </c>
      <c r="S1814" t="str">
        <f>IF(B1814="","", IFERROR(SUMIFS(ベンチマークリターン!$C$2:$C$2001, ベンチマークリターン!$A$2:$A$2001, A1814, ベンチマークリターン!$B$2:$B$2001, Q1814) / 100, 0))</f>
        <v/>
      </c>
      <c r="T1814" t="str">
        <f>IF(A1814="","", SUMIFS($H$2:$H$2000, $A$2:$A$2000, A1814))</f>
        <v/>
      </c>
      <c r="U1814" t="str">
        <f t="shared" si="316"/>
        <v/>
      </c>
      <c r="V1814" t="str">
        <f t="shared" si="317"/>
        <v/>
      </c>
      <c r="W1814" t="str">
        <f t="shared" si="318"/>
        <v/>
      </c>
    </row>
    <row r="1815" spans="1:23" x14ac:dyDescent="0.2">
      <c r="A1815" s="4" t="str">
        <f>IF(ポートフォリオ実績!A1816="","", ポートフォリオ実績!A1816)</f>
        <v/>
      </c>
      <c r="B1815" t="str">
        <f>IF(ポートフォリオ実績!B1816="","", ポートフォリオ実績!B1816)</f>
        <v/>
      </c>
      <c r="C1815" s="10" t="str">
        <f>IF(ポートフォリオ実績!C1816="","", ポートフォリオ実績!C1816)</f>
        <v/>
      </c>
      <c r="D1815" s="10" t="str">
        <f>IF(ポートフォリオ実績!D1816="","", ポートフォリオ実績!D1816)</f>
        <v/>
      </c>
      <c r="E1815" s="10" t="str">
        <f>IF(ポートフォリオ実績!E1816="","", ポートフォリオ実績!E1816)</f>
        <v/>
      </c>
      <c r="F1815" s="10" t="str">
        <f>IF(ポートフォリオ実績!F1816="","", ポートフォリオ実績!F1816)</f>
        <v/>
      </c>
      <c r="G1815" t="str">
        <f t="shared" si="308"/>
        <v/>
      </c>
      <c r="H1815">
        <f>IF(B1815&lt;&gt;"", SUMIFS(ポートフォリオ実績!$D$2:$D$2001, ポートフォリオ実績!$B$2:$B$2001, B1815, ポートフォリオ実績!$A$2:$A$2001, G1815), 0)</f>
        <v>0</v>
      </c>
      <c r="I1815">
        <f>IF(B1815&lt;&gt;"", SUMIFS(ポートフォリオ実績!$C$2:$C$2001, ポートフォリオ実績!$B$2:$B$2001, B1815, ポートフォリオ実績!$A$2:$A$2001, G1815), 0)</f>
        <v>0</v>
      </c>
      <c r="J1815">
        <f t="shared" si="309"/>
        <v>0</v>
      </c>
      <c r="K1815">
        <f t="shared" si="310"/>
        <v>0</v>
      </c>
      <c r="L1815">
        <f t="shared" si="311"/>
        <v>0</v>
      </c>
      <c r="M1815">
        <f t="shared" si="312"/>
        <v>0</v>
      </c>
      <c r="N1815">
        <f t="shared" si="313"/>
        <v>0</v>
      </c>
      <c r="O1815">
        <f t="shared" si="314"/>
        <v>0</v>
      </c>
      <c r="P1815" t="str">
        <f t="shared" si="315"/>
        <v/>
      </c>
      <c r="Q1815" t="str">
        <f>IF(B1815="","", IFERROR(VLOOKUP(B1815, '基準資産配分（設定）'!$A$2:$C$2001, 3, FALSE), ""))</f>
        <v/>
      </c>
      <c r="R1815" t="str">
        <f>IF(B1815="","", IFERROR(VLOOKUP(B1815, '基準資産配分（設定）'!$A$2:$C$2001, 2, FALSE)/100, 0))</f>
        <v/>
      </c>
      <c r="S1815" t="str">
        <f>IF(B1815="","", IFERROR(SUMIFS(ベンチマークリターン!$C$2:$C$2001, ベンチマークリターン!$A$2:$A$2001, A1815, ベンチマークリターン!$B$2:$B$2001, Q1815) / 100, 0))</f>
        <v/>
      </c>
      <c r="T1815" t="str">
        <f>IF(A1815="","", SUMIFS($H$2:$H$2000, $A$2:$A$2000, A1815))</f>
        <v/>
      </c>
      <c r="U1815" t="str">
        <f t="shared" si="316"/>
        <v/>
      </c>
      <c r="V1815" t="str">
        <f t="shared" si="317"/>
        <v/>
      </c>
      <c r="W1815" t="str">
        <f t="shared" si="318"/>
        <v/>
      </c>
    </row>
    <row r="1816" spans="1:23" x14ac:dyDescent="0.2">
      <c r="A1816" s="4" t="str">
        <f>IF(ポートフォリオ実績!A1817="","", ポートフォリオ実績!A1817)</f>
        <v/>
      </c>
      <c r="B1816" t="str">
        <f>IF(ポートフォリオ実績!B1817="","", ポートフォリオ実績!B1817)</f>
        <v/>
      </c>
      <c r="C1816" s="10" t="str">
        <f>IF(ポートフォリオ実績!C1817="","", ポートフォリオ実績!C1817)</f>
        <v/>
      </c>
      <c r="D1816" s="10" t="str">
        <f>IF(ポートフォリオ実績!D1817="","", ポートフォリオ実績!D1817)</f>
        <v/>
      </c>
      <c r="E1816" s="10" t="str">
        <f>IF(ポートフォリオ実績!E1817="","", ポートフォリオ実績!E1817)</f>
        <v/>
      </c>
      <c r="F1816" s="10" t="str">
        <f>IF(ポートフォリオ実績!F1817="","", ポートフォリオ実績!F1817)</f>
        <v/>
      </c>
      <c r="G1816" t="str">
        <f t="shared" si="308"/>
        <v/>
      </c>
      <c r="H1816">
        <f>IF(B1816&lt;&gt;"", SUMIFS(ポートフォリオ実績!$D$2:$D$2001, ポートフォリオ実績!$B$2:$B$2001, B1816, ポートフォリオ実績!$A$2:$A$2001, G1816), 0)</f>
        <v>0</v>
      </c>
      <c r="I1816">
        <f>IF(B1816&lt;&gt;"", SUMIFS(ポートフォリオ実績!$C$2:$C$2001, ポートフォリオ実績!$B$2:$B$2001, B1816, ポートフォリオ実績!$A$2:$A$2001, G1816), 0)</f>
        <v>0</v>
      </c>
      <c r="J1816">
        <f t="shared" si="309"/>
        <v>0</v>
      </c>
      <c r="K1816">
        <f t="shared" si="310"/>
        <v>0</v>
      </c>
      <c r="L1816">
        <f t="shared" si="311"/>
        <v>0</v>
      </c>
      <c r="M1816">
        <f t="shared" si="312"/>
        <v>0</v>
      </c>
      <c r="N1816">
        <f t="shared" si="313"/>
        <v>0</v>
      </c>
      <c r="O1816">
        <f t="shared" si="314"/>
        <v>0</v>
      </c>
      <c r="P1816" t="str">
        <f t="shared" si="315"/>
        <v/>
      </c>
      <c r="Q1816" t="str">
        <f>IF(B1816="","", IFERROR(VLOOKUP(B1816, '基準資産配分（設定）'!$A$2:$C$2001, 3, FALSE), ""))</f>
        <v/>
      </c>
      <c r="R1816" t="str">
        <f>IF(B1816="","", IFERROR(VLOOKUP(B1816, '基準資産配分（設定）'!$A$2:$C$2001, 2, FALSE)/100, 0))</f>
        <v/>
      </c>
      <c r="S1816" t="str">
        <f>IF(B1816="","", IFERROR(SUMIFS(ベンチマークリターン!$C$2:$C$2001, ベンチマークリターン!$A$2:$A$2001, A1816, ベンチマークリターン!$B$2:$B$2001, Q1816) / 100, 0))</f>
        <v/>
      </c>
      <c r="T1816" t="str">
        <f>IF(A1816="","", SUMIFS($H$2:$H$2000, $A$2:$A$2000, A1816))</f>
        <v/>
      </c>
      <c r="U1816" t="str">
        <f t="shared" si="316"/>
        <v/>
      </c>
      <c r="V1816" t="str">
        <f t="shared" si="317"/>
        <v/>
      </c>
      <c r="W1816" t="str">
        <f t="shared" si="318"/>
        <v/>
      </c>
    </row>
    <row r="1817" spans="1:23" x14ac:dyDescent="0.2">
      <c r="A1817" s="4" t="str">
        <f>IF(ポートフォリオ実績!A1818="","", ポートフォリオ実績!A1818)</f>
        <v/>
      </c>
      <c r="B1817" t="str">
        <f>IF(ポートフォリオ実績!B1818="","", ポートフォリオ実績!B1818)</f>
        <v/>
      </c>
      <c r="C1817" s="10" t="str">
        <f>IF(ポートフォリオ実績!C1818="","", ポートフォリオ実績!C1818)</f>
        <v/>
      </c>
      <c r="D1817" s="10" t="str">
        <f>IF(ポートフォリオ実績!D1818="","", ポートフォリオ実績!D1818)</f>
        <v/>
      </c>
      <c r="E1817" s="10" t="str">
        <f>IF(ポートフォリオ実績!E1818="","", ポートフォリオ実績!E1818)</f>
        <v/>
      </c>
      <c r="F1817" s="10" t="str">
        <f>IF(ポートフォリオ実績!F1818="","", ポートフォリオ実績!F1818)</f>
        <v/>
      </c>
      <c r="G1817" t="str">
        <f t="shared" si="308"/>
        <v/>
      </c>
      <c r="H1817">
        <f>IF(B1817&lt;&gt;"", SUMIFS(ポートフォリオ実績!$D$2:$D$2001, ポートフォリオ実績!$B$2:$B$2001, B1817, ポートフォリオ実績!$A$2:$A$2001, G1817), 0)</f>
        <v>0</v>
      </c>
      <c r="I1817">
        <f>IF(B1817&lt;&gt;"", SUMIFS(ポートフォリオ実績!$C$2:$C$2001, ポートフォリオ実績!$B$2:$B$2001, B1817, ポートフォリオ実績!$A$2:$A$2001, G1817), 0)</f>
        <v>0</v>
      </c>
      <c r="J1817">
        <f t="shared" si="309"/>
        <v>0</v>
      </c>
      <c r="K1817">
        <f t="shared" si="310"/>
        <v>0</v>
      </c>
      <c r="L1817">
        <f t="shared" si="311"/>
        <v>0</v>
      </c>
      <c r="M1817">
        <f t="shared" si="312"/>
        <v>0</v>
      </c>
      <c r="N1817">
        <f t="shared" si="313"/>
        <v>0</v>
      </c>
      <c r="O1817">
        <f t="shared" si="314"/>
        <v>0</v>
      </c>
      <c r="P1817" t="str">
        <f t="shared" si="315"/>
        <v/>
      </c>
      <c r="Q1817" t="str">
        <f>IF(B1817="","", IFERROR(VLOOKUP(B1817, '基準資産配分（設定）'!$A$2:$C$2001, 3, FALSE), ""))</f>
        <v/>
      </c>
      <c r="R1817" t="str">
        <f>IF(B1817="","", IFERROR(VLOOKUP(B1817, '基準資産配分（設定）'!$A$2:$C$2001, 2, FALSE)/100, 0))</f>
        <v/>
      </c>
      <c r="S1817" t="str">
        <f>IF(B1817="","", IFERROR(SUMIFS(ベンチマークリターン!$C$2:$C$2001, ベンチマークリターン!$A$2:$A$2001, A1817, ベンチマークリターン!$B$2:$B$2001, Q1817) / 100, 0))</f>
        <v/>
      </c>
      <c r="T1817" t="str">
        <f>IF(A1817="","", SUMIFS($H$2:$H$2000, $A$2:$A$2000, A1817))</f>
        <v/>
      </c>
      <c r="U1817" t="str">
        <f t="shared" si="316"/>
        <v/>
      </c>
      <c r="V1817" t="str">
        <f t="shared" si="317"/>
        <v/>
      </c>
      <c r="W1817" t="str">
        <f t="shared" si="318"/>
        <v/>
      </c>
    </row>
    <row r="1818" spans="1:23" x14ac:dyDescent="0.2">
      <c r="A1818" s="4" t="str">
        <f>IF(ポートフォリオ実績!A1819="","", ポートフォリオ実績!A1819)</f>
        <v/>
      </c>
      <c r="B1818" t="str">
        <f>IF(ポートフォリオ実績!B1819="","", ポートフォリオ実績!B1819)</f>
        <v/>
      </c>
      <c r="C1818" s="10" t="str">
        <f>IF(ポートフォリオ実績!C1819="","", ポートフォリオ実績!C1819)</f>
        <v/>
      </c>
      <c r="D1818" s="10" t="str">
        <f>IF(ポートフォリオ実績!D1819="","", ポートフォリオ実績!D1819)</f>
        <v/>
      </c>
      <c r="E1818" s="10" t="str">
        <f>IF(ポートフォリオ実績!E1819="","", ポートフォリオ実績!E1819)</f>
        <v/>
      </c>
      <c r="F1818" s="10" t="str">
        <f>IF(ポートフォリオ実績!F1819="","", ポートフォリオ実績!F1819)</f>
        <v/>
      </c>
      <c r="G1818" t="str">
        <f t="shared" si="308"/>
        <v/>
      </c>
      <c r="H1818">
        <f>IF(B1818&lt;&gt;"", SUMIFS(ポートフォリオ実績!$D$2:$D$2001, ポートフォリオ実績!$B$2:$B$2001, B1818, ポートフォリオ実績!$A$2:$A$2001, G1818), 0)</f>
        <v>0</v>
      </c>
      <c r="I1818">
        <f>IF(B1818&lt;&gt;"", SUMIFS(ポートフォリオ実績!$C$2:$C$2001, ポートフォリオ実績!$B$2:$B$2001, B1818, ポートフォリオ実績!$A$2:$A$2001, G1818), 0)</f>
        <v>0</v>
      </c>
      <c r="J1818">
        <f t="shared" si="309"/>
        <v>0</v>
      </c>
      <c r="K1818">
        <f t="shared" si="310"/>
        <v>0</v>
      </c>
      <c r="L1818">
        <f t="shared" si="311"/>
        <v>0</v>
      </c>
      <c r="M1818">
        <f t="shared" si="312"/>
        <v>0</v>
      </c>
      <c r="N1818">
        <f t="shared" si="313"/>
        <v>0</v>
      </c>
      <c r="O1818">
        <f t="shared" si="314"/>
        <v>0</v>
      </c>
      <c r="P1818" t="str">
        <f t="shared" si="315"/>
        <v/>
      </c>
      <c r="Q1818" t="str">
        <f>IF(B1818="","", IFERROR(VLOOKUP(B1818, '基準資産配分（設定）'!$A$2:$C$2001, 3, FALSE), ""))</f>
        <v/>
      </c>
      <c r="R1818" t="str">
        <f>IF(B1818="","", IFERROR(VLOOKUP(B1818, '基準資産配分（設定）'!$A$2:$C$2001, 2, FALSE)/100, 0))</f>
        <v/>
      </c>
      <c r="S1818" t="str">
        <f>IF(B1818="","", IFERROR(SUMIFS(ベンチマークリターン!$C$2:$C$2001, ベンチマークリターン!$A$2:$A$2001, A1818, ベンチマークリターン!$B$2:$B$2001, Q1818) / 100, 0))</f>
        <v/>
      </c>
      <c r="T1818" t="str">
        <f>IF(A1818="","", SUMIFS($H$2:$H$2000, $A$2:$A$2000, A1818))</f>
        <v/>
      </c>
      <c r="U1818" t="str">
        <f t="shared" si="316"/>
        <v/>
      </c>
      <c r="V1818" t="str">
        <f t="shared" si="317"/>
        <v/>
      </c>
      <c r="W1818" t="str">
        <f t="shared" si="318"/>
        <v/>
      </c>
    </row>
    <row r="1819" spans="1:23" x14ac:dyDescent="0.2">
      <c r="A1819" s="4" t="str">
        <f>IF(ポートフォリオ実績!A1820="","", ポートフォリオ実績!A1820)</f>
        <v/>
      </c>
      <c r="B1819" t="str">
        <f>IF(ポートフォリオ実績!B1820="","", ポートフォリオ実績!B1820)</f>
        <v/>
      </c>
      <c r="C1819" s="10" t="str">
        <f>IF(ポートフォリオ実績!C1820="","", ポートフォリオ実績!C1820)</f>
        <v/>
      </c>
      <c r="D1819" s="10" t="str">
        <f>IF(ポートフォリオ実績!D1820="","", ポートフォリオ実績!D1820)</f>
        <v/>
      </c>
      <c r="E1819" s="10" t="str">
        <f>IF(ポートフォリオ実績!E1820="","", ポートフォリオ実績!E1820)</f>
        <v/>
      </c>
      <c r="F1819" s="10" t="str">
        <f>IF(ポートフォリオ実績!F1820="","", ポートフォリオ実績!F1820)</f>
        <v/>
      </c>
      <c r="G1819" t="str">
        <f t="shared" si="308"/>
        <v/>
      </c>
      <c r="H1819">
        <f>IF(B1819&lt;&gt;"", SUMIFS(ポートフォリオ実績!$D$2:$D$2001, ポートフォリオ実績!$B$2:$B$2001, B1819, ポートフォリオ実績!$A$2:$A$2001, G1819), 0)</f>
        <v>0</v>
      </c>
      <c r="I1819">
        <f>IF(B1819&lt;&gt;"", SUMIFS(ポートフォリオ実績!$C$2:$C$2001, ポートフォリオ実績!$B$2:$B$2001, B1819, ポートフォリオ実績!$A$2:$A$2001, G1819), 0)</f>
        <v>0</v>
      </c>
      <c r="J1819">
        <f t="shared" si="309"/>
        <v>0</v>
      </c>
      <c r="K1819">
        <f t="shared" si="310"/>
        <v>0</v>
      </c>
      <c r="L1819">
        <f t="shared" si="311"/>
        <v>0</v>
      </c>
      <c r="M1819">
        <f t="shared" si="312"/>
        <v>0</v>
      </c>
      <c r="N1819">
        <f t="shared" si="313"/>
        <v>0</v>
      </c>
      <c r="O1819">
        <f t="shared" si="314"/>
        <v>0</v>
      </c>
      <c r="P1819" t="str">
        <f t="shared" si="315"/>
        <v/>
      </c>
      <c r="Q1819" t="str">
        <f>IF(B1819="","", IFERROR(VLOOKUP(B1819, '基準資産配分（設定）'!$A$2:$C$2001, 3, FALSE), ""))</f>
        <v/>
      </c>
      <c r="R1819" t="str">
        <f>IF(B1819="","", IFERROR(VLOOKUP(B1819, '基準資産配分（設定）'!$A$2:$C$2001, 2, FALSE)/100, 0))</f>
        <v/>
      </c>
      <c r="S1819" t="str">
        <f>IF(B1819="","", IFERROR(SUMIFS(ベンチマークリターン!$C$2:$C$2001, ベンチマークリターン!$A$2:$A$2001, A1819, ベンチマークリターン!$B$2:$B$2001, Q1819) / 100, 0))</f>
        <v/>
      </c>
      <c r="T1819" t="str">
        <f>IF(A1819="","", SUMIFS($H$2:$H$2000, $A$2:$A$2000, A1819))</f>
        <v/>
      </c>
      <c r="U1819" t="str">
        <f t="shared" si="316"/>
        <v/>
      </c>
      <c r="V1819" t="str">
        <f t="shared" si="317"/>
        <v/>
      </c>
      <c r="W1819" t="str">
        <f t="shared" si="318"/>
        <v/>
      </c>
    </row>
    <row r="1820" spans="1:23" x14ac:dyDescent="0.2">
      <c r="A1820" s="4" t="str">
        <f>IF(ポートフォリオ実績!A1821="","", ポートフォリオ実績!A1821)</f>
        <v/>
      </c>
      <c r="B1820" t="str">
        <f>IF(ポートフォリオ実績!B1821="","", ポートフォリオ実績!B1821)</f>
        <v/>
      </c>
      <c r="C1820" s="10" t="str">
        <f>IF(ポートフォリオ実績!C1821="","", ポートフォリオ実績!C1821)</f>
        <v/>
      </c>
      <c r="D1820" s="10" t="str">
        <f>IF(ポートフォリオ実績!D1821="","", ポートフォリオ実績!D1821)</f>
        <v/>
      </c>
      <c r="E1820" s="10" t="str">
        <f>IF(ポートフォリオ実績!E1821="","", ポートフォリオ実績!E1821)</f>
        <v/>
      </c>
      <c r="F1820" s="10" t="str">
        <f>IF(ポートフォリオ実績!F1821="","", ポートフォリオ実績!F1821)</f>
        <v/>
      </c>
      <c r="G1820" t="str">
        <f t="shared" si="308"/>
        <v/>
      </c>
      <c r="H1820">
        <f>IF(B1820&lt;&gt;"", SUMIFS(ポートフォリオ実績!$D$2:$D$2001, ポートフォリオ実績!$B$2:$B$2001, B1820, ポートフォリオ実績!$A$2:$A$2001, G1820), 0)</f>
        <v>0</v>
      </c>
      <c r="I1820">
        <f>IF(B1820&lt;&gt;"", SUMIFS(ポートフォリオ実績!$C$2:$C$2001, ポートフォリオ実績!$B$2:$B$2001, B1820, ポートフォリオ実績!$A$2:$A$2001, G1820), 0)</f>
        <v>0</v>
      </c>
      <c r="J1820">
        <f t="shared" si="309"/>
        <v>0</v>
      </c>
      <c r="K1820">
        <f t="shared" si="310"/>
        <v>0</v>
      </c>
      <c r="L1820">
        <f t="shared" si="311"/>
        <v>0</v>
      </c>
      <c r="M1820">
        <f t="shared" si="312"/>
        <v>0</v>
      </c>
      <c r="N1820">
        <f t="shared" si="313"/>
        <v>0</v>
      </c>
      <c r="O1820">
        <f t="shared" si="314"/>
        <v>0</v>
      </c>
      <c r="P1820" t="str">
        <f t="shared" si="315"/>
        <v/>
      </c>
      <c r="Q1820" t="str">
        <f>IF(B1820="","", IFERROR(VLOOKUP(B1820, '基準資産配分（設定）'!$A$2:$C$2001, 3, FALSE), ""))</f>
        <v/>
      </c>
      <c r="R1820" t="str">
        <f>IF(B1820="","", IFERROR(VLOOKUP(B1820, '基準資産配分（設定）'!$A$2:$C$2001, 2, FALSE)/100, 0))</f>
        <v/>
      </c>
      <c r="S1820" t="str">
        <f>IF(B1820="","", IFERROR(SUMIFS(ベンチマークリターン!$C$2:$C$2001, ベンチマークリターン!$A$2:$A$2001, A1820, ベンチマークリターン!$B$2:$B$2001, Q1820) / 100, 0))</f>
        <v/>
      </c>
      <c r="T1820" t="str">
        <f>IF(A1820="","", SUMIFS($H$2:$H$2000, $A$2:$A$2000, A1820))</f>
        <v/>
      </c>
      <c r="U1820" t="str">
        <f t="shared" si="316"/>
        <v/>
      </c>
      <c r="V1820" t="str">
        <f t="shared" si="317"/>
        <v/>
      </c>
      <c r="W1820" t="str">
        <f t="shared" si="318"/>
        <v/>
      </c>
    </row>
    <row r="1821" spans="1:23" x14ac:dyDescent="0.2">
      <c r="A1821" s="4" t="str">
        <f>IF(ポートフォリオ実績!A1822="","", ポートフォリオ実績!A1822)</f>
        <v/>
      </c>
      <c r="B1821" t="str">
        <f>IF(ポートフォリオ実績!B1822="","", ポートフォリオ実績!B1822)</f>
        <v/>
      </c>
      <c r="C1821" s="10" t="str">
        <f>IF(ポートフォリオ実績!C1822="","", ポートフォリオ実績!C1822)</f>
        <v/>
      </c>
      <c r="D1821" s="10" t="str">
        <f>IF(ポートフォリオ実績!D1822="","", ポートフォリオ実績!D1822)</f>
        <v/>
      </c>
      <c r="E1821" s="10" t="str">
        <f>IF(ポートフォリオ実績!E1822="","", ポートフォリオ実績!E1822)</f>
        <v/>
      </c>
      <c r="F1821" s="10" t="str">
        <f>IF(ポートフォリオ実績!F1822="","", ポートフォリオ実績!F1822)</f>
        <v/>
      </c>
      <c r="G1821" t="str">
        <f t="shared" si="308"/>
        <v/>
      </c>
      <c r="H1821">
        <f>IF(B1821&lt;&gt;"", SUMIFS(ポートフォリオ実績!$D$2:$D$2001, ポートフォリオ実績!$B$2:$B$2001, B1821, ポートフォリオ実績!$A$2:$A$2001, G1821), 0)</f>
        <v>0</v>
      </c>
      <c r="I1821">
        <f>IF(B1821&lt;&gt;"", SUMIFS(ポートフォリオ実績!$C$2:$C$2001, ポートフォリオ実績!$B$2:$B$2001, B1821, ポートフォリオ実績!$A$2:$A$2001, G1821), 0)</f>
        <v>0</v>
      </c>
      <c r="J1821">
        <f t="shared" si="309"/>
        <v>0</v>
      </c>
      <c r="K1821">
        <f t="shared" si="310"/>
        <v>0</v>
      </c>
      <c r="L1821">
        <f t="shared" si="311"/>
        <v>0</v>
      </c>
      <c r="M1821">
        <f t="shared" si="312"/>
        <v>0</v>
      </c>
      <c r="N1821">
        <f t="shared" si="313"/>
        <v>0</v>
      </c>
      <c r="O1821">
        <f t="shared" si="314"/>
        <v>0</v>
      </c>
      <c r="P1821" t="str">
        <f t="shared" si="315"/>
        <v/>
      </c>
      <c r="Q1821" t="str">
        <f>IF(B1821="","", IFERROR(VLOOKUP(B1821, '基準資産配分（設定）'!$A$2:$C$2001, 3, FALSE), ""))</f>
        <v/>
      </c>
      <c r="R1821" t="str">
        <f>IF(B1821="","", IFERROR(VLOOKUP(B1821, '基準資産配分（設定）'!$A$2:$C$2001, 2, FALSE)/100, 0))</f>
        <v/>
      </c>
      <c r="S1821" t="str">
        <f>IF(B1821="","", IFERROR(SUMIFS(ベンチマークリターン!$C$2:$C$2001, ベンチマークリターン!$A$2:$A$2001, A1821, ベンチマークリターン!$B$2:$B$2001, Q1821) / 100, 0))</f>
        <v/>
      </c>
      <c r="T1821" t="str">
        <f>IF(A1821="","", SUMIFS($H$2:$H$2000, $A$2:$A$2000, A1821))</f>
        <v/>
      </c>
      <c r="U1821" t="str">
        <f t="shared" si="316"/>
        <v/>
      </c>
      <c r="V1821" t="str">
        <f t="shared" si="317"/>
        <v/>
      </c>
      <c r="W1821" t="str">
        <f t="shared" si="318"/>
        <v/>
      </c>
    </row>
    <row r="1822" spans="1:23" x14ac:dyDescent="0.2">
      <c r="A1822" s="4" t="str">
        <f>IF(ポートフォリオ実績!A1823="","", ポートフォリオ実績!A1823)</f>
        <v/>
      </c>
      <c r="B1822" t="str">
        <f>IF(ポートフォリオ実績!B1823="","", ポートフォリオ実績!B1823)</f>
        <v/>
      </c>
      <c r="C1822" s="10" t="str">
        <f>IF(ポートフォリオ実績!C1823="","", ポートフォリオ実績!C1823)</f>
        <v/>
      </c>
      <c r="D1822" s="10" t="str">
        <f>IF(ポートフォリオ実績!D1823="","", ポートフォリオ実績!D1823)</f>
        <v/>
      </c>
      <c r="E1822" s="10" t="str">
        <f>IF(ポートフォリオ実績!E1823="","", ポートフォリオ実績!E1823)</f>
        <v/>
      </c>
      <c r="F1822" s="10" t="str">
        <f>IF(ポートフォリオ実績!F1823="","", ポートフォリオ実績!F1823)</f>
        <v/>
      </c>
      <c r="G1822" t="str">
        <f t="shared" si="308"/>
        <v/>
      </c>
      <c r="H1822">
        <f>IF(B1822&lt;&gt;"", SUMIFS(ポートフォリオ実績!$D$2:$D$2001, ポートフォリオ実績!$B$2:$B$2001, B1822, ポートフォリオ実績!$A$2:$A$2001, G1822), 0)</f>
        <v>0</v>
      </c>
      <c r="I1822">
        <f>IF(B1822&lt;&gt;"", SUMIFS(ポートフォリオ実績!$C$2:$C$2001, ポートフォリオ実績!$B$2:$B$2001, B1822, ポートフォリオ実績!$A$2:$A$2001, G1822), 0)</f>
        <v>0</v>
      </c>
      <c r="J1822">
        <f t="shared" si="309"/>
        <v>0</v>
      </c>
      <c r="K1822">
        <f t="shared" si="310"/>
        <v>0</v>
      </c>
      <c r="L1822">
        <f t="shared" si="311"/>
        <v>0</v>
      </c>
      <c r="M1822">
        <f t="shared" si="312"/>
        <v>0</v>
      </c>
      <c r="N1822">
        <f t="shared" si="313"/>
        <v>0</v>
      </c>
      <c r="O1822">
        <f t="shared" si="314"/>
        <v>0</v>
      </c>
      <c r="P1822" t="str">
        <f t="shared" si="315"/>
        <v/>
      </c>
      <c r="Q1822" t="str">
        <f>IF(B1822="","", IFERROR(VLOOKUP(B1822, '基準資産配分（設定）'!$A$2:$C$2001, 3, FALSE), ""))</f>
        <v/>
      </c>
      <c r="R1822" t="str">
        <f>IF(B1822="","", IFERROR(VLOOKUP(B1822, '基準資産配分（設定）'!$A$2:$C$2001, 2, FALSE)/100, 0))</f>
        <v/>
      </c>
      <c r="S1822" t="str">
        <f>IF(B1822="","", IFERROR(SUMIFS(ベンチマークリターン!$C$2:$C$2001, ベンチマークリターン!$A$2:$A$2001, A1822, ベンチマークリターン!$B$2:$B$2001, Q1822) / 100, 0))</f>
        <v/>
      </c>
      <c r="T1822" t="str">
        <f>IF(A1822="","", SUMIFS($H$2:$H$2000, $A$2:$A$2000, A1822))</f>
        <v/>
      </c>
      <c r="U1822" t="str">
        <f t="shared" si="316"/>
        <v/>
      </c>
      <c r="V1822" t="str">
        <f t="shared" si="317"/>
        <v/>
      </c>
      <c r="W1822" t="str">
        <f t="shared" si="318"/>
        <v/>
      </c>
    </row>
    <row r="1823" spans="1:23" x14ac:dyDescent="0.2">
      <c r="A1823" s="4" t="str">
        <f>IF(ポートフォリオ実績!A1824="","", ポートフォリオ実績!A1824)</f>
        <v/>
      </c>
      <c r="B1823" t="str">
        <f>IF(ポートフォリオ実績!B1824="","", ポートフォリオ実績!B1824)</f>
        <v/>
      </c>
      <c r="C1823" s="10" t="str">
        <f>IF(ポートフォリオ実績!C1824="","", ポートフォリオ実績!C1824)</f>
        <v/>
      </c>
      <c r="D1823" s="10" t="str">
        <f>IF(ポートフォリオ実績!D1824="","", ポートフォリオ実績!D1824)</f>
        <v/>
      </c>
      <c r="E1823" s="10" t="str">
        <f>IF(ポートフォリオ実績!E1824="","", ポートフォリオ実績!E1824)</f>
        <v/>
      </c>
      <c r="F1823" s="10" t="str">
        <f>IF(ポートフォリオ実績!F1824="","", ポートフォリオ実績!F1824)</f>
        <v/>
      </c>
      <c r="G1823" t="str">
        <f t="shared" si="308"/>
        <v/>
      </c>
      <c r="H1823">
        <f>IF(B1823&lt;&gt;"", SUMIFS(ポートフォリオ実績!$D$2:$D$2001, ポートフォリオ実績!$B$2:$B$2001, B1823, ポートフォリオ実績!$A$2:$A$2001, G1823), 0)</f>
        <v>0</v>
      </c>
      <c r="I1823">
        <f>IF(B1823&lt;&gt;"", SUMIFS(ポートフォリオ実績!$C$2:$C$2001, ポートフォリオ実績!$B$2:$B$2001, B1823, ポートフォリオ実績!$A$2:$A$2001, G1823), 0)</f>
        <v>0</v>
      </c>
      <c r="J1823">
        <f t="shared" si="309"/>
        <v>0</v>
      </c>
      <c r="K1823">
        <f t="shared" si="310"/>
        <v>0</v>
      </c>
      <c r="L1823">
        <f t="shared" si="311"/>
        <v>0</v>
      </c>
      <c r="M1823">
        <f t="shared" si="312"/>
        <v>0</v>
      </c>
      <c r="N1823">
        <f t="shared" si="313"/>
        <v>0</v>
      </c>
      <c r="O1823">
        <f t="shared" si="314"/>
        <v>0</v>
      </c>
      <c r="P1823" t="str">
        <f t="shared" si="315"/>
        <v/>
      </c>
      <c r="Q1823" t="str">
        <f>IF(B1823="","", IFERROR(VLOOKUP(B1823, '基準資産配分（設定）'!$A$2:$C$2001, 3, FALSE), ""))</f>
        <v/>
      </c>
      <c r="R1823" t="str">
        <f>IF(B1823="","", IFERROR(VLOOKUP(B1823, '基準資産配分（設定）'!$A$2:$C$2001, 2, FALSE)/100, 0))</f>
        <v/>
      </c>
      <c r="S1823" t="str">
        <f>IF(B1823="","", IFERROR(SUMIFS(ベンチマークリターン!$C$2:$C$2001, ベンチマークリターン!$A$2:$A$2001, A1823, ベンチマークリターン!$B$2:$B$2001, Q1823) / 100, 0))</f>
        <v/>
      </c>
      <c r="T1823" t="str">
        <f>IF(A1823="","", SUMIFS($H$2:$H$2000, $A$2:$A$2000, A1823))</f>
        <v/>
      </c>
      <c r="U1823" t="str">
        <f t="shared" si="316"/>
        <v/>
      </c>
      <c r="V1823" t="str">
        <f t="shared" si="317"/>
        <v/>
      </c>
      <c r="W1823" t="str">
        <f t="shared" si="318"/>
        <v/>
      </c>
    </row>
    <row r="1824" spans="1:23" x14ac:dyDescent="0.2">
      <c r="A1824" s="4" t="str">
        <f>IF(ポートフォリオ実績!A1825="","", ポートフォリオ実績!A1825)</f>
        <v/>
      </c>
      <c r="B1824" t="str">
        <f>IF(ポートフォリオ実績!B1825="","", ポートフォリオ実績!B1825)</f>
        <v/>
      </c>
      <c r="C1824" s="10" t="str">
        <f>IF(ポートフォリオ実績!C1825="","", ポートフォリオ実績!C1825)</f>
        <v/>
      </c>
      <c r="D1824" s="10" t="str">
        <f>IF(ポートフォリオ実績!D1825="","", ポートフォリオ実績!D1825)</f>
        <v/>
      </c>
      <c r="E1824" s="10" t="str">
        <f>IF(ポートフォリオ実績!E1825="","", ポートフォリオ実績!E1825)</f>
        <v/>
      </c>
      <c r="F1824" s="10" t="str">
        <f>IF(ポートフォリオ実績!F1825="","", ポートフォリオ実績!F1825)</f>
        <v/>
      </c>
      <c r="G1824" t="str">
        <f t="shared" si="308"/>
        <v/>
      </c>
      <c r="H1824">
        <f>IF(B1824&lt;&gt;"", SUMIFS(ポートフォリオ実績!$D$2:$D$2001, ポートフォリオ実績!$B$2:$B$2001, B1824, ポートフォリオ実績!$A$2:$A$2001, G1824), 0)</f>
        <v>0</v>
      </c>
      <c r="I1824">
        <f>IF(B1824&lt;&gt;"", SUMIFS(ポートフォリオ実績!$C$2:$C$2001, ポートフォリオ実績!$B$2:$B$2001, B1824, ポートフォリオ実績!$A$2:$A$2001, G1824), 0)</f>
        <v>0</v>
      </c>
      <c r="J1824">
        <f t="shared" si="309"/>
        <v>0</v>
      </c>
      <c r="K1824">
        <f t="shared" si="310"/>
        <v>0</v>
      </c>
      <c r="L1824">
        <f t="shared" si="311"/>
        <v>0</v>
      </c>
      <c r="M1824">
        <f t="shared" si="312"/>
        <v>0</v>
      </c>
      <c r="N1824">
        <f t="shared" si="313"/>
        <v>0</v>
      </c>
      <c r="O1824">
        <f t="shared" si="314"/>
        <v>0</v>
      </c>
      <c r="P1824" t="str">
        <f t="shared" si="315"/>
        <v/>
      </c>
      <c r="Q1824" t="str">
        <f>IF(B1824="","", IFERROR(VLOOKUP(B1824, '基準資産配分（設定）'!$A$2:$C$2001, 3, FALSE), ""))</f>
        <v/>
      </c>
      <c r="R1824" t="str">
        <f>IF(B1824="","", IFERROR(VLOOKUP(B1824, '基準資産配分（設定）'!$A$2:$C$2001, 2, FALSE)/100, 0))</f>
        <v/>
      </c>
      <c r="S1824" t="str">
        <f>IF(B1824="","", IFERROR(SUMIFS(ベンチマークリターン!$C$2:$C$2001, ベンチマークリターン!$A$2:$A$2001, A1824, ベンチマークリターン!$B$2:$B$2001, Q1824) / 100, 0))</f>
        <v/>
      </c>
      <c r="T1824" t="str">
        <f>IF(A1824="","", SUMIFS($H$2:$H$2000, $A$2:$A$2000, A1824))</f>
        <v/>
      </c>
      <c r="U1824" t="str">
        <f t="shared" si="316"/>
        <v/>
      </c>
      <c r="V1824" t="str">
        <f t="shared" si="317"/>
        <v/>
      </c>
      <c r="W1824" t="str">
        <f t="shared" si="318"/>
        <v/>
      </c>
    </row>
    <row r="1825" spans="1:23" x14ac:dyDescent="0.2">
      <c r="A1825" s="4" t="str">
        <f>IF(ポートフォリオ実績!A1826="","", ポートフォリオ実績!A1826)</f>
        <v/>
      </c>
      <c r="B1825" t="str">
        <f>IF(ポートフォリオ実績!B1826="","", ポートフォリオ実績!B1826)</f>
        <v/>
      </c>
      <c r="C1825" s="10" t="str">
        <f>IF(ポートフォリオ実績!C1826="","", ポートフォリオ実績!C1826)</f>
        <v/>
      </c>
      <c r="D1825" s="10" t="str">
        <f>IF(ポートフォリオ実績!D1826="","", ポートフォリオ実績!D1826)</f>
        <v/>
      </c>
      <c r="E1825" s="10" t="str">
        <f>IF(ポートフォリオ実績!E1826="","", ポートフォリオ実績!E1826)</f>
        <v/>
      </c>
      <c r="F1825" s="10" t="str">
        <f>IF(ポートフォリオ実績!F1826="","", ポートフォリオ実績!F1826)</f>
        <v/>
      </c>
      <c r="G1825" t="str">
        <f t="shared" si="308"/>
        <v/>
      </c>
      <c r="H1825">
        <f>IF(B1825&lt;&gt;"", SUMIFS(ポートフォリオ実績!$D$2:$D$2001, ポートフォリオ実績!$B$2:$B$2001, B1825, ポートフォリオ実績!$A$2:$A$2001, G1825), 0)</f>
        <v>0</v>
      </c>
      <c r="I1825">
        <f>IF(B1825&lt;&gt;"", SUMIFS(ポートフォリオ実績!$C$2:$C$2001, ポートフォリオ実績!$B$2:$B$2001, B1825, ポートフォリオ実績!$A$2:$A$2001, G1825), 0)</f>
        <v>0</v>
      </c>
      <c r="J1825">
        <f t="shared" si="309"/>
        <v>0</v>
      </c>
      <c r="K1825">
        <f t="shared" si="310"/>
        <v>0</v>
      </c>
      <c r="L1825">
        <f t="shared" si="311"/>
        <v>0</v>
      </c>
      <c r="M1825">
        <f t="shared" si="312"/>
        <v>0</v>
      </c>
      <c r="N1825">
        <f t="shared" si="313"/>
        <v>0</v>
      </c>
      <c r="O1825">
        <f t="shared" si="314"/>
        <v>0</v>
      </c>
      <c r="P1825" t="str">
        <f t="shared" si="315"/>
        <v/>
      </c>
      <c r="Q1825" t="str">
        <f>IF(B1825="","", IFERROR(VLOOKUP(B1825, '基準資産配分（設定）'!$A$2:$C$2001, 3, FALSE), ""))</f>
        <v/>
      </c>
      <c r="R1825" t="str">
        <f>IF(B1825="","", IFERROR(VLOOKUP(B1825, '基準資産配分（設定）'!$A$2:$C$2001, 2, FALSE)/100, 0))</f>
        <v/>
      </c>
      <c r="S1825" t="str">
        <f>IF(B1825="","", IFERROR(SUMIFS(ベンチマークリターン!$C$2:$C$2001, ベンチマークリターン!$A$2:$A$2001, A1825, ベンチマークリターン!$B$2:$B$2001, Q1825) / 100, 0))</f>
        <v/>
      </c>
      <c r="T1825" t="str">
        <f>IF(A1825="","", SUMIFS($H$2:$H$2000, $A$2:$A$2000, A1825))</f>
        <v/>
      </c>
      <c r="U1825" t="str">
        <f t="shared" si="316"/>
        <v/>
      </c>
      <c r="V1825" t="str">
        <f t="shared" si="317"/>
        <v/>
      </c>
      <c r="W1825" t="str">
        <f t="shared" si="318"/>
        <v/>
      </c>
    </row>
    <row r="1826" spans="1:23" x14ac:dyDescent="0.2">
      <c r="A1826" s="4" t="str">
        <f>IF(ポートフォリオ実績!A1827="","", ポートフォリオ実績!A1827)</f>
        <v/>
      </c>
      <c r="B1826" t="str">
        <f>IF(ポートフォリオ実績!B1827="","", ポートフォリオ実績!B1827)</f>
        <v/>
      </c>
      <c r="C1826" s="10" t="str">
        <f>IF(ポートフォリオ実績!C1827="","", ポートフォリオ実績!C1827)</f>
        <v/>
      </c>
      <c r="D1826" s="10" t="str">
        <f>IF(ポートフォリオ実績!D1827="","", ポートフォリオ実績!D1827)</f>
        <v/>
      </c>
      <c r="E1826" s="10" t="str">
        <f>IF(ポートフォリオ実績!E1827="","", ポートフォリオ実績!E1827)</f>
        <v/>
      </c>
      <c r="F1826" s="10" t="str">
        <f>IF(ポートフォリオ実績!F1827="","", ポートフォリオ実績!F1827)</f>
        <v/>
      </c>
      <c r="G1826" t="str">
        <f t="shared" si="308"/>
        <v/>
      </c>
      <c r="H1826">
        <f>IF(B1826&lt;&gt;"", SUMIFS(ポートフォリオ実績!$D$2:$D$2001, ポートフォリオ実績!$B$2:$B$2001, B1826, ポートフォリオ実績!$A$2:$A$2001, G1826), 0)</f>
        <v>0</v>
      </c>
      <c r="I1826">
        <f>IF(B1826&lt;&gt;"", SUMIFS(ポートフォリオ実績!$C$2:$C$2001, ポートフォリオ実績!$B$2:$B$2001, B1826, ポートフォリオ実績!$A$2:$A$2001, G1826), 0)</f>
        <v>0</v>
      </c>
      <c r="J1826">
        <f t="shared" si="309"/>
        <v>0</v>
      </c>
      <c r="K1826">
        <f t="shared" si="310"/>
        <v>0</v>
      </c>
      <c r="L1826">
        <f t="shared" si="311"/>
        <v>0</v>
      </c>
      <c r="M1826">
        <f t="shared" si="312"/>
        <v>0</v>
      </c>
      <c r="N1826">
        <f t="shared" si="313"/>
        <v>0</v>
      </c>
      <c r="O1826">
        <f t="shared" si="314"/>
        <v>0</v>
      </c>
      <c r="P1826" t="str">
        <f t="shared" si="315"/>
        <v/>
      </c>
      <c r="Q1826" t="str">
        <f>IF(B1826="","", IFERROR(VLOOKUP(B1826, '基準資産配分（設定）'!$A$2:$C$2001, 3, FALSE), ""))</f>
        <v/>
      </c>
      <c r="R1826" t="str">
        <f>IF(B1826="","", IFERROR(VLOOKUP(B1826, '基準資産配分（設定）'!$A$2:$C$2001, 2, FALSE)/100, 0))</f>
        <v/>
      </c>
      <c r="S1826" t="str">
        <f>IF(B1826="","", IFERROR(SUMIFS(ベンチマークリターン!$C$2:$C$2001, ベンチマークリターン!$A$2:$A$2001, A1826, ベンチマークリターン!$B$2:$B$2001, Q1826) / 100, 0))</f>
        <v/>
      </c>
      <c r="T1826" t="str">
        <f>IF(A1826="","", SUMIFS($H$2:$H$2000, $A$2:$A$2000, A1826))</f>
        <v/>
      </c>
      <c r="U1826" t="str">
        <f t="shared" si="316"/>
        <v/>
      </c>
      <c r="V1826" t="str">
        <f t="shared" si="317"/>
        <v/>
      </c>
      <c r="W1826" t="str">
        <f t="shared" si="318"/>
        <v/>
      </c>
    </row>
    <row r="1827" spans="1:23" x14ac:dyDescent="0.2">
      <c r="A1827" s="4" t="str">
        <f>IF(ポートフォリオ実績!A1828="","", ポートフォリオ実績!A1828)</f>
        <v/>
      </c>
      <c r="B1827" t="str">
        <f>IF(ポートフォリオ実績!B1828="","", ポートフォリオ実績!B1828)</f>
        <v/>
      </c>
      <c r="C1827" s="10" t="str">
        <f>IF(ポートフォリオ実績!C1828="","", ポートフォリオ実績!C1828)</f>
        <v/>
      </c>
      <c r="D1827" s="10" t="str">
        <f>IF(ポートフォリオ実績!D1828="","", ポートフォリオ実績!D1828)</f>
        <v/>
      </c>
      <c r="E1827" s="10" t="str">
        <f>IF(ポートフォリオ実績!E1828="","", ポートフォリオ実績!E1828)</f>
        <v/>
      </c>
      <c r="F1827" s="10" t="str">
        <f>IF(ポートフォリオ実績!F1828="","", ポートフォリオ実績!F1828)</f>
        <v/>
      </c>
      <c r="G1827" t="str">
        <f t="shared" si="308"/>
        <v/>
      </c>
      <c r="H1827">
        <f>IF(B1827&lt;&gt;"", SUMIFS(ポートフォリオ実績!$D$2:$D$2001, ポートフォリオ実績!$B$2:$B$2001, B1827, ポートフォリオ実績!$A$2:$A$2001, G1827), 0)</f>
        <v>0</v>
      </c>
      <c r="I1827">
        <f>IF(B1827&lt;&gt;"", SUMIFS(ポートフォリオ実績!$C$2:$C$2001, ポートフォリオ実績!$B$2:$B$2001, B1827, ポートフォリオ実績!$A$2:$A$2001, G1827), 0)</f>
        <v>0</v>
      </c>
      <c r="J1827">
        <f t="shared" si="309"/>
        <v>0</v>
      </c>
      <c r="K1827">
        <f t="shared" si="310"/>
        <v>0</v>
      </c>
      <c r="L1827">
        <f t="shared" si="311"/>
        <v>0</v>
      </c>
      <c r="M1827">
        <f t="shared" si="312"/>
        <v>0</v>
      </c>
      <c r="N1827">
        <f t="shared" si="313"/>
        <v>0</v>
      </c>
      <c r="O1827">
        <f t="shared" si="314"/>
        <v>0</v>
      </c>
      <c r="P1827" t="str">
        <f t="shared" si="315"/>
        <v/>
      </c>
      <c r="Q1827" t="str">
        <f>IF(B1827="","", IFERROR(VLOOKUP(B1827, '基準資産配分（設定）'!$A$2:$C$2001, 3, FALSE), ""))</f>
        <v/>
      </c>
      <c r="R1827" t="str">
        <f>IF(B1827="","", IFERROR(VLOOKUP(B1827, '基準資産配分（設定）'!$A$2:$C$2001, 2, FALSE)/100, 0))</f>
        <v/>
      </c>
      <c r="S1827" t="str">
        <f>IF(B1827="","", IFERROR(SUMIFS(ベンチマークリターン!$C$2:$C$2001, ベンチマークリターン!$A$2:$A$2001, A1827, ベンチマークリターン!$B$2:$B$2001, Q1827) / 100, 0))</f>
        <v/>
      </c>
      <c r="T1827" t="str">
        <f>IF(A1827="","", SUMIFS($H$2:$H$2000, $A$2:$A$2000, A1827))</f>
        <v/>
      </c>
      <c r="U1827" t="str">
        <f t="shared" si="316"/>
        <v/>
      </c>
      <c r="V1827" t="str">
        <f t="shared" si="317"/>
        <v/>
      </c>
      <c r="W1827" t="str">
        <f t="shared" si="318"/>
        <v/>
      </c>
    </row>
    <row r="1828" spans="1:23" x14ac:dyDescent="0.2">
      <c r="A1828" s="4" t="str">
        <f>IF(ポートフォリオ実績!A1829="","", ポートフォリオ実績!A1829)</f>
        <v/>
      </c>
      <c r="B1828" t="str">
        <f>IF(ポートフォリオ実績!B1829="","", ポートフォリオ実績!B1829)</f>
        <v/>
      </c>
      <c r="C1828" s="10" t="str">
        <f>IF(ポートフォリオ実績!C1829="","", ポートフォリオ実績!C1829)</f>
        <v/>
      </c>
      <c r="D1828" s="10" t="str">
        <f>IF(ポートフォリオ実績!D1829="","", ポートフォリオ実績!D1829)</f>
        <v/>
      </c>
      <c r="E1828" s="10" t="str">
        <f>IF(ポートフォリオ実績!E1829="","", ポートフォリオ実績!E1829)</f>
        <v/>
      </c>
      <c r="F1828" s="10" t="str">
        <f>IF(ポートフォリオ実績!F1829="","", ポートフォリオ実績!F1829)</f>
        <v/>
      </c>
      <c r="G1828" t="str">
        <f t="shared" si="308"/>
        <v/>
      </c>
      <c r="H1828">
        <f>IF(B1828&lt;&gt;"", SUMIFS(ポートフォリオ実績!$D$2:$D$2001, ポートフォリオ実績!$B$2:$B$2001, B1828, ポートフォリオ実績!$A$2:$A$2001, G1828), 0)</f>
        <v>0</v>
      </c>
      <c r="I1828">
        <f>IF(B1828&lt;&gt;"", SUMIFS(ポートフォリオ実績!$C$2:$C$2001, ポートフォリオ実績!$B$2:$B$2001, B1828, ポートフォリオ実績!$A$2:$A$2001, G1828), 0)</f>
        <v>0</v>
      </c>
      <c r="J1828">
        <f t="shared" si="309"/>
        <v>0</v>
      </c>
      <c r="K1828">
        <f t="shared" si="310"/>
        <v>0</v>
      </c>
      <c r="L1828">
        <f t="shared" si="311"/>
        <v>0</v>
      </c>
      <c r="M1828">
        <f t="shared" si="312"/>
        <v>0</v>
      </c>
      <c r="N1828">
        <f t="shared" si="313"/>
        <v>0</v>
      </c>
      <c r="O1828">
        <f t="shared" si="314"/>
        <v>0</v>
      </c>
      <c r="P1828" t="str">
        <f t="shared" si="315"/>
        <v/>
      </c>
      <c r="Q1828" t="str">
        <f>IF(B1828="","", IFERROR(VLOOKUP(B1828, '基準資産配分（設定）'!$A$2:$C$2001, 3, FALSE), ""))</f>
        <v/>
      </c>
      <c r="R1828" t="str">
        <f>IF(B1828="","", IFERROR(VLOOKUP(B1828, '基準資産配分（設定）'!$A$2:$C$2001, 2, FALSE)/100, 0))</f>
        <v/>
      </c>
      <c r="S1828" t="str">
        <f>IF(B1828="","", IFERROR(SUMIFS(ベンチマークリターン!$C$2:$C$2001, ベンチマークリターン!$A$2:$A$2001, A1828, ベンチマークリターン!$B$2:$B$2001, Q1828) / 100, 0))</f>
        <v/>
      </c>
      <c r="T1828" t="str">
        <f>IF(A1828="","", SUMIFS($H$2:$H$2000, $A$2:$A$2000, A1828))</f>
        <v/>
      </c>
      <c r="U1828" t="str">
        <f t="shared" si="316"/>
        <v/>
      </c>
      <c r="V1828" t="str">
        <f t="shared" si="317"/>
        <v/>
      </c>
      <c r="W1828" t="str">
        <f t="shared" si="318"/>
        <v/>
      </c>
    </row>
    <row r="1829" spans="1:23" x14ac:dyDescent="0.2">
      <c r="A1829" s="4" t="str">
        <f>IF(ポートフォリオ実績!A1830="","", ポートフォリオ実績!A1830)</f>
        <v/>
      </c>
      <c r="B1829" t="str">
        <f>IF(ポートフォリオ実績!B1830="","", ポートフォリオ実績!B1830)</f>
        <v/>
      </c>
      <c r="C1829" s="10" t="str">
        <f>IF(ポートフォリオ実績!C1830="","", ポートフォリオ実績!C1830)</f>
        <v/>
      </c>
      <c r="D1829" s="10" t="str">
        <f>IF(ポートフォリオ実績!D1830="","", ポートフォリオ実績!D1830)</f>
        <v/>
      </c>
      <c r="E1829" s="10" t="str">
        <f>IF(ポートフォリオ実績!E1830="","", ポートフォリオ実績!E1830)</f>
        <v/>
      </c>
      <c r="F1829" s="10" t="str">
        <f>IF(ポートフォリオ実績!F1830="","", ポートフォリオ実績!F1830)</f>
        <v/>
      </c>
      <c r="G1829" t="str">
        <f t="shared" si="308"/>
        <v/>
      </c>
      <c r="H1829">
        <f>IF(B1829&lt;&gt;"", SUMIFS(ポートフォリオ実績!$D$2:$D$2001, ポートフォリオ実績!$B$2:$B$2001, B1829, ポートフォリオ実績!$A$2:$A$2001, G1829), 0)</f>
        <v>0</v>
      </c>
      <c r="I1829">
        <f>IF(B1829&lt;&gt;"", SUMIFS(ポートフォリオ実績!$C$2:$C$2001, ポートフォリオ実績!$B$2:$B$2001, B1829, ポートフォリオ実績!$A$2:$A$2001, G1829), 0)</f>
        <v>0</v>
      </c>
      <c r="J1829">
        <f t="shared" si="309"/>
        <v>0</v>
      </c>
      <c r="K1829">
        <f t="shared" si="310"/>
        <v>0</v>
      </c>
      <c r="L1829">
        <f t="shared" si="311"/>
        <v>0</v>
      </c>
      <c r="M1829">
        <f t="shared" si="312"/>
        <v>0</v>
      </c>
      <c r="N1829">
        <f t="shared" si="313"/>
        <v>0</v>
      </c>
      <c r="O1829">
        <f t="shared" si="314"/>
        <v>0</v>
      </c>
      <c r="P1829" t="str">
        <f t="shared" si="315"/>
        <v/>
      </c>
      <c r="Q1829" t="str">
        <f>IF(B1829="","", IFERROR(VLOOKUP(B1829, '基準資産配分（設定）'!$A$2:$C$2001, 3, FALSE), ""))</f>
        <v/>
      </c>
      <c r="R1829" t="str">
        <f>IF(B1829="","", IFERROR(VLOOKUP(B1829, '基準資産配分（設定）'!$A$2:$C$2001, 2, FALSE)/100, 0))</f>
        <v/>
      </c>
      <c r="S1829" t="str">
        <f>IF(B1829="","", IFERROR(SUMIFS(ベンチマークリターン!$C$2:$C$2001, ベンチマークリターン!$A$2:$A$2001, A1829, ベンチマークリターン!$B$2:$B$2001, Q1829) / 100, 0))</f>
        <v/>
      </c>
      <c r="T1829" t="str">
        <f>IF(A1829="","", SUMIFS($H$2:$H$2000, $A$2:$A$2000, A1829))</f>
        <v/>
      </c>
      <c r="U1829" t="str">
        <f t="shared" si="316"/>
        <v/>
      </c>
      <c r="V1829" t="str">
        <f t="shared" si="317"/>
        <v/>
      </c>
      <c r="W1829" t="str">
        <f t="shared" si="318"/>
        <v/>
      </c>
    </row>
    <row r="1830" spans="1:23" x14ac:dyDescent="0.2">
      <c r="A1830" s="4" t="str">
        <f>IF(ポートフォリオ実績!A1831="","", ポートフォリオ実績!A1831)</f>
        <v/>
      </c>
      <c r="B1830" t="str">
        <f>IF(ポートフォリオ実績!B1831="","", ポートフォリオ実績!B1831)</f>
        <v/>
      </c>
      <c r="C1830" s="10" t="str">
        <f>IF(ポートフォリオ実績!C1831="","", ポートフォリオ実績!C1831)</f>
        <v/>
      </c>
      <c r="D1830" s="10" t="str">
        <f>IF(ポートフォリオ実績!D1831="","", ポートフォリオ実績!D1831)</f>
        <v/>
      </c>
      <c r="E1830" s="10" t="str">
        <f>IF(ポートフォリオ実績!E1831="","", ポートフォリオ実績!E1831)</f>
        <v/>
      </c>
      <c r="F1830" s="10" t="str">
        <f>IF(ポートフォリオ実績!F1831="","", ポートフォリオ実績!F1831)</f>
        <v/>
      </c>
      <c r="G1830" t="str">
        <f t="shared" si="308"/>
        <v/>
      </c>
      <c r="H1830">
        <f>IF(B1830&lt;&gt;"", SUMIFS(ポートフォリオ実績!$D$2:$D$2001, ポートフォリオ実績!$B$2:$B$2001, B1830, ポートフォリオ実績!$A$2:$A$2001, G1830), 0)</f>
        <v>0</v>
      </c>
      <c r="I1830">
        <f>IF(B1830&lt;&gt;"", SUMIFS(ポートフォリオ実績!$C$2:$C$2001, ポートフォリオ実績!$B$2:$B$2001, B1830, ポートフォリオ実績!$A$2:$A$2001, G1830), 0)</f>
        <v>0</v>
      </c>
      <c r="J1830">
        <f t="shared" si="309"/>
        <v>0</v>
      </c>
      <c r="K1830">
        <f t="shared" si="310"/>
        <v>0</v>
      </c>
      <c r="L1830">
        <f t="shared" si="311"/>
        <v>0</v>
      </c>
      <c r="M1830">
        <f t="shared" si="312"/>
        <v>0</v>
      </c>
      <c r="N1830">
        <f t="shared" si="313"/>
        <v>0</v>
      </c>
      <c r="O1830">
        <f t="shared" si="314"/>
        <v>0</v>
      </c>
      <c r="P1830" t="str">
        <f t="shared" si="315"/>
        <v/>
      </c>
      <c r="Q1830" t="str">
        <f>IF(B1830="","", IFERROR(VLOOKUP(B1830, '基準資産配分（設定）'!$A$2:$C$2001, 3, FALSE), ""))</f>
        <v/>
      </c>
      <c r="R1830" t="str">
        <f>IF(B1830="","", IFERROR(VLOOKUP(B1830, '基準資産配分（設定）'!$A$2:$C$2001, 2, FALSE)/100, 0))</f>
        <v/>
      </c>
      <c r="S1830" t="str">
        <f>IF(B1830="","", IFERROR(SUMIFS(ベンチマークリターン!$C$2:$C$2001, ベンチマークリターン!$A$2:$A$2001, A1830, ベンチマークリターン!$B$2:$B$2001, Q1830) / 100, 0))</f>
        <v/>
      </c>
      <c r="T1830" t="str">
        <f>IF(A1830="","", SUMIFS($H$2:$H$2000, $A$2:$A$2000, A1830))</f>
        <v/>
      </c>
      <c r="U1830" t="str">
        <f t="shared" si="316"/>
        <v/>
      </c>
      <c r="V1830" t="str">
        <f t="shared" si="317"/>
        <v/>
      </c>
      <c r="W1830" t="str">
        <f t="shared" si="318"/>
        <v/>
      </c>
    </row>
    <row r="1831" spans="1:23" x14ac:dyDescent="0.2">
      <c r="A1831" s="4" t="str">
        <f>IF(ポートフォリオ実績!A1832="","", ポートフォリオ実績!A1832)</f>
        <v/>
      </c>
      <c r="B1831" t="str">
        <f>IF(ポートフォリオ実績!B1832="","", ポートフォリオ実績!B1832)</f>
        <v/>
      </c>
      <c r="C1831" s="10" t="str">
        <f>IF(ポートフォリオ実績!C1832="","", ポートフォリオ実績!C1832)</f>
        <v/>
      </c>
      <c r="D1831" s="10" t="str">
        <f>IF(ポートフォリオ実績!D1832="","", ポートフォリオ実績!D1832)</f>
        <v/>
      </c>
      <c r="E1831" s="10" t="str">
        <f>IF(ポートフォリオ実績!E1832="","", ポートフォリオ実績!E1832)</f>
        <v/>
      </c>
      <c r="F1831" s="10" t="str">
        <f>IF(ポートフォリオ実績!F1832="","", ポートフォリオ実績!F1832)</f>
        <v/>
      </c>
      <c r="G1831" t="str">
        <f t="shared" si="308"/>
        <v/>
      </c>
      <c r="H1831">
        <f>IF(B1831&lt;&gt;"", SUMIFS(ポートフォリオ実績!$D$2:$D$2001, ポートフォリオ実績!$B$2:$B$2001, B1831, ポートフォリオ実績!$A$2:$A$2001, G1831), 0)</f>
        <v>0</v>
      </c>
      <c r="I1831">
        <f>IF(B1831&lt;&gt;"", SUMIFS(ポートフォリオ実績!$C$2:$C$2001, ポートフォリオ実績!$B$2:$B$2001, B1831, ポートフォリオ実績!$A$2:$A$2001, G1831), 0)</f>
        <v>0</v>
      </c>
      <c r="J1831">
        <f t="shared" si="309"/>
        <v>0</v>
      </c>
      <c r="K1831">
        <f t="shared" si="310"/>
        <v>0</v>
      </c>
      <c r="L1831">
        <f t="shared" si="311"/>
        <v>0</v>
      </c>
      <c r="M1831">
        <f t="shared" si="312"/>
        <v>0</v>
      </c>
      <c r="N1831">
        <f t="shared" si="313"/>
        <v>0</v>
      </c>
      <c r="O1831">
        <f t="shared" si="314"/>
        <v>0</v>
      </c>
      <c r="P1831" t="str">
        <f t="shared" si="315"/>
        <v/>
      </c>
      <c r="Q1831" t="str">
        <f>IF(B1831="","", IFERROR(VLOOKUP(B1831, '基準資産配分（設定）'!$A$2:$C$2001, 3, FALSE), ""))</f>
        <v/>
      </c>
      <c r="R1831" t="str">
        <f>IF(B1831="","", IFERROR(VLOOKUP(B1831, '基準資産配分（設定）'!$A$2:$C$2001, 2, FALSE)/100, 0))</f>
        <v/>
      </c>
      <c r="S1831" t="str">
        <f>IF(B1831="","", IFERROR(SUMIFS(ベンチマークリターン!$C$2:$C$2001, ベンチマークリターン!$A$2:$A$2001, A1831, ベンチマークリターン!$B$2:$B$2001, Q1831) / 100, 0))</f>
        <v/>
      </c>
      <c r="T1831" t="str">
        <f>IF(A1831="","", SUMIFS($H$2:$H$2000, $A$2:$A$2000, A1831))</f>
        <v/>
      </c>
      <c r="U1831" t="str">
        <f t="shared" si="316"/>
        <v/>
      </c>
      <c r="V1831" t="str">
        <f t="shared" si="317"/>
        <v/>
      </c>
      <c r="W1831" t="str">
        <f t="shared" si="318"/>
        <v/>
      </c>
    </row>
    <row r="1832" spans="1:23" x14ac:dyDescent="0.2">
      <c r="A1832" s="4" t="str">
        <f>IF(ポートフォリオ実績!A1833="","", ポートフォリオ実績!A1833)</f>
        <v/>
      </c>
      <c r="B1832" t="str">
        <f>IF(ポートフォリオ実績!B1833="","", ポートフォリオ実績!B1833)</f>
        <v/>
      </c>
      <c r="C1832" s="10" t="str">
        <f>IF(ポートフォリオ実績!C1833="","", ポートフォリオ実績!C1833)</f>
        <v/>
      </c>
      <c r="D1832" s="10" t="str">
        <f>IF(ポートフォリオ実績!D1833="","", ポートフォリオ実績!D1833)</f>
        <v/>
      </c>
      <c r="E1832" s="10" t="str">
        <f>IF(ポートフォリオ実績!E1833="","", ポートフォリオ実績!E1833)</f>
        <v/>
      </c>
      <c r="F1832" s="10" t="str">
        <f>IF(ポートフォリオ実績!F1833="","", ポートフォリオ実績!F1833)</f>
        <v/>
      </c>
      <c r="G1832" t="str">
        <f t="shared" si="308"/>
        <v/>
      </c>
      <c r="H1832">
        <f>IF(B1832&lt;&gt;"", SUMIFS(ポートフォリオ実績!$D$2:$D$2001, ポートフォリオ実績!$B$2:$B$2001, B1832, ポートフォリオ実績!$A$2:$A$2001, G1832), 0)</f>
        <v>0</v>
      </c>
      <c r="I1832">
        <f>IF(B1832&lt;&gt;"", SUMIFS(ポートフォリオ実績!$C$2:$C$2001, ポートフォリオ実績!$B$2:$B$2001, B1832, ポートフォリオ実績!$A$2:$A$2001, G1832), 0)</f>
        <v>0</v>
      </c>
      <c r="J1832">
        <f t="shared" si="309"/>
        <v>0</v>
      </c>
      <c r="K1832">
        <f t="shared" si="310"/>
        <v>0</v>
      </c>
      <c r="L1832">
        <f t="shared" si="311"/>
        <v>0</v>
      </c>
      <c r="M1832">
        <f t="shared" si="312"/>
        <v>0</v>
      </c>
      <c r="N1832">
        <f t="shared" si="313"/>
        <v>0</v>
      </c>
      <c r="O1832">
        <f t="shared" si="314"/>
        <v>0</v>
      </c>
      <c r="P1832" t="str">
        <f t="shared" si="315"/>
        <v/>
      </c>
      <c r="Q1832" t="str">
        <f>IF(B1832="","", IFERROR(VLOOKUP(B1832, '基準資産配分（設定）'!$A$2:$C$2001, 3, FALSE), ""))</f>
        <v/>
      </c>
      <c r="R1832" t="str">
        <f>IF(B1832="","", IFERROR(VLOOKUP(B1832, '基準資産配分（設定）'!$A$2:$C$2001, 2, FALSE)/100, 0))</f>
        <v/>
      </c>
      <c r="S1832" t="str">
        <f>IF(B1832="","", IFERROR(SUMIFS(ベンチマークリターン!$C$2:$C$2001, ベンチマークリターン!$A$2:$A$2001, A1832, ベンチマークリターン!$B$2:$B$2001, Q1832) / 100, 0))</f>
        <v/>
      </c>
      <c r="T1832" t="str">
        <f>IF(A1832="","", SUMIFS($H$2:$H$2000, $A$2:$A$2000, A1832))</f>
        <v/>
      </c>
      <c r="U1832" t="str">
        <f t="shared" si="316"/>
        <v/>
      </c>
      <c r="V1832" t="str">
        <f t="shared" si="317"/>
        <v/>
      </c>
      <c r="W1832" t="str">
        <f t="shared" si="318"/>
        <v/>
      </c>
    </row>
    <row r="1833" spans="1:23" x14ac:dyDescent="0.2">
      <c r="A1833" s="4" t="str">
        <f>IF(ポートフォリオ実績!A1834="","", ポートフォリオ実績!A1834)</f>
        <v/>
      </c>
      <c r="B1833" t="str">
        <f>IF(ポートフォリオ実績!B1834="","", ポートフォリオ実績!B1834)</f>
        <v/>
      </c>
      <c r="C1833" s="10" t="str">
        <f>IF(ポートフォリオ実績!C1834="","", ポートフォリオ実績!C1834)</f>
        <v/>
      </c>
      <c r="D1833" s="10" t="str">
        <f>IF(ポートフォリオ実績!D1834="","", ポートフォリオ実績!D1834)</f>
        <v/>
      </c>
      <c r="E1833" s="10" t="str">
        <f>IF(ポートフォリオ実績!E1834="","", ポートフォリオ実績!E1834)</f>
        <v/>
      </c>
      <c r="F1833" s="10" t="str">
        <f>IF(ポートフォリオ実績!F1834="","", ポートフォリオ実績!F1834)</f>
        <v/>
      </c>
      <c r="G1833" t="str">
        <f t="shared" si="308"/>
        <v/>
      </c>
      <c r="H1833">
        <f>IF(B1833&lt;&gt;"", SUMIFS(ポートフォリオ実績!$D$2:$D$2001, ポートフォリオ実績!$B$2:$B$2001, B1833, ポートフォリオ実績!$A$2:$A$2001, G1833), 0)</f>
        <v>0</v>
      </c>
      <c r="I1833">
        <f>IF(B1833&lt;&gt;"", SUMIFS(ポートフォリオ実績!$C$2:$C$2001, ポートフォリオ実績!$B$2:$B$2001, B1833, ポートフォリオ実績!$A$2:$A$2001, G1833), 0)</f>
        <v>0</v>
      </c>
      <c r="J1833">
        <f t="shared" si="309"/>
        <v>0</v>
      </c>
      <c r="K1833">
        <f t="shared" si="310"/>
        <v>0</v>
      </c>
      <c r="L1833">
        <f t="shared" si="311"/>
        <v>0</v>
      </c>
      <c r="M1833">
        <f t="shared" si="312"/>
        <v>0</v>
      </c>
      <c r="N1833">
        <f t="shared" si="313"/>
        <v>0</v>
      </c>
      <c r="O1833">
        <f t="shared" si="314"/>
        <v>0</v>
      </c>
      <c r="P1833" t="str">
        <f t="shared" si="315"/>
        <v/>
      </c>
      <c r="Q1833" t="str">
        <f>IF(B1833="","", IFERROR(VLOOKUP(B1833, '基準資産配分（設定）'!$A$2:$C$2001, 3, FALSE), ""))</f>
        <v/>
      </c>
      <c r="R1833" t="str">
        <f>IF(B1833="","", IFERROR(VLOOKUP(B1833, '基準資産配分（設定）'!$A$2:$C$2001, 2, FALSE)/100, 0))</f>
        <v/>
      </c>
      <c r="S1833" t="str">
        <f>IF(B1833="","", IFERROR(SUMIFS(ベンチマークリターン!$C$2:$C$2001, ベンチマークリターン!$A$2:$A$2001, A1833, ベンチマークリターン!$B$2:$B$2001, Q1833) / 100, 0))</f>
        <v/>
      </c>
      <c r="T1833" t="str">
        <f>IF(A1833="","", SUMIFS($H$2:$H$2000, $A$2:$A$2000, A1833))</f>
        <v/>
      </c>
      <c r="U1833" t="str">
        <f t="shared" si="316"/>
        <v/>
      </c>
      <c r="V1833" t="str">
        <f t="shared" si="317"/>
        <v/>
      </c>
      <c r="W1833" t="str">
        <f t="shared" si="318"/>
        <v/>
      </c>
    </row>
    <row r="1834" spans="1:23" x14ac:dyDescent="0.2">
      <c r="A1834" s="4" t="str">
        <f>IF(ポートフォリオ実績!A1835="","", ポートフォリオ実績!A1835)</f>
        <v/>
      </c>
      <c r="B1834" t="str">
        <f>IF(ポートフォリオ実績!B1835="","", ポートフォリオ実績!B1835)</f>
        <v/>
      </c>
      <c r="C1834" s="10" t="str">
        <f>IF(ポートフォリオ実績!C1835="","", ポートフォリオ実績!C1835)</f>
        <v/>
      </c>
      <c r="D1834" s="10" t="str">
        <f>IF(ポートフォリオ実績!D1835="","", ポートフォリオ実績!D1835)</f>
        <v/>
      </c>
      <c r="E1834" s="10" t="str">
        <f>IF(ポートフォリオ実績!E1835="","", ポートフォリオ実績!E1835)</f>
        <v/>
      </c>
      <c r="F1834" s="10" t="str">
        <f>IF(ポートフォリオ実績!F1835="","", ポートフォリオ実績!F1835)</f>
        <v/>
      </c>
      <c r="G1834" t="str">
        <f t="shared" si="308"/>
        <v/>
      </c>
      <c r="H1834">
        <f>IF(B1834&lt;&gt;"", SUMIFS(ポートフォリオ実績!$D$2:$D$2001, ポートフォリオ実績!$B$2:$B$2001, B1834, ポートフォリオ実績!$A$2:$A$2001, G1834), 0)</f>
        <v>0</v>
      </c>
      <c r="I1834">
        <f>IF(B1834&lt;&gt;"", SUMIFS(ポートフォリオ実績!$C$2:$C$2001, ポートフォリオ実績!$B$2:$B$2001, B1834, ポートフォリオ実績!$A$2:$A$2001, G1834), 0)</f>
        <v>0</v>
      </c>
      <c r="J1834">
        <f t="shared" si="309"/>
        <v>0</v>
      </c>
      <c r="K1834">
        <f t="shared" si="310"/>
        <v>0</v>
      </c>
      <c r="L1834">
        <f t="shared" si="311"/>
        <v>0</v>
      </c>
      <c r="M1834">
        <f t="shared" si="312"/>
        <v>0</v>
      </c>
      <c r="N1834">
        <f t="shared" si="313"/>
        <v>0</v>
      </c>
      <c r="O1834">
        <f t="shared" si="314"/>
        <v>0</v>
      </c>
      <c r="P1834" t="str">
        <f t="shared" si="315"/>
        <v/>
      </c>
      <c r="Q1834" t="str">
        <f>IF(B1834="","", IFERROR(VLOOKUP(B1834, '基準資産配分（設定）'!$A$2:$C$2001, 3, FALSE), ""))</f>
        <v/>
      </c>
      <c r="R1834" t="str">
        <f>IF(B1834="","", IFERROR(VLOOKUP(B1834, '基準資産配分（設定）'!$A$2:$C$2001, 2, FALSE)/100, 0))</f>
        <v/>
      </c>
      <c r="S1834" t="str">
        <f>IF(B1834="","", IFERROR(SUMIFS(ベンチマークリターン!$C$2:$C$2001, ベンチマークリターン!$A$2:$A$2001, A1834, ベンチマークリターン!$B$2:$B$2001, Q1834) / 100, 0))</f>
        <v/>
      </c>
      <c r="T1834" t="str">
        <f>IF(A1834="","", SUMIFS($H$2:$H$2000, $A$2:$A$2000, A1834))</f>
        <v/>
      </c>
      <c r="U1834" t="str">
        <f t="shared" si="316"/>
        <v/>
      </c>
      <c r="V1834" t="str">
        <f t="shared" si="317"/>
        <v/>
      </c>
      <c r="W1834" t="str">
        <f t="shared" si="318"/>
        <v/>
      </c>
    </row>
    <row r="1835" spans="1:23" x14ac:dyDescent="0.2">
      <c r="A1835" s="4" t="str">
        <f>IF(ポートフォリオ実績!A1836="","", ポートフォリオ実績!A1836)</f>
        <v/>
      </c>
      <c r="B1835" t="str">
        <f>IF(ポートフォリオ実績!B1836="","", ポートフォリオ実績!B1836)</f>
        <v/>
      </c>
      <c r="C1835" s="10" t="str">
        <f>IF(ポートフォリオ実績!C1836="","", ポートフォリオ実績!C1836)</f>
        <v/>
      </c>
      <c r="D1835" s="10" t="str">
        <f>IF(ポートフォリオ実績!D1836="","", ポートフォリオ実績!D1836)</f>
        <v/>
      </c>
      <c r="E1835" s="10" t="str">
        <f>IF(ポートフォリオ実績!E1836="","", ポートフォリオ実績!E1836)</f>
        <v/>
      </c>
      <c r="F1835" s="10" t="str">
        <f>IF(ポートフォリオ実績!F1836="","", ポートフォリオ実績!F1836)</f>
        <v/>
      </c>
      <c r="G1835" t="str">
        <f t="shared" si="308"/>
        <v/>
      </c>
      <c r="H1835">
        <f>IF(B1835&lt;&gt;"", SUMIFS(ポートフォリオ実績!$D$2:$D$2001, ポートフォリオ実績!$B$2:$B$2001, B1835, ポートフォリオ実績!$A$2:$A$2001, G1835), 0)</f>
        <v>0</v>
      </c>
      <c r="I1835">
        <f>IF(B1835&lt;&gt;"", SUMIFS(ポートフォリオ実績!$C$2:$C$2001, ポートフォリオ実績!$B$2:$B$2001, B1835, ポートフォリオ実績!$A$2:$A$2001, G1835), 0)</f>
        <v>0</v>
      </c>
      <c r="J1835">
        <f t="shared" si="309"/>
        <v>0</v>
      </c>
      <c r="K1835">
        <f t="shared" si="310"/>
        <v>0</v>
      </c>
      <c r="L1835">
        <f t="shared" si="311"/>
        <v>0</v>
      </c>
      <c r="M1835">
        <f t="shared" si="312"/>
        <v>0</v>
      </c>
      <c r="N1835">
        <f t="shared" si="313"/>
        <v>0</v>
      </c>
      <c r="O1835">
        <f t="shared" si="314"/>
        <v>0</v>
      </c>
      <c r="P1835" t="str">
        <f t="shared" si="315"/>
        <v/>
      </c>
      <c r="Q1835" t="str">
        <f>IF(B1835="","", IFERROR(VLOOKUP(B1835, '基準資産配分（設定）'!$A$2:$C$2001, 3, FALSE), ""))</f>
        <v/>
      </c>
      <c r="R1835" t="str">
        <f>IF(B1835="","", IFERROR(VLOOKUP(B1835, '基準資産配分（設定）'!$A$2:$C$2001, 2, FALSE)/100, 0))</f>
        <v/>
      </c>
      <c r="S1835" t="str">
        <f>IF(B1835="","", IFERROR(SUMIFS(ベンチマークリターン!$C$2:$C$2001, ベンチマークリターン!$A$2:$A$2001, A1835, ベンチマークリターン!$B$2:$B$2001, Q1835) / 100, 0))</f>
        <v/>
      </c>
      <c r="T1835" t="str">
        <f>IF(A1835="","", SUMIFS($H$2:$H$2000, $A$2:$A$2000, A1835))</f>
        <v/>
      </c>
      <c r="U1835" t="str">
        <f t="shared" si="316"/>
        <v/>
      </c>
      <c r="V1835" t="str">
        <f t="shared" si="317"/>
        <v/>
      </c>
      <c r="W1835" t="str">
        <f t="shared" si="318"/>
        <v/>
      </c>
    </row>
    <row r="1836" spans="1:23" x14ac:dyDescent="0.2">
      <c r="A1836" s="4" t="str">
        <f>IF(ポートフォリオ実績!A1837="","", ポートフォリオ実績!A1837)</f>
        <v/>
      </c>
      <c r="B1836" t="str">
        <f>IF(ポートフォリオ実績!B1837="","", ポートフォリオ実績!B1837)</f>
        <v/>
      </c>
      <c r="C1836" s="10" t="str">
        <f>IF(ポートフォリオ実績!C1837="","", ポートフォリオ実績!C1837)</f>
        <v/>
      </c>
      <c r="D1836" s="10" t="str">
        <f>IF(ポートフォリオ実績!D1837="","", ポートフォリオ実績!D1837)</f>
        <v/>
      </c>
      <c r="E1836" s="10" t="str">
        <f>IF(ポートフォリオ実績!E1837="","", ポートフォリオ実績!E1837)</f>
        <v/>
      </c>
      <c r="F1836" s="10" t="str">
        <f>IF(ポートフォリオ実績!F1837="","", ポートフォリオ実績!F1837)</f>
        <v/>
      </c>
      <c r="G1836" t="str">
        <f t="shared" si="308"/>
        <v/>
      </c>
      <c r="H1836">
        <f>IF(B1836&lt;&gt;"", SUMIFS(ポートフォリオ実績!$D$2:$D$2001, ポートフォリオ実績!$B$2:$B$2001, B1836, ポートフォリオ実績!$A$2:$A$2001, G1836), 0)</f>
        <v>0</v>
      </c>
      <c r="I1836">
        <f>IF(B1836&lt;&gt;"", SUMIFS(ポートフォリオ実績!$C$2:$C$2001, ポートフォリオ実績!$B$2:$B$2001, B1836, ポートフォリオ実績!$A$2:$A$2001, G1836), 0)</f>
        <v>0</v>
      </c>
      <c r="J1836">
        <f t="shared" si="309"/>
        <v>0</v>
      </c>
      <c r="K1836">
        <f t="shared" si="310"/>
        <v>0</v>
      </c>
      <c r="L1836">
        <f t="shared" si="311"/>
        <v>0</v>
      </c>
      <c r="M1836">
        <f t="shared" si="312"/>
        <v>0</v>
      </c>
      <c r="N1836">
        <f t="shared" si="313"/>
        <v>0</v>
      </c>
      <c r="O1836">
        <f t="shared" si="314"/>
        <v>0</v>
      </c>
      <c r="P1836" t="str">
        <f t="shared" si="315"/>
        <v/>
      </c>
      <c r="Q1836" t="str">
        <f>IF(B1836="","", IFERROR(VLOOKUP(B1836, '基準資産配分（設定）'!$A$2:$C$2001, 3, FALSE), ""))</f>
        <v/>
      </c>
      <c r="R1836" t="str">
        <f>IF(B1836="","", IFERROR(VLOOKUP(B1836, '基準資産配分（設定）'!$A$2:$C$2001, 2, FALSE)/100, 0))</f>
        <v/>
      </c>
      <c r="S1836" t="str">
        <f>IF(B1836="","", IFERROR(SUMIFS(ベンチマークリターン!$C$2:$C$2001, ベンチマークリターン!$A$2:$A$2001, A1836, ベンチマークリターン!$B$2:$B$2001, Q1836) / 100, 0))</f>
        <v/>
      </c>
      <c r="T1836" t="str">
        <f>IF(A1836="","", SUMIFS($H$2:$H$2000, $A$2:$A$2000, A1836))</f>
        <v/>
      </c>
      <c r="U1836" t="str">
        <f t="shared" si="316"/>
        <v/>
      </c>
      <c r="V1836" t="str">
        <f t="shared" si="317"/>
        <v/>
      </c>
      <c r="W1836" t="str">
        <f t="shared" si="318"/>
        <v/>
      </c>
    </row>
    <row r="1837" spans="1:23" x14ac:dyDescent="0.2">
      <c r="A1837" s="4" t="str">
        <f>IF(ポートフォリオ実績!A1838="","", ポートフォリオ実績!A1838)</f>
        <v/>
      </c>
      <c r="B1837" t="str">
        <f>IF(ポートフォリオ実績!B1838="","", ポートフォリオ実績!B1838)</f>
        <v/>
      </c>
      <c r="C1837" s="10" t="str">
        <f>IF(ポートフォリオ実績!C1838="","", ポートフォリオ実績!C1838)</f>
        <v/>
      </c>
      <c r="D1837" s="10" t="str">
        <f>IF(ポートフォリオ実績!D1838="","", ポートフォリオ実績!D1838)</f>
        <v/>
      </c>
      <c r="E1837" s="10" t="str">
        <f>IF(ポートフォリオ実績!E1838="","", ポートフォリオ実績!E1838)</f>
        <v/>
      </c>
      <c r="F1837" s="10" t="str">
        <f>IF(ポートフォリオ実績!F1838="","", ポートフォリオ実績!F1838)</f>
        <v/>
      </c>
      <c r="G1837" t="str">
        <f t="shared" si="308"/>
        <v/>
      </c>
      <c r="H1837">
        <f>IF(B1837&lt;&gt;"", SUMIFS(ポートフォリオ実績!$D$2:$D$2001, ポートフォリオ実績!$B$2:$B$2001, B1837, ポートフォリオ実績!$A$2:$A$2001, G1837), 0)</f>
        <v>0</v>
      </c>
      <c r="I1837">
        <f>IF(B1837&lt;&gt;"", SUMIFS(ポートフォリオ実績!$C$2:$C$2001, ポートフォリオ実績!$B$2:$B$2001, B1837, ポートフォリオ実績!$A$2:$A$2001, G1837), 0)</f>
        <v>0</v>
      </c>
      <c r="J1837">
        <f t="shared" si="309"/>
        <v>0</v>
      </c>
      <c r="K1837">
        <f t="shared" si="310"/>
        <v>0</v>
      </c>
      <c r="L1837">
        <f t="shared" si="311"/>
        <v>0</v>
      </c>
      <c r="M1837">
        <f t="shared" si="312"/>
        <v>0</v>
      </c>
      <c r="N1837">
        <f t="shared" si="313"/>
        <v>0</v>
      </c>
      <c r="O1837">
        <f t="shared" si="314"/>
        <v>0</v>
      </c>
      <c r="P1837" t="str">
        <f t="shared" si="315"/>
        <v/>
      </c>
      <c r="Q1837" t="str">
        <f>IF(B1837="","", IFERROR(VLOOKUP(B1837, '基準資産配分（設定）'!$A$2:$C$2001, 3, FALSE), ""))</f>
        <v/>
      </c>
      <c r="R1837" t="str">
        <f>IF(B1837="","", IFERROR(VLOOKUP(B1837, '基準資産配分（設定）'!$A$2:$C$2001, 2, FALSE)/100, 0))</f>
        <v/>
      </c>
      <c r="S1837" t="str">
        <f>IF(B1837="","", IFERROR(SUMIFS(ベンチマークリターン!$C$2:$C$2001, ベンチマークリターン!$A$2:$A$2001, A1837, ベンチマークリターン!$B$2:$B$2001, Q1837) / 100, 0))</f>
        <v/>
      </c>
      <c r="T1837" t="str">
        <f>IF(A1837="","", SUMIFS($H$2:$H$2000, $A$2:$A$2000, A1837))</f>
        <v/>
      </c>
      <c r="U1837" t="str">
        <f t="shared" si="316"/>
        <v/>
      </c>
      <c r="V1837" t="str">
        <f t="shared" si="317"/>
        <v/>
      </c>
      <c r="W1837" t="str">
        <f t="shared" si="318"/>
        <v/>
      </c>
    </row>
    <row r="1838" spans="1:23" x14ac:dyDescent="0.2">
      <c r="A1838" s="4" t="str">
        <f>IF(ポートフォリオ実績!A1839="","", ポートフォリオ実績!A1839)</f>
        <v/>
      </c>
      <c r="B1838" t="str">
        <f>IF(ポートフォリオ実績!B1839="","", ポートフォリオ実績!B1839)</f>
        <v/>
      </c>
      <c r="C1838" s="10" t="str">
        <f>IF(ポートフォリオ実績!C1839="","", ポートフォリオ実績!C1839)</f>
        <v/>
      </c>
      <c r="D1838" s="10" t="str">
        <f>IF(ポートフォリオ実績!D1839="","", ポートフォリオ実績!D1839)</f>
        <v/>
      </c>
      <c r="E1838" s="10" t="str">
        <f>IF(ポートフォリオ実績!E1839="","", ポートフォリオ実績!E1839)</f>
        <v/>
      </c>
      <c r="F1838" s="10" t="str">
        <f>IF(ポートフォリオ実績!F1839="","", ポートフォリオ実績!F1839)</f>
        <v/>
      </c>
      <c r="G1838" t="str">
        <f t="shared" si="308"/>
        <v/>
      </c>
      <c r="H1838">
        <f>IF(B1838&lt;&gt;"", SUMIFS(ポートフォリオ実績!$D$2:$D$2001, ポートフォリオ実績!$B$2:$B$2001, B1838, ポートフォリオ実績!$A$2:$A$2001, G1838), 0)</f>
        <v>0</v>
      </c>
      <c r="I1838">
        <f>IF(B1838&lt;&gt;"", SUMIFS(ポートフォリオ実績!$C$2:$C$2001, ポートフォリオ実績!$B$2:$B$2001, B1838, ポートフォリオ実績!$A$2:$A$2001, G1838), 0)</f>
        <v>0</v>
      </c>
      <c r="J1838">
        <f t="shared" si="309"/>
        <v>0</v>
      </c>
      <c r="K1838">
        <f t="shared" si="310"/>
        <v>0</v>
      </c>
      <c r="L1838">
        <f t="shared" si="311"/>
        <v>0</v>
      </c>
      <c r="M1838">
        <f t="shared" si="312"/>
        <v>0</v>
      </c>
      <c r="N1838">
        <f t="shared" si="313"/>
        <v>0</v>
      </c>
      <c r="O1838">
        <f t="shared" si="314"/>
        <v>0</v>
      </c>
      <c r="P1838" t="str">
        <f t="shared" si="315"/>
        <v/>
      </c>
      <c r="Q1838" t="str">
        <f>IF(B1838="","", IFERROR(VLOOKUP(B1838, '基準資産配分（設定）'!$A$2:$C$2001, 3, FALSE), ""))</f>
        <v/>
      </c>
      <c r="R1838" t="str">
        <f>IF(B1838="","", IFERROR(VLOOKUP(B1838, '基準資産配分（設定）'!$A$2:$C$2001, 2, FALSE)/100, 0))</f>
        <v/>
      </c>
      <c r="S1838" t="str">
        <f>IF(B1838="","", IFERROR(SUMIFS(ベンチマークリターン!$C$2:$C$2001, ベンチマークリターン!$A$2:$A$2001, A1838, ベンチマークリターン!$B$2:$B$2001, Q1838) / 100, 0))</f>
        <v/>
      </c>
      <c r="T1838" t="str">
        <f>IF(A1838="","", SUMIFS($H$2:$H$2000, $A$2:$A$2000, A1838))</f>
        <v/>
      </c>
      <c r="U1838" t="str">
        <f t="shared" si="316"/>
        <v/>
      </c>
      <c r="V1838" t="str">
        <f t="shared" si="317"/>
        <v/>
      </c>
      <c r="W1838" t="str">
        <f t="shared" si="318"/>
        <v/>
      </c>
    </row>
    <row r="1839" spans="1:23" x14ac:dyDescent="0.2">
      <c r="A1839" s="4" t="str">
        <f>IF(ポートフォリオ実績!A1840="","", ポートフォリオ実績!A1840)</f>
        <v/>
      </c>
      <c r="B1839" t="str">
        <f>IF(ポートフォリオ実績!B1840="","", ポートフォリオ実績!B1840)</f>
        <v/>
      </c>
      <c r="C1839" s="10" t="str">
        <f>IF(ポートフォリオ実績!C1840="","", ポートフォリオ実績!C1840)</f>
        <v/>
      </c>
      <c r="D1839" s="10" t="str">
        <f>IF(ポートフォリオ実績!D1840="","", ポートフォリオ実績!D1840)</f>
        <v/>
      </c>
      <c r="E1839" s="10" t="str">
        <f>IF(ポートフォリオ実績!E1840="","", ポートフォリオ実績!E1840)</f>
        <v/>
      </c>
      <c r="F1839" s="10" t="str">
        <f>IF(ポートフォリオ実績!F1840="","", ポートフォリオ実績!F1840)</f>
        <v/>
      </c>
      <c r="G1839" t="str">
        <f t="shared" si="308"/>
        <v/>
      </c>
      <c r="H1839">
        <f>IF(B1839&lt;&gt;"", SUMIFS(ポートフォリオ実績!$D$2:$D$2001, ポートフォリオ実績!$B$2:$B$2001, B1839, ポートフォリオ実績!$A$2:$A$2001, G1839), 0)</f>
        <v>0</v>
      </c>
      <c r="I1839">
        <f>IF(B1839&lt;&gt;"", SUMIFS(ポートフォリオ実績!$C$2:$C$2001, ポートフォリオ実績!$B$2:$B$2001, B1839, ポートフォリオ実績!$A$2:$A$2001, G1839), 0)</f>
        <v>0</v>
      </c>
      <c r="J1839">
        <f t="shared" si="309"/>
        <v>0</v>
      </c>
      <c r="K1839">
        <f t="shared" si="310"/>
        <v>0</v>
      </c>
      <c r="L1839">
        <f t="shared" si="311"/>
        <v>0</v>
      </c>
      <c r="M1839">
        <f t="shared" si="312"/>
        <v>0</v>
      </c>
      <c r="N1839">
        <f t="shared" si="313"/>
        <v>0</v>
      </c>
      <c r="O1839">
        <f t="shared" si="314"/>
        <v>0</v>
      </c>
      <c r="P1839" t="str">
        <f t="shared" si="315"/>
        <v/>
      </c>
      <c r="Q1839" t="str">
        <f>IF(B1839="","", IFERROR(VLOOKUP(B1839, '基準資産配分（設定）'!$A$2:$C$2001, 3, FALSE), ""))</f>
        <v/>
      </c>
      <c r="R1839" t="str">
        <f>IF(B1839="","", IFERROR(VLOOKUP(B1839, '基準資産配分（設定）'!$A$2:$C$2001, 2, FALSE)/100, 0))</f>
        <v/>
      </c>
      <c r="S1839" t="str">
        <f>IF(B1839="","", IFERROR(SUMIFS(ベンチマークリターン!$C$2:$C$2001, ベンチマークリターン!$A$2:$A$2001, A1839, ベンチマークリターン!$B$2:$B$2001, Q1839) / 100, 0))</f>
        <v/>
      </c>
      <c r="T1839" t="str">
        <f>IF(A1839="","", SUMIFS($H$2:$H$2000, $A$2:$A$2000, A1839))</f>
        <v/>
      </c>
      <c r="U1839" t="str">
        <f t="shared" si="316"/>
        <v/>
      </c>
      <c r="V1839" t="str">
        <f t="shared" si="317"/>
        <v/>
      </c>
      <c r="W1839" t="str">
        <f t="shared" si="318"/>
        <v/>
      </c>
    </row>
    <row r="1840" spans="1:23" x14ac:dyDescent="0.2">
      <c r="A1840" s="4" t="str">
        <f>IF(ポートフォリオ実績!A1841="","", ポートフォリオ実績!A1841)</f>
        <v/>
      </c>
      <c r="B1840" t="str">
        <f>IF(ポートフォリオ実績!B1841="","", ポートフォリオ実績!B1841)</f>
        <v/>
      </c>
      <c r="C1840" s="10" t="str">
        <f>IF(ポートフォリオ実績!C1841="","", ポートフォリオ実績!C1841)</f>
        <v/>
      </c>
      <c r="D1840" s="10" t="str">
        <f>IF(ポートフォリオ実績!D1841="","", ポートフォリオ実績!D1841)</f>
        <v/>
      </c>
      <c r="E1840" s="10" t="str">
        <f>IF(ポートフォリオ実績!E1841="","", ポートフォリオ実績!E1841)</f>
        <v/>
      </c>
      <c r="F1840" s="10" t="str">
        <f>IF(ポートフォリオ実績!F1841="","", ポートフォリオ実績!F1841)</f>
        <v/>
      </c>
      <c r="G1840" t="str">
        <f t="shared" si="308"/>
        <v/>
      </c>
      <c r="H1840">
        <f>IF(B1840&lt;&gt;"", SUMIFS(ポートフォリオ実績!$D$2:$D$2001, ポートフォリオ実績!$B$2:$B$2001, B1840, ポートフォリオ実績!$A$2:$A$2001, G1840), 0)</f>
        <v>0</v>
      </c>
      <c r="I1840">
        <f>IF(B1840&lt;&gt;"", SUMIFS(ポートフォリオ実績!$C$2:$C$2001, ポートフォリオ実績!$B$2:$B$2001, B1840, ポートフォリオ実績!$A$2:$A$2001, G1840), 0)</f>
        <v>0</v>
      </c>
      <c r="J1840">
        <f t="shared" si="309"/>
        <v>0</v>
      </c>
      <c r="K1840">
        <f t="shared" si="310"/>
        <v>0</v>
      </c>
      <c r="L1840">
        <f t="shared" si="311"/>
        <v>0</v>
      </c>
      <c r="M1840">
        <f t="shared" si="312"/>
        <v>0</v>
      </c>
      <c r="N1840">
        <f t="shared" si="313"/>
        <v>0</v>
      </c>
      <c r="O1840">
        <f t="shared" si="314"/>
        <v>0</v>
      </c>
      <c r="P1840" t="str">
        <f t="shared" si="315"/>
        <v/>
      </c>
      <c r="Q1840" t="str">
        <f>IF(B1840="","", IFERROR(VLOOKUP(B1840, '基準資産配分（設定）'!$A$2:$C$2001, 3, FALSE), ""))</f>
        <v/>
      </c>
      <c r="R1840" t="str">
        <f>IF(B1840="","", IFERROR(VLOOKUP(B1840, '基準資産配分（設定）'!$A$2:$C$2001, 2, FALSE)/100, 0))</f>
        <v/>
      </c>
      <c r="S1840" t="str">
        <f>IF(B1840="","", IFERROR(SUMIFS(ベンチマークリターン!$C$2:$C$2001, ベンチマークリターン!$A$2:$A$2001, A1840, ベンチマークリターン!$B$2:$B$2001, Q1840) / 100, 0))</f>
        <v/>
      </c>
      <c r="T1840" t="str">
        <f>IF(A1840="","", SUMIFS($H$2:$H$2000, $A$2:$A$2000, A1840))</f>
        <v/>
      </c>
      <c r="U1840" t="str">
        <f t="shared" si="316"/>
        <v/>
      </c>
      <c r="V1840" t="str">
        <f t="shared" si="317"/>
        <v/>
      </c>
      <c r="W1840" t="str">
        <f t="shared" si="318"/>
        <v/>
      </c>
    </row>
    <row r="1841" spans="1:23" x14ac:dyDescent="0.2">
      <c r="A1841" s="4" t="str">
        <f>IF(ポートフォリオ実績!A1842="","", ポートフォリオ実績!A1842)</f>
        <v/>
      </c>
      <c r="B1841" t="str">
        <f>IF(ポートフォリオ実績!B1842="","", ポートフォリオ実績!B1842)</f>
        <v/>
      </c>
      <c r="C1841" s="10" t="str">
        <f>IF(ポートフォリオ実績!C1842="","", ポートフォリオ実績!C1842)</f>
        <v/>
      </c>
      <c r="D1841" s="10" t="str">
        <f>IF(ポートフォリオ実績!D1842="","", ポートフォリオ実績!D1842)</f>
        <v/>
      </c>
      <c r="E1841" s="10" t="str">
        <f>IF(ポートフォリオ実績!E1842="","", ポートフォリオ実績!E1842)</f>
        <v/>
      </c>
      <c r="F1841" s="10" t="str">
        <f>IF(ポートフォリオ実績!F1842="","", ポートフォリオ実績!F1842)</f>
        <v/>
      </c>
      <c r="G1841" t="str">
        <f t="shared" si="308"/>
        <v/>
      </c>
      <c r="H1841">
        <f>IF(B1841&lt;&gt;"", SUMIFS(ポートフォリオ実績!$D$2:$D$2001, ポートフォリオ実績!$B$2:$B$2001, B1841, ポートフォリオ実績!$A$2:$A$2001, G1841), 0)</f>
        <v>0</v>
      </c>
      <c r="I1841">
        <f>IF(B1841&lt;&gt;"", SUMIFS(ポートフォリオ実績!$C$2:$C$2001, ポートフォリオ実績!$B$2:$B$2001, B1841, ポートフォリオ実績!$A$2:$A$2001, G1841), 0)</f>
        <v>0</v>
      </c>
      <c r="J1841">
        <f t="shared" si="309"/>
        <v>0</v>
      </c>
      <c r="K1841">
        <f t="shared" si="310"/>
        <v>0</v>
      </c>
      <c r="L1841">
        <f t="shared" si="311"/>
        <v>0</v>
      </c>
      <c r="M1841">
        <f t="shared" si="312"/>
        <v>0</v>
      </c>
      <c r="N1841">
        <f t="shared" si="313"/>
        <v>0</v>
      </c>
      <c r="O1841">
        <f t="shared" si="314"/>
        <v>0</v>
      </c>
      <c r="P1841" t="str">
        <f t="shared" si="315"/>
        <v/>
      </c>
      <c r="Q1841" t="str">
        <f>IF(B1841="","", IFERROR(VLOOKUP(B1841, '基準資産配分（設定）'!$A$2:$C$2001, 3, FALSE), ""))</f>
        <v/>
      </c>
      <c r="R1841" t="str">
        <f>IF(B1841="","", IFERROR(VLOOKUP(B1841, '基準資産配分（設定）'!$A$2:$C$2001, 2, FALSE)/100, 0))</f>
        <v/>
      </c>
      <c r="S1841" t="str">
        <f>IF(B1841="","", IFERROR(SUMIFS(ベンチマークリターン!$C$2:$C$2001, ベンチマークリターン!$A$2:$A$2001, A1841, ベンチマークリターン!$B$2:$B$2001, Q1841) / 100, 0))</f>
        <v/>
      </c>
      <c r="T1841" t="str">
        <f>IF(A1841="","", SUMIFS($H$2:$H$2000, $A$2:$A$2000, A1841))</f>
        <v/>
      </c>
      <c r="U1841" t="str">
        <f t="shared" si="316"/>
        <v/>
      </c>
      <c r="V1841" t="str">
        <f t="shared" si="317"/>
        <v/>
      </c>
      <c r="W1841" t="str">
        <f t="shared" si="318"/>
        <v/>
      </c>
    </row>
    <row r="1842" spans="1:23" x14ac:dyDescent="0.2">
      <c r="A1842" s="4" t="str">
        <f>IF(ポートフォリオ実績!A1843="","", ポートフォリオ実績!A1843)</f>
        <v/>
      </c>
      <c r="B1842" t="str">
        <f>IF(ポートフォリオ実績!B1843="","", ポートフォリオ実績!B1843)</f>
        <v/>
      </c>
      <c r="C1842" s="10" t="str">
        <f>IF(ポートフォリオ実績!C1843="","", ポートフォリオ実績!C1843)</f>
        <v/>
      </c>
      <c r="D1842" s="10" t="str">
        <f>IF(ポートフォリオ実績!D1843="","", ポートフォリオ実績!D1843)</f>
        <v/>
      </c>
      <c r="E1842" s="10" t="str">
        <f>IF(ポートフォリオ実績!E1843="","", ポートフォリオ実績!E1843)</f>
        <v/>
      </c>
      <c r="F1842" s="10" t="str">
        <f>IF(ポートフォリオ実績!F1843="","", ポートフォリオ実績!F1843)</f>
        <v/>
      </c>
      <c r="G1842" t="str">
        <f t="shared" si="308"/>
        <v/>
      </c>
      <c r="H1842">
        <f>IF(B1842&lt;&gt;"", SUMIFS(ポートフォリオ実績!$D$2:$D$2001, ポートフォリオ実績!$B$2:$B$2001, B1842, ポートフォリオ実績!$A$2:$A$2001, G1842), 0)</f>
        <v>0</v>
      </c>
      <c r="I1842">
        <f>IF(B1842&lt;&gt;"", SUMIFS(ポートフォリオ実績!$C$2:$C$2001, ポートフォリオ実績!$B$2:$B$2001, B1842, ポートフォリオ実績!$A$2:$A$2001, G1842), 0)</f>
        <v>0</v>
      </c>
      <c r="J1842">
        <f t="shared" si="309"/>
        <v>0</v>
      </c>
      <c r="K1842">
        <f t="shared" si="310"/>
        <v>0</v>
      </c>
      <c r="L1842">
        <f t="shared" si="311"/>
        <v>0</v>
      </c>
      <c r="M1842">
        <f t="shared" si="312"/>
        <v>0</v>
      </c>
      <c r="N1842">
        <f t="shared" si="313"/>
        <v>0</v>
      </c>
      <c r="O1842">
        <f t="shared" si="314"/>
        <v>0</v>
      </c>
      <c r="P1842" t="str">
        <f t="shared" si="315"/>
        <v/>
      </c>
      <c r="Q1842" t="str">
        <f>IF(B1842="","", IFERROR(VLOOKUP(B1842, '基準資産配分（設定）'!$A$2:$C$2001, 3, FALSE), ""))</f>
        <v/>
      </c>
      <c r="R1842" t="str">
        <f>IF(B1842="","", IFERROR(VLOOKUP(B1842, '基準資産配分（設定）'!$A$2:$C$2001, 2, FALSE)/100, 0))</f>
        <v/>
      </c>
      <c r="S1842" t="str">
        <f>IF(B1842="","", IFERROR(SUMIFS(ベンチマークリターン!$C$2:$C$2001, ベンチマークリターン!$A$2:$A$2001, A1842, ベンチマークリターン!$B$2:$B$2001, Q1842) / 100, 0))</f>
        <v/>
      </c>
      <c r="T1842" t="str">
        <f>IF(A1842="","", SUMIFS($H$2:$H$2000, $A$2:$A$2000, A1842))</f>
        <v/>
      </c>
      <c r="U1842" t="str">
        <f t="shared" si="316"/>
        <v/>
      </c>
      <c r="V1842" t="str">
        <f t="shared" si="317"/>
        <v/>
      </c>
      <c r="W1842" t="str">
        <f t="shared" si="318"/>
        <v/>
      </c>
    </row>
    <row r="1843" spans="1:23" x14ac:dyDescent="0.2">
      <c r="A1843" s="4" t="str">
        <f>IF(ポートフォリオ実績!A1844="","", ポートフォリオ実績!A1844)</f>
        <v/>
      </c>
      <c r="B1843" t="str">
        <f>IF(ポートフォリオ実績!B1844="","", ポートフォリオ実績!B1844)</f>
        <v/>
      </c>
      <c r="C1843" s="10" t="str">
        <f>IF(ポートフォリオ実績!C1844="","", ポートフォリオ実績!C1844)</f>
        <v/>
      </c>
      <c r="D1843" s="10" t="str">
        <f>IF(ポートフォリオ実績!D1844="","", ポートフォリオ実績!D1844)</f>
        <v/>
      </c>
      <c r="E1843" s="10" t="str">
        <f>IF(ポートフォリオ実績!E1844="","", ポートフォリオ実績!E1844)</f>
        <v/>
      </c>
      <c r="F1843" s="10" t="str">
        <f>IF(ポートフォリオ実績!F1844="","", ポートフォリオ実績!F1844)</f>
        <v/>
      </c>
      <c r="G1843" t="str">
        <f t="shared" si="308"/>
        <v/>
      </c>
      <c r="H1843">
        <f>IF(B1843&lt;&gt;"", SUMIFS(ポートフォリオ実績!$D$2:$D$2001, ポートフォリオ実績!$B$2:$B$2001, B1843, ポートフォリオ実績!$A$2:$A$2001, G1843), 0)</f>
        <v>0</v>
      </c>
      <c r="I1843">
        <f>IF(B1843&lt;&gt;"", SUMIFS(ポートフォリオ実績!$C$2:$C$2001, ポートフォリオ実績!$B$2:$B$2001, B1843, ポートフォリオ実績!$A$2:$A$2001, G1843), 0)</f>
        <v>0</v>
      </c>
      <c r="J1843">
        <f t="shared" si="309"/>
        <v>0</v>
      </c>
      <c r="K1843">
        <f t="shared" si="310"/>
        <v>0</v>
      </c>
      <c r="L1843">
        <f t="shared" si="311"/>
        <v>0</v>
      </c>
      <c r="M1843">
        <f t="shared" si="312"/>
        <v>0</v>
      </c>
      <c r="N1843">
        <f t="shared" si="313"/>
        <v>0</v>
      </c>
      <c r="O1843">
        <f t="shared" si="314"/>
        <v>0</v>
      </c>
      <c r="P1843" t="str">
        <f t="shared" si="315"/>
        <v/>
      </c>
      <c r="Q1843" t="str">
        <f>IF(B1843="","", IFERROR(VLOOKUP(B1843, '基準資産配分（設定）'!$A$2:$C$2001, 3, FALSE), ""))</f>
        <v/>
      </c>
      <c r="R1843" t="str">
        <f>IF(B1843="","", IFERROR(VLOOKUP(B1843, '基準資産配分（設定）'!$A$2:$C$2001, 2, FALSE)/100, 0))</f>
        <v/>
      </c>
      <c r="S1843" t="str">
        <f>IF(B1843="","", IFERROR(SUMIFS(ベンチマークリターン!$C$2:$C$2001, ベンチマークリターン!$A$2:$A$2001, A1843, ベンチマークリターン!$B$2:$B$2001, Q1843) / 100, 0))</f>
        <v/>
      </c>
      <c r="T1843" t="str">
        <f>IF(A1843="","", SUMIFS($H$2:$H$2000, $A$2:$A$2000, A1843))</f>
        <v/>
      </c>
      <c r="U1843" t="str">
        <f t="shared" si="316"/>
        <v/>
      </c>
      <c r="V1843" t="str">
        <f t="shared" si="317"/>
        <v/>
      </c>
      <c r="W1843" t="str">
        <f t="shared" si="318"/>
        <v/>
      </c>
    </row>
    <row r="1844" spans="1:23" x14ac:dyDescent="0.2">
      <c r="A1844" s="4" t="str">
        <f>IF(ポートフォリオ実績!A1845="","", ポートフォリオ実績!A1845)</f>
        <v/>
      </c>
      <c r="B1844" t="str">
        <f>IF(ポートフォリオ実績!B1845="","", ポートフォリオ実績!B1845)</f>
        <v/>
      </c>
      <c r="C1844" s="10" t="str">
        <f>IF(ポートフォリオ実績!C1845="","", ポートフォリオ実績!C1845)</f>
        <v/>
      </c>
      <c r="D1844" s="10" t="str">
        <f>IF(ポートフォリオ実績!D1845="","", ポートフォリオ実績!D1845)</f>
        <v/>
      </c>
      <c r="E1844" s="10" t="str">
        <f>IF(ポートフォリオ実績!E1845="","", ポートフォリオ実績!E1845)</f>
        <v/>
      </c>
      <c r="F1844" s="10" t="str">
        <f>IF(ポートフォリオ実績!F1845="","", ポートフォリオ実績!F1845)</f>
        <v/>
      </c>
      <c r="G1844" t="str">
        <f t="shared" si="308"/>
        <v/>
      </c>
      <c r="H1844">
        <f>IF(B1844&lt;&gt;"", SUMIFS(ポートフォリオ実績!$D$2:$D$2001, ポートフォリオ実績!$B$2:$B$2001, B1844, ポートフォリオ実績!$A$2:$A$2001, G1844), 0)</f>
        <v>0</v>
      </c>
      <c r="I1844">
        <f>IF(B1844&lt;&gt;"", SUMIFS(ポートフォリオ実績!$C$2:$C$2001, ポートフォリオ実績!$B$2:$B$2001, B1844, ポートフォリオ実績!$A$2:$A$2001, G1844), 0)</f>
        <v>0</v>
      </c>
      <c r="J1844">
        <f t="shared" si="309"/>
        <v>0</v>
      </c>
      <c r="K1844">
        <f t="shared" si="310"/>
        <v>0</v>
      </c>
      <c r="L1844">
        <f t="shared" si="311"/>
        <v>0</v>
      </c>
      <c r="M1844">
        <f t="shared" si="312"/>
        <v>0</v>
      </c>
      <c r="N1844">
        <f t="shared" si="313"/>
        <v>0</v>
      </c>
      <c r="O1844">
        <f t="shared" si="314"/>
        <v>0</v>
      </c>
      <c r="P1844" t="str">
        <f t="shared" si="315"/>
        <v/>
      </c>
      <c r="Q1844" t="str">
        <f>IF(B1844="","", IFERROR(VLOOKUP(B1844, '基準資産配分（設定）'!$A$2:$C$2001, 3, FALSE), ""))</f>
        <v/>
      </c>
      <c r="R1844" t="str">
        <f>IF(B1844="","", IFERROR(VLOOKUP(B1844, '基準資産配分（設定）'!$A$2:$C$2001, 2, FALSE)/100, 0))</f>
        <v/>
      </c>
      <c r="S1844" t="str">
        <f>IF(B1844="","", IFERROR(SUMIFS(ベンチマークリターン!$C$2:$C$2001, ベンチマークリターン!$A$2:$A$2001, A1844, ベンチマークリターン!$B$2:$B$2001, Q1844) / 100, 0))</f>
        <v/>
      </c>
      <c r="T1844" t="str">
        <f>IF(A1844="","", SUMIFS($H$2:$H$2000, $A$2:$A$2000, A1844))</f>
        <v/>
      </c>
      <c r="U1844" t="str">
        <f t="shared" si="316"/>
        <v/>
      </c>
      <c r="V1844" t="str">
        <f t="shared" si="317"/>
        <v/>
      </c>
      <c r="W1844" t="str">
        <f t="shared" si="318"/>
        <v/>
      </c>
    </row>
    <row r="1845" spans="1:23" x14ac:dyDescent="0.2">
      <c r="A1845" s="4" t="str">
        <f>IF(ポートフォリオ実績!A1846="","", ポートフォリオ実績!A1846)</f>
        <v/>
      </c>
      <c r="B1845" t="str">
        <f>IF(ポートフォリオ実績!B1846="","", ポートフォリオ実績!B1846)</f>
        <v/>
      </c>
      <c r="C1845" s="10" t="str">
        <f>IF(ポートフォリオ実績!C1846="","", ポートフォリオ実績!C1846)</f>
        <v/>
      </c>
      <c r="D1845" s="10" t="str">
        <f>IF(ポートフォリオ実績!D1846="","", ポートフォリオ実績!D1846)</f>
        <v/>
      </c>
      <c r="E1845" s="10" t="str">
        <f>IF(ポートフォリオ実績!E1846="","", ポートフォリオ実績!E1846)</f>
        <v/>
      </c>
      <c r="F1845" s="10" t="str">
        <f>IF(ポートフォリオ実績!F1846="","", ポートフォリオ実績!F1846)</f>
        <v/>
      </c>
      <c r="G1845" t="str">
        <f t="shared" si="308"/>
        <v/>
      </c>
      <c r="H1845">
        <f>IF(B1845&lt;&gt;"", SUMIFS(ポートフォリオ実績!$D$2:$D$2001, ポートフォリオ実績!$B$2:$B$2001, B1845, ポートフォリオ実績!$A$2:$A$2001, G1845), 0)</f>
        <v>0</v>
      </c>
      <c r="I1845">
        <f>IF(B1845&lt;&gt;"", SUMIFS(ポートフォリオ実績!$C$2:$C$2001, ポートフォリオ実績!$B$2:$B$2001, B1845, ポートフォリオ実績!$A$2:$A$2001, G1845), 0)</f>
        <v>0</v>
      </c>
      <c r="J1845">
        <f t="shared" si="309"/>
        <v>0</v>
      </c>
      <c r="K1845">
        <f t="shared" si="310"/>
        <v>0</v>
      </c>
      <c r="L1845">
        <f t="shared" si="311"/>
        <v>0</v>
      </c>
      <c r="M1845">
        <f t="shared" si="312"/>
        <v>0</v>
      </c>
      <c r="N1845">
        <f t="shared" si="313"/>
        <v>0</v>
      </c>
      <c r="O1845">
        <f t="shared" si="314"/>
        <v>0</v>
      </c>
      <c r="P1845" t="str">
        <f t="shared" si="315"/>
        <v/>
      </c>
      <c r="Q1845" t="str">
        <f>IF(B1845="","", IFERROR(VLOOKUP(B1845, '基準資産配分（設定）'!$A$2:$C$2001, 3, FALSE), ""))</f>
        <v/>
      </c>
      <c r="R1845" t="str">
        <f>IF(B1845="","", IFERROR(VLOOKUP(B1845, '基準資産配分（設定）'!$A$2:$C$2001, 2, FALSE)/100, 0))</f>
        <v/>
      </c>
      <c r="S1845" t="str">
        <f>IF(B1845="","", IFERROR(SUMIFS(ベンチマークリターン!$C$2:$C$2001, ベンチマークリターン!$A$2:$A$2001, A1845, ベンチマークリターン!$B$2:$B$2001, Q1845) / 100, 0))</f>
        <v/>
      </c>
      <c r="T1845" t="str">
        <f>IF(A1845="","", SUMIFS($H$2:$H$2000, $A$2:$A$2000, A1845))</f>
        <v/>
      </c>
      <c r="U1845" t="str">
        <f t="shared" si="316"/>
        <v/>
      </c>
      <c r="V1845" t="str">
        <f t="shared" si="317"/>
        <v/>
      </c>
      <c r="W1845" t="str">
        <f t="shared" si="318"/>
        <v/>
      </c>
    </row>
    <row r="1846" spans="1:23" x14ac:dyDescent="0.2">
      <c r="A1846" s="4" t="str">
        <f>IF(ポートフォリオ実績!A1847="","", ポートフォリオ実績!A1847)</f>
        <v/>
      </c>
      <c r="B1846" t="str">
        <f>IF(ポートフォリオ実績!B1847="","", ポートフォリオ実績!B1847)</f>
        <v/>
      </c>
      <c r="C1846" s="10" t="str">
        <f>IF(ポートフォリオ実績!C1847="","", ポートフォリオ実績!C1847)</f>
        <v/>
      </c>
      <c r="D1846" s="10" t="str">
        <f>IF(ポートフォリオ実績!D1847="","", ポートフォリオ実績!D1847)</f>
        <v/>
      </c>
      <c r="E1846" s="10" t="str">
        <f>IF(ポートフォリオ実績!E1847="","", ポートフォリオ実績!E1847)</f>
        <v/>
      </c>
      <c r="F1846" s="10" t="str">
        <f>IF(ポートフォリオ実績!F1847="","", ポートフォリオ実績!F1847)</f>
        <v/>
      </c>
      <c r="G1846" t="str">
        <f t="shared" si="308"/>
        <v/>
      </c>
      <c r="H1846">
        <f>IF(B1846&lt;&gt;"", SUMIFS(ポートフォリオ実績!$D$2:$D$2001, ポートフォリオ実績!$B$2:$B$2001, B1846, ポートフォリオ実績!$A$2:$A$2001, G1846), 0)</f>
        <v>0</v>
      </c>
      <c r="I1846">
        <f>IF(B1846&lt;&gt;"", SUMIFS(ポートフォリオ実績!$C$2:$C$2001, ポートフォリオ実績!$B$2:$B$2001, B1846, ポートフォリオ実績!$A$2:$A$2001, G1846), 0)</f>
        <v>0</v>
      </c>
      <c r="J1846">
        <f t="shared" si="309"/>
        <v>0</v>
      </c>
      <c r="K1846">
        <f t="shared" si="310"/>
        <v>0</v>
      </c>
      <c r="L1846">
        <f t="shared" si="311"/>
        <v>0</v>
      </c>
      <c r="M1846">
        <f t="shared" si="312"/>
        <v>0</v>
      </c>
      <c r="N1846">
        <f t="shared" si="313"/>
        <v>0</v>
      </c>
      <c r="O1846">
        <f t="shared" si="314"/>
        <v>0</v>
      </c>
      <c r="P1846" t="str">
        <f t="shared" si="315"/>
        <v/>
      </c>
      <c r="Q1846" t="str">
        <f>IF(B1846="","", IFERROR(VLOOKUP(B1846, '基準資産配分（設定）'!$A$2:$C$2001, 3, FALSE), ""))</f>
        <v/>
      </c>
      <c r="R1846" t="str">
        <f>IF(B1846="","", IFERROR(VLOOKUP(B1846, '基準資産配分（設定）'!$A$2:$C$2001, 2, FALSE)/100, 0))</f>
        <v/>
      </c>
      <c r="S1846" t="str">
        <f>IF(B1846="","", IFERROR(SUMIFS(ベンチマークリターン!$C$2:$C$2001, ベンチマークリターン!$A$2:$A$2001, A1846, ベンチマークリターン!$B$2:$B$2001, Q1846) / 100, 0))</f>
        <v/>
      </c>
      <c r="T1846" t="str">
        <f>IF(A1846="","", SUMIFS($H$2:$H$2000, $A$2:$A$2000, A1846))</f>
        <v/>
      </c>
      <c r="U1846" t="str">
        <f t="shared" si="316"/>
        <v/>
      </c>
      <c r="V1846" t="str">
        <f t="shared" si="317"/>
        <v/>
      </c>
      <c r="W1846" t="str">
        <f t="shared" si="318"/>
        <v/>
      </c>
    </row>
    <row r="1847" spans="1:23" x14ac:dyDescent="0.2">
      <c r="A1847" s="4" t="str">
        <f>IF(ポートフォリオ実績!A1848="","", ポートフォリオ実績!A1848)</f>
        <v/>
      </c>
      <c r="B1847" t="str">
        <f>IF(ポートフォリオ実績!B1848="","", ポートフォリオ実績!B1848)</f>
        <v/>
      </c>
      <c r="C1847" s="10" t="str">
        <f>IF(ポートフォリオ実績!C1848="","", ポートフォリオ実績!C1848)</f>
        <v/>
      </c>
      <c r="D1847" s="10" t="str">
        <f>IF(ポートフォリオ実績!D1848="","", ポートフォリオ実績!D1848)</f>
        <v/>
      </c>
      <c r="E1847" s="10" t="str">
        <f>IF(ポートフォリオ実績!E1848="","", ポートフォリオ実績!E1848)</f>
        <v/>
      </c>
      <c r="F1847" s="10" t="str">
        <f>IF(ポートフォリオ実績!F1848="","", ポートフォリオ実績!F1848)</f>
        <v/>
      </c>
      <c r="G1847" t="str">
        <f t="shared" si="308"/>
        <v/>
      </c>
      <c r="H1847">
        <f>IF(B1847&lt;&gt;"", SUMIFS(ポートフォリオ実績!$D$2:$D$2001, ポートフォリオ実績!$B$2:$B$2001, B1847, ポートフォリオ実績!$A$2:$A$2001, G1847), 0)</f>
        <v>0</v>
      </c>
      <c r="I1847">
        <f>IF(B1847&lt;&gt;"", SUMIFS(ポートフォリオ実績!$C$2:$C$2001, ポートフォリオ実績!$B$2:$B$2001, B1847, ポートフォリオ実績!$A$2:$A$2001, G1847), 0)</f>
        <v>0</v>
      </c>
      <c r="J1847">
        <f t="shared" si="309"/>
        <v>0</v>
      </c>
      <c r="K1847">
        <f t="shared" si="310"/>
        <v>0</v>
      </c>
      <c r="L1847">
        <f t="shared" si="311"/>
        <v>0</v>
      </c>
      <c r="M1847">
        <f t="shared" si="312"/>
        <v>0</v>
      </c>
      <c r="N1847">
        <f t="shared" si="313"/>
        <v>0</v>
      </c>
      <c r="O1847">
        <f t="shared" si="314"/>
        <v>0</v>
      </c>
      <c r="P1847" t="str">
        <f t="shared" si="315"/>
        <v/>
      </c>
      <c r="Q1847" t="str">
        <f>IF(B1847="","", IFERROR(VLOOKUP(B1847, '基準資産配分（設定）'!$A$2:$C$2001, 3, FALSE), ""))</f>
        <v/>
      </c>
      <c r="R1847" t="str">
        <f>IF(B1847="","", IFERROR(VLOOKUP(B1847, '基準資産配分（設定）'!$A$2:$C$2001, 2, FALSE)/100, 0))</f>
        <v/>
      </c>
      <c r="S1847" t="str">
        <f>IF(B1847="","", IFERROR(SUMIFS(ベンチマークリターン!$C$2:$C$2001, ベンチマークリターン!$A$2:$A$2001, A1847, ベンチマークリターン!$B$2:$B$2001, Q1847) / 100, 0))</f>
        <v/>
      </c>
      <c r="T1847" t="str">
        <f>IF(A1847="","", SUMIFS($H$2:$H$2000, $A$2:$A$2000, A1847))</f>
        <v/>
      </c>
      <c r="U1847" t="str">
        <f t="shared" si="316"/>
        <v/>
      </c>
      <c r="V1847" t="str">
        <f t="shared" si="317"/>
        <v/>
      </c>
      <c r="W1847" t="str">
        <f t="shared" si="318"/>
        <v/>
      </c>
    </row>
    <row r="1848" spans="1:23" x14ac:dyDescent="0.2">
      <c r="A1848" s="4" t="str">
        <f>IF(ポートフォリオ実績!A1849="","", ポートフォリオ実績!A1849)</f>
        <v/>
      </c>
      <c r="B1848" t="str">
        <f>IF(ポートフォリオ実績!B1849="","", ポートフォリオ実績!B1849)</f>
        <v/>
      </c>
      <c r="C1848" s="10" t="str">
        <f>IF(ポートフォリオ実績!C1849="","", ポートフォリオ実績!C1849)</f>
        <v/>
      </c>
      <c r="D1848" s="10" t="str">
        <f>IF(ポートフォリオ実績!D1849="","", ポートフォリオ実績!D1849)</f>
        <v/>
      </c>
      <c r="E1848" s="10" t="str">
        <f>IF(ポートフォリオ実績!E1849="","", ポートフォリオ実績!E1849)</f>
        <v/>
      </c>
      <c r="F1848" s="10" t="str">
        <f>IF(ポートフォリオ実績!F1849="","", ポートフォリオ実績!F1849)</f>
        <v/>
      </c>
      <c r="G1848" t="str">
        <f t="shared" si="308"/>
        <v/>
      </c>
      <c r="H1848">
        <f>IF(B1848&lt;&gt;"", SUMIFS(ポートフォリオ実績!$D$2:$D$2001, ポートフォリオ実績!$B$2:$B$2001, B1848, ポートフォリオ実績!$A$2:$A$2001, G1848), 0)</f>
        <v>0</v>
      </c>
      <c r="I1848">
        <f>IF(B1848&lt;&gt;"", SUMIFS(ポートフォリオ実績!$C$2:$C$2001, ポートフォリオ実績!$B$2:$B$2001, B1848, ポートフォリオ実績!$A$2:$A$2001, G1848), 0)</f>
        <v>0</v>
      </c>
      <c r="J1848">
        <f t="shared" si="309"/>
        <v>0</v>
      </c>
      <c r="K1848">
        <f t="shared" si="310"/>
        <v>0</v>
      </c>
      <c r="L1848">
        <f t="shared" si="311"/>
        <v>0</v>
      </c>
      <c r="M1848">
        <f t="shared" si="312"/>
        <v>0</v>
      </c>
      <c r="N1848">
        <f t="shared" si="313"/>
        <v>0</v>
      </c>
      <c r="O1848">
        <f t="shared" si="314"/>
        <v>0</v>
      </c>
      <c r="P1848" t="str">
        <f t="shared" si="315"/>
        <v/>
      </c>
      <c r="Q1848" t="str">
        <f>IF(B1848="","", IFERROR(VLOOKUP(B1848, '基準資産配分（設定）'!$A$2:$C$2001, 3, FALSE), ""))</f>
        <v/>
      </c>
      <c r="R1848" t="str">
        <f>IF(B1848="","", IFERROR(VLOOKUP(B1848, '基準資産配分（設定）'!$A$2:$C$2001, 2, FALSE)/100, 0))</f>
        <v/>
      </c>
      <c r="S1848" t="str">
        <f>IF(B1848="","", IFERROR(SUMIFS(ベンチマークリターン!$C$2:$C$2001, ベンチマークリターン!$A$2:$A$2001, A1848, ベンチマークリターン!$B$2:$B$2001, Q1848) / 100, 0))</f>
        <v/>
      </c>
      <c r="T1848" t="str">
        <f>IF(A1848="","", SUMIFS($H$2:$H$2000, $A$2:$A$2000, A1848))</f>
        <v/>
      </c>
      <c r="U1848" t="str">
        <f t="shared" si="316"/>
        <v/>
      </c>
      <c r="V1848" t="str">
        <f t="shared" si="317"/>
        <v/>
      </c>
      <c r="W1848" t="str">
        <f t="shared" si="318"/>
        <v/>
      </c>
    </row>
    <row r="1849" spans="1:23" x14ac:dyDescent="0.2">
      <c r="A1849" s="4" t="str">
        <f>IF(ポートフォリオ実績!A1850="","", ポートフォリオ実績!A1850)</f>
        <v/>
      </c>
      <c r="B1849" t="str">
        <f>IF(ポートフォリオ実績!B1850="","", ポートフォリオ実績!B1850)</f>
        <v/>
      </c>
      <c r="C1849" s="10" t="str">
        <f>IF(ポートフォリオ実績!C1850="","", ポートフォリオ実績!C1850)</f>
        <v/>
      </c>
      <c r="D1849" s="10" t="str">
        <f>IF(ポートフォリオ実績!D1850="","", ポートフォリオ実績!D1850)</f>
        <v/>
      </c>
      <c r="E1849" s="10" t="str">
        <f>IF(ポートフォリオ実績!E1850="","", ポートフォリオ実績!E1850)</f>
        <v/>
      </c>
      <c r="F1849" s="10" t="str">
        <f>IF(ポートフォリオ実績!F1850="","", ポートフォリオ実績!F1850)</f>
        <v/>
      </c>
      <c r="G1849" t="str">
        <f t="shared" si="308"/>
        <v/>
      </c>
      <c r="H1849">
        <f>IF(B1849&lt;&gt;"", SUMIFS(ポートフォリオ実績!$D$2:$D$2001, ポートフォリオ実績!$B$2:$B$2001, B1849, ポートフォリオ実績!$A$2:$A$2001, G1849), 0)</f>
        <v>0</v>
      </c>
      <c r="I1849">
        <f>IF(B1849&lt;&gt;"", SUMIFS(ポートフォリオ実績!$C$2:$C$2001, ポートフォリオ実績!$B$2:$B$2001, B1849, ポートフォリオ実績!$A$2:$A$2001, G1849), 0)</f>
        <v>0</v>
      </c>
      <c r="J1849">
        <f t="shared" si="309"/>
        <v>0</v>
      </c>
      <c r="K1849">
        <f t="shared" si="310"/>
        <v>0</v>
      </c>
      <c r="L1849">
        <f t="shared" si="311"/>
        <v>0</v>
      </c>
      <c r="M1849">
        <f t="shared" si="312"/>
        <v>0</v>
      </c>
      <c r="N1849">
        <f t="shared" si="313"/>
        <v>0</v>
      </c>
      <c r="O1849">
        <f t="shared" si="314"/>
        <v>0</v>
      </c>
      <c r="P1849" t="str">
        <f t="shared" si="315"/>
        <v/>
      </c>
      <c r="Q1849" t="str">
        <f>IF(B1849="","", IFERROR(VLOOKUP(B1849, '基準資産配分（設定）'!$A$2:$C$2001, 3, FALSE), ""))</f>
        <v/>
      </c>
      <c r="R1849" t="str">
        <f>IF(B1849="","", IFERROR(VLOOKUP(B1849, '基準資産配分（設定）'!$A$2:$C$2001, 2, FALSE)/100, 0))</f>
        <v/>
      </c>
      <c r="S1849" t="str">
        <f>IF(B1849="","", IFERROR(SUMIFS(ベンチマークリターン!$C$2:$C$2001, ベンチマークリターン!$A$2:$A$2001, A1849, ベンチマークリターン!$B$2:$B$2001, Q1849) / 100, 0))</f>
        <v/>
      </c>
      <c r="T1849" t="str">
        <f>IF(A1849="","", SUMIFS($H$2:$H$2000, $A$2:$A$2000, A1849))</f>
        <v/>
      </c>
      <c r="U1849" t="str">
        <f t="shared" si="316"/>
        <v/>
      </c>
      <c r="V1849" t="str">
        <f t="shared" si="317"/>
        <v/>
      </c>
      <c r="W1849" t="str">
        <f t="shared" si="318"/>
        <v/>
      </c>
    </row>
    <row r="1850" spans="1:23" x14ac:dyDescent="0.2">
      <c r="A1850" s="4" t="str">
        <f>IF(ポートフォリオ実績!A1851="","", ポートフォリオ実績!A1851)</f>
        <v/>
      </c>
      <c r="B1850" t="str">
        <f>IF(ポートフォリオ実績!B1851="","", ポートフォリオ実績!B1851)</f>
        <v/>
      </c>
      <c r="C1850" s="10" t="str">
        <f>IF(ポートフォリオ実績!C1851="","", ポートフォリオ実績!C1851)</f>
        <v/>
      </c>
      <c r="D1850" s="10" t="str">
        <f>IF(ポートフォリオ実績!D1851="","", ポートフォリオ実績!D1851)</f>
        <v/>
      </c>
      <c r="E1850" s="10" t="str">
        <f>IF(ポートフォリオ実績!E1851="","", ポートフォリオ実績!E1851)</f>
        <v/>
      </c>
      <c r="F1850" s="10" t="str">
        <f>IF(ポートフォリオ実績!F1851="","", ポートフォリオ実績!F1851)</f>
        <v/>
      </c>
      <c r="G1850" t="str">
        <f t="shared" si="308"/>
        <v/>
      </c>
      <c r="H1850">
        <f>IF(B1850&lt;&gt;"", SUMIFS(ポートフォリオ実績!$D$2:$D$2001, ポートフォリオ実績!$B$2:$B$2001, B1850, ポートフォリオ実績!$A$2:$A$2001, G1850), 0)</f>
        <v>0</v>
      </c>
      <c r="I1850">
        <f>IF(B1850&lt;&gt;"", SUMIFS(ポートフォリオ実績!$C$2:$C$2001, ポートフォリオ実績!$B$2:$B$2001, B1850, ポートフォリオ実績!$A$2:$A$2001, G1850), 0)</f>
        <v>0</v>
      </c>
      <c r="J1850">
        <f t="shared" si="309"/>
        <v>0</v>
      </c>
      <c r="K1850">
        <f t="shared" si="310"/>
        <v>0</v>
      </c>
      <c r="L1850">
        <f t="shared" si="311"/>
        <v>0</v>
      </c>
      <c r="M1850">
        <f t="shared" si="312"/>
        <v>0</v>
      </c>
      <c r="N1850">
        <f t="shared" si="313"/>
        <v>0</v>
      </c>
      <c r="O1850">
        <f t="shared" si="314"/>
        <v>0</v>
      </c>
      <c r="P1850" t="str">
        <f t="shared" si="315"/>
        <v/>
      </c>
      <c r="Q1850" t="str">
        <f>IF(B1850="","", IFERROR(VLOOKUP(B1850, '基準資産配分（設定）'!$A$2:$C$2001, 3, FALSE), ""))</f>
        <v/>
      </c>
      <c r="R1850" t="str">
        <f>IF(B1850="","", IFERROR(VLOOKUP(B1850, '基準資産配分（設定）'!$A$2:$C$2001, 2, FALSE)/100, 0))</f>
        <v/>
      </c>
      <c r="S1850" t="str">
        <f>IF(B1850="","", IFERROR(SUMIFS(ベンチマークリターン!$C$2:$C$2001, ベンチマークリターン!$A$2:$A$2001, A1850, ベンチマークリターン!$B$2:$B$2001, Q1850) / 100, 0))</f>
        <v/>
      </c>
      <c r="T1850" t="str">
        <f>IF(A1850="","", SUMIFS($H$2:$H$2000, $A$2:$A$2000, A1850))</f>
        <v/>
      </c>
      <c r="U1850" t="str">
        <f t="shared" si="316"/>
        <v/>
      </c>
      <c r="V1850" t="str">
        <f t="shared" si="317"/>
        <v/>
      </c>
      <c r="W1850" t="str">
        <f t="shared" si="318"/>
        <v/>
      </c>
    </row>
    <row r="1851" spans="1:23" x14ac:dyDescent="0.2">
      <c r="A1851" s="4" t="str">
        <f>IF(ポートフォリオ実績!A1852="","", ポートフォリオ実績!A1852)</f>
        <v/>
      </c>
      <c r="B1851" t="str">
        <f>IF(ポートフォリオ実績!B1852="","", ポートフォリオ実績!B1852)</f>
        <v/>
      </c>
      <c r="C1851" s="10" t="str">
        <f>IF(ポートフォリオ実績!C1852="","", ポートフォリオ実績!C1852)</f>
        <v/>
      </c>
      <c r="D1851" s="10" t="str">
        <f>IF(ポートフォリオ実績!D1852="","", ポートフォリオ実績!D1852)</f>
        <v/>
      </c>
      <c r="E1851" s="10" t="str">
        <f>IF(ポートフォリオ実績!E1852="","", ポートフォリオ実績!E1852)</f>
        <v/>
      </c>
      <c r="F1851" s="10" t="str">
        <f>IF(ポートフォリオ実績!F1852="","", ポートフォリオ実績!F1852)</f>
        <v/>
      </c>
      <c r="G1851" t="str">
        <f t="shared" si="308"/>
        <v/>
      </c>
      <c r="H1851">
        <f>IF(B1851&lt;&gt;"", SUMIFS(ポートフォリオ実績!$D$2:$D$2001, ポートフォリオ実績!$B$2:$B$2001, B1851, ポートフォリオ実績!$A$2:$A$2001, G1851), 0)</f>
        <v>0</v>
      </c>
      <c r="I1851">
        <f>IF(B1851&lt;&gt;"", SUMIFS(ポートフォリオ実績!$C$2:$C$2001, ポートフォリオ実績!$B$2:$B$2001, B1851, ポートフォリオ実績!$A$2:$A$2001, G1851), 0)</f>
        <v>0</v>
      </c>
      <c r="J1851">
        <f t="shared" si="309"/>
        <v>0</v>
      </c>
      <c r="K1851">
        <f t="shared" si="310"/>
        <v>0</v>
      </c>
      <c r="L1851">
        <f t="shared" si="311"/>
        <v>0</v>
      </c>
      <c r="M1851">
        <f t="shared" si="312"/>
        <v>0</v>
      </c>
      <c r="N1851">
        <f t="shared" si="313"/>
        <v>0</v>
      </c>
      <c r="O1851">
        <f t="shared" si="314"/>
        <v>0</v>
      </c>
      <c r="P1851" t="str">
        <f t="shared" si="315"/>
        <v/>
      </c>
      <c r="Q1851" t="str">
        <f>IF(B1851="","", IFERROR(VLOOKUP(B1851, '基準資産配分（設定）'!$A$2:$C$2001, 3, FALSE), ""))</f>
        <v/>
      </c>
      <c r="R1851" t="str">
        <f>IF(B1851="","", IFERROR(VLOOKUP(B1851, '基準資産配分（設定）'!$A$2:$C$2001, 2, FALSE)/100, 0))</f>
        <v/>
      </c>
      <c r="S1851" t="str">
        <f>IF(B1851="","", IFERROR(SUMIFS(ベンチマークリターン!$C$2:$C$2001, ベンチマークリターン!$A$2:$A$2001, A1851, ベンチマークリターン!$B$2:$B$2001, Q1851) / 100, 0))</f>
        <v/>
      </c>
      <c r="T1851" t="str">
        <f>IF(A1851="","", SUMIFS($H$2:$H$2000, $A$2:$A$2000, A1851))</f>
        <v/>
      </c>
      <c r="U1851" t="str">
        <f t="shared" si="316"/>
        <v/>
      </c>
      <c r="V1851" t="str">
        <f t="shared" si="317"/>
        <v/>
      </c>
      <c r="W1851" t="str">
        <f t="shared" si="318"/>
        <v/>
      </c>
    </row>
    <row r="1852" spans="1:23" x14ac:dyDescent="0.2">
      <c r="A1852" s="4" t="str">
        <f>IF(ポートフォリオ実績!A1853="","", ポートフォリオ実績!A1853)</f>
        <v/>
      </c>
      <c r="B1852" t="str">
        <f>IF(ポートフォリオ実績!B1853="","", ポートフォリオ実績!B1853)</f>
        <v/>
      </c>
      <c r="C1852" s="10" t="str">
        <f>IF(ポートフォリオ実績!C1853="","", ポートフォリオ実績!C1853)</f>
        <v/>
      </c>
      <c r="D1852" s="10" t="str">
        <f>IF(ポートフォリオ実績!D1853="","", ポートフォリオ実績!D1853)</f>
        <v/>
      </c>
      <c r="E1852" s="10" t="str">
        <f>IF(ポートフォリオ実績!E1853="","", ポートフォリオ実績!E1853)</f>
        <v/>
      </c>
      <c r="F1852" s="10" t="str">
        <f>IF(ポートフォリオ実績!F1853="","", ポートフォリオ実績!F1853)</f>
        <v/>
      </c>
      <c r="G1852" t="str">
        <f t="shared" si="308"/>
        <v/>
      </c>
      <c r="H1852">
        <f>IF(B1852&lt;&gt;"", SUMIFS(ポートフォリオ実績!$D$2:$D$2001, ポートフォリオ実績!$B$2:$B$2001, B1852, ポートフォリオ実績!$A$2:$A$2001, G1852), 0)</f>
        <v>0</v>
      </c>
      <c r="I1852">
        <f>IF(B1852&lt;&gt;"", SUMIFS(ポートフォリオ実績!$C$2:$C$2001, ポートフォリオ実績!$B$2:$B$2001, B1852, ポートフォリオ実績!$A$2:$A$2001, G1852), 0)</f>
        <v>0</v>
      </c>
      <c r="J1852">
        <f t="shared" si="309"/>
        <v>0</v>
      </c>
      <c r="K1852">
        <f t="shared" si="310"/>
        <v>0</v>
      </c>
      <c r="L1852">
        <f t="shared" si="311"/>
        <v>0</v>
      </c>
      <c r="M1852">
        <f t="shared" si="312"/>
        <v>0</v>
      </c>
      <c r="N1852">
        <f t="shared" si="313"/>
        <v>0</v>
      </c>
      <c r="O1852">
        <f t="shared" si="314"/>
        <v>0</v>
      </c>
      <c r="P1852" t="str">
        <f t="shared" si="315"/>
        <v/>
      </c>
      <c r="Q1852" t="str">
        <f>IF(B1852="","", IFERROR(VLOOKUP(B1852, '基準資産配分（設定）'!$A$2:$C$2001, 3, FALSE), ""))</f>
        <v/>
      </c>
      <c r="R1852" t="str">
        <f>IF(B1852="","", IFERROR(VLOOKUP(B1852, '基準資産配分（設定）'!$A$2:$C$2001, 2, FALSE)/100, 0))</f>
        <v/>
      </c>
      <c r="S1852" t="str">
        <f>IF(B1852="","", IFERROR(SUMIFS(ベンチマークリターン!$C$2:$C$2001, ベンチマークリターン!$A$2:$A$2001, A1852, ベンチマークリターン!$B$2:$B$2001, Q1852) / 100, 0))</f>
        <v/>
      </c>
      <c r="T1852" t="str">
        <f>IF(A1852="","", SUMIFS($H$2:$H$2000, $A$2:$A$2000, A1852))</f>
        <v/>
      </c>
      <c r="U1852" t="str">
        <f t="shared" si="316"/>
        <v/>
      </c>
      <c r="V1852" t="str">
        <f t="shared" si="317"/>
        <v/>
      </c>
      <c r="W1852" t="str">
        <f t="shared" si="318"/>
        <v/>
      </c>
    </row>
    <row r="1853" spans="1:23" x14ac:dyDescent="0.2">
      <c r="A1853" s="4" t="str">
        <f>IF(ポートフォリオ実績!A1854="","", ポートフォリオ実績!A1854)</f>
        <v/>
      </c>
      <c r="B1853" t="str">
        <f>IF(ポートフォリオ実績!B1854="","", ポートフォリオ実績!B1854)</f>
        <v/>
      </c>
      <c r="C1853" s="10" t="str">
        <f>IF(ポートフォリオ実績!C1854="","", ポートフォリオ実績!C1854)</f>
        <v/>
      </c>
      <c r="D1853" s="10" t="str">
        <f>IF(ポートフォリオ実績!D1854="","", ポートフォリオ実績!D1854)</f>
        <v/>
      </c>
      <c r="E1853" s="10" t="str">
        <f>IF(ポートフォリオ実績!E1854="","", ポートフォリオ実績!E1854)</f>
        <v/>
      </c>
      <c r="F1853" s="10" t="str">
        <f>IF(ポートフォリオ実績!F1854="","", ポートフォリオ実績!F1854)</f>
        <v/>
      </c>
      <c r="G1853" t="str">
        <f t="shared" si="308"/>
        <v/>
      </c>
      <c r="H1853">
        <f>IF(B1853&lt;&gt;"", SUMIFS(ポートフォリオ実績!$D$2:$D$2001, ポートフォリオ実績!$B$2:$B$2001, B1853, ポートフォリオ実績!$A$2:$A$2001, G1853), 0)</f>
        <v>0</v>
      </c>
      <c r="I1853">
        <f>IF(B1853&lt;&gt;"", SUMIFS(ポートフォリオ実績!$C$2:$C$2001, ポートフォリオ実績!$B$2:$B$2001, B1853, ポートフォリオ実績!$A$2:$A$2001, G1853), 0)</f>
        <v>0</v>
      </c>
      <c r="J1853">
        <f t="shared" si="309"/>
        <v>0</v>
      </c>
      <c r="K1853">
        <f t="shared" si="310"/>
        <v>0</v>
      </c>
      <c r="L1853">
        <f t="shared" si="311"/>
        <v>0</v>
      </c>
      <c r="M1853">
        <f t="shared" si="312"/>
        <v>0</v>
      </c>
      <c r="N1853">
        <f t="shared" si="313"/>
        <v>0</v>
      </c>
      <c r="O1853">
        <f t="shared" si="314"/>
        <v>0</v>
      </c>
      <c r="P1853" t="str">
        <f t="shared" si="315"/>
        <v/>
      </c>
      <c r="Q1853" t="str">
        <f>IF(B1853="","", IFERROR(VLOOKUP(B1853, '基準資産配分（設定）'!$A$2:$C$2001, 3, FALSE), ""))</f>
        <v/>
      </c>
      <c r="R1853" t="str">
        <f>IF(B1853="","", IFERROR(VLOOKUP(B1853, '基準資産配分（設定）'!$A$2:$C$2001, 2, FALSE)/100, 0))</f>
        <v/>
      </c>
      <c r="S1853" t="str">
        <f>IF(B1853="","", IFERROR(SUMIFS(ベンチマークリターン!$C$2:$C$2001, ベンチマークリターン!$A$2:$A$2001, A1853, ベンチマークリターン!$B$2:$B$2001, Q1853) / 100, 0))</f>
        <v/>
      </c>
      <c r="T1853" t="str">
        <f>IF(A1853="","", SUMIFS($H$2:$H$2000, $A$2:$A$2000, A1853))</f>
        <v/>
      </c>
      <c r="U1853" t="str">
        <f t="shared" si="316"/>
        <v/>
      </c>
      <c r="V1853" t="str">
        <f t="shared" si="317"/>
        <v/>
      </c>
      <c r="W1853" t="str">
        <f t="shared" si="318"/>
        <v/>
      </c>
    </row>
    <row r="1854" spans="1:23" x14ac:dyDescent="0.2">
      <c r="A1854" s="4" t="str">
        <f>IF(ポートフォリオ実績!A1855="","", ポートフォリオ実績!A1855)</f>
        <v/>
      </c>
      <c r="B1854" t="str">
        <f>IF(ポートフォリオ実績!B1855="","", ポートフォリオ実績!B1855)</f>
        <v/>
      </c>
      <c r="C1854" s="10" t="str">
        <f>IF(ポートフォリオ実績!C1855="","", ポートフォリオ実績!C1855)</f>
        <v/>
      </c>
      <c r="D1854" s="10" t="str">
        <f>IF(ポートフォリオ実績!D1855="","", ポートフォリオ実績!D1855)</f>
        <v/>
      </c>
      <c r="E1854" s="10" t="str">
        <f>IF(ポートフォリオ実績!E1855="","", ポートフォリオ実績!E1855)</f>
        <v/>
      </c>
      <c r="F1854" s="10" t="str">
        <f>IF(ポートフォリオ実績!F1855="","", ポートフォリオ実績!F1855)</f>
        <v/>
      </c>
      <c r="G1854" t="str">
        <f t="shared" si="308"/>
        <v/>
      </c>
      <c r="H1854">
        <f>IF(B1854&lt;&gt;"", SUMIFS(ポートフォリオ実績!$D$2:$D$2001, ポートフォリオ実績!$B$2:$B$2001, B1854, ポートフォリオ実績!$A$2:$A$2001, G1854), 0)</f>
        <v>0</v>
      </c>
      <c r="I1854">
        <f>IF(B1854&lt;&gt;"", SUMIFS(ポートフォリオ実績!$C$2:$C$2001, ポートフォリオ実績!$B$2:$B$2001, B1854, ポートフォリオ実績!$A$2:$A$2001, G1854), 0)</f>
        <v>0</v>
      </c>
      <c r="J1854">
        <f t="shared" si="309"/>
        <v>0</v>
      </c>
      <c r="K1854">
        <f t="shared" si="310"/>
        <v>0</v>
      </c>
      <c r="L1854">
        <f t="shared" si="311"/>
        <v>0</v>
      </c>
      <c r="M1854">
        <f t="shared" si="312"/>
        <v>0</v>
      </c>
      <c r="N1854">
        <f t="shared" si="313"/>
        <v>0</v>
      </c>
      <c r="O1854">
        <f t="shared" si="314"/>
        <v>0</v>
      </c>
      <c r="P1854" t="str">
        <f t="shared" si="315"/>
        <v/>
      </c>
      <c r="Q1854" t="str">
        <f>IF(B1854="","", IFERROR(VLOOKUP(B1854, '基準資産配分（設定）'!$A$2:$C$2001, 3, FALSE), ""))</f>
        <v/>
      </c>
      <c r="R1854" t="str">
        <f>IF(B1854="","", IFERROR(VLOOKUP(B1854, '基準資産配分（設定）'!$A$2:$C$2001, 2, FALSE)/100, 0))</f>
        <v/>
      </c>
      <c r="S1854" t="str">
        <f>IF(B1854="","", IFERROR(SUMIFS(ベンチマークリターン!$C$2:$C$2001, ベンチマークリターン!$A$2:$A$2001, A1854, ベンチマークリターン!$B$2:$B$2001, Q1854) / 100, 0))</f>
        <v/>
      </c>
      <c r="T1854" t="str">
        <f>IF(A1854="","", SUMIFS($H$2:$H$2000, $A$2:$A$2000, A1854))</f>
        <v/>
      </c>
      <c r="U1854" t="str">
        <f t="shared" si="316"/>
        <v/>
      </c>
      <c r="V1854" t="str">
        <f t="shared" si="317"/>
        <v/>
      </c>
      <c r="W1854" t="str">
        <f t="shared" si="318"/>
        <v/>
      </c>
    </row>
    <row r="1855" spans="1:23" x14ac:dyDescent="0.2">
      <c r="A1855" s="4" t="str">
        <f>IF(ポートフォリオ実績!A1856="","", ポートフォリオ実績!A1856)</f>
        <v/>
      </c>
      <c r="B1855" t="str">
        <f>IF(ポートフォリオ実績!B1856="","", ポートフォリオ実績!B1856)</f>
        <v/>
      </c>
      <c r="C1855" s="10" t="str">
        <f>IF(ポートフォリオ実績!C1856="","", ポートフォリオ実績!C1856)</f>
        <v/>
      </c>
      <c r="D1855" s="10" t="str">
        <f>IF(ポートフォリオ実績!D1856="","", ポートフォリオ実績!D1856)</f>
        <v/>
      </c>
      <c r="E1855" s="10" t="str">
        <f>IF(ポートフォリオ実績!E1856="","", ポートフォリオ実績!E1856)</f>
        <v/>
      </c>
      <c r="F1855" s="10" t="str">
        <f>IF(ポートフォリオ実績!F1856="","", ポートフォリオ実績!F1856)</f>
        <v/>
      </c>
      <c r="G1855" t="str">
        <f t="shared" si="308"/>
        <v/>
      </c>
      <c r="H1855">
        <f>IF(B1855&lt;&gt;"", SUMIFS(ポートフォリオ実績!$D$2:$D$2001, ポートフォリオ実績!$B$2:$B$2001, B1855, ポートフォリオ実績!$A$2:$A$2001, G1855), 0)</f>
        <v>0</v>
      </c>
      <c r="I1855">
        <f>IF(B1855&lt;&gt;"", SUMIFS(ポートフォリオ実績!$C$2:$C$2001, ポートフォリオ実績!$B$2:$B$2001, B1855, ポートフォリオ実績!$A$2:$A$2001, G1855), 0)</f>
        <v>0</v>
      </c>
      <c r="J1855">
        <f t="shared" si="309"/>
        <v>0</v>
      </c>
      <c r="K1855">
        <f t="shared" si="310"/>
        <v>0</v>
      </c>
      <c r="L1855">
        <f t="shared" si="311"/>
        <v>0</v>
      </c>
      <c r="M1855">
        <f t="shared" si="312"/>
        <v>0</v>
      </c>
      <c r="N1855">
        <f t="shared" si="313"/>
        <v>0</v>
      </c>
      <c r="O1855">
        <f t="shared" si="314"/>
        <v>0</v>
      </c>
      <c r="P1855" t="str">
        <f t="shared" si="315"/>
        <v/>
      </c>
      <c r="Q1855" t="str">
        <f>IF(B1855="","", IFERROR(VLOOKUP(B1855, '基準資産配分（設定）'!$A$2:$C$2001, 3, FALSE), ""))</f>
        <v/>
      </c>
      <c r="R1855" t="str">
        <f>IF(B1855="","", IFERROR(VLOOKUP(B1855, '基準資産配分（設定）'!$A$2:$C$2001, 2, FALSE)/100, 0))</f>
        <v/>
      </c>
      <c r="S1855" t="str">
        <f>IF(B1855="","", IFERROR(SUMIFS(ベンチマークリターン!$C$2:$C$2001, ベンチマークリターン!$A$2:$A$2001, A1855, ベンチマークリターン!$B$2:$B$2001, Q1855) / 100, 0))</f>
        <v/>
      </c>
      <c r="T1855" t="str">
        <f>IF(A1855="","", SUMIFS($H$2:$H$2000, $A$2:$A$2000, A1855))</f>
        <v/>
      </c>
      <c r="U1855" t="str">
        <f t="shared" si="316"/>
        <v/>
      </c>
      <c r="V1855" t="str">
        <f t="shared" si="317"/>
        <v/>
      </c>
      <c r="W1855" t="str">
        <f t="shared" si="318"/>
        <v/>
      </c>
    </row>
    <row r="1856" spans="1:23" x14ac:dyDescent="0.2">
      <c r="A1856" s="4" t="str">
        <f>IF(ポートフォリオ実績!A1857="","", ポートフォリオ実績!A1857)</f>
        <v/>
      </c>
      <c r="B1856" t="str">
        <f>IF(ポートフォリオ実績!B1857="","", ポートフォリオ実績!B1857)</f>
        <v/>
      </c>
      <c r="C1856" s="10" t="str">
        <f>IF(ポートフォリオ実績!C1857="","", ポートフォリオ実績!C1857)</f>
        <v/>
      </c>
      <c r="D1856" s="10" t="str">
        <f>IF(ポートフォリオ実績!D1857="","", ポートフォリオ実績!D1857)</f>
        <v/>
      </c>
      <c r="E1856" s="10" t="str">
        <f>IF(ポートフォリオ実績!E1857="","", ポートフォリオ実績!E1857)</f>
        <v/>
      </c>
      <c r="F1856" s="10" t="str">
        <f>IF(ポートフォリオ実績!F1857="","", ポートフォリオ実績!F1857)</f>
        <v/>
      </c>
      <c r="G1856" t="str">
        <f t="shared" si="308"/>
        <v/>
      </c>
      <c r="H1856">
        <f>IF(B1856&lt;&gt;"", SUMIFS(ポートフォリオ実績!$D$2:$D$2001, ポートフォリオ実績!$B$2:$B$2001, B1856, ポートフォリオ実績!$A$2:$A$2001, G1856), 0)</f>
        <v>0</v>
      </c>
      <c r="I1856">
        <f>IF(B1856&lt;&gt;"", SUMIFS(ポートフォリオ実績!$C$2:$C$2001, ポートフォリオ実績!$B$2:$B$2001, B1856, ポートフォリオ実績!$A$2:$A$2001, G1856), 0)</f>
        <v>0</v>
      </c>
      <c r="J1856">
        <f t="shared" si="309"/>
        <v>0</v>
      </c>
      <c r="K1856">
        <f t="shared" si="310"/>
        <v>0</v>
      </c>
      <c r="L1856">
        <f t="shared" si="311"/>
        <v>0</v>
      </c>
      <c r="M1856">
        <f t="shared" si="312"/>
        <v>0</v>
      </c>
      <c r="N1856">
        <f t="shared" si="313"/>
        <v>0</v>
      </c>
      <c r="O1856">
        <f t="shared" si="314"/>
        <v>0</v>
      </c>
      <c r="P1856" t="str">
        <f t="shared" si="315"/>
        <v/>
      </c>
      <c r="Q1856" t="str">
        <f>IF(B1856="","", IFERROR(VLOOKUP(B1856, '基準資産配分（設定）'!$A$2:$C$2001, 3, FALSE), ""))</f>
        <v/>
      </c>
      <c r="R1856" t="str">
        <f>IF(B1856="","", IFERROR(VLOOKUP(B1856, '基準資産配分（設定）'!$A$2:$C$2001, 2, FALSE)/100, 0))</f>
        <v/>
      </c>
      <c r="S1856" t="str">
        <f>IF(B1856="","", IFERROR(SUMIFS(ベンチマークリターン!$C$2:$C$2001, ベンチマークリターン!$A$2:$A$2001, A1856, ベンチマークリターン!$B$2:$B$2001, Q1856) / 100, 0))</f>
        <v/>
      </c>
      <c r="T1856" t="str">
        <f>IF(A1856="","", SUMIFS($H$2:$H$2000, $A$2:$A$2000, A1856))</f>
        <v/>
      </c>
      <c r="U1856" t="str">
        <f t="shared" si="316"/>
        <v/>
      </c>
      <c r="V1856" t="str">
        <f t="shared" si="317"/>
        <v/>
      </c>
      <c r="W1856" t="str">
        <f t="shared" si="318"/>
        <v/>
      </c>
    </row>
    <row r="1857" spans="1:23" x14ac:dyDescent="0.2">
      <c r="A1857" s="4" t="str">
        <f>IF(ポートフォリオ実績!A1858="","", ポートフォリオ実績!A1858)</f>
        <v/>
      </c>
      <c r="B1857" t="str">
        <f>IF(ポートフォリオ実績!B1858="","", ポートフォリオ実績!B1858)</f>
        <v/>
      </c>
      <c r="C1857" s="10" t="str">
        <f>IF(ポートフォリオ実績!C1858="","", ポートフォリオ実績!C1858)</f>
        <v/>
      </c>
      <c r="D1857" s="10" t="str">
        <f>IF(ポートフォリオ実績!D1858="","", ポートフォリオ実績!D1858)</f>
        <v/>
      </c>
      <c r="E1857" s="10" t="str">
        <f>IF(ポートフォリオ実績!E1858="","", ポートフォリオ実績!E1858)</f>
        <v/>
      </c>
      <c r="F1857" s="10" t="str">
        <f>IF(ポートフォリオ実績!F1858="","", ポートフォリオ実績!F1858)</f>
        <v/>
      </c>
      <c r="G1857" t="str">
        <f t="shared" ref="G1857:G1920" si="319">IF(A1857&lt;&gt;"", EOMONTH(A1857, -1), "")</f>
        <v/>
      </c>
      <c r="H1857">
        <f>IF(B1857&lt;&gt;"", SUMIFS(ポートフォリオ実績!$D$2:$D$2001, ポートフォリオ実績!$B$2:$B$2001, B1857, ポートフォリオ実績!$A$2:$A$2001, G1857), 0)</f>
        <v>0</v>
      </c>
      <c r="I1857">
        <f>IF(B1857&lt;&gt;"", SUMIFS(ポートフォリオ実績!$C$2:$C$2001, ポートフォリオ実績!$B$2:$B$2001, B1857, ポートフォリオ実績!$A$2:$A$2001, G1857), 0)</f>
        <v>0</v>
      </c>
      <c r="J1857">
        <f t="shared" ref="J1857:J1920" si="320">IF(A1857&lt;&gt;"", D1857-C1857, 0)</f>
        <v>0</v>
      </c>
      <c r="K1857">
        <f t="shared" ref="K1857:K1920" si="321">IF(A1857&lt;&gt;"", H1857-I1857, 0)</f>
        <v>0</v>
      </c>
      <c r="L1857">
        <f t="shared" ref="L1857:L1920" si="322">IF(H1857=0, 0, J1857-K1857)</f>
        <v>0</v>
      </c>
      <c r="M1857">
        <f t="shared" ref="M1857:M1920" si="323">IF(A1857&lt;&gt;"", E1857+F1857+L1857, 0)</f>
        <v>0</v>
      </c>
      <c r="N1857">
        <f t="shared" ref="N1857:N1920" si="324">IF(H1857=0, 0, (D1857-H1857)-M1857)</f>
        <v>0</v>
      </c>
      <c r="O1857">
        <f t="shared" ref="O1857:O1920" si="325">IF(A1857&lt;&gt;"", H1857+N1857*0.5, 0)</f>
        <v>0</v>
      </c>
      <c r="P1857" t="str">
        <f t="shared" ref="P1857:P1920" si="326">IF(A1857="","", IF(O1857&gt;0.000001, M1857/O1857, IF(ABS(M1857)&lt;0.000001, 0, 0)))</f>
        <v/>
      </c>
      <c r="Q1857" t="str">
        <f>IF(B1857="","", IFERROR(VLOOKUP(B1857, '基準資産配分（設定）'!$A$2:$C$2001, 3, FALSE), ""))</f>
        <v/>
      </c>
      <c r="R1857" t="str">
        <f>IF(B1857="","", IFERROR(VLOOKUP(B1857, '基準資産配分（設定）'!$A$2:$C$2001, 2, FALSE)/100, 0))</f>
        <v/>
      </c>
      <c r="S1857" t="str">
        <f>IF(B1857="","", IFERROR(SUMIFS(ベンチマークリターン!$C$2:$C$2001, ベンチマークリターン!$A$2:$A$2001, A1857, ベンチマークリターン!$B$2:$B$2001, Q1857) / 100, 0))</f>
        <v/>
      </c>
      <c r="T1857" t="str">
        <f>IF(A1857="","", SUMIFS($H$2:$H$2000, $A$2:$A$2000, A1857))</f>
        <v/>
      </c>
      <c r="U1857" t="str">
        <f t="shared" ref="U1857:U1920" si="327">IF(A1857="","", IFERROR(H1857/T1857, 0))</f>
        <v/>
      </c>
      <c r="V1857" t="str">
        <f t="shared" ref="V1857:V1920" si="328">IF(A1857="","", U1857*P1857)</f>
        <v/>
      </c>
      <c r="W1857" t="str">
        <f t="shared" ref="W1857:W1920" si="329">IF(A1857="","", R1857*S1857)</f>
        <v/>
      </c>
    </row>
    <row r="1858" spans="1:23" x14ac:dyDescent="0.2">
      <c r="A1858" s="4" t="str">
        <f>IF(ポートフォリオ実績!A1859="","", ポートフォリオ実績!A1859)</f>
        <v/>
      </c>
      <c r="B1858" t="str">
        <f>IF(ポートフォリオ実績!B1859="","", ポートフォリオ実績!B1859)</f>
        <v/>
      </c>
      <c r="C1858" s="10" t="str">
        <f>IF(ポートフォリオ実績!C1859="","", ポートフォリオ実績!C1859)</f>
        <v/>
      </c>
      <c r="D1858" s="10" t="str">
        <f>IF(ポートフォリオ実績!D1859="","", ポートフォリオ実績!D1859)</f>
        <v/>
      </c>
      <c r="E1858" s="10" t="str">
        <f>IF(ポートフォリオ実績!E1859="","", ポートフォリオ実績!E1859)</f>
        <v/>
      </c>
      <c r="F1858" s="10" t="str">
        <f>IF(ポートフォリオ実績!F1859="","", ポートフォリオ実績!F1859)</f>
        <v/>
      </c>
      <c r="G1858" t="str">
        <f t="shared" si="319"/>
        <v/>
      </c>
      <c r="H1858">
        <f>IF(B1858&lt;&gt;"", SUMIFS(ポートフォリオ実績!$D$2:$D$2001, ポートフォリオ実績!$B$2:$B$2001, B1858, ポートフォリオ実績!$A$2:$A$2001, G1858), 0)</f>
        <v>0</v>
      </c>
      <c r="I1858">
        <f>IF(B1858&lt;&gt;"", SUMIFS(ポートフォリオ実績!$C$2:$C$2001, ポートフォリオ実績!$B$2:$B$2001, B1858, ポートフォリオ実績!$A$2:$A$2001, G1858), 0)</f>
        <v>0</v>
      </c>
      <c r="J1858">
        <f t="shared" si="320"/>
        <v>0</v>
      </c>
      <c r="K1858">
        <f t="shared" si="321"/>
        <v>0</v>
      </c>
      <c r="L1858">
        <f t="shared" si="322"/>
        <v>0</v>
      </c>
      <c r="M1858">
        <f t="shared" si="323"/>
        <v>0</v>
      </c>
      <c r="N1858">
        <f t="shared" si="324"/>
        <v>0</v>
      </c>
      <c r="O1858">
        <f t="shared" si="325"/>
        <v>0</v>
      </c>
      <c r="P1858" t="str">
        <f t="shared" si="326"/>
        <v/>
      </c>
      <c r="Q1858" t="str">
        <f>IF(B1858="","", IFERROR(VLOOKUP(B1858, '基準資産配分（設定）'!$A$2:$C$2001, 3, FALSE), ""))</f>
        <v/>
      </c>
      <c r="R1858" t="str">
        <f>IF(B1858="","", IFERROR(VLOOKUP(B1858, '基準資産配分（設定）'!$A$2:$C$2001, 2, FALSE)/100, 0))</f>
        <v/>
      </c>
      <c r="S1858" t="str">
        <f>IF(B1858="","", IFERROR(SUMIFS(ベンチマークリターン!$C$2:$C$2001, ベンチマークリターン!$A$2:$A$2001, A1858, ベンチマークリターン!$B$2:$B$2001, Q1858) / 100, 0))</f>
        <v/>
      </c>
      <c r="T1858" t="str">
        <f>IF(A1858="","", SUMIFS($H$2:$H$2000, $A$2:$A$2000, A1858))</f>
        <v/>
      </c>
      <c r="U1858" t="str">
        <f t="shared" si="327"/>
        <v/>
      </c>
      <c r="V1858" t="str">
        <f t="shared" si="328"/>
        <v/>
      </c>
      <c r="W1858" t="str">
        <f t="shared" si="329"/>
        <v/>
      </c>
    </row>
    <row r="1859" spans="1:23" x14ac:dyDescent="0.2">
      <c r="A1859" s="4" t="str">
        <f>IF(ポートフォリオ実績!A1860="","", ポートフォリオ実績!A1860)</f>
        <v/>
      </c>
      <c r="B1859" t="str">
        <f>IF(ポートフォリオ実績!B1860="","", ポートフォリオ実績!B1860)</f>
        <v/>
      </c>
      <c r="C1859" s="10" t="str">
        <f>IF(ポートフォリオ実績!C1860="","", ポートフォリオ実績!C1860)</f>
        <v/>
      </c>
      <c r="D1859" s="10" t="str">
        <f>IF(ポートフォリオ実績!D1860="","", ポートフォリオ実績!D1860)</f>
        <v/>
      </c>
      <c r="E1859" s="10" t="str">
        <f>IF(ポートフォリオ実績!E1860="","", ポートフォリオ実績!E1860)</f>
        <v/>
      </c>
      <c r="F1859" s="10" t="str">
        <f>IF(ポートフォリオ実績!F1860="","", ポートフォリオ実績!F1860)</f>
        <v/>
      </c>
      <c r="G1859" t="str">
        <f t="shared" si="319"/>
        <v/>
      </c>
      <c r="H1859">
        <f>IF(B1859&lt;&gt;"", SUMIFS(ポートフォリオ実績!$D$2:$D$2001, ポートフォリオ実績!$B$2:$B$2001, B1859, ポートフォリオ実績!$A$2:$A$2001, G1859), 0)</f>
        <v>0</v>
      </c>
      <c r="I1859">
        <f>IF(B1859&lt;&gt;"", SUMIFS(ポートフォリオ実績!$C$2:$C$2001, ポートフォリオ実績!$B$2:$B$2001, B1859, ポートフォリオ実績!$A$2:$A$2001, G1859), 0)</f>
        <v>0</v>
      </c>
      <c r="J1859">
        <f t="shared" si="320"/>
        <v>0</v>
      </c>
      <c r="K1859">
        <f t="shared" si="321"/>
        <v>0</v>
      </c>
      <c r="L1859">
        <f t="shared" si="322"/>
        <v>0</v>
      </c>
      <c r="M1859">
        <f t="shared" si="323"/>
        <v>0</v>
      </c>
      <c r="N1859">
        <f t="shared" si="324"/>
        <v>0</v>
      </c>
      <c r="O1859">
        <f t="shared" si="325"/>
        <v>0</v>
      </c>
      <c r="P1859" t="str">
        <f t="shared" si="326"/>
        <v/>
      </c>
      <c r="Q1859" t="str">
        <f>IF(B1859="","", IFERROR(VLOOKUP(B1859, '基準資産配分（設定）'!$A$2:$C$2001, 3, FALSE), ""))</f>
        <v/>
      </c>
      <c r="R1859" t="str">
        <f>IF(B1859="","", IFERROR(VLOOKUP(B1859, '基準資産配分（設定）'!$A$2:$C$2001, 2, FALSE)/100, 0))</f>
        <v/>
      </c>
      <c r="S1859" t="str">
        <f>IF(B1859="","", IFERROR(SUMIFS(ベンチマークリターン!$C$2:$C$2001, ベンチマークリターン!$A$2:$A$2001, A1859, ベンチマークリターン!$B$2:$B$2001, Q1859) / 100, 0))</f>
        <v/>
      </c>
      <c r="T1859" t="str">
        <f>IF(A1859="","", SUMIFS($H$2:$H$2000, $A$2:$A$2000, A1859))</f>
        <v/>
      </c>
      <c r="U1859" t="str">
        <f t="shared" si="327"/>
        <v/>
      </c>
      <c r="V1859" t="str">
        <f t="shared" si="328"/>
        <v/>
      </c>
      <c r="W1859" t="str">
        <f t="shared" si="329"/>
        <v/>
      </c>
    </row>
    <row r="1860" spans="1:23" x14ac:dyDescent="0.2">
      <c r="A1860" s="4" t="str">
        <f>IF(ポートフォリオ実績!A1861="","", ポートフォリオ実績!A1861)</f>
        <v/>
      </c>
      <c r="B1860" t="str">
        <f>IF(ポートフォリオ実績!B1861="","", ポートフォリオ実績!B1861)</f>
        <v/>
      </c>
      <c r="C1860" s="10" t="str">
        <f>IF(ポートフォリオ実績!C1861="","", ポートフォリオ実績!C1861)</f>
        <v/>
      </c>
      <c r="D1860" s="10" t="str">
        <f>IF(ポートフォリオ実績!D1861="","", ポートフォリオ実績!D1861)</f>
        <v/>
      </c>
      <c r="E1860" s="10" t="str">
        <f>IF(ポートフォリオ実績!E1861="","", ポートフォリオ実績!E1861)</f>
        <v/>
      </c>
      <c r="F1860" s="10" t="str">
        <f>IF(ポートフォリオ実績!F1861="","", ポートフォリオ実績!F1861)</f>
        <v/>
      </c>
      <c r="G1860" t="str">
        <f t="shared" si="319"/>
        <v/>
      </c>
      <c r="H1860">
        <f>IF(B1860&lt;&gt;"", SUMIFS(ポートフォリオ実績!$D$2:$D$2001, ポートフォリオ実績!$B$2:$B$2001, B1860, ポートフォリオ実績!$A$2:$A$2001, G1860), 0)</f>
        <v>0</v>
      </c>
      <c r="I1860">
        <f>IF(B1860&lt;&gt;"", SUMIFS(ポートフォリオ実績!$C$2:$C$2001, ポートフォリオ実績!$B$2:$B$2001, B1860, ポートフォリオ実績!$A$2:$A$2001, G1860), 0)</f>
        <v>0</v>
      </c>
      <c r="J1860">
        <f t="shared" si="320"/>
        <v>0</v>
      </c>
      <c r="K1860">
        <f t="shared" si="321"/>
        <v>0</v>
      </c>
      <c r="L1860">
        <f t="shared" si="322"/>
        <v>0</v>
      </c>
      <c r="M1860">
        <f t="shared" si="323"/>
        <v>0</v>
      </c>
      <c r="N1860">
        <f t="shared" si="324"/>
        <v>0</v>
      </c>
      <c r="O1860">
        <f t="shared" si="325"/>
        <v>0</v>
      </c>
      <c r="P1860" t="str">
        <f t="shared" si="326"/>
        <v/>
      </c>
      <c r="Q1860" t="str">
        <f>IF(B1860="","", IFERROR(VLOOKUP(B1860, '基準資産配分（設定）'!$A$2:$C$2001, 3, FALSE), ""))</f>
        <v/>
      </c>
      <c r="R1860" t="str">
        <f>IF(B1860="","", IFERROR(VLOOKUP(B1860, '基準資産配分（設定）'!$A$2:$C$2001, 2, FALSE)/100, 0))</f>
        <v/>
      </c>
      <c r="S1860" t="str">
        <f>IF(B1860="","", IFERROR(SUMIFS(ベンチマークリターン!$C$2:$C$2001, ベンチマークリターン!$A$2:$A$2001, A1860, ベンチマークリターン!$B$2:$B$2001, Q1860) / 100, 0))</f>
        <v/>
      </c>
      <c r="T1860" t="str">
        <f>IF(A1860="","", SUMIFS($H$2:$H$2000, $A$2:$A$2000, A1860))</f>
        <v/>
      </c>
      <c r="U1860" t="str">
        <f t="shared" si="327"/>
        <v/>
      </c>
      <c r="V1860" t="str">
        <f t="shared" si="328"/>
        <v/>
      </c>
      <c r="W1860" t="str">
        <f t="shared" si="329"/>
        <v/>
      </c>
    </row>
    <row r="1861" spans="1:23" x14ac:dyDescent="0.2">
      <c r="A1861" s="4" t="str">
        <f>IF(ポートフォリオ実績!A1862="","", ポートフォリオ実績!A1862)</f>
        <v/>
      </c>
      <c r="B1861" t="str">
        <f>IF(ポートフォリオ実績!B1862="","", ポートフォリオ実績!B1862)</f>
        <v/>
      </c>
      <c r="C1861" s="10" t="str">
        <f>IF(ポートフォリオ実績!C1862="","", ポートフォリオ実績!C1862)</f>
        <v/>
      </c>
      <c r="D1861" s="10" t="str">
        <f>IF(ポートフォリオ実績!D1862="","", ポートフォリオ実績!D1862)</f>
        <v/>
      </c>
      <c r="E1861" s="10" t="str">
        <f>IF(ポートフォリオ実績!E1862="","", ポートフォリオ実績!E1862)</f>
        <v/>
      </c>
      <c r="F1861" s="10" t="str">
        <f>IF(ポートフォリオ実績!F1862="","", ポートフォリオ実績!F1862)</f>
        <v/>
      </c>
      <c r="G1861" t="str">
        <f t="shared" si="319"/>
        <v/>
      </c>
      <c r="H1861">
        <f>IF(B1861&lt;&gt;"", SUMIFS(ポートフォリオ実績!$D$2:$D$2001, ポートフォリオ実績!$B$2:$B$2001, B1861, ポートフォリオ実績!$A$2:$A$2001, G1861), 0)</f>
        <v>0</v>
      </c>
      <c r="I1861">
        <f>IF(B1861&lt;&gt;"", SUMIFS(ポートフォリオ実績!$C$2:$C$2001, ポートフォリオ実績!$B$2:$B$2001, B1861, ポートフォリオ実績!$A$2:$A$2001, G1861), 0)</f>
        <v>0</v>
      </c>
      <c r="J1861">
        <f t="shared" si="320"/>
        <v>0</v>
      </c>
      <c r="K1861">
        <f t="shared" si="321"/>
        <v>0</v>
      </c>
      <c r="L1861">
        <f t="shared" si="322"/>
        <v>0</v>
      </c>
      <c r="M1861">
        <f t="shared" si="323"/>
        <v>0</v>
      </c>
      <c r="N1861">
        <f t="shared" si="324"/>
        <v>0</v>
      </c>
      <c r="O1861">
        <f t="shared" si="325"/>
        <v>0</v>
      </c>
      <c r="P1861" t="str">
        <f t="shared" si="326"/>
        <v/>
      </c>
      <c r="Q1861" t="str">
        <f>IF(B1861="","", IFERROR(VLOOKUP(B1861, '基準資産配分（設定）'!$A$2:$C$2001, 3, FALSE), ""))</f>
        <v/>
      </c>
      <c r="R1861" t="str">
        <f>IF(B1861="","", IFERROR(VLOOKUP(B1861, '基準資産配分（設定）'!$A$2:$C$2001, 2, FALSE)/100, 0))</f>
        <v/>
      </c>
      <c r="S1861" t="str">
        <f>IF(B1861="","", IFERROR(SUMIFS(ベンチマークリターン!$C$2:$C$2001, ベンチマークリターン!$A$2:$A$2001, A1861, ベンチマークリターン!$B$2:$B$2001, Q1861) / 100, 0))</f>
        <v/>
      </c>
      <c r="T1861" t="str">
        <f>IF(A1861="","", SUMIFS($H$2:$H$2000, $A$2:$A$2000, A1861))</f>
        <v/>
      </c>
      <c r="U1861" t="str">
        <f t="shared" si="327"/>
        <v/>
      </c>
      <c r="V1861" t="str">
        <f t="shared" si="328"/>
        <v/>
      </c>
      <c r="W1861" t="str">
        <f t="shared" si="329"/>
        <v/>
      </c>
    </row>
    <row r="1862" spans="1:23" x14ac:dyDescent="0.2">
      <c r="A1862" s="4" t="str">
        <f>IF(ポートフォリオ実績!A1863="","", ポートフォリオ実績!A1863)</f>
        <v/>
      </c>
      <c r="B1862" t="str">
        <f>IF(ポートフォリオ実績!B1863="","", ポートフォリオ実績!B1863)</f>
        <v/>
      </c>
      <c r="C1862" s="10" t="str">
        <f>IF(ポートフォリオ実績!C1863="","", ポートフォリオ実績!C1863)</f>
        <v/>
      </c>
      <c r="D1862" s="10" t="str">
        <f>IF(ポートフォリオ実績!D1863="","", ポートフォリオ実績!D1863)</f>
        <v/>
      </c>
      <c r="E1862" s="10" t="str">
        <f>IF(ポートフォリオ実績!E1863="","", ポートフォリオ実績!E1863)</f>
        <v/>
      </c>
      <c r="F1862" s="10" t="str">
        <f>IF(ポートフォリオ実績!F1863="","", ポートフォリオ実績!F1863)</f>
        <v/>
      </c>
      <c r="G1862" t="str">
        <f t="shared" si="319"/>
        <v/>
      </c>
      <c r="H1862">
        <f>IF(B1862&lt;&gt;"", SUMIFS(ポートフォリオ実績!$D$2:$D$2001, ポートフォリオ実績!$B$2:$B$2001, B1862, ポートフォリオ実績!$A$2:$A$2001, G1862), 0)</f>
        <v>0</v>
      </c>
      <c r="I1862">
        <f>IF(B1862&lt;&gt;"", SUMIFS(ポートフォリオ実績!$C$2:$C$2001, ポートフォリオ実績!$B$2:$B$2001, B1862, ポートフォリオ実績!$A$2:$A$2001, G1862), 0)</f>
        <v>0</v>
      </c>
      <c r="J1862">
        <f t="shared" si="320"/>
        <v>0</v>
      </c>
      <c r="K1862">
        <f t="shared" si="321"/>
        <v>0</v>
      </c>
      <c r="L1862">
        <f t="shared" si="322"/>
        <v>0</v>
      </c>
      <c r="M1862">
        <f t="shared" si="323"/>
        <v>0</v>
      </c>
      <c r="N1862">
        <f t="shared" si="324"/>
        <v>0</v>
      </c>
      <c r="O1862">
        <f t="shared" si="325"/>
        <v>0</v>
      </c>
      <c r="P1862" t="str">
        <f t="shared" si="326"/>
        <v/>
      </c>
      <c r="Q1862" t="str">
        <f>IF(B1862="","", IFERROR(VLOOKUP(B1862, '基準資産配分（設定）'!$A$2:$C$2001, 3, FALSE), ""))</f>
        <v/>
      </c>
      <c r="R1862" t="str">
        <f>IF(B1862="","", IFERROR(VLOOKUP(B1862, '基準資産配分（設定）'!$A$2:$C$2001, 2, FALSE)/100, 0))</f>
        <v/>
      </c>
      <c r="S1862" t="str">
        <f>IF(B1862="","", IFERROR(SUMIFS(ベンチマークリターン!$C$2:$C$2001, ベンチマークリターン!$A$2:$A$2001, A1862, ベンチマークリターン!$B$2:$B$2001, Q1862) / 100, 0))</f>
        <v/>
      </c>
      <c r="T1862" t="str">
        <f>IF(A1862="","", SUMIFS($H$2:$H$2000, $A$2:$A$2000, A1862))</f>
        <v/>
      </c>
      <c r="U1862" t="str">
        <f t="shared" si="327"/>
        <v/>
      </c>
      <c r="V1862" t="str">
        <f t="shared" si="328"/>
        <v/>
      </c>
      <c r="W1862" t="str">
        <f t="shared" si="329"/>
        <v/>
      </c>
    </row>
    <row r="1863" spans="1:23" x14ac:dyDescent="0.2">
      <c r="A1863" s="4" t="str">
        <f>IF(ポートフォリオ実績!A1864="","", ポートフォリオ実績!A1864)</f>
        <v/>
      </c>
      <c r="B1863" t="str">
        <f>IF(ポートフォリオ実績!B1864="","", ポートフォリオ実績!B1864)</f>
        <v/>
      </c>
      <c r="C1863" s="10" t="str">
        <f>IF(ポートフォリオ実績!C1864="","", ポートフォリオ実績!C1864)</f>
        <v/>
      </c>
      <c r="D1863" s="10" t="str">
        <f>IF(ポートフォリオ実績!D1864="","", ポートフォリオ実績!D1864)</f>
        <v/>
      </c>
      <c r="E1863" s="10" t="str">
        <f>IF(ポートフォリオ実績!E1864="","", ポートフォリオ実績!E1864)</f>
        <v/>
      </c>
      <c r="F1863" s="10" t="str">
        <f>IF(ポートフォリオ実績!F1864="","", ポートフォリオ実績!F1864)</f>
        <v/>
      </c>
      <c r="G1863" t="str">
        <f t="shared" si="319"/>
        <v/>
      </c>
      <c r="H1863">
        <f>IF(B1863&lt;&gt;"", SUMIFS(ポートフォリオ実績!$D$2:$D$2001, ポートフォリオ実績!$B$2:$B$2001, B1863, ポートフォリオ実績!$A$2:$A$2001, G1863), 0)</f>
        <v>0</v>
      </c>
      <c r="I1863">
        <f>IF(B1863&lt;&gt;"", SUMIFS(ポートフォリオ実績!$C$2:$C$2001, ポートフォリオ実績!$B$2:$B$2001, B1863, ポートフォリオ実績!$A$2:$A$2001, G1863), 0)</f>
        <v>0</v>
      </c>
      <c r="J1863">
        <f t="shared" si="320"/>
        <v>0</v>
      </c>
      <c r="K1863">
        <f t="shared" si="321"/>
        <v>0</v>
      </c>
      <c r="L1863">
        <f t="shared" si="322"/>
        <v>0</v>
      </c>
      <c r="M1863">
        <f t="shared" si="323"/>
        <v>0</v>
      </c>
      <c r="N1863">
        <f t="shared" si="324"/>
        <v>0</v>
      </c>
      <c r="O1863">
        <f t="shared" si="325"/>
        <v>0</v>
      </c>
      <c r="P1863" t="str">
        <f t="shared" si="326"/>
        <v/>
      </c>
      <c r="Q1863" t="str">
        <f>IF(B1863="","", IFERROR(VLOOKUP(B1863, '基準資産配分（設定）'!$A$2:$C$2001, 3, FALSE), ""))</f>
        <v/>
      </c>
      <c r="R1863" t="str">
        <f>IF(B1863="","", IFERROR(VLOOKUP(B1863, '基準資産配分（設定）'!$A$2:$C$2001, 2, FALSE)/100, 0))</f>
        <v/>
      </c>
      <c r="S1863" t="str">
        <f>IF(B1863="","", IFERROR(SUMIFS(ベンチマークリターン!$C$2:$C$2001, ベンチマークリターン!$A$2:$A$2001, A1863, ベンチマークリターン!$B$2:$B$2001, Q1863) / 100, 0))</f>
        <v/>
      </c>
      <c r="T1863" t="str">
        <f>IF(A1863="","", SUMIFS($H$2:$H$2000, $A$2:$A$2000, A1863))</f>
        <v/>
      </c>
      <c r="U1863" t="str">
        <f t="shared" si="327"/>
        <v/>
      </c>
      <c r="V1863" t="str">
        <f t="shared" si="328"/>
        <v/>
      </c>
      <c r="W1863" t="str">
        <f t="shared" si="329"/>
        <v/>
      </c>
    </row>
    <row r="1864" spans="1:23" x14ac:dyDescent="0.2">
      <c r="A1864" s="4" t="str">
        <f>IF(ポートフォリオ実績!A1865="","", ポートフォリオ実績!A1865)</f>
        <v/>
      </c>
      <c r="B1864" t="str">
        <f>IF(ポートフォリオ実績!B1865="","", ポートフォリオ実績!B1865)</f>
        <v/>
      </c>
      <c r="C1864" s="10" t="str">
        <f>IF(ポートフォリオ実績!C1865="","", ポートフォリオ実績!C1865)</f>
        <v/>
      </c>
      <c r="D1864" s="10" t="str">
        <f>IF(ポートフォリオ実績!D1865="","", ポートフォリオ実績!D1865)</f>
        <v/>
      </c>
      <c r="E1864" s="10" t="str">
        <f>IF(ポートフォリオ実績!E1865="","", ポートフォリオ実績!E1865)</f>
        <v/>
      </c>
      <c r="F1864" s="10" t="str">
        <f>IF(ポートフォリオ実績!F1865="","", ポートフォリオ実績!F1865)</f>
        <v/>
      </c>
      <c r="G1864" t="str">
        <f t="shared" si="319"/>
        <v/>
      </c>
      <c r="H1864">
        <f>IF(B1864&lt;&gt;"", SUMIFS(ポートフォリオ実績!$D$2:$D$2001, ポートフォリオ実績!$B$2:$B$2001, B1864, ポートフォリオ実績!$A$2:$A$2001, G1864), 0)</f>
        <v>0</v>
      </c>
      <c r="I1864">
        <f>IF(B1864&lt;&gt;"", SUMIFS(ポートフォリオ実績!$C$2:$C$2001, ポートフォリオ実績!$B$2:$B$2001, B1864, ポートフォリオ実績!$A$2:$A$2001, G1864), 0)</f>
        <v>0</v>
      </c>
      <c r="J1864">
        <f t="shared" si="320"/>
        <v>0</v>
      </c>
      <c r="K1864">
        <f t="shared" si="321"/>
        <v>0</v>
      </c>
      <c r="L1864">
        <f t="shared" si="322"/>
        <v>0</v>
      </c>
      <c r="M1864">
        <f t="shared" si="323"/>
        <v>0</v>
      </c>
      <c r="N1864">
        <f t="shared" si="324"/>
        <v>0</v>
      </c>
      <c r="O1864">
        <f t="shared" si="325"/>
        <v>0</v>
      </c>
      <c r="P1864" t="str">
        <f t="shared" si="326"/>
        <v/>
      </c>
      <c r="Q1864" t="str">
        <f>IF(B1864="","", IFERROR(VLOOKUP(B1864, '基準資産配分（設定）'!$A$2:$C$2001, 3, FALSE), ""))</f>
        <v/>
      </c>
      <c r="R1864" t="str">
        <f>IF(B1864="","", IFERROR(VLOOKUP(B1864, '基準資産配分（設定）'!$A$2:$C$2001, 2, FALSE)/100, 0))</f>
        <v/>
      </c>
      <c r="S1864" t="str">
        <f>IF(B1864="","", IFERROR(SUMIFS(ベンチマークリターン!$C$2:$C$2001, ベンチマークリターン!$A$2:$A$2001, A1864, ベンチマークリターン!$B$2:$B$2001, Q1864) / 100, 0))</f>
        <v/>
      </c>
      <c r="T1864" t="str">
        <f>IF(A1864="","", SUMIFS($H$2:$H$2000, $A$2:$A$2000, A1864))</f>
        <v/>
      </c>
      <c r="U1864" t="str">
        <f t="shared" si="327"/>
        <v/>
      </c>
      <c r="V1864" t="str">
        <f t="shared" si="328"/>
        <v/>
      </c>
      <c r="W1864" t="str">
        <f t="shared" si="329"/>
        <v/>
      </c>
    </row>
    <row r="1865" spans="1:23" x14ac:dyDescent="0.2">
      <c r="A1865" s="4" t="str">
        <f>IF(ポートフォリオ実績!A1866="","", ポートフォリオ実績!A1866)</f>
        <v/>
      </c>
      <c r="B1865" t="str">
        <f>IF(ポートフォリオ実績!B1866="","", ポートフォリオ実績!B1866)</f>
        <v/>
      </c>
      <c r="C1865" s="10" t="str">
        <f>IF(ポートフォリオ実績!C1866="","", ポートフォリオ実績!C1866)</f>
        <v/>
      </c>
      <c r="D1865" s="10" t="str">
        <f>IF(ポートフォリオ実績!D1866="","", ポートフォリオ実績!D1866)</f>
        <v/>
      </c>
      <c r="E1865" s="10" t="str">
        <f>IF(ポートフォリオ実績!E1866="","", ポートフォリオ実績!E1866)</f>
        <v/>
      </c>
      <c r="F1865" s="10" t="str">
        <f>IF(ポートフォリオ実績!F1866="","", ポートフォリオ実績!F1866)</f>
        <v/>
      </c>
      <c r="G1865" t="str">
        <f t="shared" si="319"/>
        <v/>
      </c>
      <c r="H1865">
        <f>IF(B1865&lt;&gt;"", SUMIFS(ポートフォリオ実績!$D$2:$D$2001, ポートフォリオ実績!$B$2:$B$2001, B1865, ポートフォリオ実績!$A$2:$A$2001, G1865), 0)</f>
        <v>0</v>
      </c>
      <c r="I1865">
        <f>IF(B1865&lt;&gt;"", SUMIFS(ポートフォリオ実績!$C$2:$C$2001, ポートフォリオ実績!$B$2:$B$2001, B1865, ポートフォリオ実績!$A$2:$A$2001, G1865), 0)</f>
        <v>0</v>
      </c>
      <c r="J1865">
        <f t="shared" si="320"/>
        <v>0</v>
      </c>
      <c r="K1865">
        <f t="shared" si="321"/>
        <v>0</v>
      </c>
      <c r="L1865">
        <f t="shared" si="322"/>
        <v>0</v>
      </c>
      <c r="M1865">
        <f t="shared" si="323"/>
        <v>0</v>
      </c>
      <c r="N1865">
        <f t="shared" si="324"/>
        <v>0</v>
      </c>
      <c r="O1865">
        <f t="shared" si="325"/>
        <v>0</v>
      </c>
      <c r="P1865" t="str">
        <f t="shared" si="326"/>
        <v/>
      </c>
      <c r="Q1865" t="str">
        <f>IF(B1865="","", IFERROR(VLOOKUP(B1865, '基準資産配分（設定）'!$A$2:$C$2001, 3, FALSE), ""))</f>
        <v/>
      </c>
      <c r="R1865" t="str">
        <f>IF(B1865="","", IFERROR(VLOOKUP(B1865, '基準資産配分（設定）'!$A$2:$C$2001, 2, FALSE)/100, 0))</f>
        <v/>
      </c>
      <c r="S1865" t="str">
        <f>IF(B1865="","", IFERROR(SUMIFS(ベンチマークリターン!$C$2:$C$2001, ベンチマークリターン!$A$2:$A$2001, A1865, ベンチマークリターン!$B$2:$B$2001, Q1865) / 100, 0))</f>
        <v/>
      </c>
      <c r="T1865" t="str">
        <f>IF(A1865="","", SUMIFS($H$2:$H$2000, $A$2:$A$2000, A1865))</f>
        <v/>
      </c>
      <c r="U1865" t="str">
        <f t="shared" si="327"/>
        <v/>
      </c>
      <c r="V1865" t="str">
        <f t="shared" si="328"/>
        <v/>
      </c>
      <c r="W1865" t="str">
        <f t="shared" si="329"/>
        <v/>
      </c>
    </row>
    <row r="1866" spans="1:23" x14ac:dyDescent="0.2">
      <c r="A1866" s="4" t="str">
        <f>IF(ポートフォリオ実績!A1867="","", ポートフォリオ実績!A1867)</f>
        <v/>
      </c>
      <c r="B1866" t="str">
        <f>IF(ポートフォリオ実績!B1867="","", ポートフォリオ実績!B1867)</f>
        <v/>
      </c>
      <c r="C1866" s="10" t="str">
        <f>IF(ポートフォリオ実績!C1867="","", ポートフォリオ実績!C1867)</f>
        <v/>
      </c>
      <c r="D1866" s="10" t="str">
        <f>IF(ポートフォリオ実績!D1867="","", ポートフォリオ実績!D1867)</f>
        <v/>
      </c>
      <c r="E1866" s="10" t="str">
        <f>IF(ポートフォリオ実績!E1867="","", ポートフォリオ実績!E1867)</f>
        <v/>
      </c>
      <c r="F1866" s="10" t="str">
        <f>IF(ポートフォリオ実績!F1867="","", ポートフォリオ実績!F1867)</f>
        <v/>
      </c>
      <c r="G1866" t="str">
        <f t="shared" si="319"/>
        <v/>
      </c>
      <c r="H1866">
        <f>IF(B1866&lt;&gt;"", SUMIFS(ポートフォリオ実績!$D$2:$D$2001, ポートフォリオ実績!$B$2:$B$2001, B1866, ポートフォリオ実績!$A$2:$A$2001, G1866), 0)</f>
        <v>0</v>
      </c>
      <c r="I1866">
        <f>IF(B1866&lt;&gt;"", SUMIFS(ポートフォリオ実績!$C$2:$C$2001, ポートフォリオ実績!$B$2:$B$2001, B1866, ポートフォリオ実績!$A$2:$A$2001, G1866), 0)</f>
        <v>0</v>
      </c>
      <c r="J1866">
        <f t="shared" si="320"/>
        <v>0</v>
      </c>
      <c r="K1866">
        <f t="shared" si="321"/>
        <v>0</v>
      </c>
      <c r="L1866">
        <f t="shared" si="322"/>
        <v>0</v>
      </c>
      <c r="M1866">
        <f t="shared" si="323"/>
        <v>0</v>
      </c>
      <c r="N1866">
        <f t="shared" si="324"/>
        <v>0</v>
      </c>
      <c r="O1866">
        <f t="shared" si="325"/>
        <v>0</v>
      </c>
      <c r="P1866" t="str">
        <f t="shared" si="326"/>
        <v/>
      </c>
      <c r="Q1866" t="str">
        <f>IF(B1866="","", IFERROR(VLOOKUP(B1866, '基準資産配分（設定）'!$A$2:$C$2001, 3, FALSE), ""))</f>
        <v/>
      </c>
      <c r="R1866" t="str">
        <f>IF(B1866="","", IFERROR(VLOOKUP(B1866, '基準資産配分（設定）'!$A$2:$C$2001, 2, FALSE)/100, 0))</f>
        <v/>
      </c>
      <c r="S1866" t="str">
        <f>IF(B1866="","", IFERROR(SUMIFS(ベンチマークリターン!$C$2:$C$2001, ベンチマークリターン!$A$2:$A$2001, A1866, ベンチマークリターン!$B$2:$B$2001, Q1866) / 100, 0))</f>
        <v/>
      </c>
      <c r="T1866" t="str">
        <f>IF(A1866="","", SUMIFS($H$2:$H$2000, $A$2:$A$2000, A1866))</f>
        <v/>
      </c>
      <c r="U1866" t="str">
        <f t="shared" si="327"/>
        <v/>
      </c>
      <c r="V1866" t="str">
        <f t="shared" si="328"/>
        <v/>
      </c>
      <c r="W1866" t="str">
        <f t="shared" si="329"/>
        <v/>
      </c>
    </row>
    <row r="1867" spans="1:23" x14ac:dyDescent="0.2">
      <c r="A1867" s="4" t="str">
        <f>IF(ポートフォリオ実績!A1868="","", ポートフォリオ実績!A1868)</f>
        <v/>
      </c>
      <c r="B1867" t="str">
        <f>IF(ポートフォリオ実績!B1868="","", ポートフォリオ実績!B1868)</f>
        <v/>
      </c>
      <c r="C1867" s="10" t="str">
        <f>IF(ポートフォリオ実績!C1868="","", ポートフォリオ実績!C1868)</f>
        <v/>
      </c>
      <c r="D1867" s="10" t="str">
        <f>IF(ポートフォリオ実績!D1868="","", ポートフォリオ実績!D1868)</f>
        <v/>
      </c>
      <c r="E1867" s="10" t="str">
        <f>IF(ポートフォリオ実績!E1868="","", ポートフォリオ実績!E1868)</f>
        <v/>
      </c>
      <c r="F1867" s="10" t="str">
        <f>IF(ポートフォリオ実績!F1868="","", ポートフォリオ実績!F1868)</f>
        <v/>
      </c>
      <c r="G1867" t="str">
        <f t="shared" si="319"/>
        <v/>
      </c>
      <c r="H1867">
        <f>IF(B1867&lt;&gt;"", SUMIFS(ポートフォリオ実績!$D$2:$D$2001, ポートフォリオ実績!$B$2:$B$2001, B1867, ポートフォリオ実績!$A$2:$A$2001, G1867), 0)</f>
        <v>0</v>
      </c>
      <c r="I1867">
        <f>IF(B1867&lt;&gt;"", SUMIFS(ポートフォリオ実績!$C$2:$C$2001, ポートフォリオ実績!$B$2:$B$2001, B1867, ポートフォリオ実績!$A$2:$A$2001, G1867), 0)</f>
        <v>0</v>
      </c>
      <c r="J1867">
        <f t="shared" si="320"/>
        <v>0</v>
      </c>
      <c r="K1867">
        <f t="shared" si="321"/>
        <v>0</v>
      </c>
      <c r="L1867">
        <f t="shared" si="322"/>
        <v>0</v>
      </c>
      <c r="M1867">
        <f t="shared" si="323"/>
        <v>0</v>
      </c>
      <c r="N1867">
        <f t="shared" si="324"/>
        <v>0</v>
      </c>
      <c r="O1867">
        <f t="shared" si="325"/>
        <v>0</v>
      </c>
      <c r="P1867" t="str">
        <f t="shared" si="326"/>
        <v/>
      </c>
      <c r="Q1867" t="str">
        <f>IF(B1867="","", IFERROR(VLOOKUP(B1867, '基準資産配分（設定）'!$A$2:$C$2001, 3, FALSE), ""))</f>
        <v/>
      </c>
      <c r="R1867" t="str">
        <f>IF(B1867="","", IFERROR(VLOOKUP(B1867, '基準資産配分（設定）'!$A$2:$C$2001, 2, FALSE)/100, 0))</f>
        <v/>
      </c>
      <c r="S1867" t="str">
        <f>IF(B1867="","", IFERROR(SUMIFS(ベンチマークリターン!$C$2:$C$2001, ベンチマークリターン!$A$2:$A$2001, A1867, ベンチマークリターン!$B$2:$B$2001, Q1867) / 100, 0))</f>
        <v/>
      </c>
      <c r="T1867" t="str">
        <f>IF(A1867="","", SUMIFS($H$2:$H$2000, $A$2:$A$2000, A1867))</f>
        <v/>
      </c>
      <c r="U1867" t="str">
        <f t="shared" si="327"/>
        <v/>
      </c>
      <c r="V1867" t="str">
        <f t="shared" si="328"/>
        <v/>
      </c>
      <c r="W1867" t="str">
        <f t="shared" si="329"/>
        <v/>
      </c>
    </row>
    <row r="1868" spans="1:23" x14ac:dyDescent="0.2">
      <c r="A1868" s="4" t="str">
        <f>IF(ポートフォリオ実績!A1869="","", ポートフォリオ実績!A1869)</f>
        <v/>
      </c>
      <c r="B1868" t="str">
        <f>IF(ポートフォリオ実績!B1869="","", ポートフォリオ実績!B1869)</f>
        <v/>
      </c>
      <c r="C1868" s="10" t="str">
        <f>IF(ポートフォリオ実績!C1869="","", ポートフォリオ実績!C1869)</f>
        <v/>
      </c>
      <c r="D1868" s="10" t="str">
        <f>IF(ポートフォリオ実績!D1869="","", ポートフォリオ実績!D1869)</f>
        <v/>
      </c>
      <c r="E1868" s="10" t="str">
        <f>IF(ポートフォリオ実績!E1869="","", ポートフォリオ実績!E1869)</f>
        <v/>
      </c>
      <c r="F1868" s="10" t="str">
        <f>IF(ポートフォリオ実績!F1869="","", ポートフォリオ実績!F1869)</f>
        <v/>
      </c>
      <c r="G1868" t="str">
        <f t="shared" si="319"/>
        <v/>
      </c>
      <c r="H1868">
        <f>IF(B1868&lt;&gt;"", SUMIFS(ポートフォリオ実績!$D$2:$D$2001, ポートフォリオ実績!$B$2:$B$2001, B1868, ポートフォリオ実績!$A$2:$A$2001, G1868), 0)</f>
        <v>0</v>
      </c>
      <c r="I1868">
        <f>IF(B1868&lt;&gt;"", SUMIFS(ポートフォリオ実績!$C$2:$C$2001, ポートフォリオ実績!$B$2:$B$2001, B1868, ポートフォリオ実績!$A$2:$A$2001, G1868), 0)</f>
        <v>0</v>
      </c>
      <c r="J1868">
        <f t="shared" si="320"/>
        <v>0</v>
      </c>
      <c r="K1868">
        <f t="shared" si="321"/>
        <v>0</v>
      </c>
      <c r="L1868">
        <f t="shared" si="322"/>
        <v>0</v>
      </c>
      <c r="M1868">
        <f t="shared" si="323"/>
        <v>0</v>
      </c>
      <c r="N1868">
        <f t="shared" si="324"/>
        <v>0</v>
      </c>
      <c r="O1868">
        <f t="shared" si="325"/>
        <v>0</v>
      </c>
      <c r="P1868" t="str">
        <f t="shared" si="326"/>
        <v/>
      </c>
      <c r="Q1868" t="str">
        <f>IF(B1868="","", IFERROR(VLOOKUP(B1868, '基準資産配分（設定）'!$A$2:$C$2001, 3, FALSE), ""))</f>
        <v/>
      </c>
      <c r="R1868" t="str">
        <f>IF(B1868="","", IFERROR(VLOOKUP(B1868, '基準資産配分（設定）'!$A$2:$C$2001, 2, FALSE)/100, 0))</f>
        <v/>
      </c>
      <c r="S1868" t="str">
        <f>IF(B1868="","", IFERROR(SUMIFS(ベンチマークリターン!$C$2:$C$2001, ベンチマークリターン!$A$2:$A$2001, A1868, ベンチマークリターン!$B$2:$B$2001, Q1868) / 100, 0))</f>
        <v/>
      </c>
      <c r="T1868" t="str">
        <f>IF(A1868="","", SUMIFS($H$2:$H$2000, $A$2:$A$2000, A1868))</f>
        <v/>
      </c>
      <c r="U1868" t="str">
        <f t="shared" si="327"/>
        <v/>
      </c>
      <c r="V1868" t="str">
        <f t="shared" si="328"/>
        <v/>
      </c>
      <c r="W1868" t="str">
        <f t="shared" si="329"/>
        <v/>
      </c>
    </row>
    <row r="1869" spans="1:23" x14ac:dyDescent="0.2">
      <c r="A1869" s="4" t="str">
        <f>IF(ポートフォリオ実績!A1870="","", ポートフォリオ実績!A1870)</f>
        <v/>
      </c>
      <c r="B1869" t="str">
        <f>IF(ポートフォリオ実績!B1870="","", ポートフォリオ実績!B1870)</f>
        <v/>
      </c>
      <c r="C1869" s="10" t="str">
        <f>IF(ポートフォリオ実績!C1870="","", ポートフォリオ実績!C1870)</f>
        <v/>
      </c>
      <c r="D1869" s="10" t="str">
        <f>IF(ポートフォリオ実績!D1870="","", ポートフォリオ実績!D1870)</f>
        <v/>
      </c>
      <c r="E1869" s="10" t="str">
        <f>IF(ポートフォリオ実績!E1870="","", ポートフォリオ実績!E1870)</f>
        <v/>
      </c>
      <c r="F1869" s="10" t="str">
        <f>IF(ポートフォリオ実績!F1870="","", ポートフォリオ実績!F1870)</f>
        <v/>
      </c>
      <c r="G1869" t="str">
        <f t="shared" si="319"/>
        <v/>
      </c>
      <c r="H1869">
        <f>IF(B1869&lt;&gt;"", SUMIFS(ポートフォリオ実績!$D$2:$D$2001, ポートフォリオ実績!$B$2:$B$2001, B1869, ポートフォリオ実績!$A$2:$A$2001, G1869), 0)</f>
        <v>0</v>
      </c>
      <c r="I1869">
        <f>IF(B1869&lt;&gt;"", SUMIFS(ポートフォリオ実績!$C$2:$C$2001, ポートフォリオ実績!$B$2:$B$2001, B1869, ポートフォリオ実績!$A$2:$A$2001, G1869), 0)</f>
        <v>0</v>
      </c>
      <c r="J1869">
        <f t="shared" si="320"/>
        <v>0</v>
      </c>
      <c r="K1869">
        <f t="shared" si="321"/>
        <v>0</v>
      </c>
      <c r="L1869">
        <f t="shared" si="322"/>
        <v>0</v>
      </c>
      <c r="M1869">
        <f t="shared" si="323"/>
        <v>0</v>
      </c>
      <c r="N1869">
        <f t="shared" si="324"/>
        <v>0</v>
      </c>
      <c r="O1869">
        <f t="shared" si="325"/>
        <v>0</v>
      </c>
      <c r="P1869" t="str">
        <f t="shared" si="326"/>
        <v/>
      </c>
      <c r="Q1869" t="str">
        <f>IF(B1869="","", IFERROR(VLOOKUP(B1869, '基準資産配分（設定）'!$A$2:$C$2001, 3, FALSE), ""))</f>
        <v/>
      </c>
      <c r="R1869" t="str">
        <f>IF(B1869="","", IFERROR(VLOOKUP(B1869, '基準資産配分（設定）'!$A$2:$C$2001, 2, FALSE)/100, 0))</f>
        <v/>
      </c>
      <c r="S1869" t="str">
        <f>IF(B1869="","", IFERROR(SUMIFS(ベンチマークリターン!$C$2:$C$2001, ベンチマークリターン!$A$2:$A$2001, A1869, ベンチマークリターン!$B$2:$B$2001, Q1869) / 100, 0))</f>
        <v/>
      </c>
      <c r="T1869" t="str">
        <f>IF(A1869="","", SUMIFS($H$2:$H$2000, $A$2:$A$2000, A1869))</f>
        <v/>
      </c>
      <c r="U1869" t="str">
        <f t="shared" si="327"/>
        <v/>
      </c>
      <c r="V1869" t="str">
        <f t="shared" si="328"/>
        <v/>
      </c>
      <c r="W1869" t="str">
        <f t="shared" si="329"/>
        <v/>
      </c>
    </row>
    <row r="1870" spans="1:23" x14ac:dyDescent="0.2">
      <c r="A1870" s="4" t="str">
        <f>IF(ポートフォリオ実績!A1871="","", ポートフォリオ実績!A1871)</f>
        <v/>
      </c>
      <c r="B1870" t="str">
        <f>IF(ポートフォリオ実績!B1871="","", ポートフォリオ実績!B1871)</f>
        <v/>
      </c>
      <c r="C1870" s="10" t="str">
        <f>IF(ポートフォリオ実績!C1871="","", ポートフォリオ実績!C1871)</f>
        <v/>
      </c>
      <c r="D1870" s="10" t="str">
        <f>IF(ポートフォリオ実績!D1871="","", ポートフォリオ実績!D1871)</f>
        <v/>
      </c>
      <c r="E1870" s="10" t="str">
        <f>IF(ポートフォリオ実績!E1871="","", ポートフォリオ実績!E1871)</f>
        <v/>
      </c>
      <c r="F1870" s="10" t="str">
        <f>IF(ポートフォリオ実績!F1871="","", ポートフォリオ実績!F1871)</f>
        <v/>
      </c>
      <c r="G1870" t="str">
        <f t="shared" si="319"/>
        <v/>
      </c>
      <c r="H1870">
        <f>IF(B1870&lt;&gt;"", SUMIFS(ポートフォリオ実績!$D$2:$D$2001, ポートフォリオ実績!$B$2:$B$2001, B1870, ポートフォリオ実績!$A$2:$A$2001, G1870), 0)</f>
        <v>0</v>
      </c>
      <c r="I1870">
        <f>IF(B1870&lt;&gt;"", SUMIFS(ポートフォリオ実績!$C$2:$C$2001, ポートフォリオ実績!$B$2:$B$2001, B1870, ポートフォリオ実績!$A$2:$A$2001, G1870), 0)</f>
        <v>0</v>
      </c>
      <c r="J1870">
        <f t="shared" si="320"/>
        <v>0</v>
      </c>
      <c r="K1870">
        <f t="shared" si="321"/>
        <v>0</v>
      </c>
      <c r="L1870">
        <f t="shared" si="322"/>
        <v>0</v>
      </c>
      <c r="M1870">
        <f t="shared" si="323"/>
        <v>0</v>
      </c>
      <c r="N1870">
        <f t="shared" si="324"/>
        <v>0</v>
      </c>
      <c r="O1870">
        <f t="shared" si="325"/>
        <v>0</v>
      </c>
      <c r="P1870" t="str">
        <f t="shared" si="326"/>
        <v/>
      </c>
      <c r="Q1870" t="str">
        <f>IF(B1870="","", IFERROR(VLOOKUP(B1870, '基準資産配分（設定）'!$A$2:$C$2001, 3, FALSE), ""))</f>
        <v/>
      </c>
      <c r="R1870" t="str">
        <f>IF(B1870="","", IFERROR(VLOOKUP(B1870, '基準資産配分（設定）'!$A$2:$C$2001, 2, FALSE)/100, 0))</f>
        <v/>
      </c>
      <c r="S1870" t="str">
        <f>IF(B1870="","", IFERROR(SUMIFS(ベンチマークリターン!$C$2:$C$2001, ベンチマークリターン!$A$2:$A$2001, A1870, ベンチマークリターン!$B$2:$B$2001, Q1870) / 100, 0))</f>
        <v/>
      </c>
      <c r="T1870" t="str">
        <f>IF(A1870="","", SUMIFS($H$2:$H$2000, $A$2:$A$2000, A1870))</f>
        <v/>
      </c>
      <c r="U1870" t="str">
        <f t="shared" si="327"/>
        <v/>
      </c>
      <c r="V1870" t="str">
        <f t="shared" si="328"/>
        <v/>
      </c>
      <c r="W1870" t="str">
        <f t="shared" si="329"/>
        <v/>
      </c>
    </row>
    <row r="1871" spans="1:23" x14ac:dyDescent="0.2">
      <c r="A1871" s="4" t="str">
        <f>IF(ポートフォリオ実績!A1872="","", ポートフォリオ実績!A1872)</f>
        <v/>
      </c>
      <c r="B1871" t="str">
        <f>IF(ポートフォリオ実績!B1872="","", ポートフォリオ実績!B1872)</f>
        <v/>
      </c>
      <c r="C1871" s="10" t="str">
        <f>IF(ポートフォリオ実績!C1872="","", ポートフォリオ実績!C1872)</f>
        <v/>
      </c>
      <c r="D1871" s="10" t="str">
        <f>IF(ポートフォリオ実績!D1872="","", ポートフォリオ実績!D1872)</f>
        <v/>
      </c>
      <c r="E1871" s="10" t="str">
        <f>IF(ポートフォリオ実績!E1872="","", ポートフォリオ実績!E1872)</f>
        <v/>
      </c>
      <c r="F1871" s="10" t="str">
        <f>IF(ポートフォリオ実績!F1872="","", ポートフォリオ実績!F1872)</f>
        <v/>
      </c>
      <c r="G1871" t="str">
        <f t="shared" si="319"/>
        <v/>
      </c>
      <c r="H1871">
        <f>IF(B1871&lt;&gt;"", SUMIFS(ポートフォリオ実績!$D$2:$D$2001, ポートフォリオ実績!$B$2:$B$2001, B1871, ポートフォリオ実績!$A$2:$A$2001, G1871), 0)</f>
        <v>0</v>
      </c>
      <c r="I1871">
        <f>IF(B1871&lt;&gt;"", SUMIFS(ポートフォリオ実績!$C$2:$C$2001, ポートフォリオ実績!$B$2:$B$2001, B1871, ポートフォリオ実績!$A$2:$A$2001, G1871), 0)</f>
        <v>0</v>
      </c>
      <c r="J1871">
        <f t="shared" si="320"/>
        <v>0</v>
      </c>
      <c r="K1871">
        <f t="shared" si="321"/>
        <v>0</v>
      </c>
      <c r="L1871">
        <f t="shared" si="322"/>
        <v>0</v>
      </c>
      <c r="M1871">
        <f t="shared" si="323"/>
        <v>0</v>
      </c>
      <c r="N1871">
        <f t="shared" si="324"/>
        <v>0</v>
      </c>
      <c r="O1871">
        <f t="shared" si="325"/>
        <v>0</v>
      </c>
      <c r="P1871" t="str">
        <f t="shared" si="326"/>
        <v/>
      </c>
      <c r="Q1871" t="str">
        <f>IF(B1871="","", IFERROR(VLOOKUP(B1871, '基準資産配分（設定）'!$A$2:$C$2001, 3, FALSE), ""))</f>
        <v/>
      </c>
      <c r="R1871" t="str">
        <f>IF(B1871="","", IFERROR(VLOOKUP(B1871, '基準資産配分（設定）'!$A$2:$C$2001, 2, FALSE)/100, 0))</f>
        <v/>
      </c>
      <c r="S1871" t="str">
        <f>IF(B1871="","", IFERROR(SUMIFS(ベンチマークリターン!$C$2:$C$2001, ベンチマークリターン!$A$2:$A$2001, A1871, ベンチマークリターン!$B$2:$B$2001, Q1871) / 100, 0))</f>
        <v/>
      </c>
      <c r="T1871" t="str">
        <f>IF(A1871="","", SUMIFS($H$2:$H$2000, $A$2:$A$2000, A1871))</f>
        <v/>
      </c>
      <c r="U1871" t="str">
        <f t="shared" si="327"/>
        <v/>
      </c>
      <c r="V1871" t="str">
        <f t="shared" si="328"/>
        <v/>
      </c>
      <c r="W1871" t="str">
        <f t="shared" si="329"/>
        <v/>
      </c>
    </row>
    <row r="1872" spans="1:23" x14ac:dyDescent="0.2">
      <c r="A1872" s="4" t="str">
        <f>IF(ポートフォリオ実績!A1873="","", ポートフォリオ実績!A1873)</f>
        <v/>
      </c>
      <c r="B1872" t="str">
        <f>IF(ポートフォリオ実績!B1873="","", ポートフォリオ実績!B1873)</f>
        <v/>
      </c>
      <c r="C1872" s="10" t="str">
        <f>IF(ポートフォリオ実績!C1873="","", ポートフォリオ実績!C1873)</f>
        <v/>
      </c>
      <c r="D1872" s="10" t="str">
        <f>IF(ポートフォリオ実績!D1873="","", ポートフォリオ実績!D1873)</f>
        <v/>
      </c>
      <c r="E1872" s="10" t="str">
        <f>IF(ポートフォリオ実績!E1873="","", ポートフォリオ実績!E1873)</f>
        <v/>
      </c>
      <c r="F1872" s="10" t="str">
        <f>IF(ポートフォリオ実績!F1873="","", ポートフォリオ実績!F1873)</f>
        <v/>
      </c>
      <c r="G1872" t="str">
        <f t="shared" si="319"/>
        <v/>
      </c>
      <c r="H1872">
        <f>IF(B1872&lt;&gt;"", SUMIFS(ポートフォリオ実績!$D$2:$D$2001, ポートフォリオ実績!$B$2:$B$2001, B1872, ポートフォリオ実績!$A$2:$A$2001, G1872), 0)</f>
        <v>0</v>
      </c>
      <c r="I1872">
        <f>IF(B1872&lt;&gt;"", SUMIFS(ポートフォリオ実績!$C$2:$C$2001, ポートフォリオ実績!$B$2:$B$2001, B1872, ポートフォリオ実績!$A$2:$A$2001, G1872), 0)</f>
        <v>0</v>
      </c>
      <c r="J1872">
        <f t="shared" si="320"/>
        <v>0</v>
      </c>
      <c r="K1872">
        <f t="shared" si="321"/>
        <v>0</v>
      </c>
      <c r="L1872">
        <f t="shared" si="322"/>
        <v>0</v>
      </c>
      <c r="M1872">
        <f t="shared" si="323"/>
        <v>0</v>
      </c>
      <c r="N1872">
        <f t="shared" si="324"/>
        <v>0</v>
      </c>
      <c r="O1872">
        <f t="shared" si="325"/>
        <v>0</v>
      </c>
      <c r="P1872" t="str">
        <f t="shared" si="326"/>
        <v/>
      </c>
      <c r="Q1872" t="str">
        <f>IF(B1872="","", IFERROR(VLOOKUP(B1872, '基準資産配分（設定）'!$A$2:$C$2001, 3, FALSE), ""))</f>
        <v/>
      </c>
      <c r="R1872" t="str">
        <f>IF(B1872="","", IFERROR(VLOOKUP(B1872, '基準資産配分（設定）'!$A$2:$C$2001, 2, FALSE)/100, 0))</f>
        <v/>
      </c>
      <c r="S1872" t="str">
        <f>IF(B1872="","", IFERROR(SUMIFS(ベンチマークリターン!$C$2:$C$2001, ベンチマークリターン!$A$2:$A$2001, A1872, ベンチマークリターン!$B$2:$B$2001, Q1872) / 100, 0))</f>
        <v/>
      </c>
      <c r="T1872" t="str">
        <f>IF(A1872="","", SUMIFS($H$2:$H$2000, $A$2:$A$2000, A1872))</f>
        <v/>
      </c>
      <c r="U1872" t="str">
        <f t="shared" si="327"/>
        <v/>
      </c>
      <c r="V1872" t="str">
        <f t="shared" si="328"/>
        <v/>
      </c>
      <c r="W1872" t="str">
        <f t="shared" si="329"/>
        <v/>
      </c>
    </row>
    <row r="1873" spans="1:23" x14ac:dyDescent="0.2">
      <c r="A1873" s="4" t="str">
        <f>IF(ポートフォリオ実績!A1874="","", ポートフォリオ実績!A1874)</f>
        <v/>
      </c>
      <c r="B1873" t="str">
        <f>IF(ポートフォリオ実績!B1874="","", ポートフォリオ実績!B1874)</f>
        <v/>
      </c>
      <c r="C1873" s="10" t="str">
        <f>IF(ポートフォリオ実績!C1874="","", ポートフォリオ実績!C1874)</f>
        <v/>
      </c>
      <c r="D1873" s="10" t="str">
        <f>IF(ポートフォリオ実績!D1874="","", ポートフォリオ実績!D1874)</f>
        <v/>
      </c>
      <c r="E1873" s="10" t="str">
        <f>IF(ポートフォリオ実績!E1874="","", ポートフォリオ実績!E1874)</f>
        <v/>
      </c>
      <c r="F1873" s="10" t="str">
        <f>IF(ポートフォリオ実績!F1874="","", ポートフォリオ実績!F1874)</f>
        <v/>
      </c>
      <c r="G1873" t="str">
        <f t="shared" si="319"/>
        <v/>
      </c>
      <c r="H1873">
        <f>IF(B1873&lt;&gt;"", SUMIFS(ポートフォリオ実績!$D$2:$D$2001, ポートフォリオ実績!$B$2:$B$2001, B1873, ポートフォリオ実績!$A$2:$A$2001, G1873), 0)</f>
        <v>0</v>
      </c>
      <c r="I1873">
        <f>IF(B1873&lt;&gt;"", SUMIFS(ポートフォリオ実績!$C$2:$C$2001, ポートフォリオ実績!$B$2:$B$2001, B1873, ポートフォリオ実績!$A$2:$A$2001, G1873), 0)</f>
        <v>0</v>
      </c>
      <c r="J1873">
        <f t="shared" si="320"/>
        <v>0</v>
      </c>
      <c r="K1873">
        <f t="shared" si="321"/>
        <v>0</v>
      </c>
      <c r="L1873">
        <f t="shared" si="322"/>
        <v>0</v>
      </c>
      <c r="M1873">
        <f t="shared" si="323"/>
        <v>0</v>
      </c>
      <c r="N1873">
        <f t="shared" si="324"/>
        <v>0</v>
      </c>
      <c r="O1873">
        <f t="shared" si="325"/>
        <v>0</v>
      </c>
      <c r="P1873" t="str">
        <f t="shared" si="326"/>
        <v/>
      </c>
      <c r="Q1873" t="str">
        <f>IF(B1873="","", IFERROR(VLOOKUP(B1873, '基準資産配分（設定）'!$A$2:$C$2001, 3, FALSE), ""))</f>
        <v/>
      </c>
      <c r="R1873" t="str">
        <f>IF(B1873="","", IFERROR(VLOOKUP(B1873, '基準資産配分（設定）'!$A$2:$C$2001, 2, FALSE)/100, 0))</f>
        <v/>
      </c>
      <c r="S1873" t="str">
        <f>IF(B1873="","", IFERROR(SUMIFS(ベンチマークリターン!$C$2:$C$2001, ベンチマークリターン!$A$2:$A$2001, A1873, ベンチマークリターン!$B$2:$B$2001, Q1873) / 100, 0))</f>
        <v/>
      </c>
      <c r="T1873" t="str">
        <f>IF(A1873="","", SUMIFS($H$2:$H$2000, $A$2:$A$2000, A1873))</f>
        <v/>
      </c>
      <c r="U1873" t="str">
        <f t="shared" si="327"/>
        <v/>
      </c>
      <c r="V1873" t="str">
        <f t="shared" si="328"/>
        <v/>
      </c>
      <c r="W1873" t="str">
        <f t="shared" si="329"/>
        <v/>
      </c>
    </row>
    <row r="1874" spans="1:23" x14ac:dyDescent="0.2">
      <c r="A1874" s="4" t="str">
        <f>IF(ポートフォリオ実績!A1875="","", ポートフォリオ実績!A1875)</f>
        <v/>
      </c>
      <c r="B1874" t="str">
        <f>IF(ポートフォリオ実績!B1875="","", ポートフォリオ実績!B1875)</f>
        <v/>
      </c>
      <c r="C1874" s="10" t="str">
        <f>IF(ポートフォリオ実績!C1875="","", ポートフォリオ実績!C1875)</f>
        <v/>
      </c>
      <c r="D1874" s="10" t="str">
        <f>IF(ポートフォリオ実績!D1875="","", ポートフォリオ実績!D1875)</f>
        <v/>
      </c>
      <c r="E1874" s="10" t="str">
        <f>IF(ポートフォリオ実績!E1875="","", ポートフォリオ実績!E1875)</f>
        <v/>
      </c>
      <c r="F1874" s="10" t="str">
        <f>IF(ポートフォリオ実績!F1875="","", ポートフォリオ実績!F1875)</f>
        <v/>
      </c>
      <c r="G1874" t="str">
        <f t="shared" si="319"/>
        <v/>
      </c>
      <c r="H1874">
        <f>IF(B1874&lt;&gt;"", SUMIFS(ポートフォリオ実績!$D$2:$D$2001, ポートフォリオ実績!$B$2:$B$2001, B1874, ポートフォリオ実績!$A$2:$A$2001, G1874), 0)</f>
        <v>0</v>
      </c>
      <c r="I1874">
        <f>IF(B1874&lt;&gt;"", SUMIFS(ポートフォリオ実績!$C$2:$C$2001, ポートフォリオ実績!$B$2:$B$2001, B1874, ポートフォリオ実績!$A$2:$A$2001, G1874), 0)</f>
        <v>0</v>
      </c>
      <c r="J1874">
        <f t="shared" si="320"/>
        <v>0</v>
      </c>
      <c r="K1874">
        <f t="shared" si="321"/>
        <v>0</v>
      </c>
      <c r="L1874">
        <f t="shared" si="322"/>
        <v>0</v>
      </c>
      <c r="M1874">
        <f t="shared" si="323"/>
        <v>0</v>
      </c>
      <c r="N1874">
        <f t="shared" si="324"/>
        <v>0</v>
      </c>
      <c r="O1874">
        <f t="shared" si="325"/>
        <v>0</v>
      </c>
      <c r="P1874" t="str">
        <f t="shared" si="326"/>
        <v/>
      </c>
      <c r="Q1874" t="str">
        <f>IF(B1874="","", IFERROR(VLOOKUP(B1874, '基準資産配分（設定）'!$A$2:$C$2001, 3, FALSE), ""))</f>
        <v/>
      </c>
      <c r="R1874" t="str">
        <f>IF(B1874="","", IFERROR(VLOOKUP(B1874, '基準資産配分（設定）'!$A$2:$C$2001, 2, FALSE)/100, 0))</f>
        <v/>
      </c>
      <c r="S1874" t="str">
        <f>IF(B1874="","", IFERROR(SUMIFS(ベンチマークリターン!$C$2:$C$2001, ベンチマークリターン!$A$2:$A$2001, A1874, ベンチマークリターン!$B$2:$B$2001, Q1874) / 100, 0))</f>
        <v/>
      </c>
      <c r="T1874" t="str">
        <f>IF(A1874="","", SUMIFS($H$2:$H$2000, $A$2:$A$2000, A1874))</f>
        <v/>
      </c>
      <c r="U1874" t="str">
        <f t="shared" si="327"/>
        <v/>
      </c>
      <c r="V1874" t="str">
        <f t="shared" si="328"/>
        <v/>
      </c>
      <c r="W1874" t="str">
        <f t="shared" si="329"/>
        <v/>
      </c>
    </row>
    <row r="1875" spans="1:23" x14ac:dyDescent="0.2">
      <c r="A1875" s="4" t="str">
        <f>IF(ポートフォリオ実績!A1876="","", ポートフォリオ実績!A1876)</f>
        <v/>
      </c>
      <c r="B1875" t="str">
        <f>IF(ポートフォリオ実績!B1876="","", ポートフォリオ実績!B1876)</f>
        <v/>
      </c>
      <c r="C1875" s="10" t="str">
        <f>IF(ポートフォリオ実績!C1876="","", ポートフォリオ実績!C1876)</f>
        <v/>
      </c>
      <c r="D1875" s="10" t="str">
        <f>IF(ポートフォリオ実績!D1876="","", ポートフォリオ実績!D1876)</f>
        <v/>
      </c>
      <c r="E1875" s="10" t="str">
        <f>IF(ポートフォリオ実績!E1876="","", ポートフォリオ実績!E1876)</f>
        <v/>
      </c>
      <c r="F1875" s="10" t="str">
        <f>IF(ポートフォリオ実績!F1876="","", ポートフォリオ実績!F1876)</f>
        <v/>
      </c>
      <c r="G1875" t="str">
        <f t="shared" si="319"/>
        <v/>
      </c>
      <c r="H1875">
        <f>IF(B1875&lt;&gt;"", SUMIFS(ポートフォリオ実績!$D$2:$D$2001, ポートフォリオ実績!$B$2:$B$2001, B1875, ポートフォリオ実績!$A$2:$A$2001, G1875), 0)</f>
        <v>0</v>
      </c>
      <c r="I1875">
        <f>IF(B1875&lt;&gt;"", SUMIFS(ポートフォリオ実績!$C$2:$C$2001, ポートフォリオ実績!$B$2:$B$2001, B1875, ポートフォリオ実績!$A$2:$A$2001, G1875), 0)</f>
        <v>0</v>
      </c>
      <c r="J1875">
        <f t="shared" si="320"/>
        <v>0</v>
      </c>
      <c r="K1875">
        <f t="shared" si="321"/>
        <v>0</v>
      </c>
      <c r="L1875">
        <f t="shared" si="322"/>
        <v>0</v>
      </c>
      <c r="M1875">
        <f t="shared" si="323"/>
        <v>0</v>
      </c>
      <c r="N1875">
        <f t="shared" si="324"/>
        <v>0</v>
      </c>
      <c r="O1875">
        <f t="shared" si="325"/>
        <v>0</v>
      </c>
      <c r="P1875" t="str">
        <f t="shared" si="326"/>
        <v/>
      </c>
      <c r="Q1875" t="str">
        <f>IF(B1875="","", IFERROR(VLOOKUP(B1875, '基準資産配分（設定）'!$A$2:$C$2001, 3, FALSE), ""))</f>
        <v/>
      </c>
      <c r="R1875" t="str">
        <f>IF(B1875="","", IFERROR(VLOOKUP(B1875, '基準資産配分（設定）'!$A$2:$C$2001, 2, FALSE)/100, 0))</f>
        <v/>
      </c>
      <c r="S1875" t="str">
        <f>IF(B1875="","", IFERROR(SUMIFS(ベンチマークリターン!$C$2:$C$2001, ベンチマークリターン!$A$2:$A$2001, A1875, ベンチマークリターン!$B$2:$B$2001, Q1875) / 100, 0))</f>
        <v/>
      </c>
      <c r="T1875" t="str">
        <f>IF(A1875="","", SUMIFS($H$2:$H$2000, $A$2:$A$2000, A1875))</f>
        <v/>
      </c>
      <c r="U1875" t="str">
        <f t="shared" si="327"/>
        <v/>
      </c>
      <c r="V1875" t="str">
        <f t="shared" si="328"/>
        <v/>
      </c>
      <c r="W1875" t="str">
        <f t="shared" si="329"/>
        <v/>
      </c>
    </row>
    <row r="1876" spans="1:23" x14ac:dyDescent="0.2">
      <c r="A1876" s="4" t="str">
        <f>IF(ポートフォリオ実績!A1877="","", ポートフォリオ実績!A1877)</f>
        <v/>
      </c>
      <c r="B1876" t="str">
        <f>IF(ポートフォリオ実績!B1877="","", ポートフォリオ実績!B1877)</f>
        <v/>
      </c>
      <c r="C1876" s="10" t="str">
        <f>IF(ポートフォリオ実績!C1877="","", ポートフォリオ実績!C1877)</f>
        <v/>
      </c>
      <c r="D1876" s="10" t="str">
        <f>IF(ポートフォリオ実績!D1877="","", ポートフォリオ実績!D1877)</f>
        <v/>
      </c>
      <c r="E1876" s="10" t="str">
        <f>IF(ポートフォリオ実績!E1877="","", ポートフォリオ実績!E1877)</f>
        <v/>
      </c>
      <c r="F1876" s="10" t="str">
        <f>IF(ポートフォリオ実績!F1877="","", ポートフォリオ実績!F1877)</f>
        <v/>
      </c>
      <c r="G1876" t="str">
        <f t="shared" si="319"/>
        <v/>
      </c>
      <c r="H1876">
        <f>IF(B1876&lt;&gt;"", SUMIFS(ポートフォリオ実績!$D$2:$D$2001, ポートフォリオ実績!$B$2:$B$2001, B1876, ポートフォリオ実績!$A$2:$A$2001, G1876), 0)</f>
        <v>0</v>
      </c>
      <c r="I1876">
        <f>IF(B1876&lt;&gt;"", SUMIFS(ポートフォリオ実績!$C$2:$C$2001, ポートフォリオ実績!$B$2:$B$2001, B1876, ポートフォリオ実績!$A$2:$A$2001, G1876), 0)</f>
        <v>0</v>
      </c>
      <c r="J1876">
        <f t="shared" si="320"/>
        <v>0</v>
      </c>
      <c r="K1876">
        <f t="shared" si="321"/>
        <v>0</v>
      </c>
      <c r="L1876">
        <f t="shared" si="322"/>
        <v>0</v>
      </c>
      <c r="M1876">
        <f t="shared" si="323"/>
        <v>0</v>
      </c>
      <c r="N1876">
        <f t="shared" si="324"/>
        <v>0</v>
      </c>
      <c r="O1876">
        <f t="shared" si="325"/>
        <v>0</v>
      </c>
      <c r="P1876" t="str">
        <f t="shared" si="326"/>
        <v/>
      </c>
      <c r="Q1876" t="str">
        <f>IF(B1876="","", IFERROR(VLOOKUP(B1876, '基準資産配分（設定）'!$A$2:$C$2001, 3, FALSE), ""))</f>
        <v/>
      </c>
      <c r="R1876" t="str">
        <f>IF(B1876="","", IFERROR(VLOOKUP(B1876, '基準資産配分（設定）'!$A$2:$C$2001, 2, FALSE)/100, 0))</f>
        <v/>
      </c>
      <c r="S1876" t="str">
        <f>IF(B1876="","", IFERROR(SUMIFS(ベンチマークリターン!$C$2:$C$2001, ベンチマークリターン!$A$2:$A$2001, A1876, ベンチマークリターン!$B$2:$B$2001, Q1876) / 100, 0))</f>
        <v/>
      </c>
      <c r="T1876" t="str">
        <f>IF(A1876="","", SUMIFS($H$2:$H$2000, $A$2:$A$2000, A1876))</f>
        <v/>
      </c>
      <c r="U1876" t="str">
        <f t="shared" si="327"/>
        <v/>
      </c>
      <c r="V1876" t="str">
        <f t="shared" si="328"/>
        <v/>
      </c>
      <c r="W1876" t="str">
        <f t="shared" si="329"/>
        <v/>
      </c>
    </row>
    <row r="1877" spans="1:23" x14ac:dyDescent="0.2">
      <c r="A1877" s="4" t="str">
        <f>IF(ポートフォリオ実績!A1878="","", ポートフォリオ実績!A1878)</f>
        <v/>
      </c>
      <c r="B1877" t="str">
        <f>IF(ポートフォリオ実績!B1878="","", ポートフォリオ実績!B1878)</f>
        <v/>
      </c>
      <c r="C1877" s="10" t="str">
        <f>IF(ポートフォリオ実績!C1878="","", ポートフォリオ実績!C1878)</f>
        <v/>
      </c>
      <c r="D1877" s="10" t="str">
        <f>IF(ポートフォリオ実績!D1878="","", ポートフォリオ実績!D1878)</f>
        <v/>
      </c>
      <c r="E1877" s="10" t="str">
        <f>IF(ポートフォリオ実績!E1878="","", ポートフォリオ実績!E1878)</f>
        <v/>
      </c>
      <c r="F1877" s="10" t="str">
        <f>IF(ポートフォリオ実績!F1878="","", ポートフォリオ実績!F1878)</f>
        <v/>
      </c>
      <c r="G1877" t="str">
        <f t="shared" si="319"/>
        <v/>
      </c>
      <c r="H1877">
        <f>IF(B1877&lt;&gt;"", SUMIFS(ポートフォリオ実績!$D$2:$D$2001, ポートフォリオ実績!$B$2:$B$2001, B1877, ポートフォリオ実績!$A$2:$A$2001, G1877), 0)</f>
        <v>0</v>
      </c>
      <c r="I1877">
        <f>IF(B1877&lt;&gt;"", SUMIFS(ポートフォリオ実績!$C$2:$C$2001, ポートフォリオ実績!$B$2:$B$2001, B1877, ポートフォリオ実績!$A$2:$A$2001, G1877), 0)</f>
        <v>0</v>
      </c>
      <c r="J1877">
        <f t="shared" si="320"/>
        <v>0</v>
      </c>
      <c r="K1877">
        <f t="shared" si="321"/>
        <v>0</v>
      </c>
      <c r="L1877">
        <f t="shared" si="322"/>
        <v>0</v>
      </c>
      <c r="M1877">
        <f t="shared" si="323"/>
        <v>0</v>
      </c>
      <c r="N1877">
        <f t="shared" si="324"/>
        <v>0</v>
      </c>
      <c r="O1877">
        <f t="shared" si="325"/>
        <v>0</v>
      </c>
      <c r="P1877" t="str">
        <f t="shared" si="326"/>
        <v/>
      </c>
      <c r="Q1877" t="str">
        <f>IF(B1877="","", IFERROR(VLOOKUP(B1877, '基準資産配分（設定）'!$A$2:$C$2001, 3, FALSE), ""))</f>
        <v/>
      </c>
      <c r="R1877" t="str">
        <f>IF(B1877="","", IFERROR(VLOOKUP(B1877, '基準資産配分（設定）'!$A$2:$C$2001, 2, FALSE)/100, 0))</f>
        <v/>
      </c>
      <c r="S1877" t="str">
        <f>IF(B1877="","", IFERROR(SUMIFS(ベンチマークリターン!$C$2:$C$2001, ベンチマークリターン!$A$2:$A$2001, A1877, ベンチマークリターン!$B$2:$B$2001, Q1877) / 100, 0))</f>
        <v/>
      </c>
      <c r="T1877" t="str">
        <f>IF(A1877="","", SUMIFS($H$2:$H$2000, $A$2:$A$2000, A1877))</f>
        <v/>
      </c>
      <c r="U1877" t="str">
        <f t="shared" si="327"/>
        <v/>
      </c>
      <c r="V1877" t="str">
        <f t="shared" si="328"/>
        <v/>
      </c>
      <c r="W1877" t="str">
        <f t="shared" si="329"/>
        <v/>
      </c>
    </row>
    <row r="1878" spans="1:23" x14ac:dyDescent="0.2">
      <c r="A1878" s="4" t="str">
        <f>IF(ポートフォリオ実績!A1879="","", ポートフォリオ実績!A1879)</f>
        <v/>
      </c>
      <c r="B1878" t="str">
        <f>IF(ポートフォリオ実績!B1879="","", ポートフォリオ実績!B1879)</f>
        <v/>
      </c>
      <c r="C1878" s="10" t="str">
        <f>IF(ポートフォリオ実績!C1879="","", ポートフォリオ実績!C1879)</f>
        <v/>
      </c>
      <c r="D1878" s="10" t="str">
        <f>IF(ポートフォリオ実績!D1879="","", ポートフォリオ実績!D1879)</f>
        <v/>
      </c>
      <c r="E1878" s="10" t="str">
        <f>IF(ポートフォリオ実績!E1879="","", ポートフォリオ実績!E1879)</f>
        <v/>
      </c>
      <c r="F1878" s="10" t="str">
        <f>IF(ポートフォリオ実績!F1879="","", ポートフォリオ実績!F1879)</f>
        <v/>
      </c>
      <c r="G1878" t="str">
        <f t="shared" si="319"/>
        <v/>
      </c>
      <c r="H1878">
        <f>IF(B1878&lt;&gt;"", SUMIFS(ポートフォリオ実績!$D$2:$D$2001, ポートフォリオ実績!$B$2:$B$2001, B1878, ポートフォリオ実績!$A$2:$A$2001, G1878), 0)</f>
        <v>0</v>
      </c>
      <c r="I1878">
        <f>IF(B1878&lt;&gt;"", SUMIFS(ポートフォリオ実績!$C$2:$C$2001, ポートフォリオ実績!$B$2:$B$2001, B1878, ポートフォリオ実績!$A$2:$A$2001, G1878), 0)</f>
        <v>0</v>
      </c>
      <c r="J1878">
        <f t="shared" si="320"/>
        <v>0</v>
      </c>
      <c r="K1878">
        <f t="shared" si="321"/>
        <v>0</v>
      </c>
      <c r="L1878">
        <f t="shared" si="322"/>
        <v>0</v>
      </c>
      <c r="M1878">
        <f t="shared" si="323"/>
        <v>0</v>
      </c>
      <c r="N1878">
        <f t="shared" si="324"/>
        <v>0</v>
      </c>
      <c r="O1878">
        <f t="shared" si="325"/>
        <v>0</v>
      </c>
      <c r="P1878" t="str">
        <f t="shared" si="326"/>
        <v/>
      </c>
      <c r="Q1878" t="str">
        <f>IF(B1878="","", IFERROR(VLOOKUP(B1878, '基準資産配分（設定）'!$A$2:$C$2001, 3, FALSE), ""))</f>
        <v/>
      </c>
      <c r="R1878" t="str">
        <f>IF(B1878="","", IFERROR(VLOOKUP(B1878, '基準資産配分（設定）'!$A$2:$C$2001, 2, FALSE)/100, 0))</f>
        <v/>
      </c>
      <c r="S1878" t="str">
        <f>IF(B1878="","", IFERROR(SUMIFS(ベンチマークリターン!$C$2:$C$2001, ベンチマークリターン!$A$2:$A$2001, A1878, ベンチマークリターン!$B$2:$B$2001, Q1878) / 100, 0))</f>
        <v/>
      </c>
      <c r="T1878" t="str">
        <f>IF(A1878="","", SUMIFS($H$2:$H$2000, $A$2:$A$2000, A1878))</f>
        <v/>
      </c>
      <c r="U1878" t="str">
        <f t="shared" si="327"/>
        <v/>
      </c>
      <c r="V1878" t="str">
        <f t="shared" si="328"/>
        <v/>
      </c>
      <c r="W1878" t="str">
        <f t="shared" si="329"/>
        <v/>
      </c>
    </row>
    <row r="1879" spans="1:23" x14ac:dyDescent="0.2">
      <c r="A1879" s="4" t="str">
        <f>IF(ポートフォリオ実績!A1880="","", ポートフォリオ実績!A1880)</f>
        <v/>
      </c>
      <c r="B1879" t="str">
        <f>IF(ポートフォリオ実績!B1880="","", ポートフォリオ実績!B1880)</f>
        <v/>
      </c>
      <c r="C1879" s="10" t="str">
        <f>IF(ポートフォリオ実績!C1880="","", ポートフォリオ実績!C1880)</f>
        <v/>
      </c>
      <c r="D1879" s="10" t="str">
        <f>IF(ポートフォリオ実績!D1880="","", ポートフォリオ実績!D1880)</f>
        <v/>
      </c>
      <c r="E1879" s="10" t="str">
        <f>IF(ポートフォリオ実績!E1880="","", ポートフォリオ実績!E1880)</f>
        <v/>
      </c>
      <c r="F1879" s="10" t="str">
        <f>IF(ポートフォリオ実績!F1880="","", ポートフォリオ実績!F1880)</f>
        <v/>
      </c>
      <c r="G1879" t="str">
        <f t="shared" si="319"/>
        <v/>
      </c>
      <c r="H1879">
        <f>IF(B1879&lt;&gt;"", SUMIFS(ポートフォリオ実績!$D$2:$D$2001, ポートフォリオ実績!$B$2:$B$2001, B1879, ポートフォリオ実績!$A$2:$A$2001, G1879), 0)</f>
        <v>0</v>
      </c>
      <c r="I1879">
        <f>IF(B1879&lt;&gt;"", SUMIFS(ポートフォリオ実績!$C$2:$C$2001, ポートフォリオ実績!$B$2:$B$2001, B1879, ポートフォリオ実績!$A$2:$A$2001, G1879), 0)</f>
        <v>0</v>
      </c>
      <c r="J1879">
        <f t="shared" si="320"/>
        <v>0</v>
      </c>
      <c r="K1879">
        <f t="shared" si="321"/>
        <v>0</v>
      </c>
      <c r="L1879">
        <f t="shared" si="322"/>
        <v>0</v>
      </c>
      <c r="M1879">
        <f t="shared" si="323"/>
        <v>0</v>
      </c>
      <c r="N1879">
        <f t="shared" si="324"/>
        <v>0</v>
      </c>
      <c r="O1879">
        <f t="shared" si="325"/>
        <v>0</v>
      </c>
      <c r="P1879" t="str">
        <f t="shared" si="326"/>
        <v/>
      </c>
      <c r="Q1879" t="str">
        <f>IF(B1879="","", IFERROR(VLOOKUP(B1879, '基準資産配分（設定）'!$A$2:$C$2001, 3, FALSE), ""))</f>
        <v/>
      </c>
      <c r="R1879" t="str">
        <f>IF(B1879="","", IFERROR(VLOOKUP(B1879, '基準資産配分（設定）'!$A$2:$C$2001, 2, FALSE)/100, 0))</f>
        <v/>
      </c>
      <c r="S1879" t="str">
        <f>IF(B1879="","", IFERROR(SUMIFS(ベンチマークリターン!$C$2:$C$2001, ベンチマークリターン!$A$2:$A$2001, A1879, ベンチマークリターン!$B$2:$B$2001, Q1879) / 100, 0))</f>
        <v/>
      </c>
      <c r="T1879" t="str">
        <f>IF(A1879="","", SUMIFS($H$2:$H$2000, $A$2:$A$2000, A1879))</f>
        <v/>
      </c>
      <c r="U1879" t="str">
        <f t="shared" si="327"/>
        <v/>
      </c>
      <c r="V1879" t="str">
        <f t="shared" si="328"/>
        <v/>
      </c>
      <c r="W1879" t="str">
        <f t="shared" si="329"/>
        <v/>
      </c>
    </row>
    <row r="1880" spans="1:23" x14ac:dyDescent="0.2">
      <c r="A1880" s="4" t="str">
        <f>IF(ポートフォリオ実績!A1881="","", ポートフォリオ実績!A1881)</f>
        <v/>
      </c>
      <c r="B1880" t="str">
        <f>IF(ポートフォリオ実績!B1881="","", ポートフォリオ実績!B1881)</f>
        <v/>
      </c>
      <c r="C1880" s="10" t="str">
        <f>IF(ポートフォリオ実績!C1881="","", ポートフォリオ実績!C1881)</f>
        <v/>
      </c>
      <c r="D1880" s="10" t="str">
        <f>IF(ポートフォリオ実績!D1881="","", ポートフォリオ実績!D1881)</f>
        <v/>
      </c>
      <c r="E1880" s="10" t="str">
        <f>IF(ポートフォリオ実績!E1881="","", ポートフォリオ実績!E1881)</f>
        <v/>
      </c>
      <c r="F1880" s="10" t="str">
        <f>IF(ポートフォリオ実績!F1881="","", ポートフォリオ実績!F1881)</f>
        <v/>
      </c>
      <c r="G1880" t="str">
        <f t="shared" si="319"/>
        <v/>
      </c>
      <c r="H1880">
        <f>IF(B1880&lt;&gt;"", SUMIFS(ポートフォリオ実績!$D$2:$D$2001, ポートフォリオ実績!$B$2:$B$2001, B1880, ポートフォリオ実績!$A$2:$A$2001, G1880), 0)</f>
        <v>0</v>
      </c>
      <c r="I1880">
        <f>IF(B1880&lt;&gt;"", SUMIFS(ポートフォリオ実績!$C$2:$C$2001, ポートフォリオ実績!$B$2:$B$2001, B1880, ポートフォリオ実績!$A$2:$A$2001, G1880), 0)</f>
        <v>0</v>
      </c>
      <c r="J1880">
        <f t="shared" si="320"/>
        <v>0</v>
      </c>
      <c r="K1880">
        <f t="shared" si="321"/>
        <v>0</v>
      </c>
      <c r="L1880">
        <f t="shared" si="322"/>
        <v>0</v>
      </c>
      <c r="M1880">
        <f t="shared" si="323"/>
        <v>0</v>
      </c>
      <c r="N1880">
        <f t="shared" si="324"/>
        <v>0</v>
      </c>
      <c r="O1880">
        <f t="shared" si="325"/>
        <v>0</v>
      </c>
      <c r="P1880" t="str">
        <f t="shared" si="326"/>
        <v/>
      </c>
      <c r="Q1880" t="str">
        <f>IF(B1880="","", IFERROR(VLOOKUP(B1880, '基準資産配分（設定）'!$A$2:$C$2001, 3, FALSE), ""))</f>
        <v/>
      </c>
      <c r="R1880" t="str">
        <f>IF(B1880="","", IFERROR(VLOOKUP(B1880, '基準資産配分（設定）'!$A$2:$C$2001, 2, FALSE)/100, 0))</f>
        <v/>
      </c>
      <c r="S1880" t="str">
        <f>IF(B1880="","", IFERROR(SUMIFS(ベンチマークリターン!$C$2:$C$2001, ベンチマークリターン!$A$2:$A$2001, A1880, ベンチマークリターン!$B$2:$B$2001, Q1880) / 100, 0))</f>
        <v/>
      </c>
      <c r="T1880" t="str">
        <f>IF(A1880="","", SUMIFS($H$2:$H$2000, $A$2:$A$2000, A1880))</f>
        <v/>
      </c>
      <c r="U1880" t="str">
        <f t="shared" si="327"/>
        <v/>
      </c>
      <c r="V1880" t="str">
        <f t="shared" si="328"/>
        <v/>
      </c>
      <c r="W1880" t="str">
        <f t="shared" si="329"/>
        <v/>
      </c>
    </row>
    <row r="1881" spans="1:23" x14ac:dyDescent="0.2">
      <c r="A1881" s="4" t="str">
        <f>IF(ポートフォリオ実績!A1882="","", ポートフォリオ実績!A1882)</f>
        <v/>
      </c>
      <c r="B1881" t="str">
        <f>IF(ポートフォリオ実績!B1882="","", ポートフォリオ実績!B1882)</f>
        <v/>
      </c>
      <c r="C1881" s="10" t="str">
        <f>IF(ポートフォリオ実績!C1882="","", ポートフォリオ実績!C1882)</f>
        <v/>
      </c>
      <c r="D1881" s="10" t="str">
        <f>IF(ポートフォリオ実績!D1882="","", ポートフォリオ実績!D1882)</f>
        <v/>
      </c>
      <c r="E1881" s="10" t="str">
        <f>IF(ポートフォリオ実績!E1882="","", ポートフォリオ実績!E1882)</f>
        <v/>
      </c>
      <c r="F1881" s="10" t="str">
        <f>IF(ポートフォリオ実績!F1882="","", ポートフォリオ実績!F1882)</f>
        <v/>
      </c>
      <c r="G1881" t="str">
        <f t="shared" si="319"/>
        <v/>
      </c>
      <c r="H1881">
        <f>IF(B1881&lt;&gt;"", SUMIFS(ポートフォリオ実績!$D$2:$D$2001, ポートフォリオ実績!$B$2:$B$2001, B1881, ポートフォリオ実績!$A$2:$A$2001, G1881), 0)</f>
        <v>0</v>
      </c>
      <c r="I1881">
        <f>IF(B1881&lt;&gt;"", SUMIFS(ポートフォリオ実績!$C$2:$C$2001, ポートフォリオ実績!$B$2:$B$2001, B1881, ポートフォリオ実績!$A$2:$A$2001, G1881), 0)</f>
        <v>0</v>
      </c>
      <c r="J1881">
        <f t="shared" si="320"/>
        <v>0</v>
      </c>
      <c r="K1881">
        <f t="shared" si="321"/>
        <v>0</v>
      </c>
      <c r="L1881">
        <f t="shared" si="322"/>
        <v>0</v>
      </c>
      <c r="M1881">
        <f t="shared" si="323"/>
        <v>0</v>
      </c>
      <c r="N1881">
        <f t="shared" si="324"/>
        <v>0</v>
      </c>
      <c r="O1881">
        <f t="shared" si="325"/>
        <v>0</v>
      </c>
      <c r="P1881" t="str">
        <f t="shared" si="326"/>
        <v/>
      </c>
      <c r="Q1881" t="str">
        <f>IF(B1881="","", IFERROR(VLOOKUP(B1881, '基準資産配分（設定）'!$A$2:$C$2001, 3, FALSE), ""))</f>
        <v/>
      </c>
      <c r="R1881" t="str">
        <f>IF(B1881="","", IFERROR(VLOOKUP(B1881, '基準資産配分（設定）'!$A$2:$C$2001, 2, FALSE)/100, 0))</f>
        <v/>
      </c>
      <c r="S1881" t="str">
        <f>IF(B1881="","", IFERROR(SUMIFS(ベンチマークリターン!$C$2:$C$2001, ベンチマークリターン!$A$2:$A$2001, A1881, ベンチマークリターン!$B$2:$B$2001, Q1881) / 100, 0))</f>
        <v/>
      </c>
      <c r="T1881" t="str">
        <f>IF(A1881="","", SUMIFS($H$2:$H$2000, $A$2:$A$2000, A1881))</f>
        <v/>
      </c>
      <c r="U1881" t="str">
        <f t="shared" si="327"/>
        <v/>
      </c>
      <c r="V1881" t="str">
        <f t="shared" si="328"/>
        <v/>
      </c>
      <c r="W1881" t="str">
        <f t="shared" si="329"/>
        <v/>
      </c>
    </row>
    <row r="1882" spans="1:23" x14ac:dyDescent="0.2">
      <c r="A1882" s="4" t="str">
        <f>IF(ポートフォリオ実績!A1883="","", ポートフォリオ実績!A1883)</f>
        <v/>
      </c>
      <c r="B1882" t="str">
        <f>IF(ポートフォリオ実績!B1883="","", ポートフォリオ実績!B1883)</f>
        <v/>
      </c>
      <c r="C1882" s="10" t="str">
        <f>IF(ポートフォリオ実績!C1883="","", ポートフォリオ実績!C1883)</f>
        <v/>
      </c>
      <c r="D1882" s="10" t="str">
        <f>IF(ポートフォリオ実績!D1883="","", ポートフォリオ実績!D1883)</f>
        <v/>
      </c>
      <c r="E1882" s="10" t="str">
        <f>IF(ポートフォリオ実績!E1883="","", ポートフォリオ実績!E1883)</f>
        <v/>
      </c>
      <c r="F1882" s="10" t="str">
        <f>IF(ポートフォリオ実績!F1883="","", ポートフォリオ実績!F1883)</f>
        <v/>
      </c>
      <c r="G1882" t="str">
        <f t="shared" si="319"/>
        <v/>
      </c>
      <c r="H1882">
        <f>IF(B1882&lt;&gt;"", SUMIFS(ポートフォリオ実績!$D$2:$D$2001, ポートフォリオ実績!$B$2:$B$2001, B1882, ポートフォリオ実績!$A$2:$A$2001, G1882), 0)</f>
        <v>0</v>
      </c>
      <c r="I1882">
        <f>IF(B1882&lt;&gt;"", SUMIFS(ポートフォリオ実績!$C$2:$C$2001, ポートフォリオ実績!$B$2:$B$2001, B1882, ポートフォリオ実績!$A$2:$A$2001, G1882), 0)</f>
        <v>0</v>
      </c>
      <c r="J1882">
        <f t="shared" si="320"/>
        <v>0</v>
      </c>
      <c r="K1882">
        <f t="shared" si="321"/>
        <v>0</v>
      </c>
      <c r="L1882">
        <f t="shared" si="322"/>
        <v>0</v>
      </c>
      <c r="M1882">
        <f t="shared" si="323"/>
        <v>0</v>
      </c>
      <c r="N1882">
        <f t="shared" si="324"/>
        <v>0</v>
      </c>
      <c r="O1882">
        <f t="shared" si="325"/>
        <v>0</v>
      </c>
      <c r="P1882" t="str">
        <f t="shared" si="326"/>
        <v/>
      </c>
      <c r="Q1882" t="str">
        <f>IF(B1882="","", IFERROR(VLOOKUP(B1882, '基準資産配分（設定）'!$A$2:$C$2001, 3, FALSE), ""))</f>
        <v/>
      </c>
      <c r="R1882" t="str">
        <f>IF(B1882="","", IFERROR(VLOOKUP(B1882, '基準資産配分（設定）'!$A$2:$C$2001, 2, FALSE)/100, 0))</f>
        <v/>
      </c>
      <c r="S1882" t="str">
        <f>IF(B1882="","", IFERROR(SUMIFS(ベンチマークリターン!$C$2:$C$2001, ベンチマークリターン!$A$2:$A$2001, A1882, ベンチマークリターン!$B$2:$B$2001, Q1882) / 100, 0))</f>
        <v/>
      </c>
      <c r="T1882" t="str">
        <f>IF(A1882="","", SUMIFS($H$2:$H$2000, $A$2:$A$2000, A1882))</f>
        <v/>
      </c>
      <c r="U1882" t="str">
        <f t="shared" si="327"/>
        <v/>
      </c>
      <c r="V1882" t="str">
        <f t="shared" si="328"/>
        <v/>
      </c>
      <c r="W1882" t="str">
        <f t="shared" si="329"/>
        <v/>
      </c>
    </row>
    <row r="1883" spans="1:23" x14ac:dyDescent="0.2">
      <c r="A1883" s="4" t="str">
        <f>IF(ポートフォリオ実績!A1884="","", ポートフォリオ実績!A1884)</f>
        <v/>
      </c>
      <c r="B1883" t="str">
        <f>IF(ポートフォリオ実績!B1884="","", ポートフォリオ実績!B1884)</f>
        <v/>
      </c>
      <c r="C1883" s="10" t="str">
        <f>IF(ポートフォリオ実績!C1884="","", ポートフォリオ実績!C1884)</f>
        <v/>
      </c>
      <c r="D1883" s="10" t="str">
        <f>IF(ポートフォリオ実績!D1884="","", ポートフォリオ実績!D1884)</f>
        <v/>
      </c>
      <c r="E1883" s="10" t="str">
        <f>IF(ポートフォリオ実績!E1884="","", ポートフォリオ実績!E1884)</f>
        <v/>
      </c>
      <c r="F1883" s="10" t="str">
        <f>IF(ポートフォリオ実績!F1884="","", ポートフォリオ実績!F1884)</f>
        <v/>
      </c>
      <c r="G1883" t="str">
        <f t="shared" si="319"/>
        <v/>
      </c>
      <c r="H1883">
        <f>IF(B1883&lt;&gt;"", SUMIFS(ポートフォリオ実績!$D$2:$D$2001, ポートフォリオ実績!$B$2:$B$2001, B1883, ポートフォリオ実績!$A$2:$A$2001, G1883), 0)</f>
        <v>0</v>
      </c>
      <c r="I1883">
        <f>IF(B1883&lt;&gt;"", SUMIFS(ポートフォリオ実績!$C$2:$C$2001, ポートフォリオ実績!$B$2:$B$2001, B1883, ポートフォリオ実績!$A$2:$A$2001, G1883), 0)</f>
        <v>0</v>
      </c>
      <c r="J1883">
        <f t="shared" si="320"/>
        <v>0</v>
      </c>
      <c r="K1883">
        <f t="shared" si="321"/>
        <v>0</v>
      </c>
      <c r="L1883">
        <f t="shared" si="322"/>
        <v>0</v>
      </c>
      <c r="M1883">
        <f t="shared" si="323"/>
        <v>0</v>
      </c>
      <c r="N1883">
        <f t="shared" si="324"/>
        <v>0</v>
      </c>
      <c r="O1883">
        <f t="shared" si="325"/>
        <v>0</v>
      </c>
      <c r="P1883" t="str">
        <f t="shared" si="326"/>
        <v/>
      </c>
      <c r="Q1883" t="str">
        <f>IF(B1883="","", IFERROR(VLOOKUP(B1883, '基準資産配分（設定）'!$A$2:$C$2001, 3, FALSE), ""))</f>
        <v/>
      </c>
      <c r="R1883" t="str">
        <f>IF(B1883="","", IFERROR(VLOOKUP(B1883, '基準資産配分（設定）'!$A$2:$C$2001, 2, FALSE)/100, 0))</f>
        <v/>
      </c>
      <c r="S1883" t="str">
        <f>IF(B1883="","", IFERROR(SUMIFS(ベンチマークリターン!$C$2:$C$2001, ベンチマークリターン!$A$2:$A$2001, A1883, ベンチマークリターン!$B$2:$B$2001, Q1883) / 100, 0))</f>
        <v/>
      </c>
      <c r="T1883" t="str">
        <f>IF(A1883="","", SUMIFS($H$2:$H$2000, $A$2:$A$2000, A1883))</f>
        <v/>
      </c>
      <c r="U1883" t="str">
        <f t="shared" si="327"/>
        <v/>
      </c>
      <c r="V1883" t="str">
        <f t="shared" si="328"/>
        <v/>
      </c>
      <c r="W1883" t="str">
        <f t="shared" si="329"/>
        <v/>
      </c>
    </row>
    <row r="1884" spans="1:23" x14ac:dyDescent="0.2">
      <c r="A1884" s="4" t="str">
        <f>IF(ポートフォリオ実績!A1885="","", ポートフォリオ実績!A1885)</f>
        <v/>
      </c>
      <c r="B1884" t="str">
        <f>IF(ポートフォリオ実績!B1885="","", ポートフォリオ実績!B1885)</f>
        <v/>
      </c>
      <c r="C1884" s="10" t="str">
        <f>IF(ポートフォリオ実績!C1885="","", ポートフォリオ実績!C1885)</f>
        <v/>
      </c>
      <c r="D1884" s="10" t="str">
        <f>IF(ポートフォリオ実績!D1885="","", ポートフォリオ実績!D1885)</f>
        <v/>
      </c>
      <c r="E1884" s="10" t="str">
        <f>IF(ポートフォリオ実績!E1885="","", ポートフォリオ実績!E1885)</f>
        <v/>
      </c>
      <c r="F1884" s="10" t="str">
        <f>IF(ポートフォリオ実績!F1885="","", ポートフォリオ実績!F1885)</f>
        <v/>
      </c>
      <c r="G1884" t="str">
        <f t="shared" si="319"/>
        <v/>
      </c>
      <c r="H1884">
        <f>IF(B1884&lt;&gt;"", SUMIFS(ポートフォリオ実績!$D$2:$D$2001, ポートフォリオ実績!$B$2:$B$2001, B1884, ポートフォリオ実績!$A$2:$A$2001, G1884), 0)</f>
        <v>0</v>
      </c>
      <c r="I1884">
        <f>IF(B1884&lt;&gt;"", SUMIFS(ポートフォリオ実績!$C$2:$C$2001, ポートフォリオ実績!$B$2:$B$2001, B1884, ポートフォリオ実績!$A$2:$A$2001, G1884), 0)</f>
        <v>0</v>
      </c>
      <c r="J1884">
        <f t="shared" si="320"/>
        <v>0</v>
      </c>
      <c r="K1884">
        <f t="shared" si="321"/>
        <v>0</v>
      </c>
      <c r="L1884">
        <f t="shared" si="322"/>
        <v>0</v>
      </c>
      <c r="M1884">
        <f t="shared" si="323"/>
        <v>0</v>
      </c>
      <c r="N1884">
        <f t="shared" si="324"/>
        <v>0</v>
      </c>
      <c r="O1884">
        <f t="shared" si="325"/>
        <v>0</v>
      </c>
      <c r="P1884" t="str">
        <f t="shared" si="326"/>
        <v/>
      </c>
      <c r="Q1884" t="str">
        <f>IF(B1884="","", IFERROR(VLOOKUP(B1884, '基準資産配分（設定）'!$A$2:$C$2001, 3, FALSE), ""))</f>
        <v/>
      </c>
      <c r="R1884" t="str">
        <f>IF(B1884="","", IFERROR(VLOOKUP(B1884, '基準資産配分（設定）'!$A$2:$C$2001, 2, FALSE)/100, 0))</f>
        <v/>
      </c>
      <c r="S1884" t="str">
        <f>IF(B1884="","", IFERROR(SUMIFS(ベンチマークリターン!$C$2:$C$2001, ベンチマークリターン!$A$2:$A$2001, A1884, ベンチマークリターン!$B$2:$B$2001, Q1884) / 100, 0))</f>
        <v/>
      </c>
      <c r="T1884" t="str">
        <f>IF(A1884="","", SUMIFS($H$2:$H$2000, $A$2:$A$2000, A1884))</f>
        <v/>
      </c>
      <c r="U1884" t="str">
        <f t="shared" si="327"/>
        <v/>
      </c>
      <c r="V1884" t="str">
        <f t="shared" si="328"/>
        <v/>
      </c>
      <c r="W1884" t="str">
        <f t="shared" si="329"/>
        <v/>
      </c>
    </row>
    <row r="1885" spans="1:23" x14ac:dyDescent="0.2">
      <c r="A1885" s="4" t="str">
        <f>IF(ポートフォリオ実績!A1886="","", ポートフォリオ実績!A1886)</f>
        <v/>
      </c>
      <c r="B1885" t="str">
        <f>IF(ポートフォリオ実績!B1886="","", ポートフォリオ実績!B1886)</f>
        <v/>
      </c>
      <c r="C1885" s="10" t="str">
        <f>IF(ポートフォリオ実績!C1886="","", ポートフォリオ実績!C1886)</f>
        <v/>
      </c>
      <c r="D1885" s="10" t="str">
        <f>IF(ポートフォリオ実績!D1886="","", ポートフォリオ実績!D1886)</f>
        <v/>
      </c>
      <c r="E1885" s="10" t="str">
        <f>IF(ポートフォリオ実績!E1886="","", ポートフォリオ実績!E1886)</f>
        <v/>
      </c>
      <c r="F1885" s="10" t="str">
        <f>IF(ポートフォリオ実績!F1886="","", ポートフォリオ実績!F1886)</f>
        <v/>
      </c>
      <c r="G1885" t="str">
        <f t="shared" si="319"/>
        <v/>
      </c>
      <c r="H1885">
        <f>IF(B1885&lt;&gt;"", SUMIFS(ポートフォリオ実績!$D$2:$D$2001, ポートフォリオ実績!$B$2:$B$2001, B1885, ポートフォリオ実績!$A$2:$A$2001, G1885), 0)</f>
        <v>0</v>
      </c>
      <c r="I1885">
        <f>IF(B1885&lt;&gt;"", SUMIFS(ポートフォリオ実績!$C$2:$C$2001, ポートフォリオ実績!$B$2:$B$2001, B1885, ポートフォリオ実績!$A$2:$A$2001, G1885), 0)</f>
        <v>0</v>
      </c>
      <c r="J1885">
        <f t="shared" si="320"/>
        <v>0</v>
      </c>
      <c r="K1885">
        <f t="shared" si="321"/>
        <v>0</v>
      </c>
      <c r="L1885">
        <f t="shared" si="322"/>
        <v>0</v>
      </c>
      <c r="M1885">
        <f t="shared" si="323"/>
        <v>0</v>
      </c>
      <c r="N1885">
        <f t="shared" si="324"/>
        <v>0</v>
      </c>
      <c r="O1885">
        <f t="shared" si="325"/>
        <v>0</v>
      </c>
      <c r="P1885" t="str">
        <f t="shared" si="326"/>
        <v/>
      </c>
      <c r="Q1885" t="str">
        <f>IF(B1885="","", IFERROR(VLOOKUP(B1885, '基準資産配分（設定）'!$A$2:$C$2001, 3, FALSE), ""))</f>
        <v/>
      </c>
      <c r="R1885" t="str">
        <f>IF(B1885="","", IFERROR(VLOOKUP(B1885, '基準資産配分（設定）'!$A$2:$C$2001, 2, FALSE)/100, 0))</f>
        <v/>
      </c>
      <c r="S1885" t="str">
        <f>IF(B1885="","", IFERROR(SUMIFS(ベンチマークリターン!$C$2:$C$2001, ベンチマークリターン!$A$2:$A$2001, A1885, ベンチマークリターン!$B$2:$B$2001, Q1885) / 100, 0))</f>
        <v/>
      </c>
      <c r="T1885" t="str">
        <f>IF(A1885="","", SUMIFS($H$2:$H$2000, $A$2:$A$2000, A1885))</f>
        <v/>
      </c>
      <c r="U1885" t="str">
        <f t="shared" si="327"/>
        <v/>
      </c>
      <c r="V1885" t="str">
        <f t="shared" si="328"/>
        <v/>
      </c>
      <c r="W1885" t="str">
        <f t="shared" si="329"/>
        <v/>
      </c>
    </row>
    <row r="1886" spans="1:23" x14ac:dyDescent="0.2">
      <c r="A1886" s="4" t="str">
        <f>IF(ポートフォリオ実績!A1887="","", ポートフォリオ実績!A1887)</f>
        <v/>
      </c>
      <c r="B1886" t="str">
        <f>IF(ポートフォリオ実績!B1887="","", ポートフォリオ実績!B1887)</f>
        <v/>
      </c>
      <c r="C1886" s="10" t="str">
        <f>IF(ポートフォリオ実績!C1887="","", ポートフォリオ実績!C1887)</f>
        <v/>
      </c>
      <c r="D1886" s="10" t="str">
        <f>IF(ポートフォリオ実績!D1887="","", ポートフォリオ実績!D1887)</f>
        <v/>
      </c>
      <c r="E1886" s="10" t="str">
        <f>IF(ポートフォリオ実績!E1887="","", ポートフォリオ実績!E1887)</f>
        <v/>
      </c>
      <c r="F1886" s="10" t="str">
        <f>IF(ポートフォリオ実績!F1887="","", ポートフォリオ実績!F1887)</f>
        <v/>
      </c>
      <c r="G1886" t="str">
        <f t="shared" si="319"/>
        <v/>
      </c>
      <c r="H1886">
        <f>IF(B1886&lt;&gt;"", SUMIFS(ポートフォリオ実績!$D$2:$D$2001, ポートフォリオ実績!$B$2:$B$2001, B1886, ポートフォリオ実績!$A$2:$A$2001, G1886), 0)</f>
        <v>0</v>
      </c>
      <c r="I1886">
        <f>IF(B1886&lt;&gt;"", SUMIFS(ポートフォリオ実績!$C$2:$C$2001, ポートフォリオ実績!$B$2:$B$2001, B1886, ポートフォリオ実績!$A$2:$A$2001, G1886), 0)</f>
        <v>0</v>
      </c>
      <c r="J1886">
        <f t="shared" si="320"/>
        <v>0</v>
      </c>
      <c r="K1886">
        <f t="shared" si="321"/>
        <v>0</v>
      </c>
      <c r="L1886">
        <f t="shared" si="322"/>
        <v>0</v>
      </c>
      <c r="M1886">
        <f t="shared" si="323"/>
        <v>0</v>
      </c>
      <c r="N1886">
        <f t="shared" si="324"/>
        <v>0</v>
      </c>
      <c r="O1886">
        <f t="shared" si="325"/>
        <v>0</v>
      </c>
      <c r="P1886" t="str">
        <f t="shared" si="326"/>
        <v/>
      </c>
      <c r="Q1886" t="str">
        <f>IF(B1886="","", IFERROR(VLOOKUP(B1886, '基準資産配分（設定）'!$A$2:$C$2001, 3, FALSE), ""))</f>
        <v/>
      </c>
      <c r="R1886" t="str">
        <f>IF(B1886="","", IFERROR(VLOOKUP(B1886, '基準資産配分（設定）'!$A$2:$C$2001, 2, FALSE)/100, 0))</f>
        <v/>
      </c>
      <c r="S1886" t="str">
        <f>IF(B1886="","", IFERROR(SUMIFS(ベンチマークリターン!$C$2:$C$2001, ベンチマークリターン!$A$2:$A$2001, A1886, ベンチマークリターン!$B$2:$B$2001, Q1886) / 100, 0))</f>
        <v/>
      </c>
      <c r="T1886" t="str">
        <f>IF(A1886="","", SUMIFS($H$2:$H$2000, $A$2:$A$2000, A1886))</f>
        <v/>
      </c>
      <c r="U1886" t="str">
        <f t="shared" si="327"/>
        <v/>
      </c>
      <c r="V1886" t="str">
        <f t="shared" si="328"/>
        <v/>
      </c>
      <c r="W1886" t="str">
        <f t="shared" si="329"/>
        <v/>
      </c>
    </row>
    <row r="1887" spans="1:23" x14ac:dyDescent="0.2">
      <c r="A1887" s="4" t="str">
        <f>IF(ポートフォリオ実績!A1888="","", ポートフォリオ実績!A1888)</f>
        <v/>
      </c>
      <c r="B1887" t="str">
        <f>IF(ポートフォリオ実績!B1888="","", ポートフォリオ実績!B1888)</f>
        <v/>
      </c>
      <c r="C1887" s="10" t="str">
        <f>IF(ポートフォリオ実績!C1888="","", ポートフォリオ実績!C1888)</f>
        <v/>
      </c>
      <c r="D1887" s="10" t="str">
        <f>IF(ポートフォリオ実績!D1888="","", ポートフォリオ実績!D1888)</f>
        <v/>
      </c>
      <c r="E1887" s="10" t="str">
        <f>IF(ポートフォリオ実績!E1888="","", ポートフォリオ実績!E1888)</f>
        <v/>
      </c>
      <c r="F1887" s="10" t="str">
        <f>IF(ポートフォリオ実績!F1888="","", ポートフォリオ実績!F1888)</f>
        <v/>
      </c>
      <c r="G1887" t="str">
        <f t="shared" si="319"/>
        <v/>
      </c>
      <c r="H1887">
        <f>IF(B1887&lt;&gt;"", SUMIFS(ポートフォリオ実績!$D$2:$D$2001, ポートフォリオ実績!$B$2:$B$2001, B1887, ポートフォリオ実績!$A$2:$A$2001, G1887), 0)</f>
        <v>0</v>
      </c>
      <c r="I1887">
        <f>IF(B1887&lt;&gt;"", SUMIFS(ポートフォリオ実績!$C$2:$C$2001, ポートフォリオ実績!$B$2:$B$2001, B1887, ポートフォリオ実績!$A$2:$A$2001, G1887), 0)</f>
        <v>0</v>
      </c>
      <c r="J1887">
        <f t="shared" si="320"/>
        <v>0</v>
      </c>
      <c r="K1887">
        <f t="shared" si="321"/>
        <v>0</v>
      </c>
      <c r="L1887">
        <f t="shared" si="322"/>
        <v>0</v>
      </c>
      <c r="M1887">
        <f t="shared" si="323"/>
        <v>0</v>
      </c>
      <c r="N1887">
        <f t="shared" si="324"/>
        <v>0</v>
      </c>
      <c r="O1887">
        <f t="shared" si="325"/>
        <v>0</v>
      </c>
      <c r="P1887" t="str">
        <f t="shared" si="326"/>
        <v/>
      </c>
      <c r="Q1887" t="str">
        <f>IF(B1887="","", IFERROR(VLOOKUP(B1887, '基準資産配分（設定）'!$A$2:$C$2001, 3, FALSE), ""))</f>
        <v/>
      </c>
      <c r="R1887" t="str">
        <f>IF(B1887="","", IFERROR(VLOOKUP(B1887, '基準資産配分（設定）'!$A$2:$C$2001, 2, FALSE)/100, 0))</f>
        <v/>
      </c>
      <c r="S1887" t="str">
        <f>IF(B1887="","", IFERROR(SUMIFS(ベンチマークリターン!$C$2:$C$2001, ベンチマークリターン!$A$2:$A$2001, A1887, ベンチマークリターン!$B$2:$B$2001, Q1887) / 100, 0))</f>
        <v/>
      </c>
      <c r="T1887" t="str">
        <f>IF(A1887="","", SUMIFS($H$2:$H$2000, $A$2:$A$2000, A1887))</f>
        <v/>
      </c>
      <c r="U1887" t="str">
        <f t="shared" si="327"/>
        <v/>
      </c>
      <c r="V1887" t="str">
        <f t="shared" si="328"/>
        <v/>
      </c>
      <c r="W1887" t="str">
        <f t="shared" si="329"/>
        <v/>
      </c>
    </row>
    <row r="1888" spans="1:23" x14ac:dyDescent="0.2">
      <c r="A1888" s="4" t="str">
        <f>IF(ポートフォリオ実績!A1889="","", ポートフォリオ実績!A1889)</f>
        <v/>
      </c>
      <c r="B1888" t="str">
        <f>IF(ポートフォリオ実績!B1889="","", ポートフォリオ実績!B1889)</f>
        <v/>
      </c>
      <c r="C1888" s="10" t="str">
        <f>IF(ポートフォリオ実績!C1889="","", ポートフォリオ実績!C1889)</f>
        <v/>
      </c>
      <c r="D1888" s="10" t="str">
        <f>IF(ポートフォリオ実績!D1889="","", ポートフォリオ実績!D1889)</f>
        <v/>
      </c>
      <c r="E1888" s="10" t="str">
        <f>IF(ポートフォリオ実績!E1889="","", ポートフォリオ実績!E1889)</f>
        <v/>
      </c>
      <c r="F1888" s="10" t="str">
        <f>IF(ポートフォリオ実績!F1889="","", ポートフォリオ実績!F1889)</f>
        <v/>
      </c>
      <c r="G1888" t="str">
        <f t="shared" si="319"/>
        <v/>
      </c>
      <c r="H1888">
        <f>IF(B1888&lt;&gt;"", SUMIFS(ポートフォリオ実績!$D$2:$D$2001, ポートフォリオ実績!$B$2:$B$2001, B1888, ポートフォリオ実績!$A$2:$A$2001, G1888), 0)</f>
        <v>0</v>
      </c>
      <c r="I1888">
        <f>IF(B1888&lt;&gt;"", SUMIFS(ポートフォリオ実績!$C$2:$C$2001, ポートフォリオ実績!$B$2:$B$2001, B1888, ポートフォリオ実績!$A$2:$A$2001, G1888), 0)</f>
        <v>0</v>
      </c>
      <c r="J1888">
        <f t="shared" si="320"/>
        <v>0</v>
      </c>
      <c r="K1888">
        <f t="shared" si="321"/>
        <v>0</v>
      </c>
      <c r="L1888">
        <f t="shared" si="322"/>
        <v>0</v>
      </c>
      <c r="M1888">
        <f t="shared" si="323"/>
        <v>0</v>
      </c>
      <c r="N1888">
        <f t="shared" si="324"/>
        <v>0</v>
      </c>
      <c r="O1888">
        <f t="shared" si="325"/>
        <v>0</v>
      </c>
      <c r="P1888" t="str">
        <f t="shared" si="326"/>
        <v/>
      </c>
      <c r="Q1888" t="str">
        <f>IF(B1888="","", IFERROR(VLOOKUP(B1888, '基準資産配分（設定）'!$A$2:$C$2001, 3, FALSE), ""))</f>
        <v/>
      </c>
      <c r="R1888" t="str">
        <f>IF(B1888="","", IFERROR(VLOOKUP(B1888, '基準資産配分（設定）'!$A$2:$C$2001, 2, FALSE)/100, 0))</f>
        <v/>
      </c>
      <c r="S1888" t="str">
        <f>IF(B1888="","", IFERROR(SUMIFS(ベンチマークリターン!$C$2:$C$2001, ベンチマークリターン!$A$2:$A$2001, A1888, ベンチマークリターン!$B$2:$B$2001, Q1888) / 100, 0))</f>
        <v/>
      </c>
      <c r="T1888" t="str">
        <f>IF(A1888="","", SUMIFS($H$2:$H$2000, $A$2:$A$2000, A1888))</f>
        <v/>
      </c>
      <c r="U1888" t="str">
        <f t="shared" si="327"/>
        <v/>
      </c>
      <c r="V1888" t="str">
        <f t="shared" si="328"/>
        <v/>
      </c>
      <c r="W1888" t="str">
        <f t="shared" si="329"/>
        <v/>
      </c>
    </row>
    <row r="1889" spans="1:23" x14ac:dyDescent="0.2">
      <c r="A1889" s="4" t="str">
        <f>IF(ポートフォリオ実績!A1890="","", ポートフォリオ実績!A1890)</f>
        <v/>
      </c>
      <c r="B1889" t="str">
        <f>IF(ポートフォリオ実績!B1890="","", ポートフォリオ実績!B1890)</f>
        <v/>
      </c>
      <c r="C1889" s="10" t="str">
        <f>IF(ポートフォリオ実績!C1890="","", ポートフォリオ実績!C1890)</f>
        <v/>
      </c>
      <c r="D1889" s="10" t="str">
        <f>IF(ポートフォリオ実績!D1890="","", ポートフォリオ実績!D1890)</f>
        <v/>
      </c>
      <c r="E1889" s="10" t="str">
        <f>IF(ポートフォリオ実績!E1890="","", ポートフォリオ実績!E1890)</f>
        <v/>
      </c>
      <c r="F1889" s="10" t="str">
        <f>IF(ポートフォリオ実績!F1890="","", ポートフォリオ実績!F1890)</f>
        <v/>
      </c>
      <c r="G1889" t="str">
        <f t="shared" si="319"/>
        <v/>
      </c>
      <c r="H1889">
        <f>IF(B1889&lt;&gt;"", SUMIFS(ポートフォリオ実績!$D$2:$D$2001, ポートフォリオ実績!$B$2:$B$2001, B1889, ポートフォリオ実績!$A$2:$A$2001, G1889), 0)</f>
        <v>0</v>
      </c>
      <c r="I1889">
        <f>IF(B1889&lt;&gt;"", SUMIFS(ポートフォリオ実績!$C$2:$C$2001, ポートフォリオ実績!$B$2:$B$2001, B1889, ポートフォリオ実績!$A$2:$A$2001, G1889), 0)</f>
        <v>0</v>
      </c>
      <c r="J1889">
        <f t="shared" si="320"/>
        <v>0</v>
      </c>
      <c r="K1889">
        <f t="shared" si="321"/>
        <v>0</v>
      </c>
      <c r="L1889">
        <f t="shared" si="322"/>
        <v>0</v>
      </c>
      <c r="M1889">
        <f t="shared" si="323"/>
        <v>0</v>
      </c>
      <c r="N1889">
        <f t="shared" si="324"/>
        <v>0</v>
      </c>
      <c r="O1889">
        <f t="shared" si="325"/>
        <v>0</v>
      </c>
      <c r="P1889" t="str">
        <f t="shared" si="326"/>
        <v/>
      </c>
      <c r="Q1889" t="str">
        <f>IF(B1889="","", IFERROR(VLOOKUP(B1889, '基準資産配分（設定）'!$A$2:$C$2001, 3, FALSE), ""))</f>
        <v/>
      </c>
      <c r="R1889" t="str">
        <f>IF(B1889="","", IFERROR(VLOOKUP(B1889, '基準資産配分（設定）'!$A$2:$C$2001, 2, FALSE)/100, 0))</f>
        <v/>
      </c>
      <c r="S1889" t="str">
        <f>IF(B1889="","", IFERROR(SUMIFS(ベンチマークリターン!$C$2:$C$2001, ベンチマークリターン!$A$2:$A$2001, A1889, ベンチマークリターン!$B$2:$B$2001, Q1889) / 100, 0))</f>
        <v/>
      </c>
      <c r="T1889" t="str">
        <f>IF(A1889="","", SUMIFS($H$2:$H$2000, $A$2:$A$2000, A1889))</f>
        <v/>
      </c>
      <c r="U1889" t="str">
        <f t="shared" si="327"/>
        <v/>
      </c>
      <c r="V1889" t="str">
        <f t="shared" si="328"/>
        <v/>
      </c>
      <c r="W1889" t="str">
        <f t="shared" si="329"/>
        <v/>
      </c>
    </row>
    <row r="1890" spans="1:23" x14ac:dyDescent="0.2">
      <c r="A1890" s="4" t="str">
        <f>IF(ポートフォリオ実績!A1891="","", ポートフォリオ実績!A1891)</f>
        <v/>
      </c>
      <c r="B1890" t="str">
        <f>IF(ポートフォリオ実績!B1891="","", ポートフォリオ実績!B1891)</f>
        <v/>
      </c>
      <c r="C1890" s="10" t="str">
        <f>IF(ポートフォリオ実績!C1891="","", ポートフォリオ実績!C1891)</f>
        <v/>
      </c>
      <c r="D1890" s="10" t="str">
        <f>IF(ポートフォリオ実績!D1891="","", ポートフォリオ実績!D1891)</f>
        <v/>
      </c>
      <c r="E1890" s="10" t="str">
        <f>IF(ポートフォリオ実績!E1891="","", ポートフォリオ実績!E1891)</f>
        <v/>
      </c>
      <c r="F1890" s="10" t="str">
        <f>IF(ポートフォリオ実績!F1891="","", ポートフォリオ実績!F1891)</f>
        <v/>
      </c>
      <c r="G1890" t="str">
        <f t="shared" si="319"/>
        <v/>
      </c>
      <c r="H1890">
        <f>IF(B1890&lt;&gt;"", SUMIFS(ポートフォリオ実績!$D$2:$D$2001, ポートフォリオ実績!$B$2:$B$2001, B1890, ポートフォリオ実績!$A$2:$A$2001, G1890), 0)</f>
        <v>0</v>
      </c>
      <c r="I1890">
        <f>IF(B1890&lt;&gt;"", SUMIFS(ポートフォリオ実績!$C$2:$C$2001, ポートフォリオ実績!$B$2:$B$2001, B1890, ポートフォリオ実績!$A$2:$A$2001, G1890), 0)</f>
        <v>0</v>
      </c>
      <c r="J1890">
        <f t="shared" si="320"/>
        <v>0</v>
      </c>
      <c r="K1890">
        <f t="shared" si="321"/>
        <v>0</v>
      </c>
      <c r="L1890">
        <f t="shared" si="322"/>
        <v>0</v>
      </c>
      <c r="M1890">
        <f t="shared" si="323"/>
        <v>0</v>
      </c>
      <c r="N1890">
        <f t="shared" si="324"/>
        <v>0</v>
      </c>
      <c r="O1890">
        <f t="shared" si="325"/>
        <v>0</v>
      </c>
      <c r="P1890" t="str">
        <f t="shared" si="326"/>
        <v/>
      </c>
      <c r="Q1890" t="str">
        <f>IF(B1890="","", IFERROR(VLOOKUP(B1890, '基準資産配分（設定）'!$A$2:$C$2001, 3, FALSE), ""))</f>
        <v/>
      </c>
      <c r="R1890" t="str">
        <f>IF(B1890="","", IFERROR(VLOOKUP(B1890, '基準資産配分（設定）'!$A$2:$C$2001, 2, FALSE)/100, 0))</f>
        <v/>
      </c>
      <c r="S1890" t="str">
        <f>IF(B1890="","", IFERROR(SUMIFS(ベンチマークリターン!$C$2:$C$2001, ベンチマークリターン!$A$2:$A$2001, A1890, ベンチマークリターン!$B$2:$B$2001, Q1890) / 100, 0))</f>
        <v/>
      </c>
      <c r="T1890" t="str">
        <f>IF(A1890="","", SUMIFS($H$2:$H$2000, $A$2:$A$2000, A1890))</f>
        <v/>
      </c>
      <c r="U1890" t="str">
        <f t="shared" si="327"/>
        <v/>
      </c>
      <c r="V1890" t="str">
        <f t="shared" si="328"/>
        <v/>
      </c>
      <c r="W1890" t="str">
        <f t="shared" si="329"/>
        <v/>
      </c>
    </row>
    <row r="1891" spans="1:23" x14ac:dyDescent="0.2">
      <c r="A1891" s="4" t="str">
        <f>IF(ポートフォリオ実績!A1892="","", ポートフォリオ実績!A1892)</f>
        <v/>
      </c>
      <c r="B1891" t="str">
        <f>IF(ポートフォリオ実績!B1892="","", ポートフォリオ実績!B1892)</f>
        <v/>
      </c>
      <c r="C1891" s="10" t="str">
        <f>IF(ポートフォリオ実績!C1892="","", ポートフォリオ実績!C1892)</f>
        <v/>
      </c>
      <c r="D1891" s="10" t="str">
        <f>IF(ポートフォリオ実績!D1892="","", ポートフォリオ実績!D1892)</f>
        <v/>
      </c>
      <c r="E1891" s="10" t="str">
        <f>IF(ポートフォリオ実績!E1892="","", ポートフォリオ実績!E1892)</f>
        <v/>
      </c>
      <c r="F1891" s="10" t="str">
        <f>IF(ポートフォリオ実績!F1892="","", ポートフォリオ実績!F1892)</f>
        <v/>
      </c>
      <c r="G1891" t="str">
        <f t="shared" si="319"/>
        <v/>
      </c>
      <c r="H1891">
        <f>IF(B1891&lt;&gt;"", SUMIFS(ポートフォリオ実績!$D$2:$D$2001, ポートフォリオ実績!$B$2:$B$2001, B1891, ポートフォリオ実績!$A$2:$A$2001, G1891), 0)</f>
        <v>0</v>
      </c>
      <c r="I1891">
        <f>IF(B1891&lt;&gt;"", SUMIFS(ポートフォリオ実績!$C$2:$C$2001, ポートフォリオ実績!$B$2:$B$2001, B1891, ポートフォリオ実績!$A$2:$A$2001, G1891), 0)</f>
        <v>0</v>
      </c>
      <c r="J1891">
        <f t="shared" si="320"/>
        <v>0</v>
      </c>
      <c r="K1891">
        <f t="shared" si="321"/>
        <v>0</v>
      </c>
      <c r="L1891">
        <f t="shared" si="322"/>
        <v>0</v>
      </c>
      <c r="M1891">
        <f t="shared" si="323"/>
        <v>0</v>
      </c>
      <c r="N1891">
        <f t="shared" si="324"/>
        <v>0</v>
      </c>
      <c r="O1891">
        <f t="shared" si="325"/>
        <v>0</v>
      </c>
      <c r="P1891" t="str">
        <f t="shared" si="326"/>
        <v/>
      </c>
      <c r="Q1891" t="str">
        <f>IF(B1891="","", IFERROR(VLOOKUP(B1891, '基準資産配分（設定）'!$A$2:$C$2001, 3, FALSE), ""))</f>
        <v/>
      </c>
      <c r="R1891" t="str">
        <f>IF(B1891="","", IFERROR(VLOOKUP(B1891, '基準資産配分（設定）'!$A$2:$C$2001, 2, FALSE)/100, 0))</f>
        <v/>
      </c>
      <c r="S1891" t="str">
        <f>IF(B1891="","", IFERROR(SUMIFS(ベンチマークリターン!$C$2:$C$2001, ベンチマークリターン!$A$2:$A$2001, A1891, ベンチマークリターン!$B$2:$B$2001, Q1891) / 100, 0))</f>
        <v/>
      </c>
      <c r="T1891" t="str">
        <f>IF(A1891="","", SUMIFS($H$2:$H$2000, $A$2:$A$2000, A1891))</f>
        <v/>
      </c>
      <c r="U1891" t="str">
        <f t="shared" si="327"/>
        <v/>
      </c>
      <c r="V1891" t="str">
        <f t="shared" si="328"/>
        <v/>
      </c>
      <c r="W1891" t="str">
        <f t="shared" si="329"/>
        <v/>
      </c>
    </row>
    <row r="1892" spans="1:23" x14ac:dyDescent="0.2">
      <c r="A1892" s="4" t="str">
        <f>IF(ポートフォリオ実績!A1893="","", ポートフォリオ実績!A1893)</f>
        <v/>
      </c>
      <c r="B1892" t="str">
        <f>IF(ポートフォリオ実績!B1893="","", ポートフォリオ実績!B1893)</f>
        <v/>
      </c>
      <c r="C1892" s="10" t="str">
        <f>IF(ポートフォリオ実績!C1893="","", ポートフォリオ実績!C1893)</f>
        <v/>
      </c>
      <c r="D1892" s="10" t="str">
        <f>IF(ポートフォリオ実績!D1893="","", ポートフォリオ実績!D1893)</f>
        <v/>
      </c>
      <c r="E1892" s="10" t="str">
        <f>IF(ポートフォリオ実績!E1893="","", ポートフォリオ実績!E1893)</f>
        <v/>
      </c>
      <c r="F1892" s="10" t="str">
        <f>IF(ポートフォリオ実績!F1893="","", ポートフォリオ実績!F1893)</f>
        <v/>
      </c>
      <c r="G1892" t="str">
        <f t="shared" si="319"/>
        <v/>
      </c>
      <c r="H1892">
        <f>IF(B1892&lt;&gt;"", SUMIFS(ポートフォリオ実績!$D$2:$D$2001, ポートフォリオ実績!$B$2:$B$2001, B1892, ポートフォリオ実績!$A$2:$A$2001, G1892), 0)</f>
        <v>0</v>
      </c>
      <c r="I1892">
        <f>IF(B1892&lt;&gt;"", SUMIFS(ポートフォリオ実績!$C$2:$C$2001, ポートフォリオ実績!$B$2:$B$2001, B1892, ポートフォリオ実績!$A$2:$A$2001, G1892), 0)</f>
        <v>0</v>
      </c>
      <c r="J1892">
        <f t="shared" si="320"/>
        <v>0</v>
      </c>
      <c r="K1892">
        <f t="shared" si="321"/>
        <v>0</v>
      </c>
      <c r="L1892">
        <f t="shared" si="322"/>
        <v>0</v>
      </c>
      <c r="M1892">
        <f t="shared" si="323"/>
        <v>0</v>
      </c>
      <c r="N1892">
        <f t="shared" si="324"/>
        <v>0</v>
      </c>
      <c r="O1892">
        <f t="shared" si="325"/>
        <v>0</v>
      </c>
      <c r="P1892" t="str">
        <f t="shared" si="326"/>
        <v/>
      </c>
      <c r="Q1892" t="str">
        <f>IF(B1892="","", IFERROR(VLOOKUP(B1892, '基準資産配分（設定）'!$A$2:$C$2001, 3, FALSE), ""))</f>
        <v/>
      </c>
      <c r="R1892" t="str">
        <f>IF(B1892="","", IFERROR(VLOOKUP(B1892, '基準資産配分（設定）'!$A$2:$C$2001, 2, FALSE)/100, 0))</f>
        <v/>
      </c>
      <c r="S1892" t="str">
        <f>IF(B1892="","", IFERROR(SUMIFS(ベンチマークリターン!$C$2:$C$2001, ベンチマークリターン!$A$2:$A$2001, A1892, ベンチマークリターン!$B$2:$B$2001, Q1892) / 100, 0))</f>
        <v/>
      </c>
      <c r="T1892" t="str">
        <f>IF(A1892="","", SUMIFS($H$2:$H$2000, $A$2:$A$2000, A1892))</f>
        <v/>
      </c>
      <c r="U1892" t="str">
        <f t="shared" si="327"/>
        <v/>
      </c>
      <c r="V1892" t="str">
        <f t="shared" si="328"/>
        <v/>
      </c>
      <c r="W1892" t="str">
        <f t="shared" si="329"/>
        <v/>
      </c>
    </row>
    <row r="1893" spans="1:23" x14ac:dyDescent="0.2">
      <c r="A1893" s="4" t="str">
        <f>IF(ポートフォリオ実績!A1894="","", ポートフォリオ実績!A1894)</f>
        <v/>
      </c>
      <c r="B1893" t="str">
        <f>IF(ポートフォリオ実績!B1894="","", ポートフォリオ実績!B1894)</f>
        <v/>
      </c>
      <c r="C1893" s="10" t="str">
        <f>IF(ポートフォリオ実績!C1894="","", ポートフォリオ実績!C1894)</f>
        <v/>
      </c>
      <c r="D1893" s="10" t="str">
        <f>IF(ポートフォリオ実績!D1894="","", ポートフォリオ実績!D1894)</f>
        <v/>
      </c>
      <c r="E1893" s="10" t="str">
        <f>IF(ポートフォリオ実績!E1894="","", ポートフォリオ実績!E1894)</f>
        <v/>
      </c>
      <c r="F1893" s="10" t="str">
        <f>IF(ポートフォリオ実績!F1894="","", ポートフォリオ実績!F1894)</f>
        <v/>
      </c>
      <c r="G1893" t="str">
        <f t="shared" si="319"/>
        <v/>
      </c>
      <c r="H1893">
        <f>IF(B1893&lt;&gt;"", SUMIFS(ポートフォリオ実績!$D$2:$D$2001, ポートフォリオ実績!$B$2:$B$2001, B1893, ポートフォリオ実績!$A$2:$A$2001, G1893), 0)</f>
        <v>0</v>
      </c>
      <c r="I1893">
        <f>IF(B1893&lt;&gt;"", SUMIFS(ポートフォリオ実績!$C$2:$C$2001, ポートフォリオ実績!$B$2:$B$2001, B1893, ポートフォリオ実績!$A$2:$A$2001, G1893), 0)</f>
        <v>0</v>
      </c>
      <c r="J1893">
        <f t="shared" si="320"/>
        <v>0</v>
      </c>
      <c r="K1893">
        <f t="shared" si="321"/>
        <v>0</v>
      </c>
      <c r="L1893">
        <f t="shared" si="322"/>
        <v>0</v>
      </c>
      <c r="M1893">
        <f t="shared" si="323"/>
        <v>0</v>
      </c>
      <c r="N1893">
        <f t="shared" si="324"/>
        <v>0</v>
      </c>
      <c r="O1893">
        <f t="shared" si="325"/>
        <v>0</v>
      </c>
      <c r="P1893" t="str">
        <f t="shared" si="326"/>
        <v/>
      </c>
      <c r="Q1893" t="str">
        <f>IF(B1893="","", IFERROR(VLOOKUP(B1893, '基準資産配分（設定）'!$A$2:$C$2001, 3, FALSE), ""))</f>
        <v/>
      </c>
      <c r="R1893" t="str">
        <f>IF(B1893="","", IFERROR(VLOOKUP(B1893, '基準資産配分（設定）'!$A$2:$C$2001, 2, FALSE)/100, 0))</f>
        <v/>
      </c>
      <c r="S1893" t="str">
        <f>IF(B1893="","", IFERROR(SUMIFS(ベンチマークリターン!$C$2:$C$2001, ベンチマークリターン!$A$2:$A$2001, A1893, ベンチマークリターン!$B$2:$B$2001, Q1893) / 100, 0))</f>
        <v/>
      </c>
      <c r="T1893" t="str">
        <f>IF(A1893="","", SUMIFS($H$2:$H$2000, $A$2:$A$2000, A1893))</f>
        <v/>
      </c>
      <c r="U1893" t="str">
        <f t="shared" si="327"/>
        <v/>
      </c>
      <c r="V1893" t="str">
        <f t="shared" si="328"/>
        <v/>
      </c>
      <c r="W1893" t="str">
        <f t="shared" si="329"/>
        <v/>
      </c>
    </row>
    <row r="1894" spans="1:23" x14ac:dyDescent="0.2">
      <c r="A1894" s="4" t="str">
        <f>IF(ポートフォリオ実績!A1895="","", ポートフォリオ実績!A1895)</f>
        <v/>
      </c>
      <c r="B1894" t="str">
        <f>IF(ポートフォリオ実績!B1895="","", ポートフォリオ実績!B1895)</f>
        <v/>
      </c>
      <c r="C1894" s="10" t="str">
        <f>IF(ポートフォリオ実績!C1895="","", ポートフォリオ実績!C1895)</f>
        <v/>
      </c>
      <c r="D1894" s="10" t="str">
        <f>IF(ポートフォリオ実績!D1895="","", ポートフォリオ実績!D1895)</f>
        <v/>
      </c>
      <c r="E1894" s="10" t="str">
        <f>IF(ポートフォリオ実績!E1895="","", ポートフォリオ実績!E1895)</f>
        <v/>
      </c>
      <c r="F1894" s="10" t="str">
        <f>IF(ポートフォリオ実績!F1895="","", ポートフォリオ実績!F1895)</f>
        <v/>
      </c>
      <c r="G1894" t="str">
        <f t="shared" si="319"/>
        <v/>
      </c>
      <c r="H1894">
        <f>IF(B1894&lt;&gt;"", SUMIFS(ポートフォリオ実績!$D$2:$D$2001, ポートフォリオ実績!$B$2:$B$2001, B1894, ポートフォリオ実績!$A$2:$A$2001, G1894), 0)</f>
        <v>0</v>
      </c>
      <c r="I1894">
        <f>IF(B1894&lt;&gt;"", SUMIFS(ポートフォリオ実績!$C$2:$C$2001, ポートフォリオ実績!$B$2:$B$2001, B1894, ポートフォリオ実績!$A$2:$A$2001, G1894), 0)</f>
        <v>0</v>
      </c>
      <c r="J1894">
        <f t="shared" si="320"/>
        <v>0</v>
      </c>
      <c r="K1894">
        <f t="shared" si="321"/>
        <v>0</v>
      </c>
      <c r="L1894">
        <f t="shared" si="322"/>
        <v>0</v>
      </c>
      <c r="M1894">
        <f t="shared" si="323"/>
        <v>0</v>
      </c>
      <c r="N1894">
        <f t="shared" si="324"/>
        <v>0</v>
      </c>
      <c r="O1894">
        <f t="shared" si="325"/>
        <v>0</v>
      </c>
      <c r="P1894" t="str">
        <f t="shared" si="326"/>
        <v/>
      </c>
      <c r="Q1894" t="str">
        <f>IF(B1894="","", IFERROR(VLOOKUP(B1894, '基準資産配分（設定）'!$A$2:$C$2001, 3, FALSE), ""))</f>
        <v/>
      </c>
      <c r="R1894" t="str">
        <f>IF(B1894="","", IFERROR(VLOOKUP(B1894, '基準資産配分（設定）'!$A$2:$C$2001, 2, FALSE)/100, 0))</f>
        <v/>
      </c>
      <c r="S1894" t="str">
        <f>IF(B1894="","", IFERROR(SUMIFS(ベンチマークリターン!$C$2:$C$2001, ベンチマークリターン!$A$2:$A$2001, A1894, ベンチマークリターン!$B$2:$B$2001, Q1894) / 100, 0))</f>
        <v/>
      </c>
      <c r="T1894" t="str">
        <f>IF(A1894="","", SUMIFS($H$2:$H$2000, $A$2:$A$2000, A1894))</f>
        <v/>
      </c>
      <c r="U1894" t="str">
        <f t="shared" si="327"/>
        <v/>
      </c>
      <c r="V1894" t="str">
        <f t="shared" si="328"/>
        <v/>
      </c>
      <c r="W1894" t="str">
        <f t="shared" si="329"/>
        <v/>
      </c>
    </row>
    <row r="1895" spans="1:23" x14ac:dyDescent="0.2">
      <c r="A1895" s="4" t="str">
        <f>IF(ポートフォリオ実績!A1896="","", ポートフォリオ実績!A1896)</f>
        <v/>
      </c>
      <c r="B1895" t="str">
        <f>IF(ポートフォリオ実績!B1896="","", ポートフォリオ実績!B1896)</f>
        <v/>
      </c>
      <c r="C1895" s="10" t="str">
        <f>IF(ポートフォリオ実績!C1896="","", ポートフォリオ実績!C1896)</f>
        <v/>
      </c>
      <c r="D1895" s="10" t="str">
        <f>IF(ポートフォリオ実績!D1896="","", ポートフォリオ実績!D1896)</f>
        <v/>
      </c>
      <c r="E1895" s="10" t="str">
        <f>IF(ポートフォリオ実績!E1896="","", ポートフォリオ実績!E1896)</f>
        <v/>
      </c>
      <c r="F1895" s="10" t="str">
        <f>IF(ポートフォリオ実績!F1896="","", ポートフォリオ実績!F1896)</f>
        <v/>
      </c>
      <c r="G1895" t="str">
        <f t="shared" si="319"/>
        <v/>
      </c>
      <c r="H1895">
        <f>IF(B1895&lt;&gt;"", SUMIFS(ポートフォリオ実績!$D$2:$D$2001, ポートフォリオ実績!$B$2:$B$2001, B1895, ポートフォリオ実績!$A$2:$A$2001, G1895), 0)</f>
        <v>0</v>
      </c>
      <c r="I1895">
        <f>IF(B1895&lt;&gt;"", SUMIFS(ポートフォリオ実績!$C$2:$C$2001, ポートフォリオ実績!$B$2:$B$2001, B1895, ポートフォリオ実績!$A$2:$A$2001, G1895), 0)</f>
        <v>0</v>
      </c>
      <c r="J1895">
        <f t="shared" si="320"/>
        <v>0</v>
      </c>
      <c r="K1895">
        <f t="shared" si="321"/>
        <v>0</v>
      </c>
      <c r="L1895">
        <f t="shared" si="322"/>
        <v>0</v>
      </c>
      <c r="M1895">
        <f t="shared" si="323"/>
        <v>0</v>
      </c>
      <c r="N1895">
        <f t="shared" si="324"/>
        <v>0</v>
      </c>
      <c r="O1895">
        <f t="shared" si="325"/>
        <v>0</v>
      </c>
      <c r="P1895" t="str">
        <f t="shared" si="326"/>
        <v/>
      </c>
      <c r="Q1895" t="str">
        <f>IF(B1895="","", IFERROR(VLOOKUP(B1895, '基準資産配分（設定）'!$A$2:$C$2001, 3, FALSE), ""))</f>
        <v/>
      </c>
      <c r="R1895" t="str">
        <f>IF(B1895="","", IFERROR(VLOOKUP(B1895, '基準資産配分（設定）'!$A$2:$C$2001, 2, FALSE)/100, 0))</f>
        <v/>
      </c>
      <c r="S1895" t="str">
        <f>IF(B1895="","", IFERROR(SUMIFS(ベンチマークリターン!$C$2:$C$2001, ベンチマークリターン!$A$2:$A$2001, A1895, ベンチマークリターン!$B$2:$B$2001, Q1895) / 100, 0))</f>
        <v/>
      </c>
      <c r="T1895" t="str">
        <f>IF(A1895="","", SUMIFS($H$2:$H$2000, $A$2:$A$2000, A1895))</f>
        <v/>
      </c>
      <c r="U1895" t="str">
        <f t="shared" si="327"/>
        <v/>
      </c>
      <c r="V1895" t="str">
        <f t="shared" si="328"/>
        <v/>
      </c>
      <c r="W1895" t="str">
        <f t="shared" si="329"/>
        <v/>
      </c>
    </row>
    <row r="1896" spans="1:23" x14ac:dyDescent="0.2">
      <c r="A1896" s="4" t="str">
        <f>IF(ポートフォリオ実績!A1897="","", ポートフォリオ実績!A1897)</f>
        <v/>
      </c>
      <c r="B1896" t="str">
        <f>IF(ポートフォリオ実績!B1897="","", ポートフォリオ実績!B1897)</f>
        <v/>
      </c>
      <c r="C1896" s="10" t="str">
        <f>IF(ポートフォリオ実績!C1897="","", ポートフォリオ実績!C1897)</f>
        <v/>
      </c>
      <c r="D1896" s="10" t="str">
        <f>IF(ポートフォリオ実績!D1897="","", ポートフォリオ実績!D1897)</f>
        <v/>
      </c>
      <c r="E1896" s="10" t="str">
        <f>IF(ポートフォリオ実績!E1897="","", ポートフォリオ実績!E1897)</f>
        <v/>
      </c>
      <c r="F1896" s="10" t="str">
        <f>IF(ポートフォリオ実績!F1897="","", ポートフォリオ実績!F1897)</f>
        <v/>
      </c>
      <c r="G1896" t="str">
        <f t="shared" si="319"/>
        <v/>
      </c>
      <c r="H1896">
        <f>IF(B1896&lt;&gt;"", SUMIFS(ポートフォリオ実績!$D$2:$D$2001, ポートフォリオ実績!$B$2:$B$2001, B1896, ポートフォリオ実績!$A$2:$A$2001, G1896), 0)</f>
        <v>0</v>
      </c>
      <c r="I1896">
        <f>IF(B1896&lt;&gt;"", SUMIFS(ポートフォリオ実績!$C$2:$C$2001, ポートフォリオ実績!$B$2:$B$2001, B1896, ポートフォリオ実績!$A$2:$A$2001, G1896), 0)</f>
        <v>0</v>
      </c>
      <c r="J1896">
        <f t="shared" si="320"/>
        <v>0</v>
      </c>
      <c r="K1896">
        <f t="shared" si="321"/>
        <v>0</v>
      </c>
      <c r="L1896">
        <f t="shared" si="322"/>
        <v>0</v>
      </c>
      <c r="M1896">
        <f t="shared" si="323"/>
        <v>0</v>
      </c>
      <c r="N1896">
        <f t="shared" si="324"/>
        <v>0</v>
      </c>
      <c r="O1896">
        <f t="shared" si="325"/>
        <v>0</v>
      </c>
      <c r="P1896" t="str">
        <f t="shared" si="326"/>
        <v/>
      </c>
      <c r="Q1896" t="str">
        <f>IF(B1896="","", IFERROR(VLOOKUP(B1896, '基準資産配分（設定）'!$A$2:$C$2001, 3, FALSE), ""))</f>
        <v/>
      </c>
      <c r="R1896" t="str">
        <f>IF(B1896="","", IFERROR(VLOOKUP(B1896, '基準資産配分（設定）'!$A$2:$C$2001, 2, FALSE)/100, 0))</f>
        <v/>
      </c>
      <c r="S1896" t="str">
        <f>IF(B1896="","", IFERROR(SUMIFS(ベンチマークリターン!$C$2:$C$2001, ベンチマークリターン!$A$2:$A$2001, A1896, ベンチマークリターン!$B$2:$B$2001, Q1896) / 100, 0))</f>
        <v/>
      </c>
      <c r="T1896" t="str">
        <f>IF(A1896="","", SUMIFS($H$2:$H$2000, $A$2:$A$2000, A1896))</f>
        <v/>
      </c>
      <c r="U1896" t="str">
        <f t="shared" si="327"/>
        <v/>
      </c>
      <c r="V1896" t="str">
        <f t="shared" si="328"/>
        <v/>
      </c>
      <c r="W1896" t="str">
        <f t="shared" si="329"/>
        <v/>
      </c>
    </row>
    <row r="1897" spans="1:23" x14ac:dyDescent="0.2">
      <c r="A1897" s="4" t="str">
        <f>IF(ポートフォリオ実績!A1898="","", ポートフォリオ実績!A1898)</f>
        <v/>
      </c>
      <c r="B1897" t="str">
        <f>IF(ポートフォリオ実績!B1898="","", ポートフォリオ実績!B1898)</f>
        <v/>
      </c>
      <c r="C1897" s="10" t="str">
        <f>IF(ポートフォリオ実績!C1898="","", ポートフォリオ実績!C1898)</f>
        <v/>
      </c>
      <c r="D1897" s="10" t="str">
        <f>IF(ポートフォリオ実績!D1898="","", ポートフォリオ実績!D1898)</f>
        <v/>
      </c>
      <c r="E1897" s="10" t="str">
        <f>IF(ポートフォリオ実績!E1898="","", ポートフォリオ実績!E1898)</f>
        <v/>
      </c>
      <c r="F1897" s="10" t="str">
        <f>IF(ポートフォリオ実績!F1898="","", ポートフォリオ実績!F1898)</f>
        <v/>
      </c>
      <c r="G1897" t="str">
        <f t="shared" si="319"/>
        <v/>
      </c>
      <c r="H1897">
        <f>IF(B1897&lt;&gt;"", SUMIFS(ポートフォリオ実績!$D$2:$D$2001, ポートフォリオ実績!$B$2:$B$2001, B1897, ポートフォリオ実績!$A$2:$A$2001, G1897), 0)</f>
        <v>0</v>
      </c>
      <c r="I1897">
        <f>IF(B1897&lt;&gt;"", SUMIFS(ポートフォリオ実績!$C$2:$C$2001, ポートフォリオ実績!$B$2:$B$2001, B1897, ポートフォリオ実績!$A$2:$A$2001, G1897), 0)</f>
        <v>0</v>
      </c>
      <c r="J1897">
        <f t="shared" si="320"/>
        <v>0</v>
      </c>
      <c r="K1897">
        <f t="shared" si="321"/>
        <v>0</v>
      </c>
      <c r="L1897">
        <f t="shared" si="322"/>
        <v>0</v>
      </c>
      <c r="M1897">
        <f t="shared" si="323"/>
        <v>0</v>
      </c>
      <c r="N1897">
        <f t="shared" si="324"/>
        <v>0</v>
      </c>
      <c r="O1897">
        <f t="shared" si="325"/>
        <v>0</v>
      </c>
      <c r="P1897" t="str">
        <f t="shared" si="326"/>
        <v/>
      </c>
      <c r="Q1897" t="str">
        <f>IF(B1897="","", IFERROR(VLOOKUP(B1897, '基準資産配分（設定）'!$A$2:$C$2001, 3, FALSE), ""))</f>
        <v/>
      </c>
      <c r="R1897" t="str">
        <f>IF(B1897="","", IFERROR(VLOOKUP(B1897, '基準資産配分（設定）'!$A$2:$C$2001, 2, FALSE)/100, 0))</f>
        <v/>
      </c>
      <c r="S1897" t="str">
        <f>IF(B1897="","", IFERROR(SUMIFS(ベンチマークリターン!$C$2:$C$2001, ベンチマークリターン!$A$2:$A$2001, A1897, ベンチマークリターン!$B$2:$B$2001, Q1897) / 100, 0))</f>
        <v/>
      </c>
      <c r="T1897" t="str">
        <f>IF(A1897="","", SUMIFS($H$2:$H$2000, $A$2:$A$2000, A1897))</f>
        <v/>
      </c>
      <c r="U1897" t="str">
        <f t="shared" si="327"/>
        <v/>
      </c>
      <c r="V1897" t="str">
        <f t="shared" si="328"/>
        <v/>
      </c>
      <c r="W1897" t="str">
        <f t="shared" si="329"/>
        <v/>
      </c>
    </row>
    <row r="1898" spans="1:23" x14ac:dyDescent="0.2">
      <c r="A1898" s="4" t="str">
        <f>IF(ポートフォリオ実績!A1899="","", ポートフォリオ実績!A1899)</f>
        <v/>
      </c>
      <c r="B1898" t="str">
        <f>IF(ポートフォリオ実績!B1899="","", ポートフォリオ実績!B1899)</f>
        <v/>
      </c>
      <c r="C1898" s="10" t="str">
        <f>IF(ポートフォリオ実績!C1899="","", ポートフォリオ実績!C1899)</f>
        <v/>
      </c>
      <c r="D1898" s="10" t="str">
        <f>IF(ポートフォリオ実績!D1899="","", ポートフォリオ実績!D1899)</f>
        <v/>
      </c>
      <c r="E1898" s="10" t="str">
        <f>IF(ポートフォリオ実績!E1899="","", ポートフォリオ実績!E1899)</f>
        <v/>
      </c>
      <c r="F1898" s="10" t="str">
        <f>IF(ポートフォリオ実績!F1899="","", ポートフォリオ実績!F1899)</f>
        <v/>
      </c>
      <c r="G1898" t="str">
        <f t="shared" si="319"/>
        <v/>
      </c>
      <c r="H1898">
        <f>IF(B1898&lt;&gt;"", SUMIFS(ポートフォリオ実績!$D$2:$D$2001, ポートフォリオ実績!$B$2:$B$2001, B1898, ポートフォリオ実績!$A$2:$A$2001, G1898), 0)</f>
        <v>0</v>
      </c>
      <c r="I1898">
        <f>IF(B1898&lt;&gt;"", SUMIFS(ポートフォリオ実績!$C$2:$C$2001, ポートフォリオ実績!$B$2:$B$2001, B1898, ポートフォリオ実績!$A$2:$A$2001, G1898), 0)</f>
        <v>0</v>
      </c>
      <c r="J1898">
        <f t="shared" si="320"/>
        <v>0</v>
      </c>
      <c r="K1898">
        <f t="shared" si="321"/>
        <v>0</v>
      </c>
      <c r="L1898">
        <f t="shared" si="322"/>
        <v>0</v>
      </c>
      <c r="M1898">
        <f t="shared" si="323"/>
        <v>0</v>
      </c>
      <c r="N1898">
        <f t="shared" si="324"/>
        <v>0</v>
      </c>
      <c r="O1898">
        <f t="shared" si="325"/>
        <v>0</v>
      </c>
      <c r="P1898" t="str">
        <f t="shared" si="326"/>
        <v/>
      </c>
      <c r="Q1898" t="str">
        <f>IF(B1898="","", IFERROR(VLOOKUP(B1898, '基準資産配分（設定）'!$A$2:$C$2001, 3, FALSE), ""))</f>
        <v/>
      </c>
      <c r="R1898" t="str">
        <f>IF(B1898="","", IFERROR(VLOOKUP(B1898, '基準資産配分（設定）'!$A$2:$C$2001, 2, FALSE)/100, 0))</f>
        <v/>
      </c>
      <c r="S1898" t="str">
        <f>IF(B1898="","", IFERROR(SUMIFS(ベンチマークリターン!$C$2:$C$2001, ベンチマークリターン!$A$2:$A$2001, A1898, ベンチマークリターン!$B$2:$B$2001, Q1898) / 100, 0))</f>
        <v/>
      </c>
      <c r="T1898" t="str">
        <f>IF(A1898="","", SUMIFS($H$2:$H$2000, $A$2:$A$2000, A1898))</f>
        <v/>
      </c>
      <c r="U1898" t="str">
        <f t="shared" si="327"/>
        <v/>
      </c>
      <c r="V1898" t="str">
        <f t="shared" si="328"/>
        <v/>
      </c>
      <c r="W1898" t="str">
        <f t="shared" si="329"/>
        <v/>
      </c>
    </row>
    <row r="1899" spans="1:23" x14ac:dyDescent="0.2">
      <c r="A1899" s="4" t="str">
        <f>IF(ポートフォリオ実績!A1900="","", ポートフォリオ実績!A1900)</f>
        <v/>
      </c>
      <c r="B1899" t="str">
        <f>IF(ポートフォリオ実績!B1900="","", ポートフォリオ実績!B1900)</f>
        <v/>
      </c>
      <c r="C1899" s="10" t="str">
        <f>IF(ポートフォリオ実績!C1900="","", ポートフォリオ実績!C1900)</f>
        <v/>
      </c>
      <c r="D1899" s="10" t="str">
        <f>IF(ポートフォリオ実績!D1900="","", ポートフォリオ実績!D1900)</f>
        <v/>
      </c>
      <c r="E1899" s="10" t="str">
        <f>IF(ポートフォリオ実績!E1900="","", ポートフォリオ実績!E1900)</f>
        <v/>
      </c>
      <c r="F1899" s="10" t="str">
        <f>IF(ポートフォリオ実績!F1900="","", ポートフォリオ実績!F1900)</f>
        <v/>
      </c>
      <c r="G1899" t="str">
        <f t="shared" si="319"/>
        <v/>
      </c>
      <c r="H1899">
        <f>IF(B1899&lt;&gt;"", SUMIFS(ポートフォリオ実績!$D$2:$D$2001, ポートフォリオ実績!$B$2:$B$2001, B1899, ポートフォリオ実績!$A$2:$A$2001, G1899), 0)</f>
        <v>0</v>
      </c>
      <c r="I1899">
        <f>IF(B1899&lt;&gt;"", SUMIFS(ポートフォリオ実績!$C$2:$C$2001, ポートフォリオ実績!$B$2:$B$2001, B1899, ポートフォリオ実績!$A$2:$A$2001, G1899), 0)</f>
        <v>0</v>
      </c>
      <c r="J1899">
        <f t="shared" si="320"/>
        <v>0</v>
      </c>
      <c r="K1899">
        <f t="shared" si="321"/>
        <v>0</v>
      </c>
      <c r="L1899">
        <f t="shared" si="322"/>
        <v>0</v>
      </c>
      <c r="M1899">
        <f t="shared" si="323"/>
        <v>0</v>
      </c>
      <c r="N1899">
        <f t="shared" si="324"/>
        <v>0</v>
      </c>
      <c r="O1899">
        <f t="shared" si="325"/>
        <v>0</v>
      </c>
      <c r="P1899" t="str">
        <f t="shared" si="326"/>
        <v/>
      </c>
      <c r="Q1899" t="str">
        <f>IF(B1899="","", IFERROR(VLOOKUP(B1899, '基準資産配分（設定）'!$A$2:$C$2001, 3, FALSE), ""))</f>
        <v/>
      </c>
      <c r="R1899" t="str">
        <f>IF(B1899="","", IFERROR(VLOOKUP(B1899, '基準資産配分（設定）'!$A$2:$C$2001, 2, FALSE)/100, 0))</f>
        <v/>
      </c>
      <c r="S1899" t="str">
        <f>IF(B1899="","", IFERROR(SUMIFS(ベンチマークリターン!$C$2:$C$2001, ベンチマークリターン!$A$2:$A$2001, A1899, ベンチマークリターン!$B$2:$B$2001, Q1899) / 100, 0))</f>
        <v/>
      </c>
      <c r="T1899" t="str">
        <f>IF(A1899="","", SUMIFS($H$2:$H$2000, $A$2:$A$2000, A1899))</f>
        <v/>
      </c>
      <c r="U1899" t="str">
        <f t="shared" si="327"/>
        <v/>
      </c>
      <c r="V1899" t="str">
        <f t="shared" si="328"/>
        <v/>
      </c>
      <c r="W1899" t="str">
        <f t="shared" si="329"/>
        <v/>
      </c>
    </row>
    <row r="1900" spans="1:23" x14ac:dyDescent="0.2">
      <c r="A1900" s="4" t="str">
        <f>IF(ポートフォリオ実績!A1901="","", ポートフォリオ実績!A1901)</f>
        <v/>
      </c>
      <c r="B1900" t="str">
        <f>IF(ポートフォリオ実績!B1901="","", ポートフォリオ実績!B1901)</f>
        <v/>
      </c>
      <c r="C1900" s="10" t="str">
        <f>IF(ポートフォリオ実績!C1901="","", ポートフォリオ実績!C1901)</f>
        <v/>
      </c>
      <c r="D1900" s="10" t="str">
        <f>IF(ポートフォリオ実績!D1901="","", ポートフォリオ実績!D1901)</f>
        <v/>
      </c>
      <c r="E1900" s="10" t="str">
        <f>IF(ポートフォリオ実績!E1901="","", ポートフォリオ実績!E1901)</f>
        <v/>
      </c>
      <c r="F1900" s="10" t="str">
        <f>IF(ポートフォリオ実績!F1901="","", ポートフォリオ実績!F1901)</f>
        <v/>
      </c>
      <c r="G1900" t="str">
        <f t="shared" si="319"/>
        <v/>
      </c>
      <c r="H1900">
        <f>IF(B1900&lt;&gt;"", SUMIFS(ポートフォリオ実績!$D$2:$D$2001, ポートフォリオ実績!$B$2:$B$2001, B1900, ポートフォリオ実績!$A$2:$A$2001, G1900), 0)</f>
        <v>0</v>
      </c>
      <c r="I1900">
        <f>IF(B1900&lt;&gt;"", SUMIFS(ポートフォリオ実績!$C$2:$C$2001, ポートフォリオ実績!$B$2:$B$2001, B1900, ポートフォリオ実績!$A$2:$A$2001, G1900), 0)</f>
        <v>0</v>
      </c>
      <c r="J1900">
        <f t="shared" si="320"/>
        <v>0</v>
      </c>
      <c r="K1900">
        <f t="shared" si="321"/>
        <v>0</v>
      </c>
      <c r="L1900">
        <f t="shared" si="322"/>
        <v>0</v>
      </c>
      <c r="M1900">
        <f t="shared" si="323"/>
        <v>0</v>
      </c>
      <c r="N1900">
        <f t="shared" si="324"/>
        <v>0</v>
      </c>
      <c r="O1900">
        <f t="shared" si="325"/>
        <v>0</v>
      </c>
      <c r="P1900" t="str">
        <f t="shared" si="326"/>
        <v/>
      </c>
      <c r="Q1900" t="str">
        <f>IF(B1900="","", IFERROR(VLOOKUP(B1900, '基準資産配分（設定）'!$A$2:$C$2001, 3, FALSE), ""))</f>
        <v/>
      </c>
      <c r="R1900" t="str">
        <f>IF(B1900="","", IFERROR(VLOOKUP(B1900, '基準資産配分（設定）'!$A$2:$C$2001, 2, FALSE)/100, 0))</f>
        <v/>
      </c>
      <c r="S1900" t="str">
        <f>IF(B1900="","", IFERROR(SUMIFS(ベンチマークリターン!$C$2:$C$2001, ベンチマークリターン!$A$2:$A$2001, A1900, ベンチマークリターン!$B$2:$B$2001, Q1900) / 100, 0))</f>
        <v/>
      </c>
      <c r="T1900" t="str">
        <f>IF(A1900="","", SUMIFS($H$2:$H$2000, $A$2:$A$2000, A1900))</f>
        <v/>
      </c>
      <c r="U1900" t="str">
        <f t="shared" si="327"/>
        <v/>
      </c>
      <c r="V1900" t="str">
        <f t="shared" si="328"/>
        <v/>
      </c>
      <c r="W1900" t="str">
        <f t="shared" si="329"/>
        <v/>
      </c>
    </row>
    <row r="1901" spans="1:23" x14ac:dyDescent="0.2">
      <c r="A1901" s="4" t="str">
        <f>IF(ポートフォリオ実績!A1902="","", ポートフォリオ実績!A1902)</f>
        <v/>
      </c>
      <c r="B1901" t="str">
        <f>IF(ポートフォリオ実績!B1902="","", ポートフォリオ実績!B1902)</f>
        <v/>
      </c>
      <c r="C1901" s="10" t="str">
        <f>IF(ポートフォリオ実績!C1902="","", ポートフォリオ実績!C1902)</f>
        <v/>
      </c>
      <c r="D1901" s="10" t="str">
        <f>IF(ポートフォリオ実績!D1902="","", ポートフォリオ実績!D1902)</f>
        <v/>
      </c>
      <c r="E1901" s="10" t="str">
        <f>IF(ポートフォリオ実績!E1902="","", ポートフォリオ実績!E1902)</f>
        <v/>
      </c>
      <c r="F1901" s="10" t="str">
        <f>IF(ポートフォリオ実績!F1902="","", ポートフォリオ実績!F1902)</f>
        <v/>
      </c>
      <c r="G1901" t="str">
        <f t="shared" si="319"/>
        <v/>
      </c>
      <c r="H1901">
        <f>IF(B1901&lt;&gt;"", SUMIFS(ポートフォリオ実績!$D$2:$D$2001, ポートフォリオ実績!$B$2:$B$2001, B1901, ポートフォリオ実績!$A$2:$A$2001, G1901), 0)</f>
        <v>0</v>
      </c>
      <c r="I1901">
        <f>IF(B1901&lt;&gt;"", SUMIFS(ポートフォリオ実績!$C$2:$C$2001, ポートフォリオ実績!$B$2:$B$2001, B1901, ポートフォリオ実績!$A$2:$A$2001, G1901), 0)</f>
        <v>0</v>
      </c>
      <c r="J1901">
        <f t="shared" si="320"/>
        <v>0</v>
      </c>
      <c r="K1901">
        <f t="shared" si="321"/>
        <v>0</v>
      </c>
      <c r="L1901">
        <f t="shared" si="322"/>
        <v>0</v>
      </c>
      <c r="M1901">
        <f t="shared" si="323"/>
        <v>0</v>
      </c>
      <c r="N1901">
        <f t="shared" si="324"/>
        <v>0</v>
      </c>
      <c r="O1901">
        <f t="shared" si="325"/>
        <v>0</v>
      </c>
      <c r="P1901" t="str">
        <f t="shared" si="326"/>
        <v/>
      </c>
      <c r="Q1901" t="str">
        <f>IF(B1901="","", IFERROR(VLOOKUP(B1901, '基準資産配分（設定）'!$A$2:$C$2001, 3, FALSE), ""))</f>
        <v/>
      </c>
      <c r="R1901" t="str">
        <f>IF(B1901="","", IFERROR(VLOOKUP(B1901, '基準資産配分（設定）'!$A$2:$C$2001, 2, FALSE)/100, 0))</f>
        <v/>
      </c>
      <c r="S1901" t="str">
        <f>IF(B1901="","", IFERROR(SUMIFS(ベンチマークリターン!$C$2:$C$2001, ベンチマークリターン!$A$2:$A$2001, A1901, ベンチマークリターン!$B$2:$B$2001, Q1901) / 100, 0))</f>
        <v/>
      </c>
      <c r="T1901" t="str">
        <f>IF(A1901="","", SUMIFS($H$2:$H$2000, $A$2:$A$2000, A1901))</f>
        <v/>
      </c>
      <c r="U1901" t="str">
        <f t="shared" si="327"/>
        <v/>
      </c>
      <c r="V1901" t="str">
        <f t="shared" si="328"/>
        <v/>
      </c>
      <c r="W1901" t="str">
        <f t="shared" si="329"/>
        <v/>
      </c>
    </row>
    <row r="1902" spans="1:23" x14ac:dyDescent="0.2">
      <c r="A1902" s="4" t="str">
        <f>IF(ポートフォリオ実績!A1903="","", ポートフォリオ実績!A1903)</f>
        <v/>
      </c>
      <c r="B1902" t="str">
        <f>IF(ポートフォリオ実績!B1903="","", ポートフォリオ実績!B1903)</f>
        <v/>
      </c>
      <c r="C1902" s="10" t="str">
        <f>IF(ポートフォリオ実績!C1903="","", ポートフォリオ実績!C1903)</f>
        <v/>
      </c>
      <c r="D1902" s="10" t="str">
        <f>IF(ポートフォリオ実績!D1903="","", ポートフォリオ実績!D1903)</f>
        <v/>
      </c>
      <c r="E1902" s="10" t="str">
        <f>IF(ポートフォリオ実績!E1903="","", ポートフォリオ実績!E1903)</f>
        <v/>
      </c>
      <c r="F1902" s="10" t="str">
        <f>IF(ポートフォリオ実績!F1903="","", ポートフォリオ実績!F1903)</f>
        <v/>
      </c>
      <c r="G1902" t="str">
        <f t="shared" si="319"/>
        <v/>
      </c>
      <c r="H1902">
        <f>IF(B1902&lt;&gt;"", SUMIFS(ポートフォリオ実績!$D$2:$D$2001, ポートフォリオ実績!$B$2:$B$2001, B1902, ポートフォリオ実績!$A$2:$A$2001, G1902), 0)</f>
        <v>0</v>
      </c>
      <c r="I1902">
        <f>IF(B1902&lt;&gt;"", SUMIFS(ポートフォリオ実績!$C$2:$C$2001, ポートフォリオ実績!$B$2:$B$2001, B1902, ポートフォリオ実績!$A$2:$A$2001, G1902), 0)</f>
        <v>0</v>
      </c>
      <c r="J1902">
        <f t="shared" si="320"/>
        <v>0</v>
      </c>
      <c r="K1902">
        <f t="shared" si="321"/>
        <v>0</v>
      </c>
      <c r="L1902">
        <f t="shared" si="322"/>
        <v>0</v>
      </c>
      <c r="M1902">
        <f t="shared" si="323"/>
        <v>0</v>
      </c>
      <c r="N1902">
        <f t="shared" si="324"/>
        <v>0</v>
      </c>
      <c r="O1902">
        <f t="shared" si="325"/>
        <v>0</v>
      </c>
      <c r="P1902" t="str">
        <f t="shared" si="326"/>
        <v/>
      </c>
      <c r="Q1902" t="str">
        <f>IF(B1902="","", IFERROR(VLOOKUP(B1902, '基準資産配分（設定）'!$A$2:$C$2001, 3, FALSE), ""))</f>
        <v/>
      </c>
      <c r="R1902" t="str">
        <f>IF(B1902="","", IFERROR(VLOOKUP(B1902, '基準資産配分（設定）'!$A$2:$C$2001, 2, FALSE)/100, 0))</f>
        <v/>
      </c>
      <c r="S1902" t="str">
        <f>IF(B1902="","", IFERROR(SUMIFS(ベンチマークリターン!$C$2:$C$2001, ベンチマークリターン!$A$2:$A$2001, A1902, ベンチマークリターン!$B$2:$B$2001, Q1902) / 100, 0))</f>
        <v/>
      </c>
      <c r="T1902" t="str">
        <f>IF(A1902="","", SUMIFS($H$2:$H$2000, $A$2:$A$2000, A1902))</f>
        <v/>
      </c>
      <c r="U1902" t="str">
        <f t="shared" si="327"/>
        <v/>
      </c>
      <c r="V1902" t="str">
        <f t="shared" si="328"/>
        <v/>
      </c>
      <c r="W1902" t="str">
        <f t="shared" si="329"/>
        <v/>
      </c>
    </row>
    <row r="1903" spans="1:23" x14ac:dyDescent="0.2">
      <c r="A1903" s="4" t="str">
        <f>IF(ポートフォリオ実績!A1904="","", ポートフォリオ実績!A1904)</f>
        <v/>
      </c>
      <c r="B1903" t="str">
        <f>IF(ポートフォリオ実績!B1904="","", ポートフォリオ実績!B1904)</f>
        <v/>
      </c>
      <c r="C1903" s="10" t="str">
        <f>IF(ポートフォリオ実績!C1904="","", ポートフォリオ実績!C1904)</f>
        <v/>
      </c>
      <c r="D1903" s="10" t="str">
        <f>IF(ポートフォリオ実績!D1904="","", ポートフォリオ実績!D1904)</f>
        <v/>
      </c>
      <c r="E1903" s="10" t="str">
        <f>IF(ポートフォリオ実績!E1904="","", ポートフォリオ実績!E1904)</f>
        <v/>
      </c>
      <c r="F1903" s="10" t="str">
        <f>IF(ポートフォリオ実績!F1904="","", ポートフォリオ実績!F1904)</f>
        <v/>
      </c>
      <c r="G1903" t="str">
        <f t="shared" si="319"/>
        <v/>
      </c>
      <c r="H1903">
        <f>IF(B1903&lt;&gt;"", SUMIFS(ポートフォリオ実績!$D$2:$D$2001, ポートフォリオ実績!$B$2:$B$2001, B1903, ポートフォリオ実績!$A$2:$A$2001, G1903), 0)</f>
        <v>0</v>
      </c>
      <c r="I1903">
        <f>IF(B1903&lt;&gt;"", SUMIFS(ポートフォリオ実績!$C$2:$C$2001, ポートフォリオ実績!$B$2:$B$2001, B1903, ポートフォリオ実績!$A$2:$A$2001, G1903), 0)</f>
        <v>0</v>
      </c>
      <c r="J1903">
        <f t="shared" si="320"/>
        <v>0</v>
      </c>
      <c r="K1903">
        <f t="shared" si="321"/>
        <v>0</v>
      </c>
      <c r="L1903">
        <f t="shared" si="322"/>
        <v>0</v>
      </c>
      <c r="M1903">
        <f t="shared" si="323"/>
        <v>0</v>
      </c>
      <c r="N1903">
        <f t="shared" si="324"/>
        <v>0</v>
      </c>
      <c r="O1903">
        <f t="shared" si="325"/>
        <v>0</v>
      </c>
      <c r="P1903" t="str">
        <f t="shared" si="326"/>
        <v/>
      </c>
      <c r="Q1903" t="str">
        <f>IF(B1903="","", IFERROR(VLOOKUP(B1903, '基準資産配分（設定）'!$A$2:$C$2001, 3, FALSE), ""))</f>
        <v/>
      </c>
      <c r="R1903" t="str">
        <f>IF(B1903="","", IFERROR(VLOOKUP(B1903, '基準資産配分（設定）'!$A$2:$C$2001, 2, FALSE)/100, 0))</f>
        <v/>
      </c>
      <c r="S1903" t="str">
        <f>IF(B1903="","", IFERROR(SUMIFS(ベンチマークリターン!$C$2:$C$2001, ベンチマークリターン!$A$2:$A$2001, A1903, ベンチマークリターン!$B$2:$B$2001, Q1903) / 100, 0))</f>
        <v/>
      </c>
      <c r="T1903" t="str">
        <f>IF(A1903="","", SUMIFS($H$2:$H$2000, $A$2:$A$2000, A1903))</f>
        <v/>
      </c>
      <c r="U1903" t="str">
        <f t="shared" si="327"/>
        <v/>
      </c>
      <c r="V1903" t="str">
        <f t="shared" si="328"/>
        <v/>
      </c>
      <c r="W1903" t="str">
        <f t="shared" si="329"/>
        <v/>
      </c>
    </row>
    <row r="1904" spans="1:23" x14ac:dyDescent="0.2">
      <c r="A1904" s="4" t="str">
        <f>IF(ポートフォリオ実績!A1905="","", ポートフォリオ実績!A1905)</f>
        <v/>
      </c>
      <c r="B1904" t="str">
        <f>IF(ポートフォリオ実績!B1905="","", ポートフォリオ実績!B1905)</f>
        <v/>
      </c>
      <c r="C1904" s="10" t="str">
        <f>IF(ポートフォリオ実績!C1905="","", ポートフォリオ実績!C1905)</f>
        <v/>
      </c>
      <c r="D1904" s="10" t="str">
        <f>IF(ポートフォリオ実績!D1905="","", ポートフォリオ実績!D1905)</f>
        <v/>
      </c>
      <c r="E1904" s="10" t="str">
        <f>IF(ポートフォリオ実績!E1905="","", ポートフォリオ実績!E1905)</f>
        <v/>
      </c>
      <c r="F1904" s="10" t="str">
        <f>IF(ポートフォリオ実績!F1905="","", ポートフォリオ実績!F1905)</f>
        <v/>
      </c>
      <c r="G1904" t="str">
        <f t="shared" si="319"/>
        <v/>
      </c>
      <c r="H1904">
        <f>IF(B1904&lt;&gt;"", SUMIFS(ポートフォリオ実績!$D$2:$D$2001, ポートフォリオ実績!$B$2:$B$2001, B1904, ポートフォリオ実績!$A$2:$A$2001, G1904), 0)</f>
        <v>0</v>
      </c>
      <c r="I1904">
        <f>IF(B1904&lt;&gt;"", SUMIFS(ポートフォリオ実績!$C$2:$C$2001, ポートフォリオ実績!$B$2:$B$2001, B1904, ポートフォリオ実績!$A$2:$A$2001, G1904), 0)</f>
        <v>0</v>
      </c>
      <c r="J1904">
        <f t="shared" si="320"/>
        <v>0</v>
      </c>
      <c r="K1904">
        <f t="shared" si="321"/>
        <v>0</v>
      </c>
      <c r="L1904">
        <f t="shared" si="322"/>
        <v>0</v>
      </c>
      <c r="M1904">
        <f t="shared" si="323"/>
        <v>0</v>
      </c>
      <c r="N1904">
        <f t="shared" si="324"/>
        <v>0</v>
      </c>
      <c r="O1904">
        <f t="shared" si="325"/>
        <v>0</v>
      </c>
      <c r="P1904" t="str">
        <f t="shared" si="326"/>
        <v/>
      </c>
      <c r="Q1904" t="str">
        <f>IF(B1904="","", IFERROR(VLOOKUP(B1904, '基準資産配分（設定）'!$A$2:$C$2001, 3, FALSE), ""))</f>
        <v/>
      </c>
      <c r="R1904" t="str">
        <f>IF(B1904="","", IFERROR(VLOOKUP(B1904, '基準資産配分（設定）'!$A$2:$C$2001, 2, FALSE)/100, 0))</f>
        <v/>
      </c>
      <c r="S1904" t="str">
        <f>IF(B1904="","", IFERROR(SUMIFS(ベンチマークリターン!$C$2:$C$2001, ベンチマークリターン!$A$2:$A$2001, A1904, ベンチマークリターン!$B$2:$B$2001, Q1904) / 100, 0))</f>
        <v/>
      </c>
      <c r="T1904" t="str">
        <f>IF(A1904="","", SUMIFS($H$2:$H$2000, $A$2:$A$2000, A1904))</f>
        <v/>
      </c>
      <c r="U1904" t="str">
        <f t="shared" si="327"/>
        <v/>
      </c>
      <c r="V1904" t="str">
        <f t="shared" si="328"/>
        <v/>
      </c>
      <c r="W1904" t="str">
        <f t="shared" si="329"/>
        <v/>
      </c>
    </row>
    <row r="1905" spans="1:23" x14ac:dyDescent="0.2">
      <c r="A1905" s="4" t="str">
        <f>IF(ポートフォリオ実績!A1906="","", ポートフォリオ実績!A1906)</f>
        <v/>
      </c>
      <c r="B1905" t="str">
        <f>IF(ポートフォリオ実績!B1906="","", ポートフォリオ実績!B1906)</f>
        <v/>
      </c>
      <c r="C1905" s="10" t="str">
        <f>IF(ポートフォリオ実績!C1906="","", ポートフォリオ実績!C1906)</f>
        <v/>
      </c>
      <c r="D1905" s="10" t="str">
        <f>IF(ポートフォリオ実績!D1906="","", ポートフォリオ実績!D1906)</f>
        <v/>
      </c>
      <c r="E1905" s="10" t="str">
        <f>IF(ポートフォリオ実績!E1906="","", ポートフォリオ実績!E1906)</f>
        <v/>
      </c>
      <c r="F1905" s="10" t="str">
        <f>IF(ポートフォリオ実績!F1906="","", ポートフォリオ実績!F1906)</f>
        <v/>
      </c>
      <c r="G1905" t="str">
        <f t="shared" si="319"/>
        <v/>
      </c>
      <c r="H1905">
        <f>IF(B1905&lt;&gt;"", SUMIFS(ポートフォリオ実績!$D$2:$D$2001, ポートフォリオ実績!$B$2:$B$2001, B1905, ポートフォリオ実績!$A$2:$A$2001, G1905), 0)</f>
        <v>0</v>
      </c>
      <c r="I1905">
        <f>IF(B1905&lt;&gt;"", SUMIFS(ポートフォリオ実績!$C$2:$C$2001, ポートフォリオ実績!$B$2:$B$2001, B1905, ポートフォリオ実績!$A$2:$A$2001, G1905), 0)</f>
        <v>0</v>
      </c>
      <c r="J1905">
        <f t="shared" si="320"/>
        <v>0</v>
      </c>
      <c r="K1905">
        <f t="shared" si="321"/>
        <v>0</v>
      </c>
      <c r="L1905">
        <f t="shared" si="322"/>
        <v>0</v>
      </c>
      <c r="M1905">
        <f t="shared" si="323"/>
        <v>0</v>
      </c>
      <c r="N1905">
        <f t="shared" si="324"/>
        <v>0</v>
      </c>
      <c r="O1905">
        <f t="shared" si="325"/>
        <v>0</v>
      </c>
      <c r="P1905" t="str">
        <f t="shared" si="326"/>
        <v/>
      </c>
      <c r="Q1905" t="str">
        <f>IF(B1905="","", IFERROR(VLOOKUP(B1905, '基準資産配分（設定）'!$A$2:$C$2001, 3, FALSE), ""))</f>
        <v/>
      </c>
      <c r="R1905" t="str">
        <f>IF(B1905="","", IFERROR(VLOOKUP(B1905, '基準資産配分（設定）'!$A$2:$C$2001, 2, FALSE)/100, 0))</f>
        <v/>
      </c>
      <c r="S1905" t="str">
        <f>IF(B1905="","", IFERROR(SUMIFS(ベンチマークリターン!$C$2:$C$2001, ベンチマークリターン!$A$2:$A$2001, A1905, ベンチマークリターン!$B$2:$B$2001, Q1905) / 100, 0))</f>
        <v/>
      </c>
      <c r="T1905" t="str">
        <f>IF(A1905="","", SUMIFS($H$2:$H$2000, $A$2:$A$2000, A1905))</f>
        <v/>
      </c>
      <c r="U1905" t="str">
        <f t="shared" si="327"/>
        <v/>
      </c>
      <c r="V1905" t="str">
        <f t="shared" si="328"/>
        <v/>
      </c>
      <c r="W1905" t="str">
        <f t="shared" si="329"/>
        <v/>
      </c>
    </row>
    <row r="1906" spans="1:23" x14ac:dyDescent="0.2">
      <c r="A1906" s="4" t="str">
        <f>IF(ポートフォリオ実績!A1907="","", ポートフォリオ実績!A1907)</f>
        <v/>
      </c>
      <c r="B1906" t="str">
        <f>IF(ポートフォリオ実績!B1907="","", ポートフォリオ実績!B1907)</f>
        <v/>
      </c>
      <c r="C1906" s="10" t="str">
        <f>IF(ポートフォリオ実績!C1907="","", ポートフォリオ実績!C1907)</f>
        <v/>
      </c>
      <c r="D1906" s="10" t="str">
        <f>IF(ポートフォリオ実績!D1907="","", ポートフォリオ実績!D1907)</f>
        <v/>
      </c>
      <c r="E1906" s="10" t="str">
        <f>IF(ポートフォリオ実績!E1907="","", ポートフォリオ実績!E1907)</f>
        <v/>
      </c>
      <c r="F1906" s="10" t="str">
        <f>IF(ポートフォリオ実績!F1907="","", ポートフォリオ実績!F1907)</f>
        <v/>
      </c>
      <c r="G1906" t="str">
        <f t="shared" si="319"/>
        <v/>
      </c>
      <c r="H1906">
        <f>IF(B1906&lt;&gt;"", SUMIFS(ポートフォリオ実績!$D$2:$D$2001, ポートフォリオ実績!$B$2:$B$2001, B1906, ポートフォリオ実績!$A$2:$A$2001, G1906), 0)</f>
        <v>0</v>
      </c>
      <c r="I1906">
        <f>IF(B1906&lt;&gt;"", SUMIFS(ポートフォリオ実績!$C$2:$C$2001, ポートフォリオ実績!$B$2:$B$2001, B1906, ポートフォリオ実績!$A$2:$A$2001, G1906), 0)</f>
        <v>0</v>
      </c>
      <c r="J1906">
        <f t="shared" si="320"/>
        <v>0</v>
      </c>
      <c r="K1906">
        <f t="shared" si="321"/>
        <v>0</v>
      </c>
      <c r="L1906">
        <f t="shared" si="322"/>
        <v>0</v>
      </c>
      <c r="M1906">
        <f t="shared" si="323"/>
        <v>0</v>
      </c>
      <c r="N1906">
        <f t="shared" si="324"/>
        <v>0</v>
      </c>
      <c r="O1906">
        <f t="shared" si="325"/>
        <v>0</v>
      </c>
      <c r="P1906" t="str">
        <f t="shared" si="326"/>
        <v/>
      </c>
      <c r="Q1906" t="str">
        <f>IF(B1906="","", IFERROR(VLOOKUP(B1906, '基準資産配分（設定）'!$A$2:$C$2001, 3, FALSE), ""))</f>
        <v/>
      </c>
      <c r="R1906" t="str">
        <f>IF(B1906="","", IFERROR(VLOOKUP(B1906, '基準資産配分（設定）'!$A$2:$C$2001, 2, FALSE)/100, 0))</f>
        <v/>
      </c>
      <c r="S1906" t="str">
        <f>IF(B1906="","", IFERROR(SUMIFS(ベンチマークリターン!$C$2:$C$2001, ベンチマークリターン!$A$2:$A$2001, A1906, ベンチマークリターン!$B$2:$B$2001, Q1906) / 100, 0))</f>
        <v/>
      </c>
      <c r="T1906" t="str">
        <f>IF(A1906="","", SUMIFS($H$2:$H$2000, $A$2:$A$2000, A1906))</f>
        <v/>
      </c>
      <c r="U1906" t="str">
        <f t="shared" si="327"/>
        <v/>
      </c>
      <c r="V1906" t="str">
        <f t="shared" si="328"/>
        <v/>
      </c>
      <c r="W1906" t="str">
        <f t="shared" si="329"/>
        <v/>
      </c>
    </row>
    <row r="1907" spans="1:23" x14ac:dyDescent="0.2">
      <c r="A1907" s="4" t="str">
        <f>IF(ポートフォリオ実績!A1908="","", ポートフォリオ実績!A1908)</f>
        <v/>
      </c>
      <c r="B1907" t="str">
        <f>IF(ポートフォリオ実績!B1908="","", ポートフォリオ実績!B1908)</f>
        <v/>
      </c>
      <c r="C1907" s="10" t="str">
        <f>IF(ポートフォリオ実績!C1908="","", ポートフォリオ実績!C1908)</f>
        <v/>
      </c>
      <c r="D1907" s="10" t="str">
        <f>IF(ポートフォリオ実績!D1908="","", ポートフォリオ実績!D1908)</f>
        <v/>
      </c>
      <c r="E1907" s="10" t="str">
        <f>IF(ポートフォリオ実績!E1908="","", ポートフォリオ実績!E1908)</f>
        <v/>
      </c>
      <c r="F1907" s="10" t="str">
        <f>IF(ポートフォリオ実績!F1908="","", ポートフォリオ実績!F1908)</f>
        <v/>
      </c>
      <c r="G1907" t="str">
        <f t="shared" si="319"/>
        <v/>
      </c>
      <c r="H1907">
        <f>IF(B1907&lt;&gt;"", SUMIFS(ポートフォリオ実績!$D$2:$D$2001, ポートフォリオ実績!$B$2:$B$2001, B1907, ポートフォリオ実績!$A$2:$A$2001, G1907), 0)</f>
        <v>0</v>
      </c>
      <c r="I1907">
        <f>IF(B1907&lt;&gt;"", SUMIFS(ポートフォリオ実績!$C$2:$C$2001, ポートフォリオ実績!$B$2:$B$2001, B1907, ポートフォリオ実績!$A$2:$A$2001, G1907), 0)</f>
        <v>0</v>
      </c>
      <c r="J1907">
        <f t="shared" si="320"/>
        <v>0</v>
      </c>
      <c r="K1907">
        <f t="shared" si="321"/>
        <v>0</v>
      </c>
      <c r="L1907">
        <f t="shared" si="322"/>
        <v>0</v>
      </c>
      <c r="M1907">
        <f t="shared" si="323"/>
        <v>0</v>
      </c>
      <c r="N1907">
        <f t="shared" si="324"/>
        <v>0</v>
      </c>
      <c r="O1907">
        <f t="shared" si="325"/>
        <v>0</v>
      </c>
      <c r="P1907" t="str">
        <f t="shared" si="326"/>
        <v/>
      </c>
      <c r="Q1907" t="str">
        <f>IF(B1907="","", IFERROR(VLOOKUP(B1907, '基準資産配分（設定）'!$A$2:$C$2001, 3, FALSE), ""))</f>
        <v/>
      </c>
      <c r="R1907" t="str">
        <f>IF(B1907="","", IFERROR(VLOOKUP(B1907, '基準資産配分（設定）'!$A$2:$C$2001, 2, FALSE)/100, 0))</f>
        <v/>
      </c>
      <c r="S1907" t="str">
        <f>IF(B1907="","", IFERROR(SUMIFS(ベンチマークリターン!$C$2:$C$2001, ベンチマークリターン!$A$2:$A$2001, A1907, ベンチマークリターン!$B$2:$B$2001, Q1907) / 100, 0))</f>
        <v/>
      </c>
      <c r="T1907" t="str">
        <f>IF(A1907="","", SUMIFS($H$2:$H$2000, $A$2:$A$2000, A1907))</f>
        <v/>
      </c>
      <c r="U1907" t="str">
        <f t="shared" si="327"/>
        <v/>
      </c>
      <c r="V1907" t="str">
        <f t="shared" si="328"/>
        <v/>
      </c>
      <c r="W1907" t="str">
        <f t="shared" si="329"/>
        <v/>
      </c>
    </row>
    <row r="1908" spans="1:23" x14ac:dyDescent="0.2">
      <c r="A1908" s="4" t="str">
        <f>IF(ポートフォリオ実績!A1909="","", ポートフォリオ実績!A1909)</f>
        <v/>
      </c>
      <c r="B1908" t="str">
        <f>IF(ポートフォリオ実績!B1909="","", ポートフォリオ実績!B1909)</f>
        <v/>
      </c>
      <c r="C1908" s="10" t="str">
        <f>IF(ポートフォリオ実績!C1909="","", ポートフォリオ実績!C1909)</f>
        <v/>
      </c>
      <c r="D1908" s="10" t="str">
        <f>IF(ポートフォリオ実績!D1909="","", ポートフォリオ実績!D1909)</f>
        <v/>
      </c>
      <c r="E1908" s="10" t="str">
        <f>IF(ポートフォリオ実績!E1909="","", ポートフォリオ実績!E1909)</f>
        <v/>
      </c>
      <c r="F1908" s="10" t="str">
        <f>IF(ポートフォリオ実績!F1909="","", ポートフォリオ実績!F1909)</f>
        <v/>
      </c>
      <c r="G1908" t="str">
        <f t="shared" si="319"/>
        <v/>
      </c>
      <c r="H1908">
        <f>IF(B1908&lt;&gt;"", SUMIFS(ポートフォリオ実績!$D$2:$D$2001, ポートフォリオ実績!$B$2:$B$2001, B1908, ポートフォリオ実績!$A$2:$A$2001, G1908), 0)</f>
        <v>0</v>
      </c>
      <c r="I1908">
        <f>IF(B1908&lt;&gt;"", SUMIFS(ポートフォリオ実績!$C$2:$C$2001, ポートフォリオ実績!$B$2:$B$2001, B1908, ポートフォリオ実績!$A$2:$A$2001, G1908), 0)</f>
        <v>0</v>
      </c>
      <c r="J1908">
        <f t="shared" si="320"/>
        <v>0</v>
      </c>
      <c r="K1908">
        <f t="shared" si="321"/>
        <v>0</v>
      </c>
      <c r="L1908">
        <f t="shared" si="322"/>
        <v>0</v>
      </c>
      <c r="M1908">
        <f t="shared" si="323"/>
        <v>0</v>
      </c>
      <c r="N1908">
        <f t="shared" si="324"/>
        <v>0</v>
      </c>
      <c r="O1908">
        <f t="shared" si="325"/>
        <v>0</v>
      </c>
      <c r="P1908" t="str">
        <f t="shared" si="326"/>
        <v/>
      </c>
      <c r="Q1908" t="str">
        <f>IF(B1908="","", IFERROR(VLOOKUP(B1908, '基準資産配分（設定）'!$A$2:$C$2001, 3, FALSE), ""))</f>
        <v/>
      </c>
      <c r="R1908" t="str">
        <f>IF(B1908="","", IFERROR(VLOOKUP(B1908, '基準資産配分（設定）'!$A$2:$C$2001, 2, FALSE)/100, 0))</f>
        <v/>
      </c>
      <c r="S1908" t="str">
        <f>IF(B1908="","", IFERROR(SUMIFS(ベンチマークリターン!$C$2:$C$2001, ベンチマークリターン!$A$2:$A$2001, A1908, ベンチマークリターン!$B$2:$B$2001, Q1908) / 100, 0))</f>
        <v/>
      </c>
      <c r="T1908" t="str">
        <f>IF(A1908="","", SUMIFS($H$2:$H$2000, $A$2:$A$2000, A1908))</f>
        <v/>
      </c>
      <c r="U1908" t="str">
        <f t="shared" si="327"/>
        <v/>
      </c>
      <c r="V1908" t="str">
        <f t="shared" si="328"/>
        <v/>
      </c>
      <c r="W1908" t="str">
        <f t="shared" si="329"/>
        <v/>
      </c>
    </row>
    <row r="1909" spans="1:23" x14ac:dyDescent="0.2">
      <c r="A1909" s="4" t="str">
        <f>IF(ポートフォリオ実績!A1910="","", ポートフォリオ実績!A1910)</f>
        <v/>
      </c>
      <c r="B1909" t="str">
        <f>IF(ポートフォリオ実績!B1910="","", ポートフォリオ実績!B1910)</f>
        <v/>
      </c>
      <c r="C1909" s="10" t="str">
        <f>IF(ポートフォリオ実績!C1910="","", ポートフォリオ実績!C1910)</f>
        <v/>
      </c>
      <c r="D1909" s="10" t="str">
        <f>IF(ポートフォリオ実績!D1910="","", ポートフォリオ実績!D1910)</f>
        <v/>
      </c>
      <c r="E1909" s="10" t="str">
        <f>IF(ポートフォリオ実績!E1910="","", ポートフォリオ実績!E1910)</f>
        <v/>
      </c>
      <c r="F1909" s="10" t="str">
        <f>IF(ポートフォリオ実績!F1910="","", ポートフォリオ実績!F1910)</f>
        <v/>
      </c>
      <c r="G1909" t="str">
        <f t="shared" si="319"/>
        <v/>
      </c>
      <c r="H1909">
        <f>IF(B1909&lt;&gt;"", SUMIFS(ポートフォリオ実績!$D$2:$D$2001, ポートフォリオ実績!$B$2:$B$2001, B1909, ポートフォリオ実績!$A$2:$A$2001, G1909), 0)</f>
        <v>0</v>
      </c>
      <c r="I1909">
        <f>IF(B1909&lt;&gt;"", SUMIFS(ポートフォリオ実績!$C$2:$C$2001, ポートフォリオ実績!$B$2:$B$2001, B1909, ポートフォリオ実績!$A$2:$A$2001, G1909), 0)</f>
        <v>0</v>
      </c>
      <c r="J1909">
        <f t="shared" si="320"/>
        <v>0</v>
      </c>
      <c r="K1909">
        <f t="shared" si="321"/>
        <v>0</v>
      </c>
      <c r="L1909">
        <f t="shared" si="322"/>
        <v>0</v>
      </c>
      <c r="M1909">
        <f t="shared" si="323"/>
        <v>0</v>
      </c>
      <c r="N1909">
        <f t="shared" si="324"/>
        <v>0</v>
      </c>
      <c r="O1909">
        <f t="shared" si="325"/>
        <v>0</v>
      </c>
      <c r="P1909" t="str">
        <f t="shared" si="326"/>
        <v/>
      </c>
      <c r="Q1909" t="str">
        <f>IF(B1909="","", IFERROR(VLOOKUP(B1909, '基準資産配分（設定）'!$A$2:$C$2001, 3, FALSE), ""))</f>
        <v/>
      </c>
      <c r="R1909" t="str">
        <f>IF(B1909="","", IFERROR(VLOOKUP(B1909, '基準資産配分（設定）'!$A$2:$C$2001, 2, FALSE)/100, 0))</f>
        <v/>
      </c>
      <c r="S1909" t="str">
        <f>IF(B1909="","", IFERROR(SUMIFS(ベンチマークリターン!$C$2:$C$2001, ベンチマークリターン!$A$2:$A$2001, A1909, ベンチマークリターン!$B$2:$B$2001, Q1909) / 100, 0))</f>
        <v/>
      </c>
      <c r="T1909" t="str">
        <f>IF(A1909="","", SUMIFS($H$2:$H$2000, $A$2:$A$2000, A1909))</f>
        <v/>
      </c>
      <c r="U1909" t="str">
        <f t="shared" si="327"/>
        <v/>
      </c>
      <c r="V1909" t="str">
        <f t="shared" si="328"/>
        <v/>
      </c>
      <c r="W1909" t="str">
        <f t="shared" si="329"/>
        <v/>
      </c>
    </row>
    <row r="1910" spans="1:23" x14ac:dyDescent="0.2">
      <c r="A1910" s="4" t="str">
        <f>IF(ポートフォリオ実績!A1911="","", ポートフォリオ実績!A1911)</f>
        <v/>
      </c>
      <c r="B1910" t="str">
        <f>IF(ポートフォリオ実績!B1911="","", ポートフォリオ実績!B1911)</f>
        <v/>
      </c>
      <c r="C1910" s="10" t="str">
        <f>IF(ポートフォリオ実績!C1911="","", ポートフォリオ実績!C1911)</f>
        <v/>
      </c>
      <c r="D1910" s="10" t="str">
        <f>IF(ポートフォリオ実績!D1911="","", ポートフォリオ実績!D1911)</f>
        <v/>
      </c>
      <c r="E1910" s="10" t="str">
        <f>IF(ポートフォリオ実績!E1911="","", ポートフォリオ実績!E1911)</f>
        <v/>
      </c>
      <c r="F1910" s="10" t="str">
        <f>IF(ポートフォリオ実績!F1911="","", ポートフォリオ実績!F1911)</f>
        <v/>
      </c>
      <c r="G1910" t="str">
        <f t="shared" si="319"/>
        <v/>
      </c>
      <c r="H1910">
        <f>IF(B1910&lt;&gt;"", SUMIFS(ポートフォリオ実績!$D$2:$D$2001, ポートフォリオ実績!$B$2:$B$2001, B1910, ポートフォリオ実績!$A$2:$A$2001, G1910), 0)</f>
        <v>0</v>
      </c>
      <c r="I1910">
        <f>IF(B1910&lt;&gt;"", SUMIFS(ポートフォリオ実績!$C$2:$C$2001, ポートフォリオ実績!$B$2:$B$2001, B1910, ポートフォリオ実績!$A$2:$A$2001, G1910), 0)</f>
        <v>0</v>
      </c>
      <c r="J1910">
        <f t="shared" si="320"/>
        <v>0</v>
      </c>
      <c r="K1910">
        <f t="shared" si="321"/>
        <v>0</v>
      </c>
      <c r="L1910">
        <f t="shared" si="322"/>
        <v>0</v>
      </c>
      <c r="M1910">
        <f t="shared" si="323"/>
        <v>0</v>
      </c>
      <c r="N1910">
        <f t="shared" si="324"/>
        <v>0</v>
      </c>
      <c r="O1910">
        <f t="shared" si="325"/>
        <v>0</v>
      </c>
      <c r="P1910" t="str">
        <f t="shared" si="326"/>
        <v/>
      </c>
      <c r="Q1910" t="str">
        <f>IF(B1910="","", IFERROR(VLOOKUP(B1910, '基準資産配分（設定）'!$A$2:$C$2001, 3, FALSE), ""))</f>
        <v/>
      </c>
      <c r="R1910" t="str">
        <f>IF(B1910="","", IFERROR(VLOOKUP(B1910, '基準資産配分（設定）'!$A$2:$C$2001, 2, FALSE)/100, 0))</f>
        <v/>
      </c>
      <c r="S1910" t="str">
        <f>IF(B1910="","", IFERROR(SUMIFS(ベンチマークリターン!$C$2:$C$2001, ベンチマークリターン!$A$2:$A$2001, A1910, ベンチマークリターン!$B$2:$B$2001, Q1910) / 100, 0))</f>
        <v/>
      </c>
      <c r="T1910" t="str">
        <f>IF(A1910="","", SUMIFS($H$2:$H$2000, $A$2:$A$2000, A1910))</f>
        <v/>
      </c>
      <c r="U1910" t="str">
        <f t="shared" si="327"/>
        <v/>
      </c>
      <c r="V1910" t="str">
        <f t="shared" si="328"/>
        <v/>
      </c>
      <c r="W1910" t="str">
        <f t="shared" si="329"/>
        <v/>
      </c>
    </row>
    <row r="1911" spans="1:23" x14ac:dyDescent="0.2">
      <c r="A1911" s="4" t="str">
        <f>IF(ポートフォリオ実績!A1912="","", ポートフォリオ実績!A1912)</f>
        <v/>
      </c>
      <c r="B1911" t="str">
        <f>IF(ポートフォリオ実績!B1912="","", ポートフォリオ実績!B1912)</f>
        <v/>
      </c>
      <c r="C1911" s="10" t="str">
        <f>IF(ポートフォリオ実績!C1912="","", ポートフォリオ実績!C1912)</f>
        <v/>
      </c>
      <c r="D1911" s="10" t="str">
        <f>IF(ポートフォリオ実績!D1912="","", ポートフォリオ実績!D1912)</f>
        <v/>
      </c>
      <c r="E1911" s="10" t="str">
        <f>IF(ポートフォリオ実績!E1912="","", ポートフォリオ実績!E1912)</f>
        <v/>
      </c>
      <c r="F1911" s="10" t="str">
        <f>IF(ポートフォリオ実績!F1912="","", ポートフォリオ実績!F1912)</f>
        <v/>
      </c>
      <c r="G1911" t="str">
        <f t="shared" si="319"/>
        <v/>
      </c>
      <c r="H1911">
        <f>IF(B1911&lt;&gt;"", SUMIFS(ポートフォリオ実績!$D$2:$D$2001, ポートフォリオ実績!$B$2:$B$2001, B1911, ポートフォリオ実績!$A$2:$A$2001, G1911), 0)</f>
        <v>0</v>
      </c>
      <c r="I1911">
        <f>IF(B1911&lt;&gt;"", SUMIFS(ポートフォリオ実績!$C$2:$C$2001, ポートフォリオ実績!$B$2:$B$2001, B1911, ポートフォリオ実績!$A$2:$A$2001, G1911), 0)</f>
        <v>0</v>
      </c>
      <c r="J1911">
        <f t="shared" si="320"/>
        <v>0</v>
      </c>
      <c r="K1911">
        <f t="shared" si="321"/>
        <v>0</v>
      </c>
      <c r="L1911">
        <f t="shared" si="322"/>
        <v>0</v>
      </c>
      <c r="M1911">
        <f t="shared" si="323"/>
        <v>0</v>
      </c>
      <c r="N1911">
        <f t="shared" si="324"/>
        <v>0</v>
      </c>
      <c r="O1911">
        <f t="shared" si="325"/>
        <v>0</v>
      </c>
      <c r="P1911" t="str">
        <f t="shared" si="326"/>
        <v/>
      </c>
      <c r="Q1911" t="str">
        <f>IF(B1911="","", IFERROR(VLOOKUP(B1911, '基準資産配分（設定）'!$A$2:$C$2001, 3, FALSE), ""))</f>
        <v/>
      </c>
      <c r="R1911" t="str">
        <f>IF(B1911="","", IFERROR(VLOOKUP(B1911, '基準資産配分（設定）'!$A$2:$C$2001, 2, FALSE)/100, 0))</f>
        <v/>
      </c>
      <c r="S1911" t="str">
        <f>IF(B1911="","", IFERROR(SUMIFS(ベンチマークリターン!$C$2:$C$2001, ベンチマークリターン!$A$2:$A$2001, A1911, ベンチマークリターン!$B$2:$B$2001, Q1911) / 100, 0))</f>
        <v/>
      </c>
      <c r="T1911" t="str">
        <f>IF(A1911="","", SUMIFS($H$2:$H$2000, $A$2:$A$2000, A1911))</f>
        <v/>
      </c>
      <c r="U1911" t="str">
        <f t="shared" si="327"/>
        <v/>
      </c>
      <c r="V1911" t="str">
        <f t="shared" si="328"/>
        <v/>
      </c>
      <c r="W1911" t="str">
        <f t="shared" si="329"/>
        <v/>
      </c>
    </row>
    <row r="1912" spans="1:23" x14ac:dyDescent="0.2">
      <c r="A1912" s="4" t="str">
        <f>IF(ポートフォリオ実績!A1913="","", ポートフォリオ実績!A1913)</f>
        <v/>
      </c>
      <c r="B1912" t="str">
        <f>IF(ポートフォリオ実績!B1913="","", ポートフォリオ実績!B1913)</f>
        <v/>
      </c>
      <c r="C1912" s="10" t="str">
        <f>IF(ポートフォリオ実績!C1913="","", ポートフォリオ実績!C1913)</f>
        <v/>
      </c>
      <c r="D1912" s="10" t="str">
        <f>IF(ポートフォリオ実績!D1913="","", ポートフォリオ実績!D1913)</f>
        <v/>
      </c>
      <c r="E1912" s="10" t="str">
        <f>IF(ポートフォリオ実績!E1913="","", ポートフォリオ実績!E1913)</f>
        <v/>
      </c>
      <c r="F1912" s="10" t="str">
        <f>IF(ポートフォリオ実績!F1913="","", ポートフォリオ実績!F1913)</f>
        <v/>
      </c>
      <c r="G1912" t="str">
        <f t="shared" si="319"/>
        <v/>
      </c>
      <c r="H1912">
        <f>IF(B1912&lt;&gt;"", SUMIFS(ポートフォリオ実績!$D$2:$D$2001, ポートフォリオ実績!$B$2:$B$2001, B1912, ポートフォリオ実績!$A$2:$A$2001, G1912), 0)</f>
        <v>0</v>
      </c>
      <c r="I1912">
        <f>IF(B1912&lt;&gt;"", SUMIFS(ポートフォリオ実績!$C$2:$C$2001, ポートフォリオ実績!$B$2:$B$2001, B1912, ポートフォリオ実績!$A$2:$A$2001, G1912), 0)</f>
        <v>0</v>
      </c>
      <c r="J1912">
        <f t="shared" si="320"/>
        <v>0</v>
      </c>
      <c r="K1912">
        <f t="shared" si="321"/>
        <v>0</v>
      </c>
      <c r="L1912">
        <f t="shared" si="322"/>
        <v>0</v>
      </c>
      <c r="M1912">
        <f t="shared" si="323"/>
        <v>0</v>
      </c>
      <c r="N1912">
        <f t="shared" si="324"/>
        <v>0</v>
      </c>
      <c r="O1912">
        <f t="shared" si="325"/>
        <v>0</v>
      </c>
      <c r="P1912" t="str">
        <f t="shared" si="326"/>
        <v/>
      </c>
      <c r="Q1912" t="str">
        <f>IF(B1912="","", IFERROR(VLOOKUP(B1912, '基準資産配分（設定）'!$A$2:$C$2001, 3, FALSE), ""))</f>
        <v/>
      </c>
      <c r="R1912" t="str">
        <f>IF(B1912="","", IFERROR(VLOOKUP(B1912, '基準資産配分（設定）'!$A$2:$C$2001, 2, FALSE)/100, 0))</f>
        <v/>
      </c>
      <c r="S1912" t="str">
        <f>IF(B1912="","", IFERROR(SUMIFS(ベンチマークリターン!$C$2:$C$2001, ベンチマークリターン!$A$2:$A$2001, A1912, ベンチマークリターン!$B$2:$B$2001, Q1912) / 100, 0))</f>
        <v/>
      </c>
      <c r="T1912" t="str">
        <f>IF(A1912="","", SUMIFS($H$2:$H$2000, $A$2:$A$2000, A1912))</f>
        <v/>
      </c>
      <c r="U1912" t="str">
        <f t="shared" si="327"/>
        <v/>
      </c>
      <c r="V1912" t="str">
        <f t="shared" si="328"/>
        <v/>
      </c>
      <c r="W1912" t="str">
        <f t="shared" si="329"/>
        <v/>
      </c>
    </row>
    <row r="1913" spans="1:23" x14ac:dyDescent="0.2">
      <c r="A1913" s="4" t="str">
        <f>IF(ポートフォリオ実績!A1914="","", ポートフォリオ実績!A1914)</f>
        <v/>
      </c>
      <c r="B1913" t="str">
        <f>IF(ポートフォリオ実績!B1914="","", ポートフォリオ実績!B1914)</f>
        <v/>
      </c>
      <c r="C1913" s="10" t="str">
        <f>IF(ポートフォリオ実績!C1914="","", ポートフォリオ実績!C1914)</f>
        <v/>
      </c>
      <c r="D1913" s="10" t="str">
        <f>IF(ポートフォリオ実績!D1914="","", ポートフォリオ実績!D1914)</f>
        <v/>
      </c>
      <c r="E1913" s="10" t="str">
        <f>IF(ポートフォリオ実績!E1914="","", ポートフォリオ実績!E1914)</f>
        <v/>
      </c>
      <c r="F1913" s="10" t="str">
        <f>IF(ポートフォリオ実績!F1914="","", ポートフォリオ実績!F1914)</f>
        <v/>
      </c>
      <c r="G1913" t="str">
        <f t="shared" si="319"/>
        <v/>
      </c>
      <c r="H1913">
        <f>IF(B1913&lt;&gt;"", SUMIFS(ポートフォリオ実績!$D$2:$D$2001, ポートフォリオ実績!$B$2:$B$2001, B1913, ポートフォリオ実績!$A$2:$A$2001, G1913), 0)</f>
        <v>0</v>
      </c>
      <c r="I1913">
        <f>IF(B1913&lt;&gt;"", SUMIFS(ポートフォリオ実績!$C$2:$C$2001, ポートフォリオ実績!$B$2:$B$2001, B1913, ポートフォリオ実績!$A$2:$A$2001, G1913), 0)</f>
        <v>0</v>
      </c>
      <c r="J1913">
        <f t="shared" si="320"/>
        <v>0</v>
      </c>
      <c r="K1913">
        <f t="shared" si="321"/>
        <v>0</v>
      </c>
      <c r="L1913">
        <f t="shared" si="322"/>
        <v>0</v>
      </c>
      <c r="M1913">
        <f t="shared" si="323"/>
        <v>0</v>
      </c>
      <c r="N1913">
        <f t="shared" si="324"/>
        <v>0</v>
      </c>
      <c r="O1913">
        <f t="shared" si="325"/>
        <v>0</v>
      </c>
      <c r="P1913" t="str">
        <f t="shared" si="326"/>
        <v/>
      </c>
      <c r="Q1913" t="str">
        <f>IF(B1913="","", IFERROR(VLOOKUP(B1913, '基準資産配分（設定）'!$A$2:$C$2001, 3, FALSE), ""))</f>
        <v/>
      </c>
      <c r="R1913" t="str">
        <f>IF(B1913="","", IFERROR(VLOOKUP(B1913, '基準資産配分（設定）'!$A$2:$C$2001, 2, FALSE)/100, 0))</f>
        <v/>
      </c>
      <c r="S1913" t="str">
        <f>IF(B1913="","", IFERROR(SUMIFS(ベンチマークリターン!$C$2:$C$2001, ベンチマークリターン!$A$2:$A$2001, A1913, ベンチマークリターン!$B$2:$B$2001, Q1913) / 100, 0))</f>
        <v/>
      </c>
      <c r="T1913" t="str">
        <f>IF(A1913="","", SUMIFS($H$2:$H$2000, $A$2:$A$2000, A1913))</f>
        <v/>
      </c>
      <c r="U1913" t="str">
        <f t="shared" si="327"/>
        <v/>
      </c>
      <c r="V1913" t="str">
        <f t="shared" si="328"/>
        <v/>
      </c>
      <c r="W1913" t="str">
        <f t="shared" si="329"/>
        <v/>
      </c>
    </row>
    <row r="1914" spans="1:23" x14ac:dyDescent="0.2">
      <c r="A1914" s="4" t="str">
        <f>IF(ポートフォリオ実績!A1915="","", ポートフォリオ実績!A1915)</f>
        <v/>
      </c>
      <c r="B1914" t="str">
        <f>IF(ポートフォリオ実績!B1915="","", ポートフォリオ実績!B1915)</f>
        <v/>
      </c>
      <c r="C1914" s="10" t="str">
        <f>IF(ポートフォリオ実績!C1915="","", ポートフォリオ実績!C1915)</f>
        <v/>
      </c>
      <c r="D1914" s="10" t="str">
        <f>IF(ポートフォリオ実績!D1915="","", ポートフォリオ実績!D1915)</f>
        <v/>
      </c>
      <c r="E1914" s="10" t="str">
        <f>IF(ポートフォリオ実績!E1915="","", ポートフォリオ実績!E1915)</f>
        <v/>
      </c>
      <c r="F1914" s="10" t="str">
        <f>IF(ポートフォリオ実績!F1915="","", ポートフォリオ実績!F1915)</f>
        <v/>
      </c>
      <c r="G1914" t="str">
        <f t="shared" si="319"/>
        <v/>
      </c>
      <c r="H1914">
        <f>IF(B1914&lt;&gt;"", SUMIFS(ポートフォリオ実績!$D$2:$D$2001, ポートフォリオ実績!$B$2:$B$2001, B1914, ポートフォリオ実績!$A$2:$A$2001, G1914), 0)</f>
        <v>0</v>
      </c>
      <c r="I1914">
        <f>IF(B1914&lt;&gt;"", SUMIFS(ポートフォリオ実績!$C$2:$C$2001, ポートフォリオ実績!$B$2:$B$2001, B1914, ポートフォリオ実績!$A$2:$A$2001, G1914), 0)</f>
        <v>0</v>
      </c>
      <c r="J1914">
        <f t="shared" si="320"/>
        <v>0</v>
      </c>
      <c r="K1914">
        <f t="shared" si="321"/>
        <v>0</v>
      </c>
      <c r="L1914">
        <f t="shared" si="322"/>
        <v>0</v>
      </c>
      <c r="M1914">
        <f t="shared" si="323"/>
        <v>0</v>
      </c>
      <c r="N1914">
        <f t="shared" si="324"/>
        <v>0</v>
      </c>
      <c r="O1914">
        <f t="shared" si="325"/>
        <v>0</v>
      </c>
      <c r="P1914" t="str">
        <f t="shared" si="326"/>
        <v/>
      </c>
      <c r="Q1914" t="str">
        <f>IF(B1914="","", IFERROR(VLOOKUP(B1914, '基準資産配分（設定）'!$A$2:$C$2001, 3, FALSE), ""))</f>
        <v/>
      </c>
      <c r="R1914" t="str">
        <f>IF(B1914="","", IFERROR(VLOOKUP(B1914, '基準資産配分（設定）'!$A$2:$C$2001, 2, FALSE)/100, 0))</f>
        <v/>
      </c>
      <c r="S1914" t="str">
        <f>IF(B1914="","", IFERROR(SUMIFS(ベンチマークリターン!$C$2:$C$2001, ベンチマークリターン!$A$2:$A$2001, A1914, ベンチマークリターン!$B$2:$B$2001, Q1914) / 100, 0))</f>
        <v/>
      </c>
      <c r="T1914" t="str">
        <f>IF(A1914="","", SUMIFS($H$2:$H$2000, $A$2:$A$2000, A1914))</f>
        <v/>
      </c>
      <c r="U1914" t="str">
        <f t="shared" si="327"/>
        <v/>
      </c>
      <c r="V1914" t="str">
        <f t="shared" si="328"/>
        <v/>
      </c>
      <c r="W1914" t="str">
        <f t="shared" si="329"/>
        <v/>
      </c>
    </row>
    <row r="1915" spans="1:23" x14ac:dyDescent="0.2">
      <c r="A1915" s="4" t="str">
        <f>IF(ポートフォリオ実績!A1916="","", ポートフォリオ実績!A1916)</f>
        <v/>
      </c>
      <c r="B1915" t="str">
        <f>IF(ポートフォリオ実績!B1916="","", ポートフォリオ実績!B1916)</f>
        <v/>
      </c>
      <c r="C1915" s="10" t="str">
        <f>IF(ポートフォリオ実績!C1916="","", ポートフォリオ実績!C1916)</f>
        <v/>
      </c>
      <c r="D1915" s="10" t="str">
        <f>IF(ポートフォリオ実績!D1916="","", ポートフォリオ実績!D1916)</f>
        <v/>
      </c>
      <c r="E1915" s="10" t="str">
        <f>IF(ポートフォリオ実績!E1916="","", ポートフォリオ実績!E1916)</f>
        <v/>
      </c>
      <c r="F1915" s="10" t="str">
        <f>IF(ポートフォリオ実績!F1916="","", ポートフォリオ実績!F1916)</f>
        <v/>
      </c>
      <c r="G1915" t="str">
        <f t="shared" si="319"/>
        <v/>
      </c>
      <c r="H1915">
        <f>IF(B1915&lt;&gt;"", SUMIFS(ポートフォリオ実績!$D$2:$D$2001, ポートフォリオ実績!$B$2:$B$2001, B1915, ポートフォリオ実績!$A$2:$A$2001, G1915), 0)</f>
        <v>0</v>
      </c>
      <c r="I1915">
        <f>IF(B1915&lt;&gt;"", SUMIFS(ポートフォリオ実績!$C$2:$C$2001, ポートフォリオ実績!$B$2:$B$2001, B1915, ポートフォリオ実績!$A$2:$A$2001, G1915), 0)</f>
        <v>0</v>
      </c>
      <c r="J1915">
        <f t="shared" si="320"/>
        <v>0</v>
      </c>
      <c r="K1915">
        <f t="shared" si="321"/>
        <v>0</v>
      </c>
      <c r="L1915">
        <f t="shared" si="322"/>
        <v>0</v>
      </c>
      <c r="M1915">
        <f t="shared" si="323"/>
        <v>0</v>
      </c>
      <c r="N1915">
        <f t="shared" si="324"/>
        <v>0</v>
      </c>
      <c r="O1915">
        <f t="shared" si="325"/>
        <v>0</v>
      </c>
      <c r="P1915" t="str">
        <f t="shared" si="326"/>
        <v/>
      </c>
      <c r="Q1915" t="str">
        <f>IF(B1915="","", IFERROR(VLOOKUP(B1915, '基準資産配分（設定）'!$A$2:$C$2001, 3, FALSE), ""))</f>
        <v/>
      </c>
      <c r="R1915" t="str">
        <f>IF(B1915="","", IFERROR(VLOOKUP(B1915, '基準資産配分（設定）'!$A$2:$C$2001, 2, FALSE)/100, 0))</f>
        <v/>
      </c>
      <c r="S1915" t="str">
        <f>IF(B1915="","", IFERROR(SUMIFS(ベンチマークリターン!$C$2:$C$2001, ベンチマークリターン!$A$2:$A$2001, A1915, ベンチマークリターン!$B$2:$B$2001, Q1915) / 100, 0))</f>
        <v/>
      </c>
      <c r="T1915" t="str">
        <f>IF(A1915="","", SUMIFS($H$2:$H$2000, $A$2:$A$2000, A1915))</f>
        <v/>
      </c>
      <c r="U1915" t="str">
        <f t="shared" si="327"/>
        <v/>
      </c>
      <c r="V1915" t="str">
        <f t="shared" si="328"/>
        <v/>
      </c>
      <c r="W1915" t="str">
        <f t="shared" si="329"/>
        <v/>
      </c>
    </row>
    <row r="1916" spans="1:23" x14ac:dyDescent="0.2">
      <c r="A1916" s="4" t="str">
        <f>IF(ポートフォリオ実績!A1917="","", ポートフォリオ実績!A1917)</f>
        <v/>
      </c>
      <c r="B1916" t="str">
        <f>IF(ポートフォリオ実績!B1917="","", ポートフォリオ実績!B1917)</f>
        <v/>
      </c>
      <c r="C1916" s="10" t="str">
        <f>IF(ポートフォリオ実績!C1917="","", ポートフォリオ実績!C1917)</f>
        <v/>
      </c>
      <c r="D1916" s="10" t="str">
        <f>IF(ポートフォリオ実績!D1917="","", ポートフォリオ実績!D1917)</f>
        <v/>
      </c>
      <c r="E1916" s="10" t="str">
        <f>IF(ポートフォリオ実績!E1917="","", ポートフォリオ実績!E1917)</f>
        <v/>
      </c>
      <c r="F1916" s="10" t="str">
        <f>IF(ポートフォリオ実績!F1917="","", ポートフォリオ実績!F1917)</f>
        <v/>
      </c>
      <c r="G1916" t="str">
        <f t="shared" si="319"/>
        <v/>
      </c>
      <c r="H1916">
        <f>IF(B1916&lt;&gt;"", SUMIFS(ポートフォリオ実績!$D$2:$D$2001, ポートフォリオ実績!$B$2:$B$2001, B1916, ポートフォリオ実績!$A$2:$A$2001, G1916), 0)</f>
        <v>0</v>
      </c>
      <c r="I1916">
        <f>IF(B1916&lt;&gt;"", SUMIFS(ポートフォリオ実績!$C$2:$C$2001, ポートフォリオ実績!$B$2:$B$2001, B1916, ポートフォリオ実績!$A$2:$A$2001, G1916), 0)</f>
        <v>0</v>
      </c>
      <c r="J1916">
        <f t="shared" si="320"/>
        <v>0</v>
      </c>
      <c r="K1916">
        <f t="shared" si="321"/>
        <v>0</v>
      </c>
      <c r="L1916">
        <f t="shared" si="322"/>
        <v>0</v>
      </c>
      <c r="M1916">
        <f t="shared" si="323"/>
        <v>0</v>
      </c>
      <c r="N1916">
        <f t="shared" si="324"/>
        <v>0</v>
      </c>
      <c r="O1916">
        <f t="shared" si="325"/>
        <v>0</v>
      </c>
      <c r="P1916" t="str">
        <f t="shared" si="326"/>
        <v/>
      </c>
      <c r="Q1916" t="str">
        <f>IF(B1916="","", IFERROR(VLOOKUP(B1916, '基準資産配分（設定）'!$A$2:$C$2001, 3, FALSE), ""))</f>
        <v/>
      </c>
      <c r="R1916" t="str">
        <f>IF(B1916="","", IFERROR(VLOOKUP(B1916, '基準資産配分（設定）'!$A$2:$C$2001, 2, FALSE)/100, 0))</f>
        <v/>
      </c>
      <c r="S1916" t="str">
        <f>IF(B1916="","", IFERROR(SUMIFS(ベンチマークリターン!$C$2:$C$2001, ベンチマークリターン!$A$2:$A$2001, A1916, ベンチマークリターン!$B$2:$B$2001, Q1916) / 100, 0))</f>
        <v/>
      </c>
      <c r="T1916" t="str">
        <f>IF(A1916="","", SUMIFS($H$2:$H$2000, $A$2:$A$2000, A1916))</f>
        <v/>
      </c>
      <c r="U1916" t="str">
        <f t="shared" si="327"/>
        <v/>
      </c>
      <c r="V1916" t="str">
        <f t="shared" si="328"/>
        <v/>
      </c>
      <c r="W1916" t="str">
        <f t="shared" si="329"/>
        <v/>
      </c>
    </row>
    <row r="1917" spans="1:23" x14ac:dyDescent="0.2">
      <c r="A1917" s="4" t="str">
        <f>IF(ポートフォリオ実績!A1918="","", ポートフォリオ実績!A1918)</f>
        <v/>
      </c>
      <c r="B1917" t="str">
        <f>IF(ポートフォリオ実績!B1918="","", ポートフォリオ実績!B1918)</f>
        <v/>
      </c>
      <c r="C1917" s="10" t="str">
        <f>IF(ポートフォリオ実績!C1918="","", ポートフォリオ実績!C1918)</f>
        <v/>
      </c>
      <c r="D1917" s="10" t="str">
        <f>IF(ポートフォリオ実績!D1918="","", ポートフォリオ実績!D1918)</f>
        <v/>
      </c>
      <c r="E1917" s="10" t="str">
        <f>IF(ポートフォリオ実績!E1918="","", ポートフォリオ実績!E1918)</f>
        <v/>
      </c>
      <c r="F1917" s="10" t="str">
        <f>IF(ポートフォリオ実績!F1918="","", ポートフォリオ実績!F1918)</f>
        <v/>
      </c>
      <c r="G1917" t="str">
        <f t="shared" si="319"/>
        <v/>
      </c>
      <c r="H1917">
        <f>IF(B1917&lt;&gt;"", SUMIFS(ポートフォリオ実績!$D$2:$D$2001, ポートフォリオ実績!$B$2:$B$2001, B1917, ポートフォリオ実績!$A$2:$A$2001, G1917), 0)</f>
        <v>0</v>
      </c>
      <c r="I1917">
        <f>IF(B1917&lt;&gt;"", SUMIFS(ポートフォリオ実績!$C$2:$C$2001, ポートフォリオ実績!$B$2:$B$2001, B1917, ポートフォリオ実績!$A$2:$A$2001, G1917), 0)</f>
        <v>0</v>
      </c>
      <c r="J1917">
        <f t="shared" si="320"/>
        <v>0</v>
      </c>
      <c r="K1917">
        <f t="shared" si="321"/>
        <v>0</v>
      </c>
      <c r="L1917">
        <f t="shared" si="322"/>
        <v>0</v>
      </c>
      <c r="M1917">
        <f t="shared" si="323"/>
        <v>0</v>
      </c>
      <c r="N1917">
        <f t="shared" si="324"/>
        <v>0</v>
      </c>
      <c r="O1917">
        <f t="shared" si="325"/>
        <v>0</v>
      </c>
      <c r="P1917" t="str">
        <f t="shared" si="326"/>
        <v/>
      </c>
      <c r="Q1917" t="str">
        <f>IF(B1917="","", IFERROR(VLOOKUP(B1917, '基準資産配分（設定）'!$A$2:$C$2001, 3, FALSE), ""))</f>
        <v/>
      </c>
      <c r="R1917" t="str">
        <f>IF(B1917="","", IFERROR(VLOOKUP(B1917, '基準資産配分（設定）'!$A$2:$C$2001, 2, FALSE)/100, 0))</f>
        <v/>
      </c>
      <c r="S1917" t="str">
        <f>IF(B1917="","", IFERROR(SUMIFS(ベンチマークリターン!$C$2:$C$2001, ベンチマークリターン!$A$2:$A$2001, A1917, ベンチマークリターン!$B$2:$B$2001, Q1917) / 100, 0))</f>
        <v/>
      </c>
      <c r="T1917" t="str">
        <f>IF(A1917="","", SUMIFS($H$2:$H$2000, $A$2:$A$2000, A1917))</f>
        <v/>
      </c>
      <c r="U1917" t="str">
        <f t="shared" si="327"/>
        <v/>
      </c>
      <c r="V1917" t="str">
        <f t="shared" si="328"/>
        <v/>
      </c>
      <c r="W1917" t="str">
        <f t="shared" si="329"/>
        <v/>
      </c>
    </row>
    <row r="1918" spans="1:23" x14ac:dyDescent="0.2">
      <c r="A1918" s="4" t="str">
        <f>IF(ポートフォリオ実績!A1919="","", ポートフォリオ実績!A1919)</f>
        <v/>
      </c>
      <c r="B1918" t="str">
        <f>IF(ポートフォリオ実績!B1919="","", ポートフォリオ実績!B1919)</f>
        <v/>
      </c>
      <c r="C1918" s="10" t="str">
        <f>IF(ポートフォリオ実績!C1919="","", ポートフォリオ実績!C1919)</f>
        <v/>
      </c>
      <c r="D1918" s="10" t="str">
        <f>IF(ポートフォリオ実績!D1919="","", ポートフォリオ実績!D1919)</f>
        <v/>
      </c>
      <c r="E1918" s="10" t="str">
        <f>IF(ポートフォリオ実績!E1919="","", ポートフォリオ実績!E1919)</f>
        <v/>
      </c>
      <c r="F1918" s="10" t="str">
        <f>IF(ポートフォリオ実績!F1919="","", ポートフォリオ実績!F1919)</f>
        <v/>
      </c>
      <c r="G1918" t="str">
        <f t="shared" si="319"/>
        <v/>
      </c>
      <c r="H1918">
        <f>IF(B1918&lt;&gt;"", SUMIFS(ポートフォリオ実績!$D$2:$D$2001, ポートフォリオ実績!$B$2:$B$2001, B1918, ポートフォリオ実績!$A$2:$A$2001, G1918), 0)</f>
        <v>0</v>
      </c>
      <c r="I1918">
        <f>IF(B1918&lt;&gt;"", SUMIFS(ポートフォリオ実績!$C$2:$C$2001, ポートフォリオ実績!$B$2:$B$2001, B1918, ポートフォリオ実績!$A$2:$A$2001, G1918), 0)</f>
        <v>0</v>
      </c>
      <c r="J1918">
        <f t="shared" si="320"/>
        <v>0</v>
      </c>
      <c r="K1918">
        <f t="shared" si="321"/>
        <v>0</v>
      </c>
      <c r="L1918">
        <f t="shared" si="322"/>
        <v>0</v>
      </c>
      <c r="M1918">
        <f t="shared" si="323"/>
        <v>0</v>
      </c>
      <c r="N1918">
        <f t="shared" si="324"/>
        <v>0</v>
      </c>
      <c r="O1918">
        <f t="shared" si="325"/>
        <v>0</v>
      </c>
      <c r="P1918" t="str">
        <f t="shared" si="326"/>
        <v/>
      </c>
      <c r="Q1918" t="str">
        <f>IF(B1918="","", IFERROR(VLOOKUP(B1918, '基準資産配分（設定）'!$A$2:$C$2001, 3, FALSE), ""))</f>
        <v/>
      </c>
      <c r="R1918" t="str">
        <f>IF(B1918="","", IFERROR(VLOOKUP(B1918, '基準資産配分（設定）'!$A$2:$C$2001, 2, FALSE)/100, 0))</f>
        <v/>
      </c>
      <c r="S1918" t="str">
        <f>IF(B1918="","", IFERROR(SUMIFS(ベンチマークリターン!$C$2:$C$2001, ベンチマークリターン!$A$2:$A$2001, A1918, ベンチマークリターン!$B$2:$B$2001, Q1918) / 100, 0))</f>
        <v/>
      </c>
      <c r="T1918" t="str">
        <f>IF(A1918="","", SUMIFS($H$2:$H$2000, $A$2:$A$2000, A1918))</f>
        <v/>
      </c>
      <c r="U1918" t="str">
        <f t="shared" si="327"/>
        <v/>
      </c>
      <c r="V1918" t="str">
        <f t="shared" si="328"/>
        <v/>
      </c>
      <c r="W1918" t="str">
        <f t="shared" si="329"/>
        <v/>
      </c>
    </row>
    <row r="1919" spans="1:23" x14ac:dyDescent="0.2">
      <c r="A1919" s="4" t="str">
        <f>IF(ポートフォリオ実績!A1920="","", ポートフォリオ実績!A1920)</f>
        <v/>
      </c>
      <c r="B1919" t="str">
        <f>IF(ポートフォリオ実績!B1920="","", ポートフォリオ実績!B1920)</f>
        <v/>
      </c>
      <c r="C1919" s="10" t="str">
        <f>IF(ポートフォリオ実績!C1920="","", ポートフォリオ実績!C1920)</f>
        <v/>
      </c>
      <c r="D1919" s="10" t="str">
        <f>IF(ポートフォリオ実績!D1920="","", ポートフォリオ実績!D1920)</f>
        <v/>
      </c>
      <c r="E1919" s="10" t="str">
        <f>IF(ポートフォリオ実績!E1920="","", ポートフォリオ実績!E1920)</f>
        <v/>
      </c>
      <c r="F1919" s="10" t="str">
        <f>IF(ポートフォリオ実績!F1920="","", ポートフォリオ実績!F1920)</f>
        <v/>
      </c>
      <c r="G1919" t="str">
        <f t="shared" si="319"/>
        <v/>
      </c>
      <c r="H1919">
        <f>IF(B1919&lt;&gt;"", SUMIFS(ポートフォリオ実績!$D$2:$D$2001, ポートフォリオ実績!$B$2:$B$2001, B1919, ポートフォリオ実績!$A$2:$A$2001, G1919), 0)</f>
        <v>0</v>
      </c>
      <c r="I1919">
        <f>IF(B1919&lt;&gt;"", SUMIFS(ポートフォリオ実績!$C$2:$C$2001, ポートフォリオ実績!$B$2:$B$2001, B1919, ポートフォリオ実績!$A$2:$A$2001, G1919), 0)</f>
        <v>0</v>
      </c>
      <c r="J1919">
        <f t="shared" si="320"/>
        <v>0</v>
      </c>
      <c r="K1919">
        <f t="shared" si="321"/>
        <v>0</v>
      </c>
      <c r="L1919">
        <f t="shared" si="322"/>
        <v>0</v>
      </c>
      <c r="M1919">
        <f t="shared" si="323"/>
        <v>0</v>
      </c>
      <c r="N1919">
        <f t="shared" si="324"/>
        <v>0</v>
      </c>
      <c r="O1919">
        <f t="shared" si="325"/>
        <v>0</v>
      </c>
      <c r="P1919" t="str">
        <f t="shared" si="326"/>
        <v/>
      </c>
      <c r="Q1919" t="str">
        <f>IF(B1919="","", IFERROR(VLOOKUP(B1919, '基準資産配分（設定）'!$A$2:$C$2001, 3, FALSE), ""))</f>
        <v/>
      </c>
      <c r="R1919" t="str">
        <f>IF(B1919="","", IFERROR(VLOOKUP(B1919, '基準資産配分（設定）'!$A$2:$C$2001, 2, FALSE)/100, 0))</f>
        <v/>
      </c>
      <c r="S1919" t="str">
        <f>IF(B1919="","", IFERROR(SUMIFS(ベンチマークリターン!$C$2:$C$2001, ベンチマークリターン!$A$2:$A$2001, A1919, ベンチマークリターン!$B$2:$B$2001, Q1919) / 100, 0))</f>
        <v/>
      </c>
      <c r="T1919" t="str">
        <f>IF(A1919="","", SUMIFS($H$2:$H$2000, $A$2:$A$2000, A1919))</f>
        <v/>
      </c>
      <c r="U1919" t="str">
        <f t="shared" si="327"/>
        <v/>
      </c>
      <c r="V1919" t="str">
        <f t="shared" si="328"/>
        <v/>
      </c>
      <c r="W1919" t="str">
        <f t="shared" si="329"/>
        <v/>
      </c>
    </row>
    <row r="1920" spans="1:23" x14ac:dyDescent="0.2">
      <c r="A1920" s="4" t="str">
        <f>IF(ポートフォリオ実績!A1921="","", ポートフォリオ実績!A1921)</f>
        <v/>
      </c>
      <c r="B1920" t="str">
        <f>IF(ポートフォリオ実績!B1921="","", ポートフォリオ実績!B1921)</f>
        <v/>
      </c>
      <c r="C1920" s="10" t="str">
        <f>IF(ポートフォリオ実績!C1921="","", ポートフォリオ実績!C1921)</f>
        <v/>
      </c>
      <c r="D1920" s="10" t="str">
        <f>IF(ポートフォリオ実績!D1921="","", ポートフォリオ実績!D1921)</f>
        <v/>
      </c>
      <c r="E1920" s="10" t="str">
        <f>IF(ポートフォリオ実績!E1921="","", ポートフォリオ実績!E1921)</f>
        <v/>
      </c>
      <c r="F1920" s="10" t="str">
        <f>IF(ポートフォリオ実績!F1921="","", ポートフォリオ実績!F1921)</f>
        <v/>
      </c>
      <c r="G1920" t="str">
        <f t="shared" si="319"/>
        <v/>
      </c>
      <c r="H1920">
        <f>IF(B1920&lt;&gt;"", SUMIFS(ポートフォリオ実績!$D$2:$D$2001, ポートフォリオ実績!$B$2:$B$2001, B1920, ポートフォリオ実績!$A$2:$A$2001, G1920), 0)</f>
        <v>0</v>
      </c>
      <c r="I1920">
        <f>IF(B1920&lt;&gt;"", SUMIFS(ポートフォリオ実績!$C$2:$C$2001, ポートフォリオ実績!$B$2:$B$2001, B1920, ポートフォリオ実績!$A$2:$A$2001, G1920), 0)</f>
        <v>0</v>
      </c>
      <c r="J1920">
        <f t="shared" si="320"/>
        <v>0</v>
      </c>
      <c r="K1920">
        <f t="shared" si="321"/>
        <v>0</v>
      </c>
      <c r="L1920">
        <f t="shared" si="322"/>
        <v>0</v>
      </c>
      <c r="M1920">
        <f t="shared" si="323"/>
        <v>0</v>
      </c>
      <c r="N1920">
        <f t="shared" si="324"/>
        <v>0</v>
      </c>
      <c r="O1920">
        <f t="shared" si="325"/>
        <v>0</v>
      </c>
      <c r="P1920" t="str">
        <f t="shared" si="326"/>
        <v/>
      </c>
      <c r="Q1920" t="str">
        <f>IF(B1920="","", IFERROR(VLOOKUP(B1920, '基準資産配分（設定）'!$A$2:$C$2001, 3, FALSE), ""))</f>
        <v/>
      </c>
      <c r="R1920" t="str">
        <f>IF(B1920="","", IFERROR(VLOOKUP(B1920, '基準資産配分（設定）'!$A$2:$C$2001, 2, FALSE)/100, 0))</f>
        <v/>
      </c>
      <c r="S1920" t="str">
        <f>IF(B1920="","", IFERROR(SUMIFS(ベンチマークリターン!$C$2:$C$2001, ベンチマークリターン!$A$2:$A$2001, A1920, ベンチマークリターン!$B$2:$B$2001, Q1920) / 100, 0))</f>
        <v/>
      </c>
      <c r="T1920" t="str">
        <f>IF(A1920="","", SUMIFS($H$2:$H$2000, $A$2:$A$2000, A1920))</f>
        <v/>
      </c>
      <c r="U1920" t="str">
        <f t="shared" si="327"/>
        <v/>
      </c>
      <c r="V1920" t="str">
        <f t="shared" si="328"/>
        <v/>
      </c>
      <c r="W1920" t="str">
        <f t="shared" si="329"/>
        <v/>
      </c>
    </row>
    <row r="1921" spans="1:23" x14ac:dyDescent="0.2">
      <c r="A1921" s="4" t="str">
        <f>IF(ポートフォリオ実績!A1922="","", ポートフォリオ実績!A1922)</f>
        <v/>
      </c>
      <c r="B1921" t="str">
        <f>IF(ポートフォリオ実績!B1922="","", ポートフォリオ実績!B1922)</f>
        <v/>
      </c>
      <c r="C1921" s="10" t="str">
        <f>IF(ポートフォリオ実績!C1922="","", ポートフォリオ実績!C1922)</f>
        <v/>
      </c>
      <c r="D1921" s="10" t="str">
        <f>IF(ポートフォリオ実績!D1922="","", ポートフォリオ実績!D1922)</f>
        <v/>
      </c>
      <c r="E1921" s="10" t="str">
        <f>IF(ポートフォリオ実績!E1922="","", ポートフォリオ実績!E1922)</f>
        <v/>
      </c>
      <c r="F1921" s="10" t="str">
        <f>IF(ポートフォリオ実績!F1922="","", ポートフォリオ実績!F1922)</f>
        <v/>
      </c>
      <c r="G1921" t="str">
        <f t="shared" ref="G1921:G1984" si="330">IF(A1921&lt;&gt;"", EOMONTH(A1921, -1), "")</f>
        <v/>
      </c>
      <c r="H1921">
        <f>IF(B1921&lt;&gt;"", SUMIFS(ポートフォリオ実績!$D$2:$D$2001, ポートフォリオ実績!$B$2:$B$2001, B1921, ポートフォリオ実績!$A$2:$A$2001, G1921), 0)</f>
        <v>0</v>
      </c>
      <c r="I1921">
        <f>IF(B1921&lt;&gt;"", SUMIFS(ポートフォリオ実績!$C$2:$C$2001, ポートフォリオ実績!$B$2:$B$2001, B1921, ポートフォリオ実績!$A$2:$A$2001, G1921), 0)</f>
        <v>0</v>
      </c>
      <c r="J1921">
        <f t="shared" ref="J1921:J1984" si="331">IF(A1921&lt;&gt;"", D1921-C1921, 0)</f>
        <v>0</v>
      </c>
      <c r="K1921">
        <f t="shared" ref="K1921:K1984" si="332">IF(A1921&lt;&gt;"", H1921-I1921, 0)</f>
        <v>0</v>
      </c>
      <c r="L1921">
        <f t="shared" ref="L1921:L1984" si="333">IF(H1921=0, 0, J1921-K1921)</f>
        <v>0</v>
      </c>
      <c r="M1921">
        <f t="shared" ref="M1921:M1984" si="334">IF(A1921&lt;&gt;"", E1921+F1921+L1921, 0)</f>
        <v>0</v>
      </c>
      <c r="N1921">
        <f t="shared" ref="N1921:N1984" si="335">IF(H1921=0, 0, (D1921-H1921)-M1921)</f>
        <v>0</v>
      </c>
      <c r="O1921">
        <f t="shared" ref="O1921:O1984" si="336">IF(A1921&lt;&gt;"", H1921+N1921*0.5, 0)</f>
        <v>0</v>
      </c>
      <c r="P1921" t="str">
        <f t="shared" ref="P1921:P1984" si="337">IF(A1921="","", IF(O1921&gt;0.000001, M1921/O1921, IF(ABS(M1921)&lt;0.000001, 0, 0)))</f>
        <v/>
      </c>
      <c r="Q1921" t="str">
        <f>IF(B1921="","", IFERROR(VLOOKUP(B1921, '基準資産配分（設定）'!$A$2:$C$2001, 3, FALSE), ""))</f>
        <v/>
      </c>
      <c r="R1921" t="str">
        <f>IF(B1921="","", IFERROR(VLOOKUP(B1921, '基準資産配分（設定）'!$A$2:$C$2001, 2, FALSE)/100, 0))</f>
        <v/>
      </c>
      <c r="S1921" t="str">
        <f>IF(B1921="","", IFERROR(SUMIFS(ベンチマークリターン!$C$2:$C$2001, ベンチマークリターン!$A$2:$A$2001, A1921, ベンチマークリターン!$B$2:$B$2001, Q1921) / 100, 0))</f>
        <v/>
      </c>
      <c r="T1921" t="str">
        <f>IF(A1921="","", SUMIFS($H$2:$H$2000, $A$2:$A$2000, A1921))</f>
        <v/>
      </c>
      <c r="U1921" t="str">
        <f t="shared" ref="U1921:U1984" si="338">IF(A1921="","", IFERROR(H1921/T1921, 0))</f>
        <v/>
      </c>
      <c r="V1921" t="str">
        <f t="shared" ref="V1921:V1984" si="339">IF(A1921="","", U1921*P1921)</f>
        <v/>
      </c>
      <c r="W1921" t="str">
        <f t="shared" ref="W1921:W1984" si="340">IF(A1921="","", R1921*S1921)</f>
        <v/>
      </c>
    </row>
    <row r="1922" spans="1:23" x14ac:dyDescent="0.2">
      <c r="A1922" s="4" t="str">
        <f>IF(ポートフォリオ実績!A1923="","", ポートフォリオ実績!A1923)</f>
        <v/>
      </c>
      <c r="B1922" t="str">
        <f>IF(ポートフォリオ実績!B1923="","", ポートフォリオ実績!B1923)</f>
        <v/>
      </c>
      <c r="C1922" s="10" t="str">
        <f>IF(ポートフォリオ実績!C1923="","", ポートフォリオ実績!C1923)</f>
        <v/>
      </c>
      <c r="D1922" s="10" t="str">
        <f>IF(ポートフォリオ実績!D1923="","", ポートフォリオ実績!D1923)</f>
        <v/>
      </c>
      <c r="E1922" s="10" t="str">
        <f>IF(ポートフォリオ実績!E1923="","", ポートフォリオ実績!E1923)</f>
        <v/>
      </c>
      <c r="F1922" s="10" t="str">
        <f>IF(ポートフォリオ実績!F1923="","", ポートフォリオ実績!F1923)</f>
        <v/>
      </c>
      <c r="G1922" t="str">
        <f t="shared" si="330"/>
        <v/>
      </c>
      <c r="H1922">
        <f>IF(B1922&lt;&gt;"", SUMIFS(ポートフォリオ実績!$D$2:$D$2001, ポートフォリオ実績!$B$2:$B$2001, B1922, ポートフォリオ実績!$A$2:$A$2001, G1922), 0)</f>
        <v>0</v>
      </c>
      <c r="I1922">
        <f>IF(B1922&lt;&gt;"", SUMIFS(ポートフォリオ実績!$C$2:$C$2001, ポートフォリオ実績!$B$2:$B$2001, B1922, ポートフォリオ実績!$A$2:$A$2001, G1922), 0)</f>
        <v>0</v>
      </c>
      <c r="J1922">
        <f t="shared" si="331"/>
        <v>0</v>
      </c>
      <c r="K1922">
        <f t="shared" si="332"/>
        <v>0</v>
      </c>
      <c r="L1922">
        <f t="shared" si="333"/>
        <v>0</v>
      </c>
      <c r="M1922">
        <f t="shared" si="334"/>
        <v>0</v>
      </c>
      <c r="N1922">
        <f t="shared" si="335"/>
        <v>0</v>
      </c>
      <c r="O1922">
        <f t="shared" si="336"/>
        <v>0</v>
      </c>
      <c r="P1922" t="str">
        <f t="shared" si="337"/>
        <v/>
      </c>
      <c r="Q1922" t="str">
        <f>IF(B1922="","", IFERROR(VLOOKUP(B1922, '基準資産配分（設定）'!$A$2:$C$2001, 3, FALSE), ""))</f>
        <v/>
      </c>
      <c r="R1922" t="str">
        <f>IF(B1922="","", IFERROR(VLOOKUP(B1922, '基準資産配分（設定）'!$A$2:$C$2001, 2, FALSE)/100, 0))</f>
        <v/>
      </c>
      <c r="S1922" t="str">
        <f>IF(B1922="","", IFERROR(SUMIFS(ベンチマークリターン!$C$2:$C$2001, ベンチマークリターン!$A$2:$A$2001, A1922, ベンチマークリターン!$B$2:$B$2001, Q1922) / 100, 0))</f>
        <v/>
      </c>
      <c r="T1922" t="str">
        <f>IF(A1922="","", SUMIFS($H$2:$H$2000, $A$2:$A$2000, A1922))</f>
        <v/>
      </c>
      <c r="U1922" t="str">
        <f t="shared" si="338"/>
        <v/>
      </c>
      <c r="V1922" t="str">
        <f t="shared" si="339"/>
        <v/>
      </c>
      <c r="W1922" t="str">
        <f t="shared" si="340"/>
        <v/>
      </c>
    </row>
    <row r="1923" spans="1:23" x14ac:dyDescent="0.2">
      <c r="A1923" s="4" t="str">
        <f>IF(ポートフォリオ実績!A1924="","", ポートフォリオ実績!A1924)</f>
        <v/>
      </c>
      <c r="B1923" t="str">
        <f>IF(ポートフォリオ実績!B1924="","", ポートフォリオ実績!B1924)</f>
        <v/>
      </c>
      <c r="C1923" s="10" t="str">
        <f>IF(ポートフォリオ実績!C1924="","", ポートフォリオ実績!C1924)</f>
        <v/>
      </c>
      <c r="D1923" s="10" t="str">
        <f>IF(ポートフォリオ実績!D1924="","", ポートフォリオ実績!D1924)</f>
        <v/>
      </c>
      <c r="E1923" s="10" t="str">
        <f>IF(ポートフォリオ実績!E1924="","", ポートフォリオ実績!E1924)</f>
        <v/>
      </c>
      <c r="F1923" s="10" t="str">
        <f>IF(ポートフォリオ実績!F1924="","", ポートフォリオ実績!F1924)</f>
        <v/>
      </c>
      <c r="G1923" t="str">
        <f t="shared" si="330"/>
        <v/>
      </c>
      <c r="H1923">
        <f>IF(B1923&lt;&gt;"", SUMIFS(ポートフォリオ実績!$D$2:$D$2001, ポートフォリオ実績!$B$2:$B$2001, B1923, ポートフォリオ実績!$A$2:$A$2001, G1923), 0)</f>
        <v>0</v>
      </c>
      <c r="I1923">
        <f>IF(B1923&lt;&gt;"", SUMIFS(ポートフォリオ実績!$C$2:$C$2001, ポートフォリオ実績!$B$2:$B$2001, B1923, ポートフォリオ実績!$A$2:$A$2001, G1923), 0)</f>
        <v>0</v>
      </c>
      <c r="J1923">
        <f t="shared" si="331"/>
        <v>0</v>
      </c>
      <c r="K1923">
        <f t="shared" si="332"/>
        <v>0</v>
      </c>
      <c r="L1923">
        <f t="shared" si="333"/>
        <v>0</v>
      </c>
      <c r="M1923">
        <f t="shared" si="334"/>
        <v>0</v>
      </c>
      <c r="N1923">
        <f t="shared" si="335"/>
        <v>0</v>
      </c>
      <c r="O1923">
        <f t="shared" si="336"/>
        <v>0</v>
      </c>
      <c r="P1923" t="str">
        <f t="shared" si="337"/>
        <v/>
      </c>
      <c r="Q1923" t="str">
        <f>IF(B1923="","", IFERROR(VLOOKUP(B1923, '基準資産配分（設定）'!$A$2:$C$2001, 3, FALSE), ""))</f>
        <v/>
      </c>
      <c r="R1923" t="str">
        <f>IF(B1923="","", IFERROR(VLOOKUP(B1923, '基準資産配分（設定）'!$A$2:$C$2001, 2, FALSE)/100, 0))</f>
        <v/>
      </c>
      <c r="S1923" t="str">
        <f>IF(B1923="","", IFERROR(SUMIFS(ベンチマークリターン!$C$2:$C$2001, ベンチマークリターン!$A$2:$A$2001, A1923, ベンチマークリターン!$B$2:$B$2001, Q1923) / 100, 0))</f>
        <v/>
      </c>
      <c r="T1923" t="str">
        <f>IF(A1923="","", SUMIFS($H$2:$H$2000, $A$2:$A$2000, A1923))</f>
        <v/>
      </c>
      <c r="U1923" t="str">
        <f t="shared" si="338"/>
        <v/>
      </c>
      <c r="V1923" t="str">
        <f t="shared" si="339"/>
        <v/>
      </c>
      <c r="W1923" t="str">
        <f t="shared" si="340"/>
        <v/>
      </c>
    </row>
    <row r="1924" spans="1:23" x14ac:dyDescent="0.2">
      <c r="A1924" s="4" t="str">
        <f>IF(ポートフォリオ実績!A1925="","", ポートフォリオ実績!A1925)</f>
        <v/>
      </c>
      <c r="B1924" t="str">
        <f>IF(ポートフォリオ実績!B1925="","", ポートフォリオ実績!B1925)</f>
        <v/>
      </c>
      <c r="C1924" s="10" t="str">
        <f>IF(ポートフォリオ実績!C1925="","", ポートフォリオ実績!C1925)</f>
        <v/>
      </c>
      <c r="D1924" s="10" t="str">
        <f>IF(ポートフォリオ実績!D1925="","", ポートフォリオ実績!D1925)</f>
        <v/>
      </c>
      <c r="E1924" s="10" t="str">
        <f>IF(ポートフォリオ実績!E1925="","", ポートフォリオ実績!E1925)</f>
        <v/>
      </c>
      <c r="F1924" s="10" t="str">
        <f>IF(ポートフォリオ実績!F1925="","", ポートフォリオ実績!F1925)</f>
        <v/>
      </c>
      <c r="G1924" t="str">
        <f t="shared" si="330"/>
        <v/>
      </c>
      <c r="H1924">
        <f>IF(B1924&lt;&gt;"", SUMIFS(ポートフォリオ実績!$D$2:$D$2001, ポートフォリオ実績!$B$2:$B$2001, B1924, ポートフォリオ実績!$A$2:$A$2001, G1924), 0)</f>
        <v>0</v>
      </c>
      <c r="I1924">
        <f>IF(B1924&lt;&gt;"", SUMIFS(ポートフォリオ実績!$C$2:$C$2001, ポートフォリオ実績!$B$2:$B$2001, B1924, ポートフォリオ実績!$A$2:$A$2001, G1924), 0)</f>
        <v>0</v>
      </c>
      <c r="J1924">
        <f t="shared" si="331"/>
        <v>0</v>
      </c>
      <c r="K1924">
        <f t="shared" si="332"/>
        <v>0</v>
      </c>
      <c r="L1924">
        <f t="shared" si="333"/>
        <v>0</v>
      </c>
      <c r="M1924">
        <f t="shared" si="334"/>
        <v>0</v>
      </c>
      <c r="N1924">
        <f t="shared" si="335"/>
        <v>0</v>
      </c>
      <c r="O1924">
        <f t="shared" si="336"/>
        <v>0</v>
      </c>
      <c r="P1924" t="str">
        <f t="shared" si="337"/>
        <v/>
      </c>
      <c r="Q1924" t="str">
        <f>IF(B1924="","", IFERROR(VLOOKUP(B1924, '基準資産配分（設定）'!$A$2:$C$2001, 3, FALSE), ""))</f>
        <v/>
      </c>
      <c r="R1924" t="str">
        <f>IF(B1924="","", IFERROR(VLOOKUP(B1924, '基準資産配分（設定）'!$A$2:$C$2001, 2, FALSE)/100, 0))</f>
        <v/>
      </c>
      <c r="S1924" t="str">
        <f>IF(B1924="","", IFERROR(SUMIFS(ベンチマークリターン!$C$2:$C$2001, ベンチマークリターン!$A$2:$A$2001, A1924, ベンチマークリターン!$B$2:$B$2001, Q1924) / 100, 0))</f>
        <v/>
      </c>
      <c r="T1924" t="str">
        <f>IF(A1924="","", SUMIFS($H$2:$H$2000, $A$2:$A$2000, A1924))</f>
        <v/>
      </c>
      <c r="U1924" t="str">
        <f t="shared" si="338"/>
        <v/>
      </c>
      <c r="V1924" t="str">
        <f t="shared" si="339"/>
        <v/>
      </c>
      <c r="W1924" t="str">
        <f t="shared" si="340"/>
        <v/>
      </c>
    </row>
    <row r="1925" spans="1:23" x14ac:dyDescent="0.2">
      <c r="A1925" s="4" t="str">
        <f>IF(ポートフォリオ実績!A1926="","", ポートフォリオ実績!A1926)</f>
        <v/>
      </c>
      <c r="B1925" t="str">
        <f>IF(ポートフォリオ実績!B1926="","", ポートフォリオ実績!B1926)</f>
        <v/>
      </c>
      <c r="C1925" s="10" t="str">
        <f>IF(ポートフォリオ実績!C1926="","", ポートフォリオ実績!C1926)</f>
        <v/>
      </c>
      <c r="D1925" s="10" t="str">
        <f>IF(ポートフォリオ実績!D1926="","", ポートフォリオ実績!D1926)</f>
        <v/>
      </c>
      <c r="E1925" s="10" t="str">
        <f>IF(ポートフォリオ実績!E1926="","", ポートフォリオ実績!E1926)</f>
        <v/>
      </c>
      <c r="F1925" s="10" t="str">
        <f>IF(ポートフォリオ実績!F1926="","", ポートフォリオ実績!F1926)</f>
        <v/>
      </c>
      <c r="G1925" t="str">
        <f t="shared" si="330"/>
        <v/>
      </c>
      <c r="H1925">
        <f>IF(B1925&lt;&gt;"", SUMIFS(ポートフォリオ実績!$D$2:$D$2001, ポートフォリオ実績!$B$2:$B$2001, B1925, ポートフォリオ実績!$A$2:$A$2001, G1925), 0)</f>
        <v>0</v>
      </c>
      <c r="I1925">
        <f>IF(B1925&lt;&gt;"", SUMIFS(ポートフォリオ実績!$C$2:$C$2001, ポートフォリオ実績!$B$2:$B$2001, B1925, ポートフォリオ実績!$A$2:$A$2001, G1925), 0)</f>
        <v>0</v>
      </c>
      <c r="J1925">
        <f t="shared" si="331"/>
        <v>0</v>
      </c>
      <c r="K1925">
        <f t="shared" si="332"/>
        <v>0</v>
      </c>
      <c r="L1925">
        <f t="shared" si="333"/>
        <v>0</v>
      </c>
      <c r="M1925">
        <f t="shared" si="334"/>
        <v>0</v>
      </c>
      <c r="N1925">
        <f t="shared" si="335"/>
        <v>0</v>
      </c>
      <c r="O1925">
        <f t="shared" si="336"/>
        <v>0</v>
      </c>
      <c r="P1925" t="str">
        <f t="shared" si="337"/>
        <v/>
      </c>
      <c r="Q1925" t="str">
        <f>IF(B1925="","", IFERROR(VLOOKUP(B1925, '基準資産配分（設定）'!$A$2:$C$2001, 3, FALSE), ""))</f>
        <v/>
      </c>
      <c r="R1925" t="str">
        <f>IF(B1925="","", IFERROR(VLOOKUP(B1925, '基準資産配分（設定）'!$A$2:$C$2001, 2, FALSE)/100, 0))</f>
        <v/>
      </c>
      <c r="S1925" t="str">
        <f>IF(B1925="","", IFERROR(SUMIFS(ベンチマークリターン!$C$2:$C$2001, ベンチマークリターン!$A$2:$A$2001, A1925, ベンチマークリターン!$B$2:$B$2001, Q1925) / 100, 0))</f>
        <v/>
      </c>
      <c r="T1925" t="str">
        <f>IF(A1925="","", SUMIFS($H$2:$H$2000, $A$2:$A$2000, A1925))</f>
        <v/>
      </c>
      <c r="U1925" t="str">
        <f t="shared" si="338"/>
        <v/>
      </c>
      <c r="V1925" t="str">
        <f t="shared" si="339"/>
        <v/>
      </c>
      <c r="W1925" t="str">
        <f t="shared" si="340"/>
        <v/>
      </c>
    </row>
    <row r="1926" spans="1:23" x14ac:dyDescent="0.2">
      <c r="A1926" s="4" t="str">
        <f>IF(ポートフォリオ実績!A1927="","", ポートフォリオ実績!A1927)</f>
        <v/>
      </c>
      <c r="B1926" t="str">
        <f>IF(ポートフォリオ実績!B1927="","", ポートフォリオ実績!B1927)</f>
        <v/>
      </c>
      <c r="C1926" s="10" t="str">
        <f>IF(ポートフォリオ実績!C1927="","", ポートフォリオ実績!C1927)</f>
        <v/>
      </c>
      <c r="D1926" s="10" t="str">
        <f>IF(ポートフォリオ実績!D1927="","", ポートフォリオ実績!D1927)</f>
        <v/>
      </c>
      <c r="E1926" s="10" t="str">
        <f>IF(ポートフォリオ実績!E1927="","", ポートフォリオ実績!E1927)</f>
        <v/>
      </c>
      <c r="F1926" s="10" t="str">
        <f>IF(ポートフォリオ実績!F1927="","", ポートフォリオ実績!F1927)</f>
        <v/>
      </c>
      <c r="G1926" t="str">
        <f t="shared" si="330"/>
        <v/>
      </c>
      <c r="H1926">
        <f>IF(B1926&lt;&gt;"", SUMIFS(ポートフォリオ実績!$D$2:$D$2001, ポートフォリオ実績!$B$2:$B$2001, B1926, ポートフォリオ実績!$A$2:$A$2001, G1926), 0)</f>
        <v>0</v>
      </c>
      <c r="I1926">
        <f>IF(B1926&lt;&gt;"", SUMIFS(ポートフォリオ実績!$C$2:$C$2001, ポートフォリオ実績!$B$2:$B$2001, B1926, ポートフォリオ実績!$A$2:$A$2001, G1926), 0)</f>
        <v>0</v>
      </c>
      <c r="J1926">
        <f t="shared" si="331"/>
        <v>0</v>
      </c>
      <c r="K1926">
        <f t="shared" si="332"/>
        <v>0</v>
      </c>
      <c r="L1926">
        <f t="shared" si="333"/>
        <v>0</v>
      </c>
      <c r="M1926">
        <f t="shared" si="334"/>
        <v>0</v>
      </c>
      <c r="N1926">
        <f t="shared" si="335"/>
        <v>0</v>
      </c>
      <c r="O1926">
        <f t="shared" si="336"/>
        <v>0</v>
      </c>
      <c r="P1926" t="str">
        <f t="shared" si="337"/>
        <v/>
      </c>
      <c r="Q1926" t="str">
        <f>IF(B1926="","", IFERROR(VLOOKUP(B1926, '基準資産配分（設定）'!$A$2:$C$2001, 3, FALSE), ""))</f>
        <v/>
      </c>
      <c r="R1926" t="str">
        <f>IF(B1926="","", IFERROR(VLOOKUP(B1926, '基準資産配分（設定）'!$A$2:$C$2001, 2, FALSE)/100, 0))</f>
        <v/>
      </c>
      <c r="S1926" t="str">
        <f>IF(B1926="","", IFERROR(SUMIFS(ベンチマークリターン!$C$2:$C$2001, ベンチマークリターン!$A$2:$A$2001, A1926, ベンチマークリターン!$B$2:$B$2001, Q1926) / 100, 0))</f>
        <v/>
      </c>
      <c r="T1926" t="str">
        <f>IF(A1926="","", SUMIFS($H$2:$H$2000, $A$2:$A$2000, A1926))</f>
        <v/>
      </c>
      <c r="U1926" t="str">
        <f t="shared" si="338"/>
        <v/>
      </c>
      <c r="V1926" t="str">
        <f t="shared" si="339"/>
        <v/>
      </c>
      <c r="W1926" t="str">
        <f t="shared" si="340"/>
        <v/>
      </c>
    </row>
    <row r="1927" spans="1:23" x14ac:dyDescent="0.2">
      <c r="A1927" s="4" t="str">
        <f>IF(ポートフォリオ実績!A1928="","", ポートフォリオ実績!A1928)</f>
        <v/>
      </c>
      <c r="B1927" t="str">
        <f>IF(ポートフォリオ実績!B1928="","", ポートフォリオ実績!B1928)</f>
        <v/>
      </c>
      <c r="C1927" s="10" t="str">
        <f>IF(ポートフォリオ実績!C1928="","", ポートフォリオ実績!C1928)</f>
        <v/>
      </c>
      <c r="D1927" s="10" t="str">
        <f>IF(ポートフォリオ実績!D1928="","", ポートフォリオ実績!D1928)</f>
        <v/>
      </c>
      <c r="E1927" s="10" t="str">
        <f>IF(ポートフォリオ実績!E1928="","", ポートフォリオ実績!E1928)</f>
        <v/>
      </c>
      <c r="F1927" s="10" t="str">
        <f>IF(ポートフォリオ実績!F1928="","", ポートフォリオ実績!F1928)</f>
        <v/>
      </c>
      <c r="G1927" t="str">
        <f t="shared" si="330"/>
        <v/>
      </c>
      <c r="H1927">
        <f>IF(B1927&lt;&gt;"", SUMIFS(ポートフォリオ実績!$D$2:$D$2001, ポートフォリオ実績!$B$2:$B$2001, B1927, ポートフォリオ実績!$A$2:$A$2001, G1927), 0)</f>
        <v>0</v>
      </c>
      <c r="I1927">
        <f>IF(B1927&lt;&gt;"", SUMIFS(ポートフォリオ実績!$C$2:$C$2001, ポートフォリオ実績!$B$2:$B$2001, B1927, ポートフォリオ実績!$A$2:$A$2001, G1927), 0)</f>
        <v>0</v>
      </c>
      <c r="J1927">
        <f t="shared" si="331"/>
        <v>0</v>
      </c>
      <c r="K1927">
        <f t="shared" si="332"/>
        <v>0</v>
      </c>
      <c r="L1927">
        <f t="shared" si="333"/>
        <v>0</v>
      </c>
      <c r="M1927">
        <f t="shared" si="334"/>
        <v>0</v>
      </c>
      <c r="N1927">
        <f t="shared" si="335"/>
        <v>0</v>
      </c>
      <c r="O1927">
        <f t="shared" si="336"/>
        <v>0</v>
      </c>
      <c r="P1927" t="str">
        <f t="shared" si="337"/>
        <v/>
      </c>
      <c r="Q1927" t="str">
        <f>IF(B1927="","", IFERROR(VLOOKUP(B1927, '基準資産配分（設定）'!$A$2:$C$2001, 3, FALSE), ""))</f>
        <v/>
      </c>
      <c r="R1927" t="str">
        <f>IF(B1927="","", IFERROR(VLOOKUP(B1927, '基準資産配分（設定）'!$A$2:$C$2001, 2, FALSE)/100, 0))</f>
        <v/>
      </c>
      <c r="S1927" t="str">
        <f>IF(B1927="","", IFERROR(SUMIFS(ベンチマークリターン!$C$2:$C$2001, ベンチマークリターン!$A$2:$A$2001, A1927, ベンチマークリターン!$B$2:$B$2001, Q1927) / 100, 0))</f>
        <v/>
      </c>
      <c r="T1927" t="str">
        <f>IF(A1927="","", SUMIFS($H$2:$H$2000, $A$2:$A$2000, A1927))</f>
        <v/>
      </c>
      <c r="U1927" t="str">
        <f t="shared" si="338"/>
        <v/>
      </c>
      <c r="V1927" t="str">
        <f t="shared" si="339"/>
        <v/>
      </c>
      <c r="W1927" t="str">
        <f t="shared" si="340"/>
        <v/>
      </c>
    </row>
    <row r="1928" spans="1:23" x14ac:dyDescent="0.2">
      <c r="A1928" s="4" t="str">
        <f>IF(ポートフォリオ実績!A1929="","", ポートフォリオ実績!A1929)</f>
        <v/>
      </c>
      <c r="B1928" t="str">
        <f>IF(ポートフォリオ実績!B1929="","", ポートフォリオ実績!B1929)</f>
        <v/>
      </c>
      <c r="C1928" s="10" t="str">
        <f>IF(ポートフォリオ実績!C1929="","", ポートフォリオ実績!C1929)</f>
        <v/>
      </c>
      <c r="D1928" s="10" t="str">
        <f>IF(ポートフォリオ実績!D1929="","", ポートフォリオ実績!D1929)</f>
        <v/>
      </c>
      <c r="E1928" s="10" t="str">
        <f>IF(ポートフォリオ実績!E1929="","", ポートフォリオ実績!E1929)</f>
        <v/>
      </c>
      <c r="F1928" s="10" t="str">
        <f>IF(ポートフォリオ実績!F1929="","", ポートフォリオ実績!F1929)</f>
        <v/>
      </c>
      <c r="G1928" t="str">
        <f t="shared" si="330"/>
        <v/>
      </c>
      <c r="H1928">
        <f>IF(B1928&lt;&gt;"", SUMIFS(ポートフォリオ実績!$D$2:$D$2001, ポートフォリオ実績!$B$2:$B$2001, B1928, ポートフォリオ実績!$A$2:$A$2001, G1928), 0)</f>
        <v>0</v>
      </c>
      <c r="I1928">
        <f>IF(B1928&lt;&gt;"", SUMIFS(ポートフォリオ実績!$C$2:$C$2001, ポートフォリオ実績!$B$2:$B$2001, B1928, ポートフォリオ実績!$A$2:$A$2001, G1928), 0)</f>
        <v>0</v>
      </c>
      <c r="J1928">
        <f t="shared" si="331"/>
        <v>0</v>
      </c>
      <c r="K1928">
        <f t="shared" si="332"/>
        <v>0</v>
      </c>
      <c r="L1928">
        <f t="shared" si="333"/>
        <v>0</v>
      </c>
      <c r="M1928">
        <f t="shared" si="334"/>
        <v>0</v>
      </c>
      <c r="N1928">
        <f t="shared" si="335"/>
        <v>0</v>
      </c>
      <c r="O1928">
        <f t="shared" si="336"/>
        <v>0</v>
      </c>
      <c r="P1928" t="str">
        <f t="shared" si="337"/>
        <v/>
      </c>
      <c r="Q1928" t="str">
        <f>IF(B1928="","", IFERROR(VLOOKUP(B1928, '基準資産配分（設定）'!$A$2:$C$2001, 3, FALSE), ""))</f>
        <v/>
      </c>
      <c r="R1928" t="str">
        <f>IF(B1928="","", IFERROR(VLOOKUP(B1928, '基準資産配分（設定）'!$A$2:$C$2001, 2, FALSE)/100, 0))</f>
        <v/>
      </c>
      <c r="S1928" t="str">
        <f>IF(B1928="","", IFERROR(SUMIFS(ベンチマークリターン!$C$2:$C$2001, ベンチマークリターン!$A$2:$A$2001, A1928, ベンチマークリターン!$B$2:$B$2001, Q1928) / 100, 0))</f>
        <v/>
      </c>
      <c r="T1928" t="str">
        <f>IF(A1928="","", SUMIFS($H$2:$H$2000, $A$2:$A$2000, A1928))</f>
        <v/>
      </c>
      <c r="U1928" t="str">
        <f t="shared" si="338"/>
        <v/>
      </c>
      <c r="V1928" t="str">
        <f t="shared" si="339"/>
        <v/>
      </c>
      <c r="W1928" t="str">
        <f t="shared" si="340"/>
        <v/>
      </c>
    </row>
    <row r="1929" spans="1:23" x14ac:dyDescent="0.2">
      <c r="A1929" s="4" t="str">
        <f>IF(ポートフォリオ実績!A1930="","", ポートフォリオ実績!A1930)</f>
        <v/>
      </c>
      <c r="B1929" t="str">
        <f>IF(ポートフォリオ実績!B1930="","", ポートフォリオ実績!B1930)</f>
        <v/>
      </c>
      <c r="C1929" s="10" t="str">
        <f>IF(ポートフォリオ実績!C1930="","", ポートフォリオ実績!C1930)</f>
        <v/>
      </c>
      <c r="D1929" s="10" t="str">
        <f>IF(ポートフォリオ実績!D1930="","", ポートフォリオ実績!D1930)</f>
        <v/>
      </c>
      <c r="E1929" s="10" t="str">
        <f>IF(ポートフォリオ実績!E1930="","", ポートフォリオ実績!E1930)</f>
        <v/>
      </c>
      <c r="F1929" s="10" t="str">
        <f>IF(ポートフォリオ実績!F1930="","", ポートフォリオ実績!F1930)</f>
        <v/>
      </c>
      <c r="G1929" t="str">
        <f t="shared" si="330"/>
        <v/>
      </c>
      <c r="H1929">
        <f>IF(B1929&lt;&gt;"", SUMIFS(ポートフォリオ実績!$D$2:$D$2001, ポートフォリオ実績!$B$2:$B$2001, B1929, ポートフォリオ実績!$A$2:$A$2001, G1929), 0)</f>
        <v>0</v>
      </c>
      <c r="I1929">
        <f>IF(B1929&lt;&gt;"", SUMIFS(ポートフォリオ実績!$C$2:$C$2001, ポートフォリオ実績!$B$2:$B$2001, B1929, ポートフォリオ実績!$A$2:$A$2001, G1929), 0)</f>
        <v>0</v>
      </c>
      <c r="J1929">
        <f t="shared" si="331"/>
        <v>0</v>
      </c>
      <c r="K1929">
        <f t="shared" si="332"/>
        <v>0</v>
      </c>
      <c r="L1929">
        <f t="shared" si="333"/>
        <v>0</v>
      </c>
      <c r="M1929">
        <f t="shared" si="334"/>
        <v>0</v>
      </c>
      <c r="N1929">
        <f t="shared" si="335"/>
        <v>0</v>
      </c>
      <c r="O1929">
        <f t="shared" si="336"/>
        <v>0</v>
      </c>
      <c r="P1929" t="str">
        <f t="shared" si="337"/>
        <v/>
      </c>
      <c r="Q1929" t="str">
        <f>IF(B1929="","", IFERROR(VLOOKUP(B1929, '基準資産配分（設定）'!$A$2:$C$2001, 3, FALSE), ""))</f>
        <v/>
      </c>
      <c r="R1929" t="str">
        <f>IF(B1929="","", IFERROR(VLOOKUP(B1929, '基準資産配分（設定）'!$A$2:$C$2001, 2, FALSE)/100, 0))</f>
        <v/>
      </c>
      <c r="S1929" t="str">
        <f>IF(B1929="","", IFERROR(SUMIFS(ベンチマークリターン!$C$2:$C$2001, ベンチマークリターン!$A$2:$A$2001, A1929, ベンチマークリターン!$B$2:$B$2001, Q1929) / 100, 0))</f>
        <v/>
      </c>
      <c r="T1929" t="str">
        <f>IF(A1929="","", SUMIFS($H$2:$H$2000, $A$2:$A$2000, A1929))</f>
        <v/>
      </c>
      <c r="U1929" t="str">
        <f t="shared" si="338"/>
        <v/>
      </c>
      <c r="V1929" t="str">
        <f t="shared" si="339"/>
        <v/>
      </c>
      <c r="W1929" t="str">
        <f t="shared" si="340"/>
        <v/>
      </c>
    </row>
    <row r="1930" spans="1:23" x14ac:dyDescent="0.2">
      <c r="A1930" s="4" t="str">
        <f>IF(ポートフォリオ実績!A1931="","", ポートフォリオ実績!A1931)</f>
        <v/>
      </c>
      <c r="B1930" t="str">
        <f>IF(ポートフォリオ実績!B1931="","", ポートフォリオ実績!B1931)</f>
        <v/>
      </c>
      <c r="C1930" s="10" t="str">
        <f>IF(ポートフォリオ実績!C1931="","", ポートフォリオ実績!C1931)</f>
        <v/>
      </c>
      <c r="D1930" s="10" t="str">
        <f>IF(ポートフォリオ実績!D1931="","", ポートフォリオ実績!D1931)</f>
        <v/>
      </c>
      <c r="E1930" s="10" t="str">
        <f>IF(ポートフォリオ実績!E1931="","", ポートフォリオ実績!E1931)</f>
        <v/>
      </c>
      <c r="F1930" s="10" t="str">
        <f>IF(ポートフォリオ実績!F1931="","", ポートフォリオ実績!F1931)</f>
        <v/>
      </c>
      <c r="G1930" t="str">
        <f t="shared" si="330"/>
        <v/>
      </c>
      <c r="H1930">
        <f>IF(B1930&lt;&gt;"", SUMIFS(ポートフォリオ実績!$D$2:$D$2001, ポートフォリオ実績!$B$2:$B$2001, B1930, ポートフォリオ実績!$A$2:$A$2001, G1930), 0)</f>
        <v>0</v>
      </c>
      <c r="I1930">
        <f>IF(B1930&lt;&gt;"", SUMIFS(ポートフォリオ実績!$C$2:$C$2001, ポートフォリオ実績!$B$2:$B$2001, B1930, ポートフォリオ実績!$A$2:$A$2001, G1930), 0)</f>
        <v>0</v>
      </c>
      <c r="J1930">
        <f t="shared" si="331"/>
        <v>0</v>
      </c>
      <c r="K1930">
        <f t="shared" si="332"/>
        <v>0</v>
      </c>
      <c r="L1930">
        <f t="shared" si="333"/>
        <v>0</v>
      </c>
      <c r="M1930">
        <f t="shared" si="334"/>
        <v>0</v>
      </c>
      <c r="N1930">
        <f t="shared" si="335"/>
        <v>0</v>
      </c>
      <c r="O1930">
        <f t="shared" si="336"/>
        <v>0</v>
      </c>
      <c r="P1930" t="str">
        <f t="shared" si="337"/>
        <v/>
      </c>
      <c r="Q1930" t="str">
        <f>IF(B1930="","", IFERROR(VLOOKUP(B1930, '基準資産配分（設定）'!$A$2:$C$2001, 3, FALSE), ""))</f>
        <v/>
      </c>
      <c r="R1930" t="str">
        <f>IF(B1930="","", IFERROR(VLOOKUP(B1930, '基準資産配分（設定）'!$A$2:$C$2001, 2, FALSE)/100, 0))</f>
        <v/>
      </c>
      <c r="S1930" t="str">
        <f>IF(B1930="","", IFERROR(SUMIFS(ベンチマークリターン!$C$2:$C$2001, ベンチマークリターン!$A$2:$A$2001, A1930, ベンチマークリターン!$B$2:$B$2001, Q1930) / 100, 0))</f>
        <v/>
      </c>
      <c r="T1930" t="str">
        <f>IF(A1930="","", SUMIFS($H$2:$H$2000, $A$2:$A$2000, A1930))</f>
        <v/>
      </c>
      <c r="U1930" t="str">
        <f t="shared" si="338"/>
        <v/>
      </c>
      <c r="V1930" t="str">
        <f t="shared" si="339"/>
        <v/>
      </c>
      <c r="W1930" t="str">
        <f t="shared" si="340"/>
        <v/>
      </c>
    </row>
    <row r="1931" spans="1:23" x14ac:dyDescent="0.2">
      <c r="A1931" s="4" t="str">
        <f>IF(ポートフォリオ実績!A1932="","", ポートフォリオ実績!A1932)</f>
        <v/>
      </c>
      <c r="B1931" t="str">
        <f>IF(ポートフォリオ実績!B1932="","", ポートフォリオ実績!B1932)</f>
        <v/>
      </c>
      <c r="C1931" s="10" t="str">
        <f>IF(ポートフォリオ実績!C1932="","", ポートフォリオ実績!C1932)</f>
        <v/>
      </c>
      <c r="D1931" s="10" t="str">
        <f>IF(ポートフォリオ実績!D1932="","", ポートフォリオ実績!D1932)</f>
        <v/>
      </c>
      <c r="E1931" s="10" t="str">
        <f>IF(ポートフォリオ実績!E1932="","", ポートフォリオ実績!E1932)</f>
        <v/>
      </c>
      <c r="F1931" s="10" t="str">
        <f>IF(ポートフォリオ実績!F1932="","", ポートフォリオ実績!F1932)</f>
        <v/>
      </c>
      <c r="G1931" t="str">
        <f t="shared" si="330"/>
        <v/>
      </c>
      <c r="H1931">
        <f>IF(B1931&lt;&gt;"", SUMIFS(ポートフォリオ実績!$D$2:$D$2001, ポートフォリオ実績!$B$2:$B$2001, B1931, ポートフォリオ実績!$A$2:$A$2001, G1931), 0)</f>
        <v>0</v>
      </c>
      <c r="I1931">
        <f>IF(B1931&lt;&gt;"", SUMIFS(ポートフォリオ実績!$C$2:$C$2001, ポートフォリオ実績!$B$2:$B$2001, B1931, ポートフォリオ実績!$A$2:$A$2001, G1931), 0)</f>
        <v>0</v>
      </c>
      <c r="J1931">
        <f t="shared" si="331"/>
        <v>0</v>
      </c>
      <c r="K1931">
        <f t="shared" si="332"/>
        <v>0</v>
      </c>
      <c r="L1931">
        <f t="shared" si="333"/>
        <v>0</v>
      </c>
      <c r="M1931">
        <f t="shared" si="334"/>
        <v>0</v>
      </c>
      <c r="N1931">
        <f t="shared" si="335"/>
        <v>0</v>
      </c>
      <c r="O1931">
        <f t="shared" si="336"/>
        <v>0</v>
      </c>
      <c r="P1931" t="str">
        <f t="shared" si="337"/>
        <v/>
      </c>
      <c r="Q1931" t="str">
        <f>IF(B1931="","", IFERROR(VLOOKUP(B1931, '基準資産配分（設定）'!$A$2:$C$2001, 3, FALSE), ""))</f>
        <v/>
      </c>
      <c r="R1931" t="str">
        <f>IF(B1931="","", IFERROR(VLOOKUP(B1931, '基準資産配分（設定）'!$A$2:$C$2001, 2, FALSE)/100, 0))</f>
        <v/>
      </c>
      <c r="S1931" t="str">
        <f>IF(B1931="","", IFERROR(SUMIFS(ベンチマークリターン!$C$2:$C$2001, ベンチマークリターン!$A$2:$A$2001, A1931, ベンチマークリターン!$B$2:$B$2001, Q1931) / 100, 0))</f>
        <v/>
      </c>
      <c r="T1931" t="str">
        <f>IF(A1931="","", SUMIFS($H$2:$H$2000, $A$2:$A$2000, A1931))</f>
        <v/>
      </c>
      <c r="U1931" t="str">
        <f t="shared" si="338"/>
        <v/>
      </c>
      <c r="V1931" t="str">
        <f t="shared" si="339"/>
        <v/>
      </c>
      <c r="W1931" t="str">
        <f t="shared" si="340"/>
        <v/>
      </c>
    </row>
    <row r="1932" spans="1:23" x14ac:dyDescent="0.2">
      <c r="A1932" s="4" t="str">
        <f>IF(ポートフォリオ実績!A1933="","", ポートフォリオ実績!A1933)</f>
        <v/>
      </c>
      <c r="B1932" t="str">
        <f>IF(ポートフォリオ実績!B1933="","", ポートフォリオ実績!B1933)</f>
        <v/>
      </c>
      <c r="C1932" s="10" t="str">
        <f>IF(ポートフォリオ実績!C1933="","", ポートフォリオ実績!C1933)</f>
        <v/>
      </c>
      <c r="D1932" s="10" t="str">
        <f>IF(ポートフォリオ実績!D1933="","", ポートフォリオ実績!D1933)</f>
        <v/>
      </c>
      <c r="E1932" s="10" t="str">
        <f>IF(ポートフォリオ実績!E1933="","", ポートフォリオ実績!E1933)</f>
        <v/>
      </c>
      <c r="F1932" s="10" t="str">
        <f>IF(ポートフォリオ実績!F1933="","", ポートフォリオ実績!F1933)</f>
        <v/>
      </c>
      <c r="G1932" t="str">
        <f t="shared" si="330"/>
        <v/>
      </c>
      <c r="H1932">
        <f>IF(B1932&lt;&gt;"", SUMIFS(ポートフォリオ実績!$D$2:$D$2001, ポートフォリオ実績!$B$2:$B$2001, B1932, ポートフォリオ実績!$A$2:$A$2001, G1932), 0)</f>
        <v>0</v>
      </c>
      <c r="I1932">
        <f>IF(B1932&lt;&gt;"", SUMIFS(ポートフォリオ実績!$C$2:$C$2001, ポートフォリオ実績!$B$2:$B$2001, B1932, ポートフォリオ実績!$A$2:$A$2001, G1932), 0)</f>
        <v>0</v>
      </c>
      <c r="J1932">
        <f t="shared" si="331"/>
        <v>0</v>
      </c>
      <c r="K1932">
        <f t="shared" si="332"/>
        <v>0</v>
      </c>
      <c r="L1932">
        <f t="shared" si="333"/>
        <v>0</v>
      </c>
      <c r="M1932">
        <f t="shared" si="334"/>
        <v>0</v>
      </c>
      <c r="N1932">
        <f t="shared" si="335"/>
        <v>0</v>
      </c>
      <c r="O1932">
        <f t="shared" si="336"/>
        <v>0</v>
      </c>
      <c r="P1932" t="str">
        <f t="shared" si="337"/>
        <v/>
      </c>
      <c r="Q1932" t="str">
        <f>IF(B1932="","", IFERROR(VLOOKUP(B1932, '基準資産配分（設定）'!$A$2:$C$2001, 3, FALSE), ""))</f>
        <v/>
      </c>
      <c r="R1932" t="str">
        <f>IF(B1932="","", IFERROR(VLOOKUP(B1932, '基準資産配分（設定）'!$A$2:$C$2001, 2, FALSE)/100, 0))</f>
        <v/>
      </c>
      <c r="S1932" t="str">
        <f>IF(B1932="","", IFERROR(SUMIFS(ベンチマークリターン!$C$2:$C$2001, ベンチマークリターン!$A$2:$A$2001, A1932, ベンチマークリターン!$B$2:$B$2001, Q1932) / 100, 0))</f>
        <v/>
      </c>
      <c r="T1932" t="str">
        <f>IF(A1932="","", SUMIFS($H$2:$H$2000, $A$2:$A$2000, A1932))</f>
        <v/>
      </c>
      <c r="U1932" t="str">
        <f t="shared" si="338"/>
        <v/>
      </c>
      <c r="V1932" t="str">
        <f t="shared" si="339"/>
        <v/>
      </c>
      <c r="W1932" t="str">
        <f t="shared" si="340"/>
        <v/>
      </c>
    </row>
    <row r="1933" spans="1:23" x14ac:dyDescent="0.2">
      <c r="A1933" s="4" t="str">
        <f>IF(ポートフォリオ実績!A1934="","", ポートフォリオ実績!A1934)</f>
        <v/>
      </c>
      <c r="B1933" t="str">
        <f>IF(ポートフォリオ実績!B1934="","", ポートフォリオ実績!B1934)</f>
        <v/>
      </c>
      <c r="C1933" s="10" t="str">
        <f>IF(ポートフォリオ実績!C1934="","", ポートフォリオ実績!C1934)</f>
        <v/>
      </c>
      <c r="D1933" s="10" t="str">
        <f>IF(ポートフォリオ実績!D1934="","", ポートフォリオ実績!D1934)</f>
        <v/>
      </c>
      <c r="E1933" s="10" t="str">
        <f>IF(ポートフォリオ実績!E1934="","", ポートフォリオ実績!E1934)</f>
        <v/>
      </c>
      <c r="F1933" s="10" t="str">
        <f>IF(ポートフォリオ実績!F1934="","", ポートフォリオ実績!F1934)</f>
        <v/>
      </c>
      <c r="G1933" t="str">
        <f t="shared" si="330"/>
        <v/>
      </c>
      <c r="H1933">
        <f>IF(B1933&lt;&gt;"", SUMIFS(ポートフォリオ実績!$D$2:$D$2001, ポートフォリオ実績!$B$2:$B$2001, B1933, ポートフォリオ実績!$A$2:$A$2001, G1933), 0)</f>
        <v>0</v>
      </c>
      <c r="I1933">
        <f>IF(B1933&lt;&gt;"", SUMIFS(ポートフォリオ実績!$C$2:$C$2001, ポートフォリオ実績!$B$2:$B$2001, B1933, ポートフォリオ実績!$A$2:$A$2001, G1933), 0)</f>
        <v>0</v>
      </c>
      <c r="J1933">
        <f t="shared" si="331"/>
        <v>0</v>
      </c>
      <c r="K1933">
        <f t="shared" si="332"/>
        <v>0</v>
      </c>
      <c r="L1933">
        <f t="shared" si="333"/>
        <v>0</v>
      </c>
      <c r="M1933">
        <f t="shared" si="334"/>
        <v>0</v>
      </c>
      <c r="N1933">
        <f t="shared" si="335"/>
        <v>0</v>
      </c>
      <c r="O1933">
        <f t="shared" si="336"/>
        <v>0</v>
      </c>
      <c r="P1933" t="str">
        <f t="shared" si="337"/>
        <v/>
      </c>
      <c r="Q1933" t="str">
        <f>IF(B1933="","", IFERROR(VLOOKUP(B1933, '基準資産配分（設定）'!$A$2:$C$2001, 3, FALSE), ""))</f>
        <v/>
      </c>
      <c r="R1933" t="str">
        <f>IF(B1933="","", IFERROR(VLOOKUP(B1933, '基準資産配分（設定）'!$A$2:$C$2001, 2, FALSE)/100, 0))</f>
        <v/>
      </c>
      <c r="S1933" t="str">
        <f>IF(B1933="","", IFERROR(SUMIFS(ベンチマークリターン!$C$2:$C$2001, ベンチマークリターン!$A$2:$A$2001, A1933, ベンチマークリターン!$B$2:$B$2001, Q1933) / 100, 0))</f>
        <v/>
      </c>
      <c r="T1933" t="str">
        <f>IF(A1933="","", SUMIFS($H$2:$H$2000, $A$2:$A$2000, A1933))</f>
        <v/>
      </c>
      <c r="U1933" t="str">
        <f t="shared" si="338"/>
        <v/>
      </c>
      <c r="V1933" t="str">
        <f t="shared" si="339"/>
        <v/>
      </c>
      <c r="W1933" t="str">
        <f t="shared" si="340"/>
        <v/>
      </c>
    </row>
    <row r="1934" spans="1:23" x14ac:dyDescent="0.2">
      <c r="A1934" s="4" t="str">
        <f>IF(ポートフォリオ実績!A1935="","", ポートフォリオ実績!A1935)</f>
        <v/>
      </c>
      <c r="B1934" t="str">
        <f>IF(ポートフォリオ実績!B1935="","", ポートフォリオ実績!B1935)</f>
        <v/>
      </c>
      <c r="C1934" s="10" t="str">
        <f>IF(ポートフォリオ実績!C1935="","", ポートフォリオ実績!C1935)</f>
        <v/>
      </c>
      <c r="D1934" s="10" t="str">
        <f>IF(ポートフォリオ実績!D1935="","", ポートフォリオ実績!D1935)</f>
        <v/>
      </c>
      <c r="E1934" s="10" t="str">
        <f>IF(ポートフォリオ実績!E1935="","", ポートフォリオ実績!E1935)</f>
        <v/>
      </c>
      <c r="F1934" s="10" t="str">
        <f>IF(ポートフォリオ実績!F1935="","", ポートフォリオ実績!F1935)</f>
        <v/>
      </c>
      <c r="G1934" t="str">
        <f t="shared" si="330"/>
        <v/>
      </c>
      <c r="H1934">
        <f>IF(B1934&lt;&gt;"", SUMIFS(ポートフォリオ実績!$D$2:$D$2001, ポートフォリオ実績!$B$2:$B$2001, B1934, ポートフォリオ実績!$A$2:$A$2001, G1934), 0)</f>
        <v>0</v>
      </c>
      <c r="I1934">
        <f>IF(B1934&lt;&gt;"", SUMIFS(ポートフォリオ実績!$C$2:$C$2001, ポートフォリオ実績!$B$2:$B$2001, B1934, ポートフォリオ実績!$A$2:$A$2001, G1934), 0)</f>
        <v>0</v>
      </c>
      <c r="J1934">
        <f t="shared" si="331"/>
        <v>0</v>
      </c>
      <c r="K1934">
        <f t="shared" si="332"/>
        <v>0</v>
      </c>
      <c r="L1934">
        <f t="shared" si="333"/>
        <v>0</v>
      </c>
      <c r="M1934">
        <f t="shared" si="334"/>
        <v>0</v>
      </c>
      <c r="N1934">
        <f t="shared" si="335"/>
        <v>0</v>
      </c>
      <c r="O1934">
        <f t="shared" si="336"/>
        <v>0</v>
      </c>
      <c r="P1934" t="str">
        <f t="shared" si="337"/>
        <v/>
      </c>
      <c r="Q1934" t="str">
        <f>IF(B1934="","", IFERROR(VLOOKUP(B1934, '基準資産配分（設定）'!$A$2:$C$2001, 3, FALSE), ""))</f>
        <v/>
      </c>
      <c r="R1934" t="str">
        <f>IF(B1934="","", IFERROR(VLOOKUP(B1934, '基準資産配分（設定）'!$A$2:$C$2001, 2, FALSE)/100, 0))</f>
        <v/>
      </c>
      <c r="S1934" t="str">
        <f>IF(B1934="","", IFERROR(SUMIFS(ベンチマークリターン!$C$2:$C$2001, ベンチマークリターン!$A$2:$A$2001, A1934, ベンチマークリターン!$B$2:$B$2001, Q1934) / 100, 0))</f>
        <v/>
      </c>
      <c r="T1934" t="str">
        <f>IF(A1934="","", SUMIFS($H$2:$H$2000, $A$2:$A$2000, A1934))</f>
        <v/>
      </c>
      <c r="U1934" t="str">
        <f t="shared" si="338"/>
        <v/>
      </c>
      <c r="V1934" t="str">
        <f t="shared" si="339"/>
        <v/>
      </c>
      <c r="W1934" t="str">
        <f t="shared" si="340"/>
        <v/>
      </c>
    </row>
    <row r="1935" spans="1:23" x14ac:dyDescent="0.2">
      <c r="A1935" s="4" t="str">
        <f>IF(ポートフォリオ実績!A1936="","", ポートフォリオ実績!A1936)</f>
        <v/>
      </c>
      <c r="B1935" t="str">
        <f>IF(ポートフォリオ実績!B1936="","", ポートフォリオ実績!B1936)</f>
        <v/>
      </c>
      <c r="C1935" s="10" t="str">
        <f>IF(ポートフォリオ実績!C1936="","", ポートフォリオ実績!C1936)</f>
        <v/>
      </c>
      <c r="D1935" s="10" t="str">
        <f>IF(ポートフォリオ実績!D1936="","", ポートフォリオ実績!D1936)</f>
        <v/>
      </c>
      <c r="E1935" s="10" t="str">
        <f>IF(ポートフォリオ実績!E1936="","", ポートフォリオ実績!E1936)</f>
        <v/>
      </c>
      <c r="F1935" s="10" t="str">
        <f>IF(ポートフォリオ実績!F1936="","", ポートフォリオ実績!F1936)</f>
        <v/>
      </c>
      <c r="G1935" t="str">
        <f t="shared" si="330"/>
        <v/>
      </c>
      <c r="H1935">
        <f>IF(B1935&lt;&gt;"", SUMIFS(ポートフォリオ実績!$D$2:$D$2001, ポートフォリオ実績!$B$2:$B$2001, B1935, ポートフォリオ実績!$A$2:$A$2001, G1935), 0)</f>
        <v>0</v>
      </c>
      <c r="I1935">
        <f>IF(B1935&lt;&gt;"", SUMIFS(ポートフォリオ実績!$C$2:$C$2001, ポートフォリオ実績!$B$2:$B$2001, B1935, ポートフォリオ実績!$A$2:$A$2001, G1935), 0)</f>
        <v>0</v>
      </c>
      <c r="J1935">
        <f t="shared" si="331"/>
        <v>0</v>
      </c>
      <c r="K1935">
        <f t="shared" si="332"/>
        <v>0</v>
      </c>
      <c r="L1935">
        <f t="shared" si="333"/>
        <v>0</v>
      </c>
      <c r="M1935">
        <f t="shared" si="334"/>
        <v>0</v>
      </c>
      <c r="N1935">
        <f t="shared" si="335"/>
        <v>0</v>
      </c>
      <c r="O1935">
        <f t="shared" si="336"/>
        <v>0</v>
      </c>
      <c r="P1935" t="str">
        <f t="shared" si="337"/>
        <v/>
      </c>
      <c r="Q1935" t="str">
        <f>IF(B1935="","", IFERROR(VLOOKUP(B1935, '基準資産配分（設定）'!$A$2:$C$2001, 3, FALSE), ""))</f>
        <v/>
      </c>
      <c r="R1935" t="str">
        <f>IF(B1935="","", IFERROR(VLOOKUP(B1935, '基準資産配分（設定）'!$A$2:$C$2001, 2, FALSE)/100, 0))</f>
        <v/>
      </c>
      <c r="S1935" t="str">
        <f>IF(B1935="","", IFERROR(SUMIFS(ベンチマークリターン!$C$2:$C$2001, ベンチマークリターン!$A$2:$A$2001, A1935, ベンチマークリターン!$B$2:$B$2001, Q1935) / 100, 0))</f>
        <v/>
      </c>
      <c r="T1935" t="str">
        <f>IF(A1935="","", SUMIFS($H$2:$H$2000, $A$2:$A$2000, A1935))</f>
        <v/>
      </c>
      <c r="U1935" t="str">
        <f t="shared" si="338"/>
        <v/>
      </c>
      <c r="V1935" t="str">
        <f t="shared" si="339"/>
        <v/>
      </c>
      <c r="W1935" t="str">
        <f t="shared" si="340"/>
        <v/>
      </c>
    </row>
    <row r="1936" spans="1:23" x14ac:dyDescent="0.2">
      <c r="A1936" s="4" t="str">
        <f>IF(ポートフォリオ実績!A1937="","", ポートフォリオ実績!A1937)</f>
        <v/>
      </c>
      <c r="B1936" t="str">
        <f>IF(ポートフォリオ実績!B1937="","", ポートフォリオ実績!B1937)</f>
        <v/>
      </c>
      <c r="C1936" s="10" t="str">
        <f>IF(ポートフォリオ実績!C1937="","", ポートフォリオ実績!C1937)</f>
        <v/>
      </c>
      <c r="D1936" s="10" t="str">
        <f>IF(ポートフォリオ実績!D1937="","", ポートフォリオ実績!D1937)</f>
        <v/>
      </c>
      <c r="E1936" s="10" t="str">
        <f>IF(ポートフォリオ実績!E1937="","", ポートフォリオ実績!E1937)</f>
        <v/>
      </c>
      <c r="F1936" s="10" t="str">
        <f>IF(ポートフォリオ実績!F1937="","", ポートフォリオ実績!F1937)</f>
        <v/>
      </c>
      <c r="G1936" t="str">
        <f t="shared" si="330"/>
        <v/>
      </c>
      <c r="H1936">
        <f>IF(B1936&lt;&gt;"", SUMIFS(ポートフォリオ実績!$D$2:$D$2001, ポートフォリオ実績!$B$2:$B$2001, B1936, ポートフォリオ実績!$A$2:$A$2001, G1936), 0)</f>
        <v>0</v>
      </c>
      <c r="I1936">
        <f>IF(B1936&lt;&gt;"", SUMIFS(ポートフォリオ実績!$C$2:$C$2001, ポートフォリオ実績!$B$2:$B$2001, B1936, ポートフォリオ実績!$A$2:$A$2001, G1936), 0)</f>
        <v>0</v>
      </c>
      <c r="J1936">
        <f t="shared" si="331"/>
        <v>0</v>
      </c>
      <c r="K1936">
        <f t="shared" si="332"/>
        <v>0</v>
      </c>
      <c r="L1936">
        <f t="shared" si="333"/>
        <v>0</v>
      </c>
      <c r="M1936">
        <f t="shared" si="334"/>
        <v>0</v>
      </c>
      <c r="N1936">
        <f t="shared" si="335"/>
        <v>0</v>
      </c>
      <c r="O1936">
        <f t="shared" si="336"/>
        <v>0</v>
      </c>
      <c r="P1936" t="str">
        <f t="shared" si="337"/>
        <v/>
      </c>
      <c r="Q1936" t="str">
        <f>IF(B1936="","", IFERROR(VLOOKUP(B1936, '基準資産配分（設定）'!$A$2:$C$2001, 3, FALSE), ""))</f>
        <v/>
      </c>
      <c r="R1936" t="str">
        <f>IF(B1936="","", IFERROR(VLOOKUP(B1936, '基準資産配分（設定）'!$A$2:$C$2001, 2, FALSE)/100, 0))</f>
        <v/>
      </c>
      <c r="S1936" t="str">
        <f>IF(B1936="","", IFERROR(SUMIFS(ベンチマークリターン!$C$2:$C$2001, ベンチマークリターン!$A$2:$A$2001, A1936, ベンチマークリターン!$B$2:$B$2001, Q1936) / 100, 0))</f>
        <v/>
      </c>
      <c r="T1936" t="str">
        <f>IF(A1936="","", SUMIFS($H$2:$H$2000, $A$2:$A$2000, A1936))</f>
        <v/>
      </c>
      <c r="U1936" t="str">
        <f t="shared" si="338"/>
        <v/>
      </c>
      <c r="V1936" t="str">
        <f t="shared" si="339"/>
        <v/>
      </c>
      <c r="W1936" t="str">
        <f t="shared" si="340"/>
        <v/>
      </c>
    </row>
    <row r="1937" spans="1:23" x14ac:dyDescent="0.2">
      <c r="A1937" s="4" t="str">
        <f>IF(ポートフォリオ実績!A1938="","", ポートフォリオ実績!A1938)</f>
        <v/>
      </c>
      <c r="B1937" t="str">
        <f>IF(ポートフォリオ実績!B1938="","", ポートフォリオ実績!B1938)</f>
        <v/>
      </c>
      <c r="C1937" s="10" t="str">
        <f>IF(ポートフォリオ実績!C1938="","", ポートフォリオ実績!C1938)</f>
        <v/>
      </c>
      <c r="D1937" s="10" t="str">
        <f>IF(ポートフォリオ実績!D1938="","", ポートフォリオ実績!D1938)</f>
        <v/>
      </c>
      <c r="E1937" s="10" t="str">
        <f>IF(ポートフォリオ実績!E1938="","", ポートフォリオ実績!E1938)</f>
        <v/>
      </c>
      <c r="F1937" s="10" t="str">
        <f>IF(ポートフォリオ実績!F1938="","", ポートフォリオ実績!F1938)</f>
        <v/>
      </c>
      <c r="G1937" t="str">
        <f t="shared" si="330"/>
        <v/>
      </c>
      <c r="H1937">
        <f>IF(B1937&lt;&gt;"", SUMIFS(ポートフォリオ実績!$D$2:$D$2001, ポートフォリオ実績!$B$2:$B$2001, B1937, ポートフォリオ実績!$A$2:$A$2001, G1937), 0)</f>
        <v>0</v>
      </c>
      <c r="I1937">
        <f>IF(B1937&lt;&gt;"", SUMIFS(ポートフォリオ実績!$C$2:$C$2001, ポートフォリオ実績!$B$2:$B$2001, B1937, ポートフォリオ実績!$A$2:$A$2001, G1937), 0)</f>
        <v>0</v>
      </c>
      <c r="J1937">
        <f t="shared" si="331"/>
        <v>0</v>
      </c>
      <c r="K1937">
        <f t="shared" si="332"/>
        <v>0</v>
      </c>
      <c r="L1937">
        <f t="shared" si="333"/>
        <v>0</v>
      </c>
      <c r="M1937">
        <f t="shared" si="334"/>
        <v>0</v>
      </c>
      <c r="N1937">
        <f t="shared" si="335"/>
        <v>0</v>
      </c>
      <c r="O1937">
        <f t="shared" si="336"/>
        <v>0</v>
      </c>
      <c r="P1937" t="str">
        <f t="shared" si="337"/>
        <v/>
      </c>
      <c r="Q1937" t="str">
        <f>IF(B1937="","", IFERROR(VLOOKUP(B1937, '基準資産配分（設定）'!$A$2:$C$2001, 3, FALSE), ""))</f>
        <v/>
      </c>
      <c r="R1937" t="str">
        <f>IF(B1937="","", IFERROR(VLOOKUP(B1937, '基準資産配分（設定）'!$A$2:$C$2001, 2, FALSE)/100, 0))</f>
        <v/>
      </c>
      <c r="S1937" t="str">
        <f>IF(B1937="","", IFERROR(SUMIFS(ベンチマークリターン!$C$2:$C$2001, ベンチマークリターン!$A$2:$A$2001, A1937, ベンチマークリターン!$B$2:$B$2001, Q1937) / 100, 0))</f>
        <v/>
      </c>
      <c r="T1937" t="str">
        <f>IF(A1937="","", SUMIFS($H$2:$H$2000, $A$2:$A$2000, A1937))</f>
        <v/>
      </c>
      <c r="U1937" t="str">
        <f t="shared" si="338"/>
        <v/>
      </c>
      <c r="V1937" t="str">
        <f t="shared" si="339"/>
        <v/>
      </c>
      <c r="W1937" t="str">
        <f t="shared" si="340"/>
        <v/>
      </c>
    </row>
    <row r="1938" spans="1:23" x14ac:dyDescent="0.2">
      <c r="A1938" s="4" t="str">
        <f>IF(ポートフォリオ実績!A1939="","", ポートフォリオ実績!A1939)</f>
        <v/>
      </c>
      <c r="B1938" t="str">
        <f>IF(ポートフォリオ実績!B1939="","", ポートフォリオ実績!B1939)</f>
        <v/>
      </c>
      <c r="C1938" s="10" t="str">
        <f>IF(ポートフォリオ実績!C1939="","", ポートフォリオ実績!C1939)</f>
        <v/>
      </c>
      <c r="D1938" s="10" t="str">
        <f>IF(ポートフォリオ実績!D1939="","", ポートフォリオ実績!D1939)</f>
        <v/>
      </c>
      <c r="E1938" s="10" t="str">
        <f>IF(ポートフォリオ実績!E1939="","", ポートフォリオ実績!E1939)</f>
        <v/>
      </c>
      <c r="F1938" s="10" t="str">
        <f>IF(ポートフォリオ実績!F1939="","", ポートフォリオ実績!F1939)</f>
        <v/>
      </c>
      <c r="G1938" t="str">
        <f t="shared" si="330"/>
        <v/>
      </c>
      <c r="H1938">
        <f>IF(B1938&lt;&gt;"", SUMIFS(ポートフォリオ実績!$D$2:$D$2001, ポートフォリオ実績!$B$2:$B$2001, B1938, ポートフォリオ実績!$A$2:$A$2001, G1938), 0)</f>
        <v>0</v>
      </c>
      <c r="I1938">
        <f>IF(B1938&lt;&gt;"", SUMIFS(ポートフォリオ実績!$C$2:$C$2001, ポートフォリオ実績!$B$2:$B$2001, B1938, ポートフォリオ実績!$A$2:$A$2001, G1938), 0)</f>
        <v>0</v>
      </c>
      <c r="J1938">
        <f t="shared" si="331"/>
        <v>0</v>
      </c>
      <c r="K1938">
        <f t="shared" si="332"/>
        <v>0</v>
      </c>
      <c r="L1938">
        <f t="shared" si="333"/>
        <v>0</v>
      </c>
      <c r="M1938">
        <f t="shared" si="334"/>
        <v>0</v>
      </c>
      <c r="N1938">
        <f t="shared" si="335"/>
        <v>0</v>
      </c>
      <c r="O1938">
        <f t="shared" si="336"/>
        <v>0</v>
      </c>
      <c r="P1938" t="str">
        <f t="shared" si="337"/>
        <v/>
      </c>
      <c r="Q1938" t="str">
        <f>IF(B1938="","", IFERROR(VLOOKUP(B1938, '基準資産配分（設定）'!$A$2:$C$2001, 3, FALSE), ""))</f>
        <v/>
      </c>
      <c r="R1938" t="str">
        <f>IF(B1938="","", IFERROR(VLOOKUP(B1938, '基準資産配分（設定）'!$A$2:$C$2001, 2, FALSE)/100, 0))</f>
        <v/>
      </c>
      <c r="S1938" t="str">
        <f>IF(B1938="","", IFERROR(SUMIFS(ベンチマークリターン!$C$2:$C$2001, ベンチマークリターン!$A$2:$A$2001, A1938, ベンチマークリターン!$B$2:$B$2001, Q1938) / 100, 0))</f>
        <v/>
      </c>
      <c r="T1938" t="str">
        <f>IF(A1938="","", SUMIFS($H$2:$H$2000, $A$2:$A$2000, A1938))</f>
        <v/>
      </c>
      <c r="U1938" t="str">
        <f t="shared" si="338"/>
        <v/>
      </c>
      <c r="V1938" t="str">
        <f t="shared" si="339"/>
        <v/>
      </c>
      <c r="W1938" t="str">
        <f t="shared" si="340"/>
        <v/>
      </c>
    </row>
    <row r="1939" spans="1:23" x14ac:dyDescent="0.2">
      <c r="A1939" s="4" t="str">
        <f>IF(ポートフォリオ実績!A1940="","", ポートフォリオ実績!A1940)</f>
        <v/>
      </c>
      <c r="B1939" t="str">
        <f>IF(ポートフォリオ実績!B1940="","", ポートフォリオ実績!B1940)</f>
        <v/>
      </c>
      <c r="C1939" s="10" t="str">
        <f>IF(ポートフォリオ実績!C1940="","", ポートフォリオ実績!C1940)</f>
        <v/>
      </c>
      <c r="D1939" s="10" t="str">
        <f>IF(ポートフォリオ実績!D1940="","", ポートフォリオ実績!D1940)</f>
        <v/>
      </c>
      <c r="E1939" s="10" t="str">
        <f>IF(ポートフォリオ実績!E1940="","", ポートフォリオ実績!E1940)</f>
        <v/>
      </c>
      <c r="F1939" s="10" t="str">
        <f>IF(ポートフォリオ実績!F1940="","", ポートフォリオ実績!F1940)</f>
        <v/>
      </c>
      <c r="G1939" t="str">
        <f t="shared" si="330"/>
        <v/>
      </c>
      <c r="H1939">
        <f>IF(B1939&lt;&gt;"", SUMIFS(ポートフォリオ実績!$D$2:$D$2001, ポートフォリオ実績!$B$2:$B$2001, B1939, ポートフォリオ実績!$A$2:$A$2001, G1939), 0)</f>
        <v>0</v>
      </c>
      <c r="I1939">
        <f>IF(B1939&lt;&gt;"", SUMIFS(ポートフォリオ実績!$C$2:$C$2001, ポートフォリオ実績!$B$2:$B$2001, B1939, ポートフォリオ実績!$A$2:$A$2001, G1939), 0)</f>
        <v>0</v>
      </c>
      <c r="J1939">
        <f t="shared" si="331"/>
        <v>0</v>
      </c>
      <c r="K1939">
        <f t="shared" si="332"/>
        <v>0</v>
      </c>
      <c r="L1939">
        <f t="shared" si="333"/>
        <v>0</v>
      </c>
      <c r="M1939">
        <f t="shared" si="334"/>
        <v>0</v>
      </c>
      <c r="N1939">
        <f t="shared" si="335"/>
        <v>0</v>
      </c>
      <c r="O1939">
        <f t="shared" si="336"/>
        <v>0</v>
      </c>
      <c r="P1939" t="str">
        <f t="shared" si="337"/>
        <v/>
      </c>
      <c r="Q1939" t="str">
        <f>IF(B1939="","", IFERROR(VLOOKUP(B1939, '基準資産配分（設定）'!$A$2:$C$2001, 3, FALSE), ""))</f>
        <v/>
      </c>
      <c r="R1939" t="str">
        <f>IF(B1939="","", IFERROR(VLOOKUP(B1939, '基準資産配分（設定）'!$A$2:$C$2001, 2, FALSE)/100, 0))</f>
        <v/>
      </c>
      <c r="S1939" t="str">
        <f>IF(B1939="","", IFERROR(SUMIFS(ベンチマークリターン!$C$2:$C$2001, ベンチマークリターン!$A$2:$A$2001, A1939, ベンチマークリターン!$B$2:$B$2001, Q1939) / 100, 0))</f>
        <v/>
      </c>
      <c r="T1939" t="str">
        <f>IF(A1939="","", SUMIFS($H$2:$H$2000, $A$2:$A$2000, A1939))</f>
        <v/>
      </c>
      <c r="U1939" t="str">
        <f t="shared" si="338"/>
        <v/>
      </c>
      <c r="V1939" t="str">
        <f t="shared" si="339"/>
        <v/>
      </c>
      <c r="W1939" t="str">
        <f t="shared" si="340"/>
        <v/>
      </c>
    </row>
    <row r="1940" spans="1:23" x14ac:dyDescent="0.2">
      <c r="A1940" s="4" t="str">
        <f>IF(ポートフォリオ実績!A1941="","", ポートフォリオ実績!A1941)</f>
        <v/>
      </c>
      <c r="B1940" t="str">
        <f>IF(ポートフォリオ実績!B1941="","", ポートフォリオ実績!B1941)</f>
        <v/>
      </c>
      <c r="C1940" s="10" t="str">
        <f>IF(ポートフォリオ実績!C1941="","", ポートフォリオ実績!C1941)</f>
        <v/>
      </c>
      <c r="D1940" s="10" t="str">
        <f>IF(ポートフォリオ実績!D1941="","", ポートフォリオ実績!D1941)</f>
        <v/>
      </c>
      <c r="E1940" s="10" t="str">
        <f>IF(ポートフォリオ実績!E1941="","", ポートフォリオ実績!E1941)</f>
        <v/>
      </c>
      <c r="F1940" s="10" t="str">
        <f>IF(ポートフォリオ実績!F1941="","", ポートフォリオ実績!F1941)</f>
        <v/>
      </c>
      <c r="G1940" t="str">
        <f t="shared" si="330"/>
        <v/>
      </c>
      <c r="H1940">
        <f>IF(B1940&lt;&gt;"", SUMIFS(ポートフォリオ実績!$D$2:$D$2001, ポートフォリオ実績!$B$2:$B$2001, B1940, ポートフォリオ実績!$A$2:$A$2001, G1940), 0)</f>
        <v>0</v>
      </c>
      <c r="I1940">
        <f>IF(B1940&lt;&gt;"", SUMIFS(ポートフォリオ実績!$C$2:$C$2001, ポートフォリオ実績!$B$2:$B$2001, B1940, ポートフォリオ実績!$A$2:$A$2001, G1940), 0)</f>
        <v>0</v>
      </c>
      <c r="J1940">
        <f t="shared" si="331"/>
        <v>0</v>
      </c>
      <c r="K1940">
        <f t="shared" si="332"/>
        <v>0</v>
      </c>
      <c r="L1940">
        <f t="shared" si="333"/>
        <v>0</v>
      </c>
      <c r="M1940">
        <f t="shared" si="334"/>
        <v>0</v>
      </c>
      <c r="N1940">
        <f t="shared" si="335"/>
        <v>0</v>
      </c>
      <c r="O1940">
        <f t="shared" si="336"/>
        <v>0</v>
      </c>
      <c r="P1940" t="str">
        <f t="shared" si="337"/>
        <v/>
      </c>
      <c r="Q1940" t="str">
        <f>IF(B1940="","", IFERROR(VLOOKUP(B1940, '基準資産配分（設定）'!$A$2:$C$2001, 3, FALSE), ""))</f>
        <v/>
      </c>
      <c r="R1940" t="str">
        <f>IF(B1940="","", IFERROR(VLOOKUP(B1940, '基準資産配分（設定）'!$A$2:$C$2001, 2, FALSE)/100, 0))</f>
        <v/>
      </c>
      <c r="S1940" t="str">
        <f>IF(B1940="","", IFERROR(SUMIFS(ベンチマークリターン!$C$2:$C$2001, ベンチマークリターン!$A$2:$A$2001, A1940, ベンチマークリターン!$B$2:$B$2001, Q1940) / 100, 0))</f>
        <v/>
      </c>
      <c r="T1940" t="str">
        <f>IF(A1940="","", SUMIFS($H$2:$H$2000, $A$2:$A$2000, A1940))</f>
        <v/>
      </c>
      <c r="U1940" t="str">
        <f t="shared" si="338"/>
        <v/>
      </c>
      <c r="V1940" t="str">
        <f t="shared" si="339"/>
        <v/>
      </c>
      <c r="W1940" t="str">
        <f t="shared" si="340"/>
        <v/>
      </c>
    </row>
    <row r="1941" spans="1:23" x14ac:dyDescent="0.2">
      <c r="A1941" s="4" t="str">
        <f>IF(ポートフォリオ実績!A1942="","", ポートフォリオ実績!A1942)</f>
        <v/>
      </c>
      <c r="B1941" t="str">
        <f>IF(ポートフォリオ実績!B1942="","", ポートフォリオ実績!B1942)</f>
        <v/>
      </c>
      <c r="C1941" s="10" t="str">
        <f>IF(ポートフォリオ実績!C1942="","", ポートフォリオ実績!C1942)</f>
        <v/>
      </c>
      <c r="D1941" s="10" t="str">
        <f>IF(ポートフォリオ実績!D1942="","", ポートフォリオ実績!D1942)</f>
        <v/>
      </c>
      <c r="E1941" s="10" t="str">
        <f>IF(ポートフォリオ実績!E1942="","", ポートフォリオ実績!E1942)</f>
        <v/>
      </c>
      <c r="F1941" s="10" t="str">
        <f>IF(ポートフォリオ実績!F1942="","", ポートフォリオ実績!F1942)</f>
        <v/>
      </c>
      <c r="G1941" t="str">
        <f t="shared" si="330"/>
        <v/>
      </c>
      <c r="H1941">
        <f>IF(B1941&lt;&gt;"", SUMIFS(ポートフォリオ実績!$D$2:$D$2001, ポートフォリオ実績!$B$2:$B$2001, B1941, ポートフォリオ実績!$A$2:$A$2001, G1941), 0)</f>
        <v>0</v>
      </c>
      <c r="I1941">
        <f>IF(B1941&lt;&gt;"", SUMIFS(ポートフォリオ実績!$C$2:$C$2001, ポートフォリオ実績!$B$2:$B$2001, B1941, ポートフォリオ実績!$A$2:$A$2001, G1941), 0)</f>
        <v>0</v>
      </c>
      <c r="J1941">
        <f t="shared" si="331"/>
        <v>0</v>
      </c>
      <c r="K1941">
        <f t="shared" si="332"/>
        <v>0</v>
      </c>
      <c r="L1941">
        <f t="shared" si="333"/>
        <v>0</v>
      </c>
      <c r="M1941">
        <f t="shared" si="334"/>
        <v>0</v>
      </c>
      <c r="N1941">
        <f t="shared" si="335"/>
        <v>0</v>
      </c>
      <c r="O1941">
        <f t="shared" si="336"/>
        <v>0</v>
      </c>
      <c r="P1941" t="str">
        <f t="shared" si="337"/>
        <v/>
      </c>
      <c r="Q1941" t="str">
        <f>IF(B1941="","", IFERROR(VLOOKUP(B1941, '基準資産配分（設定）'!$A$2:$C$2001, 3, FALSE), ""))</f>
        <v/>
      </c>
      <c r="R1941" t="str">
        <f>IF(B1941="","", IFERROR(VLOOKUP(B1941, '基準資産配分（設定）'!$A$2:$C$2001, 2, FALSE)/100, 0))</f>
        <v/>
      </c>
      <c r="S1941" t="str">
        <f>IF(B1941="","", IFERROR(SUMIFS(ベンチマークリターン!$C$2:$C$2001, ベンチマークリターン!$A$2:$A$2001, A1941, ベンチマークリターン!$B$2:$B$2001, Q1941) / 100, 0))</f>
        <v/>
      </c>
      <c r="T1941" t="str">
        <f>IF(A1941="","", SUMIFS($H$2:$H$2000, $A$2:$A$2000, A1941))</f>
        <v/>
      </c>
      <c r="U1941" t="str">
        <f t="shared" si="338"/>
        <v/>
      </c>
      <c r="V1941" t="str">
        <f t="shared" si="339"/>
        <v/>
      </c>
      <c r="W1941" t="str">
        <f t="shared" si="340"/>
        <v/>
      </c>
    </row>
    <row r="1942" spans="1:23" x14ac:dyDescent="0.2">
      <c r="A1942" s="4" t="str">
        <f>IF(ポートフォリオ実績!A1943="","", ポートフォリオ実績!A1943)</f>
        <v/>
      </c>
      <c r="B1942" t="str">
        <f>IF(ポートフォリオ実績!B1943="","", ポートフォリオ実績!B1943)</f>
        <v/>
      </c>
      <c r="C1942" s="10" t="str">
        <f>IF(ポートフォリオ実績!C1943="","", ポートフォリオ実績!C1943)</f>
        <v/>
      </c>
      <c r="D1942" s="10" t="str">
        <f>IF(ポートフォリオ実績!D1943="","", ポートフォリオ実績!D1943)</f>
        <v/>
      </c>
      <c r="E1942" s="10" t="str">
        <f>IF(ポートフォリオ実績!E1943="","", ポートフォリオ実績!E1943)</f>
        <v/>
      </c>
      <c r="F1942" s="10" t="str">
        <f>IF(ポートフォリオ実績!F1943="","", ポートフォリオ実績!F1943)</f>
        <v/>
      </c>
      <c r="G1942" t="str">
        <f t="shared" si="330"/>
        <v/>
      </c>
      <c r="H1942">
        <f>IF(B1942&lt;&gt;"", SUMIFS(ポートフォリオ実績!$D$2:$D$2001, ポートフォリオ実績!$B$2:$B$2001, B1942, ポートフォリオ実績!$A$2:$A$2001, G1942), 0)</f>
        <v>0</v>
      </c>
      <c r="I1942">
        <f>IF(B1942&lt;&gt;"", SUMIFS(ポートフォリオ実績!$C$2:$C$2001, ポートフォリオ実績!$B$2:$B$2001, B1942, ポートフォリオ実績!$A$2:$A$2001, G1942), 0)</f>
        <v>0</v>
      </c>
      <c r="J1942">
        <f t="shared" si="331"/>
        <v>0</v>
      </c>
      <c r="K1942">
        <f t="shared" si="332"/>
        <v>0</v>
      </c>
      <c r="L1942">
        <f t="shared" si="333"/>
        <v>0</v>
      </c>
      <c r="M1942">
        <f t="shared" si="334"/>
        <v>0</v>
      </c>
      <c r="N1942">
        <f t="shared" si="335"/>
        <v>0</v>
      </c>
      <c r="O1942">
        <f t="shared" si="336"/>
        <v>0</v>
      </c>
      <c r="P1942" t="str">
        <f t="shared" si="337"/>
        <v/>
      </c>
      <c r="Q1942" t="str">
        <f>IF(B1942="","", IFERROR(VLOOKUP(B1942, '基準資産配分（設定）'!$A$2:$C$2001, 3, FALSE), ""))</f>
        <v/>
      </c>
      <c r="R1942" t="str">
        <f>IF(B1942="","", IFERROR(VLOOKUP(B1942, '基準資産配分（設定）'!$A$2:$C$2001, 2, FALSE)/100, 0))</f>
        <v/>
      </c>
      <c r="S1942" t="str">
        <f>IF(B1942="","", IFERROR(SUMIFS(ベンチマークリターン!$C$2:$C$2001, ベンチマークリターン!$A$2:$A$2001, A1942, ベンチマークリターン!$B$2:$B$2001, Q1942) / 100, 0))</f>
        <v/>
      </c>
      <c r="T1942" t="str">
        <f>IF(A1942="","", SUMIFS($H$2:$H$2000, $A$2:$A$2000, A1942))</f>
        <v/>
      </c>
      <c r="U1942" t="str">
        <f t="shared" si="338"/>
        <v/>
      </c>
      <c r="V1942" t="str">
        <f t="shared" si="339"/>
        <v/>
      </c>
      <c r="W1942" t="str">
        <f t="shared" si="340"/>
        <v/>
      </c>
    </row>
    <row r="1943" spans="1:23" x14ac:dyDescent="0.2">
      <c r="A1943" s="4" t="str">
        <f>IF(ポートフォリオ実績!A1944="","", ポートフォリオ実績!A1944)</f>
        <v/>
      </c>
      <c r="B1943" t="str">
        <f>IF(ポートフォリオ実績!B1944="","", ポートフォリオ実績!B1944)</f>
        <v/>
      </c>
      <c r="C1943" s="10" t="str">
        <f>IF(ポートフォリオ実績!C1944="","", ポートフォリオ実績!C1944)</f>
        <v/>
      </c>
      <c r="D1943" s="10" t="str">
        <f>IF(ポートフォリオ実績!D1944="","", ポートフォリオ実績!D1944)</f>
        <v/>
      </c>
      <c r="E1943" s="10" t="str">
        <f>IF(ポートフォリオ実績!E1944="","", ポートフォリオ実績!E1944)</f>
        <v/>
      </c>
      <c r="F1943" s="10" t="str">
        <f>IF(ポートフォリオ実績!F1944="","", ポートフォリオ実績!F1944)</f>
        <v/>
      </c>
      <c r="G1943" t="str">
        <f t="shared" si="330"/>
        <v/>
      </c>
      <c r="H1943">
        <f>IF(B1943&lt;&gt;"", SUMIFS(ポートフォリオ実績!$D$2:$D$2001, ポートフォリオ実績!$B$2:$B$2001, B1943, ポートフォリオ実績!$A$2:$A$2001, G1943), 0)</f>
        <v>0</v>
      </c>
      <c r="I1943">
        <f>IF(B1943&lt;&gt;"", SUMIFS(ポートフォリオ実績!$C$2:$C$2001, ポートフォリオ実績!$B$2:$B$2001, B1943, ポートフォリオ実績!$A$2:$A$2001, G1943), 0)</f>
        <v>0</v>
      </c>
      <c r="J1943">
        <f t="shared" si="331"/>
        <v>0</v>
      </c>
      <c r="K1943">
        <f t="shared" si="332"/>
        <v>0</v>
      </c>
      <c r="L1943">
        <f t="shared" si="333"/>
        <v>0</v>
      </c>
      <c r="M1943">
        <f t="shared" si="334"/>
        <v>0</v>
      </c>
      <c r="N1943">
        <f t="shared" si="335"/>
        <v>0</v>
      </c>
      <c r="O1943">
        <f t="shared" si="336"/>
        <v>0</v>
      </c>
      <c r="P1943" t="str">
        <f t="shared" si="337"/>
        <v/>
      </c>
      <c r="Q1943" t="str">
        <f>IF(B1943="","", IFERROR(VLOOKUP(B1943, '基準資産配分（設定）'!$A$2:$C$2001, 3, FALSE), ""))</f>
        <v/>
      </c>
      <c r="R1943" t="str">
        <f>IF(B1943="","", IFERROR(VLOOKUP(B1943, '基準資産配分（設定）'!$A$2:$C$2001, 2, FALSE)/100, 0))</f>
        <v/>
      </c>
      <c r="S1943" t="str">
        <f>IF(B1943="","", IFERROR(SUMIFS(ベンチマークリターン!$C$2:$C$2001, ベンチマークリターン!$A$2:$A$2001, A1943, ベンチマークリターン!$B$2:$B$2001, Q1943) / 100, 0))</f>
        <v/>
      </c>
      <c r="T1943" t="str">
        <f>IF(A1943="","", SUMIFS($H$2:$H$2000, $A$2:$A$2000, A1943))</f>
        <v/>
      </c>
      <c r="U1943" t="str">
        <f t="shared" si="338"/>
        <v/>
      </c>
      <c r="V1943" t="str">
        <f t="shared" si="339"/>
        <v/>
      </c>
      <c r="W1943" t="str">
        <f t="shared" si="340"/>
        <v/>
      </c>
    </row>
    <row r="1944" spans="1:23" x14ac:dyDescent="0.2">
      <c r="A1944" s="4" t="str">
        <f>IF(ポートフォリオ実績!A1945="","", ポートフォリオ実績!A1945)</f>
        <v/>
      </c>
      <c r="B1944" t="str">
        <f>IF(ポートフォリオ実績!B1945="","", ポートフォリオ実績!B1945)</f>
        <v/>
      </c>
      <c r="C1944" s="10" t="str">
        <f>IF(ポートフォリオ実績!C1945="","", ポートフォリオ実績!C1945)</f>
        <v/>
      </c>
      <c r="D1944" s="10" t="str">
        <f>IF(ポートフォリオ実績!D1945="","", ポートフォリオ実績!D1945)</f>
        <v/>
      </c>
      <c r="E1944" s="10" t="str">
        <f>IF(ポートフォリオ実績!E1945="","", ポートフォリオ実績!E1945)</f>
        <v/>
      </c>
      <c r="F1944" s="10" t="str">
        <f>IF(ポートフォリオ実績!F1945="","", ポートフォリオ実績!F1945)</f>
        <v/>
      </c>
      <c r="G1944" t="str">
        <f t="shared" si="330"/>
        <v/>
      </c>
      <c r="H1944">
        <f>IF(B1944&lt;&gt;"", SUMIFS(ポートフォリオ実績!$D$2:$D$2001, ポートフォリオ実績!$B$2:$B$2001, B1944, ポートフォリオ実績!$A$2:$A$2001, G1944), 0)</f>
        <v>0</v>
      </c>
      <c r="I1944">
        <f>IF(B1944&lt;&gt;"", SUMIFS(ポートフォリオ実績!$C$2:$C$2001, ポートフォリオ実績!$B$2:$B$2001, B1944, ポートフォリオ実績!$A$2:$A$2001, G1944), 0)</f>
        <v>0</v>
      </c>
      <c r="J1944">
        <f t="shared" si="331"/>
        <v>0</v>
      </c>
      <c r="K1944">
        <f t="shared" si="332"/>
        <v>0</v>
      </c>
      <c r="L1944">
        <f t="shared" si="333"/>
        <v>0</v>
      </c>
      <c r="M1944">
        <f t="shared" si="334"/>
        <v>0</v>
      </c>
      <c r="N1944">
        <f t="shared" si="335"/>
        <v>0</v>
      </c>
      <c r="O1944">
        <f t="shared" si="336"/>
        <v>0</v>
      </c>
      <c r="P1944" t="str">
        <f t="shared" si="337"/>
        <v/>
      </c>
      <c r="Q1944" t="str">
        <f>IF(B1944="","", IFERROR(VLOOKUP(B1944, '基準資産配分（設定）'!$A$2:$C$2001, 3, FALSE), ""))</f>
        <v/>
      </c>
      <c r="R1944" t="str">
        <f>IF(B1944="","", IFERROR(VLOOKUP(B1944, '基準資産配分（設定）'!$A$2:$C$2001, 2, FALSE)/100, 0))</f>
        <v/>
      </c>
      <c r="S1944" t="str">
        <f>IF(B1944="","", IFERROR(SUMIFS(ベンチマークリターン!$C$2:$C$2001, ベンチマークリターン!$A$2:$A$2001, A1944, ベンチマークリターン!$B$2:$B$2001, Q1944) / 100, 0))</f>
        <v/>
      </c>
      <c r="T1944" t="str">
        <f>IF(A1944="","", SUMIFS($H$2:$H$2000, $A$2:$A$2000, A1944))</f>
        <v/>
      </c>
      <c r="U1944" t="str">
        <f t="shared" si="338"/>
        <v/>
      </c>
      <c r="V1944" t="str">
        <f t="shared" si="339"/>
        <v/>
      </c>
      <c r="W1944" t="str">
        <f t="shared" si="340"/>
        <v/>
      </c>
    </row>
    <row r="1945" spans="1:23" x14ac:dyDescent="0.2">
      <c r="A1945" s="4" t="str">
        <f>IF(ポートフォリオ実績!A1946="","", ポートフォリオ実績!A1946)</f>
        <v/>
      </c>
      <c r="B1945" t="str">
        <f>IF(ポートフォリオ実績!B1946="","", ポートフォリオ実績!B1946)</f>
        <v/>
      </c>
      <c r="C1945" s="10" t="str">
        <f>IF(ポートフォリオ実績!C1946="","", ポートフォリオ実績!C1946)</f>
        <v/>
      </c>
      <c r="D1945" s="10" t="str">
        <f>IF(ポートフォリオ実績!D1946="","", ポートフォリオ実績!D1946)</f>
        <v/>
      </c>
      <c r="E1945" s="10" t="str">
        <f>IF(ポートフォリオ実績!E1946="","", ポートフォリオ実績!E1946)</f>
        <v/>
      </c>
      <c r="F1945" s="10" t="str">
        <f>IF(ポートフォリオ実績!F1946="","", ポートフォリオ実績!F1946)</f>
        <v/>
      </c>
      <c r="G1945" t="str">
        <f t="shared" si="330"/>
        <v/>
      </c>
      <c r="H1945">
        <f>IF(B1945&lt;&gt;"", SUMIFS(ポートフォリオ実績!$D$2:$D$2001, ポートフォリオ実績!$B$2:$B$2001, B1945, ポートフォリオ実績!$A$2:$A$2001, G1945), 0)</f>
        <v>0</v>
      </c>
      <c r="I1945">
        <f>IF(B1945&lt;&gt;"", SUMIFS(ポートフォリオ実績!$C$2:$C$2001, ポートフォリオ実績!$B$2:$B$2001, B1945, ポートフォリオ実績!$A$2:$A$2001, G1945), 0)</f>
        <v>0</v>
      </c>
      <c r="J1945">
        <f t="shared" si="331"/>
        <v>0</v>
      </c>
      <c r="K1945">
        <f t="shared" si="332"/>
        <v>0</v>
      </c>
      <c r="L1945">
        <f t="shared" si="333"/>
        <v>0</v>
      </c>
      <c r="M1945">
        <f t="shared" si="334"/>
        <v>0</v>
      </c>
      <c r="N1945">
        <f t="shared" si="335"/>
        <v>0</v>
      </c>
      <c r="O1945">
        <f t="shared" si="336"/>
        <v>0</v>
      </c>
      <c r="P1945" t="str">
        <f t="shared" si="337"/>
        <v/>
      </c>
      <c r="Q1945" t="str">
        <f>IF(B1945="","", IFERROR(VLOOKUP(B1945, '基準資産配分（設定）'!$A$2:$C$2001, 3, FALSE), ""))</f>
        <v/>
      </c>
      <c r="R1945" t="str">
        <f>IF(B1945="","", IFERROR(VLOOKUP(B1945, '基準資産配分（設定）'!$A$2:$C$2001, 2, FALSE)/100, 0))</f>
        <v/>
      </c>
      <c r="S1945" t="str">
        <f>IF(B1945="","", IFERROR(SUMIFS(ベンチマークリターン!$C$2:$C$2001, ベンチマークリターン!$A$2:$A$2001, A1945, ベンチマークリターン!$B$2:$B$2001, Q1945) / 100, 0))</f>
        <v/>
      </c>
      <c r="T1945" t="str">
        <f>IF(A1945="","", SUMIFS($H$2:$H$2000, $A$2:$A$2000, A1945))</f>
        <v/>
      </c>
      <c r="U1945" t="str">
        <f t="shared" si="338"/>
        <v/>
      </c>
      <c r="V1945" t="str">
        <f t="shared" si="339"/>
        <v/>
      </c>
      <c r="W1945" t="str">
        <f t="shared" si="340"/>
        <v/>
      </c>
    </row>
    <row r="1946" spans="1:23" x14ac:dyDescent="0.2">
      <c r="A1946" s="4" t="str">
        <f>IF(ポートフォリオ実績!A1947="","", ポートフォリオ実績!A1947)</f>
        <v/>
      </c>
      <c r="B1946" t="str">
        <f>IF(ポートフォリオ実績!B1947="","", ポートフォリオ実績!B1947)</f>
        <v/>
      </c>
      <c r="C1946" s="10" t="str">
        <f>IF(ポートフォリオ実績!C1947="","", ポートフォリオ実績!C1947)</f>
        <v/>
      </c>
      <c r="D1946" s="10" t="str">
        <f>IF(ポートフォリオ実績!D1947="","", ポートフォリオ実績!D1947)</f>
        <v/>
      </c>
      <c r="E1946" s="10" t="str">
        <f>IF(ポートフォリオ実績!E1947="","", ポートフォリオ実績!E1947)</f>
        <v/>
      </c>
      <c r="F1946" s="10" t="str">
        <f>IF(ポートフォリオ実績!F1947="","", ポートフォリオ実績!F1947)</f>
        <v/>
      </c>
      <c r="G1946" t="str">
        <f t="shared" si="330"/>
        <v/>
      </c>
      <c r="H1946">
        <f>IF(B1946&lt;&gt;"", SUMIFS(ポートフォリオ実績!$D$2:$D$2001, ポートフォリオ実績!$B$2:$B$2001, B1946, ポートフォリオ実績!$A$2:$A$2001, G1946), 0)</f>
        <v>0</v>
      </c>
      <c r="I1946">
        <f>IF(B1946&lt;&gt;"", SUMIFS(ポートフォリオ実績!$C$2:$C$2001, ポートフォリオ実績!$B$2:$B$2001, B1946, ポートフォリオ実績!$A$2:$A$2001, G1946), 0)</f>
        <v>0</v>
      </c>
      <c r="J1946">
        <f t="shared" si="331"/>
        <v>0</v>
      </c>
      <c r="K1946">
        <f t="shared" si="332"/>
        <v>0</v>
      </c>
      <c r="L1946">
        <f t="shared" si="333"/>
        <v>0</v>
      </c>
      <c r="M1946">
        <f t="shared" si="334"/>
        <v>0</v>
      </c>
      <c r="N1946">
        <f t="shared" si="335"/>
        <v>0</v>
      </c>
      <c r="O1946">
        <f t="shared" si="336"/>
        <v>0</v>
      </c>
      <c r="P1946" t="str">
        <f t="shared" si="337"/>
        <v/>
      </c>
      <c r="Q1946" t="str">
        <f>IF(B1946="","", IFERROR(VLOOKUP(B1946, '基準資産配分（設定）'!$A$2:$C$2001, 3, FALSE), ""))</f>
        <v/>
      </c>
      <c r="R1946" t="str">
        <f>IF(B1946="","", IFERROR(VLOOKUP(B1946, '基準資産配分（設定）'!$A$2:$C$2001, 2, FALSE)/100, 0))</f>
        <v/>
      </c>
      <c r="S1946" t="str">
        <f>IF(B1946="","", IFERROR(SUMIFS(ベンチマークリターン!$C$2:$C$2001, ベンチマークリターン!$A$2:$A$2001, A1946, ベンチマークリターン!$B$2:$B$2001, Q1946) / 100, 0))</f>
        <v/>
      </c>
      <c r="T1946" t="str">
        <f>IF(A1946="","", SUMIFS($H$2:$H$2000, $A$2:$A$2000, A1946))</f>
        <v/>
      </c>
      <c r="U1946" t="str">
        <f t="shared" si="338"/>
        <v/>
      </c>
      <c r="V1946" t="str">
        <f t="shared" si="339"/>
        <v/>
      </c>
      <c r="W1946" t="str">
        <f t="shared" si="340"/>
        <v/>
      </c>
    </row>
    <row r="1947" spans="1:23" x14ac:dyDescent="0.2">
      <c r="A1947" s="4" t="str">
        <f>IF(ポートフォリオ実績!A1948="","", ポートフォリオ実績!A1948)</f>
        <v/>
      </c>
      <c r="B1947" t="str">
        <f>IF(ポートフォリオ実績!B1948="","", ポートフォリオ実績!B1948)</f>
        <v/>
      </c>
      <c r="C1947" s="10" t="str">
        <f>IF(ポートフォリオ実績!C1948="","", ポートフォリオ実績!C1948)</f>
        <v/>
      </c>
      <c r="D1947" s="10" t="str">
        <f>IF(ポートフォリオ実績!D1948="","", ポートフォリオ実績!D1948)</f>
        <v/>
      </c>
      <c r="E1947" s="10" t="str">
        <f>IF(ポートフォリオ実績!E1948="","", ポートフォリオ実績!E1948)</f>
        <v/>
      </c>
      <c r="F1947" s="10" t="str">
        <f>IF(ポートフォリオ実績!F1948="","", ポートフォリオ実績!F1948)</f>
        <v/>
      </c>
      <c r="G1947" t="str">
        <f t="shared" si="330"/>
        <v/>
      </c>
      <c r="H1947">
        <f>IF(B1947&lt;&gt;"", SUMIFS(ポートフォリオ実績!$D$2:$D$2001, ポートフォリオ実績!$B$2:$B$2001, B1947, ポートフォリオ実績!$A$2:$A$2001, G1947), 0)</f>
        <v>0</v>
      </c>
      <c r="I1947">
        <f>IF(B1947&lt;&gt;"", SUMIFS(ポートフォリオ実績!$C$2:$C$2001, ポートフォリオ実績!$B$2:$B$2001, B1947, ポートフォリオ実績!$A$2:$A$2001, G1947), 0)</f>
        <v>0</v>
      </c>
      <c r="J1947">
        <f t="shared" si="331"/>
        <v>0</v>
      </c>
      <c r="K1947">
        <f t="shared" si="332"/>
        <v>0</v>
      </c>
      <c r="L1947">
        <f t="shared" si="333"/>
        <v>0</v>
      </c>
      <c r="M1947">
        <f t="shared" si="334"/>
        <v>0</v>
      </c>
      <c r="N1947">
        <f t="shared" si="335"/>
        <v>0</v>
      </c>
      <c r="O1947">
        <f t="shared" si="336"/>
        <v>0</v>
      </c>
      <c r="P1947" t="str">
        <f t="shared" si="337"/>
        <v/>
      </c>
      <c r="Q1947" t="str">
        <f>IF(B1947="","", IFERROR(VLOOKUP(B1947, '基準資産配分（設定）'!$A$2:$C$2001, 3, FALSE), ""))</f>
        <v/>
      </c>
      <c r="R1947" t="str">
        <f>IF(B1947="","", IFERROR(VLOOKUP(B1947, '基準資産配分（設定）'!$A$2:$C$2001, 2, FALSE)/100, 0))</f>
        <v/>
      </c>
      <c r="S1947" t="str">
        <f>IF(B1947="","", IFERROR(SUMIFS(ベンチマークリターン!$C$2:$C$2001, ベンチマークリターン!$A$2:$A$2001, A1947, ベンチマークリターン!$B$2:$B$2001, Q1947) / 100, 0))</f>
        <v/>
      </c>
      <c r="T1947" t="str">
        <f>IF(A1947="","", SUMIFS($H$2:$H$2000, $A$2:$A$2000, A1947))</f>
        <v/>
      </c>
      <c r="U1947" t="str">
        <f t="shared" si="338"/>
        <v/>
      </c>
      <c r="V1947" t="str">
        <f t="shared" si="339"/>
        <v/>
      </c>
      <c r="W1947" t="str">
        <f t="shared" si="340"/>
        <v/>
      </c>
    </row>
    <row r="1948" spans="1:23" x14ac:dyDescent="0.2">
      <c r="A1948" s="4" t="str">
        <f>IF(ポートフォリオ実績!A1949="","", ポートフォリオ実績!A1949)</f>
        <v/>
      </c>
      <c r="B1948" t="str">
        <f>IF(ポートフォリオ実績!B1949="","", ポートフォリオ実績!B1949)</f>
        <v/>
      </c>
      <c r="C1948" s="10" t="str">
        <f>IF(ポートフォリオ実績!C1949="","", ポートフォリオ実績!C1949)</f>
        <v/>
      </c>
      <c r="D1948" s="10" t="str">
        <f>IF(ポートフォリオ実績!D1949="","", ポートフォリオ実績!D1949)</f>
        <v/>
      </c>
      <c r="E1948" s="10" t="str">
        <f>IF(ポートフォリオ実績!E1949="","", ポートフォリオ実績!E1949)</f>
        <v/>
      </c>
      <c r="F1948" s="10" t="str">
        <f>IF(ポートフォリオ実績!F1949="","", ポートフォリオ実績!F1949)</f>
        <v/>
      </c>
      <c r="G1948" t="str">
        <f t="shared" si="330"/>
        <v/>
      </c>
      <c r="H1948">
        <f>IF(B1948&lt;&gt;"", SUMIFS(ポートフォリオ実績!$D$2:$D$2001, ポートフォリオ実績!$B$2:$B$2001, B1948, ポートフォリオ実績!$A$2:$A$2001, G1948), 0)</f>
        <v>0</v>
      </c>
      <c r="I1948">
        <f>IF(B1948&lt;&gt;"", SUMIFS(ポートフォリオ実績!$C$2:$C$2001, ポートフォリオ実績!$B$2:$B$2001, B1948, ポートフォリオ実績!$A$2:$A$2001, G1948), 0)</f>
        <v>0</v>
      </c>
      <c r="J1948">
        <f t="shared" si="331"/>
        <v>0</v>
      </c>
      <c r="K1948">
        <f t="shared" si="332"/>
        <v>0</v>
      </c>
      <c r="L1948">
        <f t="shared" si="333"/>
        <v>0</v>
      </c>
      <c r="M1948">
        <f t="shared" si="334"/>
        <v>0</v>
      </c>
      <c r="N1948">
        <f t="shared" si="335"/>
        <v>0</v>
      </c>
      <c r="O1948">
        <f t="shared" si="336"/>
        <v>0</v>
      </c>
      <c r="P1948" t="str">
        <f t="shared" si="337"/>
        <v/>
      </c>
      <c r="Q1948" t="str">
        <f>IF(B1948="","", IFERROR(VLOOKUP(B1948, '基準資産配分（設定）'!$A$2:$C$2001, 3, FALSE), ""))</f>
        <v/>
      </c>
      <c r="R1948" t="str">
        <f>IF(B1948="","", IFERROR(VLOOKUP(B1948, '基準資産配分（設定）'!$A$2:$C$2001, 2, FALSE)/100, 0))</f>
        <v/>
      </c>
      <c r="S1948" t="str">
        <f>IF(B1948="","", IFERROR(SUMIFS(ベンチマークリターン!$C$2:$C$2001, ベンチマークリターン!$A$2:$A$2001, A1948, ベンチマークリターン!$B$2:$B$2001, Q1948) / 100, 0))</f>
        <v/>
      </c>
      <c r="T1948" t="str">
        <f>IF(A1948="","", SUMIFS($H$2:$H$2000, $A$2:$A$2000, A1948))</f>
        <v/>
      </c>
      <c r="U1948" t="str">
        <f t="shared" si="338"/>
        <v/>
      </c>
      <c r="V1948" t="str">
        <f t="shared" si="339"/>
        <v/>
      </c>
      <c r="W1948" t="str">
        <f t="shared" si="340"/>
        <v/>
      </c>
    </row>
    <row r="1949" spans="1:23" x14ac:dyDescent="0.2">
      <c r="A1949" s="4" t="str">
        <f>IF(ポートフォリオ実績!A1950="","", ポートフォリオ実績!A1950)</f>
        <v/>
      </c>
      <c r="B1949" t="str">
        <f>IF(ポートフォリオ実績!B1950="","", ポートフォリオ実績!B1950)</f>
        <v/>
      </c>
      <c r="C1949" s="10" t="str">
        <f>IF(ポートフォリオ実績!C1950="","", ポートフォリオ実績!C1950)</f>
        <v/>
      </c>
      <c r="D1949" s="10" t="str">
        <f>IF(ポートフォリオ実績!D1950="","", ポートフォリオ実績!D1950)</f>
        <v/>
      </c>
      <c r="E1949" s="10" t="str">
        <f>IF(ポートフォリオ実績!E1950="","", ポートフォリオ実績!E1950)</f>
        <v/>
      </c>
      <c r="F1949" s="10" t="str">
        <f>IF(ポートフォリオ実績!F1950="","", ポートフォリオ実績!F1950)</f>
        <v/>
      </c>
      <c r="G1949" t="str">
        <f t="shared" si="330"/>
        <v/>
      </c>
      <c r="H1949">
        <f>IF(B1949&lt;&gt;"", SUMIFS(ポートフォリオ実績!$D$2:$D$2001, ポートフォリオ実績!$B$2:$B$2001, B1949, ポートフォリオ実績!$A$2:$A$2001, G1949), 0)</f>
        <v>0</v>
      </c>
      <c r="I1949">
        <f>IF(B1949&lt;&gt;"", SUMIFS(ポートフォリオ実績!$C$2:$C$2001, ポートフォリオ実績!$B$2:$B$2001, B1949, ポートフォリオ実績!$A$2:$A$2001, G1949), 0)</f>
        <v>0</v>
      </c>
      <c r="J1949">
        <f t="shared" si="331"/>
        <v>0</v>
      </c>
      <c r="K1949">
        <f t="shared" si="332"/>
        <v>0</v>
      </c>
      <c r="L1949">
        <f t="shared" si="333"/>
        <v>0</v>
      </c>
      <c r="M1949">
        <f t="shared" si="334"/>
        <v>0</v>
      </c>
      <c r="N1949">
        <f t="shared" si="335"/>
        <v>0</v>
      </c>
      <c r="O1949">
        <f t="shared" si="336"/>
        <v>0</v>
      </c>
      <c r="P1949" t="str">
        <f t="shared" si="337"/>
        <v/>
      </c>
      <c r="Q1949" t="str">
        <f>IF(B1949="","", IFERROR(VLOOKUP(B1949, '基準資産配分（設定）'!$A$2:$C$2001, 3, FALSE), ""))</f>
        <v/>
      </c>
      <c r="R1949" t="str">
        <f>IF(B1949="","", IFERROR(VLOOKUP(B1949, '基準資産配分（設定）'!$A$2:$C$2001, 2, FALSE)/100, 0))</f>
        <v/>
      </c>
      <c r="S1949" t="str">
        <f>IF(B1949="","", IFERROR(SUMIFS(ベンチマークリターン!$C$2:$C$2001, ベンチマークリターン!$A$2:$A$2001, A1949, ベンチマークリターン!$B$2:$B$2001, Q1949) / 100, 0))</f>
        <v/>
      </c>
      <c r="T1949" t="str">
        <f>IF(A1949="","", SUMIFS($H$2:$H$2000, $A$2:$A$2000, A1949))</f>
        <v/>
      </c>
      <c r="U1949" t="str">
        <f t="shared" si="338"/>
        <v/>
      </c>
      <c r="V1949" t="str">
        <f t="shared" si="339"/>
        <v/>
      </c>
      <c r="W1949" t="str">
        <f t="shared" si="340"/>
        <v/>
      </c>
    </row>
    <row r="1950" spans="1:23" x14ac:dyDescent="0.2">
      <c r="A1950" s="4" t="str">
        <f>IF(ポートフォリオ実績!A1951="","", ポートフォリオ実績!A1951)</f>
        <v/>
      </c>
      <c r="B1950" t="str">
        <f>IF(ポートフォリオ実績!B1951="","", ポートフォリオ実績!B1951)</f>
        <v/>
      </c>
      <c r="C1950" s="10" t="str">
        <f>IF(ポートフォリオ実績!C1951="","", ポートフォリオ実績!C1951)</f>
        <v/>
      </c>
      <c r="D1950" s="10" t="str">
        <f>IF(ポートフォリオ実績!D1951="","", ポートフォリオ実績!D1951)</f>
        <v/>
      </c>
      <c r="E1950" s="10" t="str">
        <f>IF(ポートフォリオ実績!E1951="","", ポートフォリオ実績!E1951)</f>
        <v/>
      </c>
      <c r="F1950" s="10" t="str">
        <f>IF(ポートフォリオ実績!F1951="","", ポートフォリオ実績!F1951)</f>
        <v/>
      </c>
      <c r="G1950" t="str">
        <f t="shared" si="330"/>
        <v/>
      </c>
      <c r="H1950">
        <f>IF(B1950&lt;&gt;"", SUMIFS(ポートフォリオ実績!$D$2:$D$2001, ポートフォリオ実績!$B$2:$B$2001, B1950, ポートフォリオ実績!$A$2:$A$2001, G1950), 0)</f>
        <v>0</v>
      </c>
      <c r="I1950">
        <f>IF(B1950&lt;&gt;"", SUMIFS(ポートフォリオ実績!$C$2:$C$2001, ポートフォリオ実績!$B$2:$B$2001, B1950, ポートフォリオ実績!$A$2:$A$2001, G1950), 0)</f>
        <v>0</v>
      </c>
      <c r="J1950">
        <f t="shared" si="331"/>
        <v>0</v>
      </c>
      <c r="K1950">
        <f t="shared" si="332"/>
        <v>0</v>
      </c>
      <c r="L1950">
        <f t="shared" si="333"/>
        <v>0</v>
      </c>
      <c r="M1950">
        <f t="shared" si="334"/>
        <v>0</v>
      </c>
      <c r="N1950">
        <f t="shared" si="335"/>
        <v>0</v>
      </c>
      <c r="O1950">
        <f t="shared" si="336"/>
        <v>0</v>
      </c>
      <c r="P1950" t="str">
        <f t="shared" si="337"/>
        <v/>
      </c>
      <c r="Q1950" t="str">
        <f>IF(B1950="","", IFERROR(VLOOKUP(B1950, '基準資産配分（設定）'!$A$2:$C$2001, 3, FALSE), ""))</f>
        <v/>
      </c>
      <c r="R1950" t="str">
        <f>IF(B1950="","", IFERROR(VLOOKUP(B1950, '基準資産配分（設定）'!$A$2:$C$2001, 2, FALSE)/100, 0))</f>
        <v/>
      </c>
      <c r="S1950" t="str">
        <f>IF(B1950="","", IFERROR(SUMIFS(ベンチマークリターン!$C$2:$C$2001, ベンチマークリターン!$A$2:$A$2001, A1950, ベンチマークリターン!$B$2:$B$2001, Q1950) / 100, 0))</f>
        <v/>
      </c>
      <c r="T1950" t="str">
        <f>IF(A1950="","", SUMIFS($H$2:$H$2000, $A$2:$A$2000, A1950))</f>
        <v/>
      </c>
      <c r="U1950" t="str">
        <f t="shared" si="338"/>
        <v/>
      </c>
      <c r="V1950" t="str">
        <f t="shared" si="339"/>
        <v/>
      </c>
      <c r="W1950" t="str">
        <f t="shared" si="340"/>
        <v/>
      </c>
    </row>
    <row r="1951" spans="1:23" x14ac:dyDescent="0.2">
      <c r="A1951" s="4" t="str">
        <f>IF(ポートフォリオ実績!A1952="","", ポートフォリオ実績!A1952)</f>
        <v/>
      </c>
      <c r="B1951" t="str">
        <f>IF(ポートフォリオ実績!B1952="","", ポートフォリオ実績!B1952)</f>
        <v/>
      </c>
      <c r="C1951" s="10" t="str">
        <f>IF(ポートフォリオ実績!C1952="","", ポートフォリオ実績!C1952)</f>
        <v/>
      </c>
      <c r="D1951" s="10" t="str">
        <f>IF(ポートフォリオ実績!D1952="","", ポートフォリオ実績!D1952)</f>
        <v/>
      </c>
      <c r="E1951" s="10" t="str">
        <f>IF(ポートフォリオ実績!E1952="","", ポートフォリオ実績!E1952)</f>
        <v/>
      </c>
      <c r="F1951" s="10" t="str">
        <f>IF(ポートフォリオ実績!F1952="","", ポートフォリオ実績!F1952)</f>
        <v/>
      </c>
      <c r="G1951" t="str">
        <f t="shared" si="330"/>
        <v/>
      </c>
      <c r="H1951">
        <f>IF(B1951&lt;&gt;"", SUMIFS(ポートフォリオ実績!$D$2:$D$2001, ポートフォリオ実績!$B$2:$B$2001, B1951, ポートフォリオ実績!$A$2:$A$2001, G1951), 0)</f>
        <v>0</v>
      </c>
      <c r="I1951">
        <f>IF(B1951&lt;&gt;"", SUMIFS(ポートフォリオ実績!$C$2:$C$2001, ポートフォリオ実績!$B$2:$B$2001, B1951, ポートフォリオ実績!$A$2:$A$2001, G1951), 0)</f>
        <v>0</v>
      </c>
      <c r="J1951">
        <f t="shared" si="331"/>
        <v>0</v>
      </c>
      <c r="K1951">
        <f t="shared" si="332"/>
        <v>0</v>
      </c>
      <c r="L1951">
        <f t="shared" si="333"/>
        <v>0</v>
      </c>
      <c r="M1951">
        <f t="shared" si="334"/>
        <v>0</v>
      </c>
      <c r="N1951">
        <f t="shared" si="335"/>
        <v>0</v>
      </c>
      <c r="O1951">
        <f t="shared" si="336"/>
        <v>0</v>
      </c>
      <c r="P1951" t="str">
        <f t="shared" si="337"/>
        <v/>
      </c>
      <c r="Q1951" t="str">
        <f>IF(B1951="","", IFERROR(VLOOKUP(B1951, '基準資産配分（設定）'!$A$2:$C$2001, 3, FALSE), ""))</f>
        <v/>
      </c>
      <c r="R1951" t="str">
        <f>IF(B1951="","", IFERROR(VLOOKUP(B1951, '基準資産配分（設定）'!$A$2:$C$2001, 2, FALSE)/100, 0))</f>
        <v/>
      </c>
      <c r="S1951" t="str">
        <f>IF(B1951="","", IFERROR(SUMIFS(ベンチマークリターン!$C$2:$C$2001, ベンチマークリターン!$A$2:$A$2001, A1951, ベンチマークリターン!$B$2:$B$2001, Q1951) / 100, 0))</f>
        <v/>
      </c>
      <c r="T1951" t="str">
        <f>IF(A1951="","", SUMIFS($H$2:$H$2000, $A$2:$A$2000, A1951))</f>
        <v/>
      </c>
      <c r="U1951" t="str">
        <f t="shared" si="338"/>
        <v/>
      </c>
      <c r="V1951" t="str">
        <f t="shared" si="339"/>
        <v/>
      </c>
      <c r="W1951" t="str">
        <f t="shared" si="340"/>
        <v/>
      </c>
    </row>
    <row r="1952" spans="1:23" x14ac:dyDescent="0.2">
      <c r="A1952" s="4" t="str">
        <f>IF(ポートフォリオ実績!A1953="","", ポートフォリオ実績!A1953)</f>
        <v/>
      </c>
      <c r="B1952" t="str">
        <f>IF(ポートフォリオ実績!B1953="","", ポートフォリオ実績!B1953)</f>
        <v/>
      </c>
      <c r="C1952" s="10" t="str">
        <f>IF(ポートフォリオ実績!C1953="","", ポートフォリオ実績!C1953)</f>
        <v/>
      </c>
      <c r="D1952" s="10" t="str">
        <f>IF(ポートフォリオ実績!D1953="","", ポートフォリオ実績!D1953)</f>
        <v/>
      </c>
      <c r="E1952" s="10" t="str">
        <f>IF(ポートフォリオ実績!E1953="","", ポートフォリオ実績!E1953)</f>
        <v/>
      </c>
      <c r="F1952" s="10" t="str">
        <f>IF(ポートフォリオ実績!F1953="","", ポートフォリオ実績!F1953)</f>
        <v/>
      </c>
      <c r="G1952" t="str">
        <f t="shared" si="330"/>
        <v/>
      </c>
      <c r="H1952">
        <f>IF(B1952&lt;&gt;"", SUMIFS(ポートフォリオ実績!$D$2:$D$2001, ポートフォリオ実績!$B$2:$B$2001, B1952, ポートフォリオ実績!$A$2:$A$2001, G1952), 0)</f>
        <v>0</v>
      </c>
      <c r="I1952">
        <f>IF(B1952&lt;&gt;"", SUMIFS(ポートフォリオ実績!$C$2:$C$2001, ポートフォリオ実績!$B$2:$B$2001, B1952, ポートフォリオ実績!$A$2:$A$2001, G1952), 0)</f>
        <v>0</v>
      </c>
      <c r="J1952">
        <f t="shared" si="331"/>
        <v>0</v>
      </c>
      <c r="K1952">
        <f t="shared" si="332"/>
        <v>0</v>
      </c>
      <c r="L1952">
        <f t="shared" si="333"/>
        <v>0</v>
      </c>
      <c r="M1952">
        <f t="shared" si="334"/>
        <v>0</v>
      </c>
      <c r="N1952">
        <f t="shared" si="335"/>
        <v>0</v>
      </c>
      <c r="O1952">
        <f t="shared" si="336"/>
        <v>0</v>
      </c>
      <c r="P1952" t="str">
        <f t="shared" si="337"/>
        <v/>
      </c>
      <c r="Q1952" t="str">
        <f>IF(B1952="","", IFERROR(VLOOKUP(B1952, '基準資産配分（設定）'!$A$2:$C$2001, 3, FALSE), ""))</f>
        <v/>
      </c>
      <c r="R1952" t="str">
        <f>IF(B1952="","", IFERROR(VLOOKUP(B1952, '基準資産配分（設定）'!$A$2:$C$2001, 2, FALSE)/100, 0))</f>
        <v/>
      </c>
      <c r="S1952" t="str">
        <f>IF(B1952="","", IFERROR(SUMIFS(ベンチマークリターン!$C$2:$C$2001, ベンチマークリターン!$A$2:$A$2001, A1952, ベンチマークリターン!$B$2:$B$2001, Q1952) / 100, 0))</f>
        <v/>
      </c>
      <c r="T1952" t="str">
        <f>IF(A1952="","", SUMIFS($H$2:$H$2000, $A$2:$A$2000, A1952))</f>
        <v/>
      </c>
      <c r="U1952" t="str">
        <f t="shared" si="338"/>
        <v/>
      </c>
      <c r="V1952" t="str">
        <f t="shared" si="339"/>
        <v/>
      </c>
      <c r="W1952" t="str">
        <f t="shared" si="340"/>
        <v/>
      </c>
    </row>
    <row r="1953" spans="1:23" x14ac:dyDescent="0.2">
      <c r="A1953" s="4" t="str">
        <f>IF(ポートフォリオ実績!A1954="","", ポートフォリオ実績!A1954)</f>
        <v/>
      </c>
      <c r="B1953" t="str">
        <f>IF(ポートフォリオ実績!B1954="","", ポートフォリオ実績!B1954)</f>
        <v/>
      </c>
      <c r="C1953" s="10" t="str">
        <f>IF(ポートフォリオ実績!C1954="","", ポートフォリオ実績!C1954)</f>
        <v/>
      </c>
      <c r="D1953" s="10" t="str">
        <f>IF(ポートフォリオ実績!D1954="","", ポートフォリオ実績!D1954)</f>
        <v/>
      </c>
      <c r="E1953" s="10" t="str">
        <f>IF(ポートフォリオ実績!E1954="","", ポートフォリオ実績!E1954)</f>
        <v/>
      </c>
      <c r="F1953" s="10" t="str">
        <f>IF(ポートフォリオ実績!F1954="","", ポートフォリオ実績!F1954)</f>
        <v/>
      </c>
      <c r="G1953" t="str">
        <f t="shared" si="330"/>
        <v/>
      </c>
      <c r="H1953">
        <f>IF(B1953&lt;&gt;"", SUMIFS(ポートフォリオ実績!$D$2:$D$2001, ポートフォリオ実績!$B$2:$B$2001, B1953, ポートフォリオ実績!$A$2:$A$2001, G1953), 0)</f>
        <v>0</v>
      </c>
      <c r="I1953">
        <f>IF(B1953&lt;&gt;"", SUMIFS(ポートフォリオ実績!$C$2:$C$2001, ポートフォリオ実績!$B$2:$B$2001, B1953, ポートフォリオ実績!$A$2:$A$2001, G1953), 0)</f>
        <v>0</v>
      </c>
      <c r="J1953">
        <f t="shared" si="331"/>
        <v>0</v>
      </c>
      <c r="K1953">
        <f t="shared" si="332"/>
        <v>0</v>
      </c>
      <c r="L1953">
        <f t="shared" si="333"/>
        <v>0</v>
      </c>
      <c r="M1953">
        <f t="shared" si="334"/>
        <v>0</v>
      </c>
      <c r="N1953">
        <f t="shared" si="335"/>
        <v>0</v>
      </c>
      <c r="O1953">
        <f t="shared" si="336"/>
        <v>0</v>
      </c>
      <c r="P1953" t="str">
        <f t="shared" si="337"/>
        <v/>
      </c>
      <c r="Q1953" t="str">
        <f>IF(B1953="","", IFERROR(VLOOKUP(B1953, '基準資産配分（設定）'!$A$2:$C$2001, 3, FALSE), ""))</f>
        <v/>
      </c>
      <c r="R1953" t="str">
        <f>IF(B1953="","", IFERROR(VLOOKUP(B1953, '基準資産配分（設定）'!$A$2:$C$2001, 2, FALSE)/100, 0))</f>
        <v/>
      </c>
      <c r="S1953" t="str">
        <f>IF(B1953="","", IFERROR(SUMIFS(ベンチマークリターン!$C$2:$C$2001, ベンチマークリターン!$A$2:$A$2001, A1953, ベンチマークリターン!$B$2:$B$2001, Q1953) / 100, 0))</f>
        <v/>
      </c>
      <c r="T1953" t="str">
        <f>IF(A1953="","", SUMIFS($H$2:$H$2000, $A$2:$A$2000, A1953))</f>
        <v/>
      </c>
      <c r="U1953" t="str">
        <f t="shared" si="338"/>
        <v/>
      </c>
      <c r="V1953" t="str">
        <f t="shared" si="339"/>
        <v/>
      </c>
      <c r="W1953" t="str">
        <f t="shared" si="340"/>
        <v/>
      </c>
    </row>
    <row r="1954" spans="1:23" x14ac:dyDescent="0.2">
      <c r="A1954" s="4" t="str">
        <f>IF(ポートフォリオ実績!A1955="","", ポートフォリオ実績!A1955)</f>
        <v/>
      </c>
      <c r="B1954" t="str">
        <f>IF(ポートフォリオ実績!B1955="","", ポートフォリオ実績!B1955)</f>
        <v/>
      </c>
      <c r="C1954" s="10" t="str">
        <f>IF(ポートフォリオ実績!C1955="","", ポートフォリオ実績!C1955)</f>
        <v/>
      </c>
      <c r="D1954" s="10" t="str">
        <f>IF(ポートフォリオ実績!D1955="","", ポートフォリオ実績!D1955)</f>
        <v/>
      </c>
      <c r="E1954" s="10" t="str">
        <f>IF(ポートフォリオ実績!E1955="","", ポートフォリオ実績!E1955)</f>
        <v/>
      </c>
      <c r="F1954" s="10" t="str">
        <f>IF(ポートフォリオ実績!F1955="","", ポートフォリオ実績!F1955)</f>
        <v/>
      </c>
      <c r="G1954" t="str">
        <f t="shared" si="330"/>
        <v/>
      </c>
      <c r="H1954">
        <f>IF(B1954&lt;&gt;"", SUMIFS(ポートフォリオ実績!$D$2:$D$2001, ポートフォリオ実績!$B$2:$B$2001, B1954, ポートフォリオ実績!$A$2:$A$2001, G1954), 0)</f>
        <v>0</v>
      </c>
      <c r="I1954">
        <f>IF(B1954&lt;&gt;"", SUMIFS(ポートフォリオ実績!$C$2:$C$2001, ポートフォリオ実績!$B$2:$B$2001, B1954, ポートフォリオ実績!$A$2:$A$2001, G1954), 0)</f>
        <v>0</v>
      </c>
      <c r="J1954">
        <f t="shared" si="331"/>
        <v>0</v>
      </c>
      <c r="K1954">
        <f t="shared" si="332"/>
        <v>0</v>
      </c>
      <c r="L1954">
        <f t="shared" si="333"/>
        <v>0</v>
      </c>
      <c r="M1954">
        <f t="shared" si="334"/>
        <v>0</v>
      </c>
      <c r="N1954">
        <f t="shared" si="335"/>
        <v>0</v>
      </c>
      <c r="O1954">
        <f t="shared" si="336"/>
        <v>0</v>
      </c>
      <c r="P1954" t="str">
        <f t="shared" si="337"/>
        <v/>
      </c>
      <c r="Q1954" t="str">
        <f>IF(B1954="","", IFERROR(VLOOKUP(B1954, '基準資産配分（設定）'!$A$2:$C$2001, 3, FALSE), ""))</f>
        <v/>
      </c>
      <c r="R1954" t="str">
        <f>IF(B1954="","", IFERROR(VLOOKUP(B1954, '基準資産配分（設定）'!$A$2:$C$2001, 2, FALSE)/100, 0))</f>
        <v/>
      </c>
      <c r="S1954" t="str">
        <f>IF(B1954="","", IFERROR(SUMIFS(ベンチマークリターン!$C$2:$C$2001, ベンチマークリターン!$A$2:$A$2001, A1954, ベンチマークリターン!$B$2:$B$2001, Q1954) / 100, 0))</f>
        <v/>
      </c>
      <c r="T1954" t="str">
        <f>IF(A1954="","", SUMIFS($H$2:$H$2000, $A$2:$A$2000, A1954))</f>
        <v/>
      </c>
      <c r="U1954" t="str">
        <f t="shared" si="338"/>
        <v/>
      </c>
      <c r="V1954" t="str">
        <f t="shared" si="339"/>
        <v/>
      </c>
      <c r="W1954" t="str">
        <f t="shared" si="340"/>
        <v/>
      </c>
    </row>
    <row r="1955" spans="1:23" x14ac:dyDescent="0.2">
      <c r="A1955" s="4" t="str">
        <f>IF(ポートフォリオ実績!A1956="","", ポートフォリオ実績!A1956)</f>
        <v/>
      </c>
      <c r="B1955" t="str">
        <f>IF(ポートフォリオ実績!B1956="","", ポートフォリオ実績!B1956)</f>
        <v/>
      </c>
      <c r="C1955" s="10" t="str">
        <f>IF(ポートフォリオ実績!C1956="","", ポートフォリオ実績!C1956)</f>
        <v/>
      </c>
      <c r="D1955" s="10" t="str">
        <f>IF(ポートフォリオ実績!D1956="","", ポートフォリオ実績!D1956)</f>
        <v/>
      </c>
      <c r="E1955" s="10" t="str">
        <f>IF(ポートフォリオ実績!E1956="","", ポートフォリオ実績!E1956)</f>
        <v/>
      </c>
      <c r="F1955" s="10" t="str">
        <f>IF(ポートフォリオ実績!F1956="","", ポートフォリオ実績!F1956)</f>
        <v/>
      </c>
      <c r="G1955" t="str">
        <f t="shared" si="330"/>
        <v/>
      </c>
      <c r="H1955">
        <f>IF(B1955&lt;&gt;"", SUMIFS(ポートフォリオ実績!$D$2:$D$2001, ポートフォリオ実績!$B$2:$B$2001, B1955, ポートフォリオ実績!$A$2:$A$2001, G1955), 0)</f>
        <v>0</v>
      </c>
      <c r="I1955">
        <f>IF(B1955&lt;&gt;"", SUMIFS(ポートフォリオ実績!$C$2:$C$2001, ポートフォリオ実績!$B$2:$B$2001, B1955, ポートフォリオ実績!$A$2:$A$2001, G1955), 0)</f>
        <v>0</v>
      </c>
      <c r="J1955">
        <f t="shared" si="331"/>
        <v>0</v>
      </c>
      <c r="K1955">
        <f t="shared" si="332"/>
        <v>0</v>
      </c>
      <c r="L1955">
        <f t="shared" si="333"/>
        <v>0</v>
      </c>
      <c r="M1955">
        <f t="shared" si="334"/>
        <v>0</v>
      </c>
      <c r="N1955">
        <f t="shared" si="335"/>
        <v>0</v>
      </c>
      <c r="O1955">
        <f t="shared" si="336"/>
        <v>0</v>
      </c>
      <c r="P1955" t="str">
        <f t="shared" si="337"/>
        <v/>
      </c>
      <c r="Q1955" t="str">
        <f>IF(B1955="","", IFERROR(VLOOKUP(B1955, '基準資産配分（設定）'!$A$2:$C$2001, 3, FALSE), ""))</f>
        <v/>
      </c>
      <c r="R1955" t="str">
        <f>IF(B1955="","", IFERROR(VLOOKUP(B1955, '基準資産配分（設定）'!$A$2:$C$2001, 2, FALSE)/100, 0))</f>
        <v/>
      </c>
      <c r="S1955" t="str">
        <f>IF(B1955="","", IFERROR(SUMIFS(ベンチマークリターン!$C$2:$C$2001, ベンチマークリターン!$A$2:$A$2001, A1955, ベンチマークリターン!$B$2:$B$2001, Q1955) / 100, 0))</f>
        <v/>
      </c>
      <c r="T1955" t="str">
        <f>IF(A1955="","", SUMIFS($H$2:$H$2000, $A$2:$A$2000, A1955))</f>
        <v/>
      </c>
      <c r="U1955" t="str">
        <f t="shared" si="338"/>
        <v/>
      </c>
      <c r="V1955" t="str">
        <f t="shared" si="339"/>
        <v/>
      </c>
      <c r="W1955" t="str">
        <f t="shared" si="340"/>
        <v/>
      </c>
    </row>
    <row r="1956" spans="1:23" x14ac:dyDescent="0.2">
      <c r="A1956" s="4" t="str">
        <f>IF(ポートフォリオ実績!A1957="","", ポートフォリオ実績!A1957)</f>
        <v/>
      </c>
      <c r="B1956" t="str">
        <f>IF(ポートフォリオ実績!B1957="","", ポートフォリオ実績!B1957)</f>
        <v/>
      </c>
      <c r="C1956" s="10" t="str">
        <f>IF(ポートフォリオ実績!C1957="","", ポートフォリオ実績!C1957)</f>
        <v/>
      </c>
      <c r="D1956" s="10" t="str">
        <f>IF(ポートフォリオ実績!D1957="","", ポートフォリオ実績!D1957)</f>
        <v/>
      </c>
      <c r="E1956" s="10" t="str">
        <f>IF(ポートフォリオ実績!E1957="","", ポートフォリオ実績!E1957)</f>
        <v/>
      </c>
      <c r="F1956" s="10" t="str">
        <f>IF(ポートフォリオ実績!F1957="","", ポートフォリオ実績!F1957)</f>
        <v/>
      </c>
      <c r="G1956" t="str">
        <f t="shared" si="330"/>
        <v/>
      </c>
      <c r="H1956">
        <f>IF(B1956&lt;&gt;"", SUMIFS(ポートフォリオ実績!$D$2:$D$2001, ポートフォリオ実績!$B$2:$B$2001, B1956, ポートフォリオ実績!$A$2:$A$2001, G1956), 0)</f>
        <v>0</v>
      </c>
      <c r="I1956">
        <f>IF(B1956&lt;&gt;"", SUMIFS(ポートフォリオ実績!$C$2:$C$2001, ポートフォリオ実績!$B$2:$B$2001, B1956, ポートフォリオ実績!$A$2:$A$2001, G1956), 0)</f>
        <v>0</v>
      </c>
      <c r="J1956">
        <f t="shared" si="331"/>
        <v>0</v>
      </c>
      <c r="K1956">
        <f t="shared" si="332"/>
        <v>0</v>
      </c>
      <c r="L1956">
        <f t="shared" si="333"/>
        <v>0</v>
      </c>
      <c r="M1956">
        <f t="shared" si="334"/>
        <v>0</v>
      </c>
      <c r="N1956">
        <f t="shared" si="335"/>
        <v>0</v>
      </c>
      <c r="O1956">
        <f t="shared" si="336"/>
        <v>0</v>
      </c>
      <c r="P1956" t="str">
        <f t="shared" si="337"/>
        <v/>
      </c>
      <c r="Q1956" t="str">
        <f>IF(B1956="","", IFERROR(VLOOKUP(B1956, '基準資産配分（設定）'!$A$2:$C$2001, 3, FALSE), ""))</f>
        <v/>
      </c>
      <c r="R1956" t="str">
        <f>IF(B1956="","", IFERROR(VLOOKUP(B1956, '基準資産配分（設定）'!$A$2:$C$2001, 2, FALSE)/100, 0))</f>
        <v/>
      </c>
      <c r="S1956" t="str">
        <f>IF(B1956="","", IFERROR(SUMIFS(ベンチマークリターン!$C$2:$C$2001, ベンチマークリターン!$A$2:$A$2001, A1956, ベンチマークリターン!$B$2:$B$2001, Q1956) / 100, 0))</f>
        <v/>
      </c>
      <c r="T1956" t="str">
        <f>IF(A1956="","", SUMIFS($H$2:$H$2000, $A$2:$A$2000, A1956))</f>
        <v/>
      </c>
      <c r="U1956" t="str">
        <f t="shared" si="338"/>
        <v/>
      </c>
      <c r="V1956" t="str">
        <f t="shared" si="339"/>
        <v/>
      </c>
      <c r="W1956" t="str">
        <f t="shared" si="340"/>
        <v/>
      </c>
    </row>
    <row r="1957" spans="1:23" x14ac:dyDescent="0.2">
      <c r="A1957" s="4" t="str">
        <f>IF(ポートフォリオ実績!A1958="","", ポートフォリオ実績!A1958)</f>
        <v/>
      </c>
      <c r="B1957" t="str">
        <f>IF(ポートフォリオ実績!B1958="","", ポートフォリオ実績!B1958)</f>
        <v/>
      </c>
      <c r="C1957" s="10" t="str">
        <f>IF(ポートフォリオ実績!C1958="","", ポートフォリオ実績!C1958)</f>
        <v/>
      </c>
      <c r="D1957" s="10" t="str">
        <f>IF(ポートフォリオ実績!D1958="","", ポートフォリオ実績!D1958)</f>
        <v/>
      </c>
      <c r="E1957" s="10" t="str">
        <f>IF(ポートフォリオ実績!E1958="","", ポートフォリオ実績!E1958)</f>
        <v/>
      </c>
      <c r="F1957" s="10" t="str">
        <f>IF(ポートフォリオ実績!F1958="","", ポートフォリオ実績!F1958)</f>
        <v/>
      </c>
      <c r="G1957" t="str">
        <f t="shared" si="330"/>
        <v/>
      </c>
      <c r="H1957">
        <f>IF(B1957&lt;&gt;"", SUMIFS(ポートフォリオ実績!$D$2:$D$2001, ポートフォリオ実績!$B$2:$B$2001, B1957, ポートフォリオ実績!$A$2:$A$2001, G1957), 0)</f>
        <v>0</v>
      </c>
      <c r="I1957">
        <f>IF(B1957&lt;&gt;"", SUMIFS(ポートフォリオ実績!$C$2:$C$2001, ポートフォリオ実績!$B$2:$B$2001, B1957, ポートフォリオ実績!$A$2:$A$2001, G1957), 0)</f>
        <v>0</v>
      </c>
      <c r="J1957">
        <f t="shared" si="331"/>
        <v>0</v>
      </c>
      <c r="K1957">
        <f t="shared" si="332"/>
        <v>0</v>
      </c>
      <c r="L1957">
        <f t="shared" si="333"/>
        <v>0</v>
      </c>
      <c r="M1957">
        <f t="shared" si="334"/>
        <v>0</v>
      </c>
      <c r="N1957">
        <f t="shared" si="335"/>
        <v>0</v>
      </c>
      <c r="O1957">
        <f t="shared" si="336"/>
        <v>0</v>
      </c>
      <c r="P1957" t="str">
        <f t="shared" si="337"/>
        <v/>
      </c>
      <c r="Q1957" t="str">
        <f>IF(B1957="","", IFERROR(VLOOKUP(B1957, '基準資産配分（設定）'!$A$2:$C$2001, 3, FALSE), ""))</f>
        <v/>
      </c>
      <c r="R1957" t="str">
        <f>IF(B1957="","", IFERROR(VLOOKUP(B1957, '基準資産配分（設定）'!$A$2:$C$2001, 2, FALSE)/100, 0))</f>
        <v/>
      </c>
      <c r="S1957" t="str">
        <f>IF(B1957="","", IFERROR(SUMIFS(ベンチマークリターン!$C$2:$C$2001, ベンチマークリターン!$A$2:$A$2001, A1957, ベンチマークリターン!$B$2:$B$2001, Q1957) / 100, 0))</f>
        <v/>
      </c>
      <c r="T1957" t="str">
        <f>IF(A1957="","", SUMIFS($H$2:$H$2000, $A$2:$A$2000, A1957))</f>
        <v/>
      </c>
      <c r="U1957" t="str">
        <f t="shared" si="338"/>
        <v/>
      </c>
      <c r="V1957" t="str">
        <f t="shared" si="339"/>
        <v/>
      </c>
      <c r="W1957" t="str">
        <f t="shared" si="340"/>
        <v/>
      </c>
    </row>
    <row r="1958" spans="1:23" x14ac:dyDescent="0.2">
      <c r="A1958" s="4" t="str">
        <f>IF(ポートフォリオ実績!A1959="","", ポートフォリオ実績!A1959)</f>
        <v/>
      </c>
      <c r="B1958" t="str">
        <f>IF(ポートフォリオ実績!B1959="","", ポートフォリオ実績!B1959)</f>
        <v/>
      </c>
      <c r="C1958" s="10" t="str">
        <f>IF(ポートフォリオ実績!C1959="","", ポートフォリオ実績!C1959)</f>
        <v/>
      </c>
      <c r="D1958" s="10" t="str">
        <f>IF(ポートフォリオ実績!D1959="","", ポートフォリオ実績!D1959)</f>
        <v/>
      </c>
      <c r="E1958" s="10" t="str">
        <f>IF(ポートフォリオ実績!E1959="","", ポートフォリオ実績!E1959)</f>
        <v/>
      </c>
      <c r="F1958" s="10" t="str">
        <f>IF(ポートフォリオ実績!F1959="","", ポートフォリオ実績!F1959)</f>
        <v/>
      </c>
      <c r="G1958" t="str">
        <f t="shared" si="330"/>
        <v/>
      </c>
      <c r="H1958">
        <f>IF(B1958&lt;&gt;"", SUMIFS(ポートフォリオ実績!$D$2:$D$2001, ポートフォリオ実績!$B$2:$B$2001, B1958, ポートフォリオ実績!$A$2:$A$2001, G1958), 0)</f>
        <v>0</v>
      </c>
      <c r="I1958">
        <f>IF(B1958&lt;&gt;"", SUMIFS(ポートフォリオ実績!$C$2:$C$2001, ポートフォリオ実績!$B$2:$B$2001, B1958, ポートフォリオ実績!$A$2:$A$2001, G1958), 0)</f>
        <v>0</v>
      </c>
      <c r="J1958">
        <f t="shared" si="331"/>
        <v>0</v>
      </c>
      <c r="K1958">
        <f t="shared" si="332"/>
        <v>0</v>
      </c>
      <c r="L1958">
        <f t="shared" si="333"/>
        <v>0</v>
      </c>
      <c r="M1958">
        <f t="shared" si="334"/>
        <v>0</v>
      </c>
      <c r="N1958">
        <f t="shared" si="335"/>
        <v>0</v>
      </c>
      <c r="O1958">
        <f t="shared" si="336"/>
        <v>0</v>
      </c>
      <c r="P1958" t="str">
        <f t="shared" si="337"/>
        <v/>
      </c>
      <c r="Q1958" t="str">
        <f>IF(B1958="","", IFERROR(VLOOKUP(B1958, '基準資産配分（設定）'!$A$2:$C$2001, 3, FALSE), ""))</f>
        <v/>
      </c>
      <c r="R1958" t="str">
        <f>IF(B1958="","", IFERROR(VLOOKUP(B1958, '基準資産配分（設定）'!$A$2:$C$2001, 2, FALSE)/100, 0))</f>
        <v/>
      </c>
      <c r="S1958" t="str">
        <f>IF(B1958="","", IFERROR(SUMIFS(ベンチマークリターン!$C$2:$C$2001, ベンチマークリターン!$A$2:$A$2001, A1958, ベンチマークリターン!$B$2:$B$2001, Q1958) / 100, 0))</f>
        <v/>
      </c>
      <c r="T1958" t="str">
        <f>IF(A1958="","", SUMIFS($H$2:$H$2000, $A$2:$A$2000, A1958))</f>
        <v/>
      </c>
      <c r="U1958" t="str">
        <f t="shared" si="338"/>
        <v/>
      </c>
      <c r="V1958" t="str">
        <f t="shared" si="339"/>
        <v/>
      </c>
      <c r="W1958" t="str">
        <f t="shared" si="340"/>
        <v/>
      </c>
    </row>
    <row r="1959" spans="1:23" x14ac:dyDescent="0.2">
      <c r="A1959" s="4" t="str">
        <f>IF(ポートフォリオ実績!A1960="","", ポートフォリオ実績!A1960)</f>
        <v/>
      </c>
      <c r="B1959" t="str">
        <f>IF(ポートフォリオ実績!B1960="","", ポートフォリオ実績!B1960)</f>
        <v/>
      </c>
      <c r="C1959" s="10" t="str">
        <f>IF(ポートフォリオ実績!C1960="","", ポートフォリオ実績!C1960)</f>
        <v/>
      </c>
      <c r="D1959" s="10" t="str">
        <f>IF(ポートフォリオ実績!D1960="","", ポートフォリオ実績!D1960)</f>
        <v/>
      </c>
      <c r="E1959" s="10" t="str">
        <f>IF(ポートフォリオ実績!E1960="","", ポートフォリオ実績!E1960)</f>
        <v/>
      </c>
      <c r="F1959" s="10" t="str">
        <f>IF(ポートフォリオ実績!F1960="","", ポートフォリオ実績!F1960)</f>
        <v/>
      </c>
      <c r="G1959" t="str">
        <f t="shared" si="330"/>
        <v/>
      </c>
      <c r="H1959">
        <f>IF(B1959&lt;&gt;"", SUMIFS(ポートフォリオ実績!$D$2:$D$2001, ポートフォリオ実績!$B$2:$B$2001, B1959, ポートフォリオ実績!$A$2:$A$2001, G1959), 0)</f>
        <v>0</v>
      </c>
      <c r="I1959">
        <f>IF(B1959&lt;&gt;"", SUMIFS(ポートフォリオ実績!$C$2:$C$2001, ポートフォリオ実績!$B$2:$B$2001, B1959, ポートフォリオ実績!$A$2:$A$2001, G1959), 0)</f>
        <v>0</v>
      </c>
      <c r="J1959">
        <f t="shared" si="331"/>
        <v>0</v>
      </c>
      <c r="K1959">
        <f t="shared" si="332"/>
        <v>0</v>
      </c>
      <c r="L1959">
        <f t="shared" si="333"/>
        <v>0</v>
      </c>
      <c r="M1959">
        <f t="shared" si="334"/>
        <v>0</v>
      </c>
      <c r="N1959">
        <f t="shared" si="335"/>
        <v>0</v>
      </c>
      <c r="O1959">
        <f t="shared" si="336"/>
        <v>0</v>
      </c>
      <c r="P1959" t="str">
        <f t="shared" si="337"/>
        <v/>
      </c>
      <c r="Q1959" t="str">
        <f>IF(B1959="","", IFERROR(VLOOKUP(B1959, '基準資産配分（設定）'!$A$2:$C$2001, 3, FALSE), ""))</f>
        <v/>
      </c>
      <c r="R1959" t="str">
        <f>IF(B1959="","", IFERROR(VLOOKUP(B1959, '基準資産配分（設定）'!$A$2:$C$2001, 2, FALSE)/100, 0))</f>
        <v/>
      </c>
      <c r="S1959" t="str">
        <f>IF(B1959="","", IFERROR(SUMIFS(ベンチマークリターン!$C$2:$C$2001, ベンチマークリターン!$A$2:$A$2001, A1959, ベンチマークリターン!$B$2:$B$2001, Q1959) / 100, 0))</f>
        <v/>
      </c>
      <c r="T1959" t="str">
        <f>IF(A1959="","", SUMIFS($H$2:$H$2000, $A$2:$A$2000, A1959))</f>
        <v/>
      </c>
      <c r="U1959" t="str">
        <f t="shared" si="338"/>
        <v/>
      </c>
      <c r="V1959" t="str">
        <f t="shared" si="339"/>
        <v/>
      </c>
      <c r="W1959" t="str">
        <f t="shared" si="340"/>
        <v/>
      </c>
    </row>
    <row r="1960" spans="1:23" x14ac:dyDescent="0.2">
      <c r="A1960" s="4" t="str">
        <f>IF(ポートフォリオ実績!A1961="","", ポートフォリオ実績!A1961)</f>
        <v/>
      </c>
      <c r="B1960" t="str">
        <f>IF(ポートフォリオ実績!B1961="","", ポートフォリオ実績!B1961)</f>
        <v/>
      </c>
      <c r="C1960" s="10" t="str">
        <f>IF(ポートフォリオ実績!C1961="","", ポートフォリオ実績!C1961)</f>
        <v/>
      </c>
      <c r="D1960" s="10" t="str">
        <f>IF(ポートフォリオ実績!D1961="","", ポートフォリオ実績!D1961)</f>
        <v/>
      </c>
      <c r="E1960" s="10" t="str">
        <f>IF(ポートフォリオ実績!E1961="","", ポートフォリオ実績!E1961)</f>
        <v/>
      </c>
      <c r="F1960" s="10" t="str">
        <f>IF(ポートフォリオ実績!F1961="","", ポートフォリオ実績!F1961)</f>
        <v/>
      </c>
      <c r="G1960" t="str">
        <f t="shared" si="330"/>
        <v/>
      </c>
      <c r="H1960">
        <f>IF(B1960&lt;&gt;"", SUMIFS(ポートフォリオ実績!$D$2:$D$2001, ポートフォリオ実績!$B$2:$B$2001, B1960, ポートフォリオ実績!$A$2:$A$2001, G1960), 0)</f>
        <v>0</v>
      </c>
      <c r="I1960">
        <f>IF(B1960&lt;&gt;"", SUMIFS(ポートフォリオ実績!$C$2:$C$2001, ポートフォリオ実績!$B$2:$B$2001, B1960, ポートフォリオ実績!$A$2:$A$2001, G1960), 0)</f>
        <v>0</v>
      </c>
      <c r="J1960">
        <f t="shared" si="331"/>
        <v>0</v>
      </c>
      <c r="K1960">
        <f t="shared" si="332"/>
        <v>0</v>
      </c>
      <c r="L1960">
        <f t="shared" si="333"/>
        <v>0</v>
      </c>
      <c r="M1960">
        <f t="shared" si="334"/>
        <v>0</v>
      </c>
      <c r="N1960">
        <f t="shared" si="335"/>
        <v>0</v>
      </c>
      <c r="O1960">
        <f t="shared" si="336"/>
        <v>0</v>
      </c>
      <c r="P1960" t="str">
        <f t="shared" si="337"/>
        <v/>
      </c>
      <c r="Q1960" t="str">
        <f>IF(B1960="","", IFERROR(VLOOKUP(B1960, '基準資産配分（設定）'!$A$2:$C$2001, 3, FALSE), ""))</f>
        <v/>
      </c>
      <c r="R1960" t="str">
        <f>IF(B1960="","", IFERROR(VLOOKUP(B1960, '基準資産配分（設定）'!$A$2:$C$2001, 2, FALSE)/100, 0))</f>
        <v/>
      </c>
      <c r="S1960" t="str">
        <f>IF(B1960="","", IFERROR(SUMIFS(ベンチマークリターン!$C$2:$C$2001, ベンチマークリターン!$A$2:$A$2001, A1960, ベンチマークリターン!$B$2:$B$2001, Q1960) / 100, 0))</f>
        <v/>
      </c>
      <c r="T1960" t="str">
        <f>IF(A1960="","", SUMIFS($H$2:$H$2000, $A$2:$A$2000, A1960))</f>
        <v/>
      </c>
      <c r="U1960" t="str">
        <f t="shared" si="338"/>
        <v/>
      </c>
      <c r="V1960" t="str">
        <f t="shared" si="339"/>
        <v/>
      </c>
      <c r="W1960" t="str">
        <f t="shared" si="340"/>
        <v/>
      </c>
    </row>
    <row r="1961" spans="1:23" x14ac:dyDescent="0.2">
      <c r="A1961" s="4" t="str">
        <f>IF(ポートフォリオ実績!A1962="","", ポートフォリオ実績!A1962)</f>
        <v/>
      </c>
      <c r="B1961" t="str">
        <f>IF(ポートフォリオ実績!B1962="","", ポートフォリオ実績!B1962)</f>
        <v/>
      </c>
      <c r="C1961" s="10" t="str">
        <f>IF(ポートフォリオ実績!C1962="","", ポートフォリオ実績!C1962)</f>
        <v/>
      </c>
      <c r="D1961" s="10" t="str">
        <f>IF(ポートフォリオ実績!D1962="","", ポートフォリオ実績!D1962)</f>
        <v/>
      </c>
      <c r="E1961" s="10" t="str">
        <f>IF(ポートフォリオ実績!E1962="","", ポートフォリオ実績!E1962)</f>
        <v/>
      </c>
      <c r="F1961" s="10" t="str">
        <f>IF(ポートフォリオ実績!F1962="","", ポートフォリオ実績!F1962)</f>
        <v/>
      </c>
      <c r="G1961" t="str">
        <f t="shared" si="330"/>
        <v/>
      </c>
      <c r="H1961">
        <f>IF(B1961&lt;&gt;"", SUMIFS(ポートフォリオ実績!$D$2:$D$2001, ポートフォリオ実績!$B$2:$B$2001, B1961, ポートフォリオ実績!$A$2:$A$2001, G1961), 0)</f>
        <v>0</v>
      </c>
      <c r="I1961">
        <f>IF(B1961&lt;&gt;"", SUMIFS(ポートフォリオ実績!$C$2:$C$2001, ポートフォリオ実績!$B$2:$B$2001, B1961, ポートフォリオ実績!$A$2:$A$2001, G1961), 0)</f>
        <v>0</v>
      </c>
      <c r="J1961">
        <f t="shared" si="331"/>
        <v>0</v>
      </c>
      <c r="K1961">
        <f t="shared" si="332"/>
        <v>0</v>
      </c>
      <c r="L1961">
        <f t="shared" si="333"/>
        <v>0</v>
      </c>
      <c r="M1961">
        <f t="shared" si="334"/>
        <v>0</v>
      </c>
      <c r="N1961">
        <f t="shared" si="335"/>
        <v>0</v>
      </c>
      <c r="O1961">
        <f t="shared" si="336"/>
        <v>0</v>
      </c>
      <c r="P1961" t="str">
        <f t="shared" si="337"/>
        <v/>
      </c>
      <c r="Q1961" t="str">
        <f>IF(B1961="","", IFERROR(VLOOKUP(B1961, '基準資産配分（設定）'!$A$2:$C$2001, 3, FALSE), ""))</f>
        <v/>
      </c>
      <c r="R1961" t="str">
        <f>IF(B1961="","", IFERROR(VLOOKUP(B1961, '基準資産配分（設定）'!$A$2:$C$2001, 2, FALSE)/100, 0))</f>
        <v/>
      </c>
      <c r="S1961" t="str">
        <f>IF(B1961="","", IFERROR(SUMIFS(ベンチマークリターン!$C$2:$C$2001, ベンチマークリターン!$A$2:$A$2001, A1961, ベンチマークリターン!$B$2:$B$2001, Q1961) / 100, 0))</f>
        <v/>
      </c>
      <c r="T1961" t="str">
        <f>IF(A1961="","", SUMIFS($H$2:$H$2000, $A$2:$A$2000, A1961))</f>
        <v/>
      </c>
      <c r="U1961" t="str">
        <f t="shared" si="338"/>
        <v/>
      </c>
      <c r="V1961" t="str">
        <f t="shared" si="339"/>
        <v/>
      </c>
      <c r="W1961" t="str">
        <f t="shared" si="340"/>
        <v/>
      </c>
    </row>
    <row r="1962" spans="1:23" x14ac:dyDescent="0.2">
      <c r="A1962" s="4" t="str">
        <f>IF(ポートフォリオ実績!A1963="","", ポートフォリオ実績!A1963)</f>
        <v/>
      </c>
      <c r="B1962" t="str">
        <f>IF(ポートフォリオ実績!B1963="","", ポートフォリオ実績!B1963)</f>
        <v/>
      </c>
      <c r="C1962" s="10" t="str">
        <f>IF(ポートフォリオ実績!C1963="","", ポートフォリオ実績!C1963)</f>
        <v/>
      </c>
      <c r="D1962" s="10" t="str">
        <f>IF(ポートフォリオ実績!D1963="","", ポートフォリオ実績!D1963)</f>
        <v/>
      </c>
      <c r="E1962" s="10" t="str">
        <f>IF(ポートフォリオ実績!E1963="","", ポートフォリオ実績!E1963)</f>
        <v/>
      </c>
      <c r="F1962" s="10" t="str">
        <f>IF(ポートフォリオ実績!F1963="","", ポートフォリオ実績!F1963)</f>
        <v/>
      </c>
      <c r="G1962" t="str">
        <f t="shared" si="330"/>
        <v/>
      </c>
      <c r="H1962">
        <f>IF(B1962&lt;&gt;"", SUMIFS(ポートフォリオ実績!$D$2:$D$2001, ポートフォリオ実績!$B$2:$B$2001, B1962, ポートフォリオ実績!$A$2:$A$2001, G1962), 0)</f>
        <v>0</v>
      </c>
      <c r="I1962">
        <f>IF(B1962&lt;&gt;"", SUMIFS(ポートフォリオ実績!$C$2:$C$2001, ポートフォリオ実績!$B$2:$B$2001, B1962, ポートフォリオ実績!$A$2:$A$2001, G1962), 0)</f>
        <v>0</v>
      </c>
      <c r="J1962">
        <f t="shared" si="331"/>
        <v>0</v>
      </c>
      <c r="K1962">
        <f t="shared" si="332"/>
        <v>0</v>
      </c>
      <c r="L1962">
        <f t="shared" si="333"/>
        <v>0</v>
      </c>
      <c r="M1962">
        <f t="shared" si="334"/>
        <v>0</v>
      </c>
      <c r="N1962">
        <f t="shared" si="335"/>
        <v>0</v>
      </c>
      <c r="O1962">
        <f t="shared" si="336"/>
        <v>0</v>
      </c>
      <c r="P1962" t="str">
        <f t="shared" si="337"/>
        <v/>
      </c>
      <c r="Q1962" t="str">
        <f>IF(B1962="","", IFERROR(VLOOKUP(B1962, '基準資産配分（設定）'!$A$2:$C$2001, 3, FALSE), ""))</f>
        <v/>
      </c>
      <c r="R1962" t="str">
        <f>IF(B1962="","", IFERROR(VLOOKUP(B1962, '基準資産配分（設定）'!$A$2:$C$2001, 2, FALSE)/100, 0))</f>
        <v/>
      </c>
      <c r="S1962" t="str">
        <f>IF(B1962="","", IFERROR(SUMIFS(ベンチマークリターン!$C$2:$C$2001, ベンチマークリターン!$A$2:$A$2001, A1962, ベンチマークリターン!$B$2:$B$2001, Q1962) / 100, 0))</f>
        <v/>
      </c>
      <c r="T1962" t="str">
        <f>IF(A1962="","", SUMIFS($H$2:$H$2000, $A$2:$A$2000, A1962))</f>
        <v/>
      </c>
      <c r="U1962" t="str">
        <f t="shared" si="338"/>
        <v/>
      </c>
      <c r="V1962" t="str">
        <f t="shared" si="339"/>
        <v/>
      </c>
      <c r="W1962" t="str">
        <f t="shared" si="340"/>
        <v/>
      </c>
    </row>
    <row r="1963" spans="1:23" x14ac:dyDescent="0.2">
      <c r="A1963" s="4" t="str">
        <f>IF(ポートフォリオ実績!A1964="","", ポートフォリオ実績!A1964)</f>
        <v/>
      </c>
      <c r="B1963" t="str">
        <f>IF(ポートフォリオ実績!B1964="","", ポートフォリオ実績!B1964)</f>
        <v/>
      </c>
      <c r="C1963" s="10" t="str">
        <f>IF(ポートフォリオ実績!C1964="","", ポートフォリオ実績!C1964)</f>
        <v/>
      </c>
      <c r="D1963" s="10" t="str">
        <f>IF(ポートフォリオ実績!D1964="","", ポートフォリオ実績!D1964)</f>
        <v/>
      </c>
      <c r="E1963" s="10" t="str">
        <f>IF(ポートフォリオ実績!E1964="","", ポートフォリオ実績!E1964)</f>
        <v/>
      </c>
      <c r="F1963" s="10" t="str">
        <f>IF(ポートフォリオ実績!F1964="","", ポートフォリオ実績!F1964)</f>
        <v/>
      </c>
      <c r="G1963" t="str">
        <f t="shared" si="330"/>
        <v/>
      </c>
      <c r="H1963">
        <f>IF(B1963&lt;&gt;"", SUMIFS(ポートフォリオ実績!$D$2:$D$2001, ポートフォリオ実績!$B$2:$B$2001, B1963, ポートフォリオ実績!$A$2:$A$2001, G1963), 0)</f>
        <v>0</v>
      </c>
      <c r="I1963">
        <f>IF(B1963&lt;&gt;"", SUMIFS(ポートフォリオ実績!$C$2:$C$2001, ポートフォリオ実績!$B$2:$B$2001, B1963, ポートフォリオ実績!$A$2:$A$2001, G1963), 0)</f>
        <v>0</v>
      </c>
      <c r="J1963">
        <f t="shared" si="331"/>
        <v>0</v>
      </c>
      <c r="K1963">
        <f t="shared" si="332"/>
        <v>0</v>
      </c>
      <c r="L1963">
        <f t="shared" si="333"/>
        <v>0</v>
      </c>
      <c r="M1963">
        <f t="shared" si="334"/>
        <v>0</v>
      </c>
      <c r="N1963">
        <f t="shared" si="335"/>
        <v>0</v>
      </c>
      <c r="O1963">
        <f t="shared" si="336"/>
        <v>0</v>
      </c>
      <c r="P1963" t="str">
        <f t="shared" si="337"/>
        <v/>
      </c>
      <c r="Q1963" t="str">
        <f>IF(B1963="","", IFERROR(VLOOKUP(B1963, '基準資産配分（設定）'!$A$2:$C$2001, 3, FALSE), ""))</f>
        <v/>
      </c>
      <c r="R1963" t="str">
        <f>IF(B1963="","", IFERROR(VLOOKUP(B1963, '基準資産配分（設定）'!$A$2:$C$2001, 2, FALSE)/100, 0))</f>
        <v/>
      </c>
      <c r="S1963" t="str">
        <f>IF(B1963="","", IFERROR(SUMIFS(ベンチマークリターン!$C$2:$C$2001, ベンチマークリターン!$A$2:$A$2001, A1963, ベンチマークリターン!$B$2:$B$2001, Q1963) / 100, 0))</f>
        <v/>
      </c>
      <c r="T1963" t="str">
        <f>IF(A1963="","", SUMIFS($H$2:$H$2000, $A$2:$A$2000, A1963))</f>
        <v/>
      </c>
      <c r="U1963" t="str">
        <f t="shared" si="338"/>
        <v/>
      </c>
      <c r="V1963" t="str">
        <f t="shared" si="339"/>
        <v/>
      </c>
      <c r="W1963" t="str">
        <f t="shared" si="340"/>
        <v/>
      </c>
    </row>
    <row r="1964" spans="1:23" x14ac:dyDescent="0.2">
      <c r="A1964" s="4" t="str">
        <f>IF(ポートフォリオ実績!A1965="","", ポートフォリオ実績!A1965)</f>
        <v/>
      </c>
      <c r="B1964" t="str">
        <f>IF(ポートフォリオ実績!B1965="","", ポートフォリオ実績!B1965)</f>
        <v/>
      </c>
      <c r="C1964" s="10" t="str">
        <f>IF(ポートフォリオ実績!C1965="","", ポートフォリオ実績!C1965)</f>
        <v/>
      </c>
      <c r="D1964" s="10" t="str">
        <f>IF(ポートフォリオ実績!D1965="","", ポートフォリオ実績!D1965)</f>
        <v/>
      </c>
      <c r="E1964" s="10" t="str">
        <f>IF(ポートフォリオ実績!E1965="","", ポートフォリオ実績!E1965)</f>
        <v/>
      </c>
      <c r="F1964" s="10" t="str">
        <f>IF(ポートフォリオ実績!F1965="","", ポートフォリオ実績!F1965)</f>
        <v/>
      </c>
      <c r="G1964" t="str">
        <f t="shared" si="330"/>
        <v/>
      </c>
      <c r="H1964">
        <f>IF(B1964&lt;&gt;"", SUMIFS(ポートフォリオ実績!$D$2:$D$2001, ポートフォリオ実績!$B$2:$B$2001, B1964, ポートフォリオ実績!$A$2:$A$2001, G1964), 0)</f>
        <v>0</v>
      </c>
      <c r="I1964">
        <f>IF(B1964&lt;&gt;"", SUMIFS(ポートフォリオ実績!$C$2:$C$2001, ポートフォリオ実績!$B$2:$B$2001, B1964, ポートフォリオ実績!$A$2:$A$2001, G1964), 0)</f>
        <v>0</v>
      </c>
      <c r="J1964">
        <f t="shared" si="331"/>
        <v>0</v>
      </c>
      <c r="K1964">
        <f t="shared" si="332"/>
        <v>0</v>
      </c>
      <c r="L1964">
        <f t="shared" si="333"/>
        <v>0</v>
      </c>
      <c r="M1964">
        <f t="shared" si="334"/>
        <v>0</v>
      </c>
      <c r="N1964">
        <f t="shared" si="335"/>
        <v>0</v>
      </c>
      <c r="O1964">
        <f t="shared" si="336"/>
        <v>0</v>
      </c>
      <c r="P1964" t="str">
        <f t="shared" si="337"/>
        <v/>
      </c>
      <c r="Q1964" t="str">
        <f>IF(B1964="","", IFERROR(VLOOKUP(B1964, '基準資産配分（設定）'!$A$2:$C$2001, 3, FALSE), ""))</f>
        <v/>
      </c>
      <c r="R1964" t="str">
        <f>IF(B1964="","", IFERROR(VLOOKUP(B1964, '基準資産配分（設定）'!$A$2:$C$2001, 2, FALSE)/100, 0))</f>
        <v/>
      </c>
      <c r="S1964" t="str">
        <f>IF(B1964="","", IFERROR(SUMIFS(ベンチマークリターン!$C$2:$C$2001, ベンチマークリターン!$A$2:$A$2001, A1964, ベンチマークリターン!$B$2:$B$2001, Q1964) / 100, 0))</f>
        <v/>
      </c>
      <c r="T1964" t="str">
        <f>IF(A1964="","", SUMIFS($H$2:$H$2000, $A$2:$A$2000, A1964))</f>
        <v/>
      </c>
      <c r="U1964" t="str">
        <f t="shared" si="338"/>
        <v/>
      </c>
      <c r="V1964" t="str">
        <f t="shared" si="339"/>
        <v/>
      </c>
      <c r="W1964" t="str">
        <f t="shared" si="340"/>
        <v/>
      </c>
    </row>
    <row r="1965" spans="1:23" x14ac:dyDescent="0.2">
      <c r="A1965" s="4" t="str">
        <f>IF(ポートフォリオ実績!A1966="","", ポートフォリオ実績!A1966)</f>
        <v/>
      </c>
      <c r="B1965" t="str">
        <f>IF(ポートフォリオ実績!B1966="","", ポートフォリオ実績!B1966)</f>
        <v/>
      </c>
      <c r="C1965" s="10" t="str">
        <f>IF(ポートフォリオ実績!C1966="","", ポートフォリオ実績!C1966)</f>
        <v/>
      </c>
      <c r="D1965" s="10" t="str">
        <f>IF(ポートフォリオ実績!D1966="","", ポートフォリオ実績!D1966)</f>
        <v/>
      </c>
      <c r="E1965" s="10" t="str">
        <f>IF(ポートフォリオ実績!E1966="","", ポートフォリオ実績!E1966)</f>
        <v/>
      </c>
      <c r="F1965" s="10" t="str">
        <f>IF(ポートフォリオ実績!F1966="","", ポートフォリオ実績!F1966)</f>
        <v/>
      </c>
      <c r="G1965" t="str">
        <f t="shared" si="330"/>
        <v/>
      </c>
      <c r="H1965">
        <f>IF(B1965&lt;&gt;"", SUMIFS(ポートフォリオ実績!$D$2:$D$2001, ポートフォリオ実績!$B$2:$B$2001, B1965, ポートフォリオ実績!$A$2:$A$2001, G1965), 0)</f>
        <v>0</v>
      </c>
      <c r="I1965">
        <f>IF(B1965&lt;&gt;"", SUMIFS(ポートフォリオ実績!$C$2:$C$2001, ポートフォリオ実績!$B$2:$B$2001, B1965, ポートフォリオ実績!$A$2:$A$2001, G1965), 0)</f>
        <v>0</v>
      </c>
      <c r="J1965">
        <f t="shared" si="331"/>
        <v>0</v>
      </c>
      <c r="K1965">
        <f t="shared" si="332"/>
        <v>0</v>
      </c>
      <c r="L1965">
        <f t="shared" si="333"/>
        <v>0</v>
      </c>
      <c r="M1965">
        <f t="shared" si="334"/>
        <v>0</v>
      </c>
      <c r="N1965">
        <f t="shared" si="335"/>
        <v>0</v>
      </c>
      <c r="O1965">
        <f t="shared" si="336"/>
        <v>0</v>
      </c>
      <c r="P1965" t="str">
        <f t="shared" si="337"/>
        <v/>
      </c>
      <c r="Q1965" t="str">
        <f>IF(B1965="","", IFERROR(VLOOKUP(B1965, '基準資産配分（設定）'!$A$2:$C$2001, 3, FALSE), ""))</f>
        <v/>
      </c>
      <c r="R1965" t="str">
        <f>IF(B1965="","", IFERROR(VLOOKUP(B1965, '基準資産配分（設定）'!$A$2:$C$2001, 2, FALSE)/100, 0))</f>
        <v/>
      </c>
      <c r="S1965" t="str">
        <f>IF(B1965="","", IFERROR(SUMIFS(ベンチマークリターン!$C$2:$C$2001, ベンチマークリターン!$A$2:$A$2001, A1965, ベンチマークリターン!$B$2:$B$2001, Q1965) / 100, 0))</f>
        <v/>
      </c>
      <c r="T1965" t="str">
        <f>IF(A1965="","", SUMIFS($H$2:$H$2000, $A$2:$A$2000, A1965))</f>
        <v/>
      </c>
      <c r="U1965" t="str">
        <f t="shared" si="338"/>
        <v/>
      </c>
      <c r="V1965" t="str">
        <f t="shared" si="339"/>
        <v/>
      </c>
      <c r="W1965" t="str">
        <f t="shared" si="340"/>
        <v/>
      </c>
    </row>
    <row r="1966" spans="1:23" x14ac:dyDescent="0.2">
      <c r="A1966" s="4" t="str">
        <f>IF(ポートフォリオ実績!A1967="","", ポートフォリオ実績!A1967)</f>
        <v/>
      </c>
      <c r="B1966" t="str">
        <f>IF(ポートフォリオ実績!B1967="","", ポートフォリオ実績!B1967)</f>
        <v/>
      </c>
      <c r="C1966" s="10" t="str">
        <f>IF(ポートフォリオ実績!C1967="","", ポートフォリオ実績!C1967)</f>
        <v/>
      </c>
      <c r="D1966" s="10" t="str">
        <f>IF(ポートフォリオ実績!D1967="","", ポートフォリオ実績!D1967)</f>
        <v/>
      </c>
      <c r="E1966" s="10" t="str">
        <f>IF(ポートフォリオ実績!E1967="","", ポートフォリオ実績!E1967)</f>
        <v/>
      </c>
      <c r="F1966" s="10" t="str">
        <f>IF(ポートフォリオ実績!F1967="","", ポートフォリオ実績!F1967)</f>
        <v/>
      </c>
      <c r="G1966" t="str">
        <f t="shared" si="330"/>
        <v/>
      </c>
      <c r="H1966">
        <f>IF(B1966&lt;&gt;"", SUMIFS(ポートフォリオ実績!$D$2:$D$2001, ポートフォリオ実績!$B$2:$B$2001, B1966, ポートフォリオ実績!$A$2:$A$2001, G1966), 0)</f>
        <v>0</v>
      </c>
      <c r="I1966">
        <f>IF(B1966&lt;&gt;"", SUMIFS(ポートフォリオ実績!$C$2:$C$2001, ポートフォリオ実績!$B$2:$B$2001, B1966, ポートフォリオ実績!$A$2:$A$2001, G1966), 0)</f>
        <v>0</v>
      </c>
      <c r="J1966">
        <f t="shared" si="331"/>
        <v>0</v>
      </c>
      <c r="K1966">
        <f t="shared" si="332"/>
        <v>0</v>
      </c>
      <c r="L1966">
        <f t="shared" si="333"/>
        <v>0</v>
      </c>
      <c r="M1966">
        <f t="shared" si="334"/>
        <v>0</v>
      </c>
      <c r="N1966">
        <f t="shared" si="335"/>
        <v>0</v>
      </c>
      <c r="O1966">
        <f t="shared" si="336"/>
        <v>0</v>
      </c>
      <c r="P1966" t="str">
        <f t="shared" si="337"/>
        <v/>
      </c>
      <c r="Q1966" t="str">
        <f>IF(B1966="","", IFERROR(VLOOKUP(B1966, '基準資産配分（設定）'!$A$2:$C$2001, 3, FALSE), ""))</f>
        <v/>
      </c>
      <c r="R1966" t="str">
        <f>IF(B1966="","", IFERROR(VLOOKUP(B1966, '基準資産配分（設定）'!$A$2:$C$2001, 2, FALSE)/100, 0))</f>
        <v/>
      </c>
      <c r="S1966" t="str">
        <f>IF(B1966="","", IFERROR(SUMIFS(ベンチマークリターン!$C$2:$C$2001, ベンチマークリターン!$A$2:$A$2001, A1966, ベンチマークリターン!$B$2:$B$2001, Q1966) / 100, 0))</f>
        <v/>
      </c>
      <c r="T1966" t="str">
        <f>IF(A1966="","", SUMIFS($H$2:$H$2000, $A$2:$A$2000, A1966))</f>
        <v/>
      </c>
      <c r="U1966" t="str">
        <f t="shared" si="338"/>
        <v/>
      </c>
      <c r="V1966" t="str">
        <f t="shared" si="339"/>
        <v/>
      </c>
      <c r="W1966" t="str">
        <f t="shared" si="340"/>
        <v/>
      </c>
    </row>
    <row r="1967" spans="1:23" x14ac:dyDescent="0.2">
      <c r="A1967" s="4" t="str">
        <f>IF(ポートフォリオ実績!A1968="","", ポートフォリオ実績!A1968)</f>
        <v/>
      </c>
      <c r="B1967" t="str">
        <f>IF(ポートフォリオ実績!B1968="","", ポートフォリオ実績!B1968)</f>
        <v/>
      </c>
      <c r="C1967" s="10" t="str">
        <f>IF(ポートフォリオ実績!C1968="","", ポートフォリオ実績!C1968)</f>
        <v/>
      </c>
      <c r="D1967" s="10" t="str">
        <f>IF(ポートフォリオ実績!D1968="","", ポートフォリオ実績!D1968)</f>
        <v/>
      </c>
      <c r="E1967" s="10" t="str">
        <f>IF(ポートフォリオ実績!E1968="","", ポートフォリオ実績!E1968)</f>
        <v/>
      </c>
      <c r="F1967" s="10" t="str">
        <f>IF(ポートフォリオ実績!F1968="","", ポートフォリオ実績!F1968)</f>
        <v/>
      </c>
      <c r="G1967" t="str">
        <f t="shared" si="330"/>
        <v/>
      </c>
      <c r="H1967">
        <f>IF(B1967&lt;&gt;"", SUMIFS(ポートフォリオ実績!$D$2:$D$2001, ポートフォリオ実績!$B$2:$B$2001, B1967, ポートフォリオ実績!$A$2:$A$2001, G1967), 0)</f>
        <v>0</v>
      </c>
      <c r="I1967">
        <f>IF(B1967&lt;&gt;"", SUMIFS(ポートフォリオ実績!$C$2:$C$2001, ポートフォリオ実績!$B$2:$B$2001, B1967, ポートフォリオ実績!$A$2:$A$2001, G1967), 0)</f>
        <v>0</v>
      </c>
      <c r="J1967">
        <f t="shared" si="331"/>
        <v>0</v>
      </c>
      <c r="K1967">
        <f t="shared" si="332"/>
        <v>0</v>
      </c>
      <c r="L1967">
        <f t="shared" si="333"/>
        <v>0</v>
      </c>
      <c r="M1967">
        <f t="shared" si="334"/>
        <v>0</v>
      </c>
      <c r="N1967">
        <f t="shared" si="335"/>
        <v>0</v>
      </c>
      <c r="O1967">
        <f t="shared" si="336"/>
        <v>0</v>
      </c>
      <c r="P1967" t="str">
        <f t="shared" si="337"/>
        <v/>
      </c>
      <c r="Q1967" t="str">
        <f>IF(B1967="","", IFERROR(VLOOKUP(B1967, '基準資産配分（設定）'!$A$2:$C$2001, 3, FALSE), ""))</f>
        <v/>
      </c>
      <c r="R1967" t="str">
        <f>IF(B1967="","", IFERROR(VLOOKUP(B1967, '基準資産配分（設定）'!$A$2:$C$2001, 2, FALSE)/100, 0))</f>
        <v/>
      </c>
      <c r="S1967" t="str">
        <f>IF(B1967="","", IFERROR(SUMIFS(ベンチマークリターン!$C$2:$C$2001, ベンチマークリターン!$A$2:$A$2001, A1967, ベンチマークリターン!$B$2:$B$2001, Q1967) / 100, 0))</f>
        <v/>
      </c>
      <c r="T1967" t="str">
        <f>IF(A1967="","", SUMIFS($H$2:$H$2000, $A$2:$A$2000, A1967))</f>
        <v/>
      </c>
      <c r="U1967" t="str">
        <f t="shared" si="338"/>
        <v/>
      </c>
      <c r="V1967" t="str">
        <f t="shared" si="339"/>
        <v/>
      </c>
      <c r="W1967" t="str">
        <f t="shared" si="340"/>
        <v/>
      </c>
    </row>
    <row r="1968" spans="1:23" x14ac:dyDescent="0.2">
      <c r="A1968" s="4" t="str">
        <f>IF(ポートフォリオ実績!A1969="","", ポートフォリオ実績!A1969)</f>
        <v/>
      </c>
      <c r="B1968" t="str">
        <f>IF(ポートフォリオ実績!B1969="","", ポートフォリオ実績!B1969)</f>
        <v/>
      </c>
      <c r="C1968" s="10" t="str">
        <f>IF(ポートフォリオ実績!C1969="","", ポートフォリオ実績!C1969)</f>
        <v/>
      </c>
      <c r="D1968" s="10" t="str">
        <f>IF(ポートフォリオ実績!D1969="","", ポートフォリオ実績!D1969)</f>
        <v/>
      </c>
      <c r="E1968" s="10" t="str">
        <f>IF(ポートフォリオ実績!E1969="","", ポートフォリオ実績!E1969)</f>
        <v/>
      </c>
      <c r="F1968" s="10" t="str">
        <f>IF(ポートフォリオ実績!F1969="","", ポートフォリオ実績!F1969)</f>
        <v/>
      </c>
      <c r="G1968" t="str">
        <f t="shared" si="330"/>
        <v/>
      </c>
      <c r="H1968">
        <f>IF(B1968&lt;&gt;"", SUMIFS(ポートフォリオ実績!$D$2:$D$2001, ポートフォリオ実績!$B$2:$B$2001, B1968, ポートフォリオ実績!$A$2:$A$2001, G1968), 0)</f>
        <v>0</v>
      </c>
      <c r="I1968">
        <f>IF(B1968&lt;&gt;"", SUMIFS(ポートフォリオ実績!$C$2:$C$2001, ポートフォリオ実績!$B$2:$B$2001, B1968, ポートフォリオ実績!$A$2:$A$2001, G1968), 0)</f>
        <v>0</v>
      </c>
      <c r="J1968">
        <f t="shared" si="331"/>
        <v>0</v>
      </c>
      <c r="K1968">
        <f t="shared" si="332"/>
        <v>0</v>
      </c>
      <c r="L1968">
        <f t="shared" si="333"/>
        <v>0</v>
      </c>
      <c r="M1968">
        <f t="shared" si="334"/>
        <v>0</v>
      </c>
      <c r="N1968">
        <f t="shared" si="335"/>
        <v>0</v>
      </c>
      <c r="O1968">
        <f t="shared" si="336"/>
        <v>0</v>
      </c>
      <c r="P1968" t="str">
        <f t="shared" si="337"/>
        <v/>
      </c>
      <c r="Q1968" t="str">
        <f>IF(B1968="","", IFERROR(VLOOKUP(B1968, '基準資産配分（設定）'!$A$2:$C$2001, 3, FALSE), ""))</f>
        <v/>
      </c>
      <c r="R1968" t="str">
        <f>IF(B1968="","", IFERROR(VLOOKUP(B1968, '基準資産配分（設定）'!$A$2:$C$2001, 2, FALSE)/100, 0))</f>
        <v/>
      </c>
      <c r="S1968" t="str">
        <f>IF(B1968="","", IFERROR(SUMIFS(ベンチマークリターン!$C$2:$C$2001, ベンチマークリターン!$A$2:$A$2001, A1968, ベンチマークリターン!$B$2:$B$2001, Q1968) / 100, 0))</f>
        <v/>
      </c>
      <c r="T1968" t="str">
        <f>IF(A1968="","", SUMIFS($H$2:$H$2000, $A$2:$A$2000, A1968))</f>
        <v/>
      </c>
      <c r="U1968" t="str">
        <f t="shared" si="338"/>
        <v/>
      </c>
      <c r="V1968" t="str">
        <f t="shared" si="339"/>
        <v/>
      </c>
      <c r="W1968" t="str">
        <f t="shared" si="340"/>
        <v/>
      </c>
    </row>
    <row r="1969" spans="1:23" x14ac:dyDescent="0.2">
      <c r="A1969" s="4" t="str">
        <f>IF(ポートフォリオ実績!A1970="","", ポートフォリオ実績!A1970)</f>
        <v/>
      </c>
      <c r="B1969" t="str">
        <f>IF(ポートフォリオ実績!B1970="","", ポートフォリオ実績!B1970)</f>
        <v/>
      </c>
      <c r="C1969" s="10" t="str">
        <f>IF(ポートフォリオ実績!C1970="","", ポートフォリオ実績!C1970)</f>
        <v/>
      </c>
      <c r="D1969" s="10" t="str">
        <f>IF(ポートフォリオ実績!D1970="","", ポートフォリオ実績!D1970)</f>
        <v/>
      </c>
      <c r="E1969" s="10" t="str">
        <f>IF(ポートフォリオ実績!E1970="","", ポートフォリオ実績!E1970)</f>
        <v/>
      </c>
      <c r="F1969" s="10" t="str">
        <f>IF(ポートフォリオ実績!F1970="","", ポートフォリオ実績!F1970)</f>
        <v/>
      </c>
      <c r="G1969" t="str">
        <f t="shared" si="330"/>
        <v/>
      </c>
      <c r="H1969">
        <f>IF(B1969&lt;&gt;"", SUMIFS(ポートフォリオ実績!$D$2:$D$2001, ポートフォリオ実績!$B$2:$B$2001, B1969, ポートフォリオ実績!$A$2:$A$2001, G1969), 0)</f>
        <v>0</v>
      </c>
      <c r="I1969">
        <f>IF(B1969&lt;&gt;"", SUMIFS(ポートフォリオ実績!$C$2:$C$2001, ポートフォリオ実績!$B$2:$B$2001, B1969, ポートフォリオ実績!$A$2:$A$2001, G1969), 0)</f>
        <v>0</v>
      </c>
      <c r="J1969">
        <f t="shared" si="331"/>
        <v>0</v>
      </c>
      <c r="K1969">
        <f t="shared" si="332"/>
        <v>0</v>
      </c>
      <c r="L1969">
        <f t="shared" si="333"/>
        <v>0</v>
      </c>
      <c r="M1969">
        <f t="shared" si="334"/>
        <v>0</v>
      </c>
      <c r="N1969">
        <f t="shared" si="335"/>
        <v>0</v>
      </c>
      <c r="O1969">
        <f t="shared" si="336"/>
        <v>0</v>
      </c>
      <c r="P1969" t="str">
        <f t="shared" si="337"/>
        <v/>
      </c>
      <c r="Q1969" t="str">
        <f>IF(B1969="","", IFERROR(VLOOKUP(B1969, '基準資産配分（設定）'!$A$2:$C$2001, 3, FALSE), ""))</f>
        <v/>
      </c>
      <c r="R1969" t="str">
        <f>IF(B1969="","", IFERROR(VLOOKUP(B1969, '基準資産配分（設定）'!$A$2:$C$2001, 2, FALSE)/100, 0))</f>
        <v/>
      </c>
      <c r="S1969" t="str">
        <f>IF(B1969="","", IFERROR(SUMIFS(ベンチマークリターン!$C$2:$C$2001, ベンチマークリターン!$A$2:$A$2001, A1969, ベンチマークリターン!$B$2:$B$2001, Q1969) / 100, 0))</f>
        <v/>
      </c>
      <c r="T1969" t="str">
        <f>IF(A1969="","", SUMIFS($H$2:$H$2000, $A$2:$A$2000, A1969))</f>
        <v/>
      </c>
      <c r="U1969" t="str">
        <f t="shared" si="338"/>
        <v/>
      </c>
      <c r="V1969" t="str">
        <f t="shared" si="339"/>
        <v/>
      </c>
      <c r="W1969" t="str">
        <f t="shared" si="340"/>
        <v/>
      </c>
    </row>
    <row r="1970" spans="1:23" x14ac:dyDescent="0.2">
      <c r="A1970" s="4" t="str">
        <f>IF(ポートフォリオ実績!A1971="","", ポートフォリオ実績!A1971)</f>
        <v/>
      </c>
      <c r="B1970" t="str">
        <f>IF(ポートフォリオ実績!B1971="","", ポートフォリオ実績!B1971)</f>
        <v/>
      </c>
      <c r="C1970" s="10" t="str">
        <f>IF(ポートフォリオ実績!C1971="","", ポートフォリオ実績!C1971)</f>
        <v/>
      </c>
      <c r="D1970" s="10" t="str">
        <f>IF(ポートフォリオ実績!D1971="","", ポートフォリオ実績!D1971)</f>
        <v/>
      </c>
      <c r="E1970" s="10" t="str">
        <f>IF(ポートフォリオ実績!E1971="","", ポートフォリオ実績!E1971)</f>
        <v/>
      </c>
      <c r="F1970" s="10" t="str">
        <f>IF(ポートフォリオ実績!F1971="","", ポートフォリオ実績!F1971)</f>
        <v/>
      </c>
      <c r="G1970" t="str">
        <f t="shared" si="330"/>
        <v/>
      </c>
      <c r="H1970">
        <f>IF(B1970&lt;&gt;"", SUMIFS(ポートフォリオ実績!$D$2:$D$2001, ポートフォリオ実績!$B$2:$B$2001, B1970, ポートフォリオ実績!$A$2:$A$2001, G1970), 0)</f>
        <v>0</v>
      </c>
      <c r="I1970">
        <f>IF(B1970&lt;&gt;"", SUMIFS(ポートフォリオ実績!$C$2:$C$2001, ポートフォリオ実績!$B$2:$B$2001, B1970, ポートフォリオ実績!$A$2:$A$2001, G1970), 0)</f>
        <v>0</v>
      </c>
      <c r="J1970">
        <f t="shared" si="331"/>
        <v>0</v>
      </c>
      <c r="K1970">
        <f t="shared" si="332"/>
        <v>0</v>
      </c>
      <c r="L1970">
        <f t="shared" si="333"/>
        <v>0</v>
      </c>
      <c r="M1970">
        <f t="shared" si="334"/>
        <v>0</v>
      </c>
      <c r="N1970">
        <f t="shared" si="335"/>
        <v>0</v>
      </c>
      <c r="O1970">
        <f t="shared" si="336"/>
        <v>0</v>
      </c>
      <c r="P1970" t="str">
        <f t="shared" si="337"/>
        <v/>
      </c>
      <c r="Q1970" t="str">
        <f>IF(B1970="","", IFERROR(VLOOKUP(B1970, '基準資産配分（設定）'!$A$2:$C$2001, 3, FALSE), ""))</f>
        <v/>
      </c>
      <c r="R1970" t="str">
        <f>IF(B1970="","", IFERROR(VLOOKUP(B1970, '基準資産配分（設定）'!$A$2:$C$2001, 2, FALSE)/100, 0))</f>
        <v/>
      </c>
      <c r="S1970" t="str">
        <f>IF(B1970="","", IFERROR(SUMIFS(ベンチマークリターン!$C$2:$C$2001, ベンチマークリターン!$A$2:$A$2001, A1970, ベンチマークリターン!$B$2:$B$2001, Q1970) / 100, 0))</f>
        <v/>
      </c>
      <c r="T1970" t="str">
        <f>IF(A1970="","", SUMIFS($H$2:$H$2000, $A$2:$A$2000, A1970))</f>
        <v/>
      </c>
      <c r="U1970" t="str">
        <f t="shared" si="338"/>
        <v/>
      </c>
      <c r="V1970" t="str">
        <f t="shared" si="339"/>
        <v/>
      </c>
      <c r="W1970" t="str">
        <f t="shared" si="340"/>
        <v/>
      </c>
    </row>
    <row r="1971" spans="1:23" x14ac:dyDescent="0.2">
      <c r="A1971" s="4" t="str">
        <f>IF(ポートフォリオ実績!A1972="","", ポートフォリオ実績!A1972)</f>
        <v/>
      </c>
      <c r="B1971" t="str">
        <f>IF(ポートフォリオ実績!B1972="","", ポートフォリオ実績!B1972)</f>
        <v/>
      </c>
      <c r="C1971" s="10" t="str">
        <f>IF(ポートフォリオ実績!C1972="","", ポートフォリオ実績!C1972)</f>
        <v/>
      </c>
      <c r="D1971" s="10" t="str">
        <f>IF(ポートフォリオ実績!D1972="","", ポートフォリオ実績!D1972)</f>
        <v/>
      </c>
      <c r="E1971" s="10" t="str">
        <f>IF(ポートフォリオ実績!E1972="","", ポートフォリオ実績!E1972)</f>
        <v/>
      </c>
      <c r="F1971" s="10" t="str">
        <f>IF(ポートフォリオ実績!F1972="","", ポートフォリオ実績!F1972)</f>
        <v/>
      </c>
      <c r="G1971" t="str">
        <f t="shared" si="330"/>
        <v/>
      </c>
      <c r="H1971">
        <f>IF(B1971&lt;&gt;"", SUMIFS(ポートフォリオ実績!$D$2:$D$2001, ポートフォリオ実績!$B$2:$B$2001, B1971, ポートフォリオ実績!$A$2:$A$2001, G1971), 0)</f>
        <v>0</v>
      </c>
      <c r="I1971">
        <f>IF(B1971&lt;&gt;"", SUMIFS(ポートフォリオ実績!$C$2:$C$2001, ポートフォリオ実績!$B$2:$B$2001, B1971, ポートフォリオ実績!$A$2:$A$2001, G1971), 0)</f>
        <v>0</v>
      </c>
      <c r="J1971">
        <f t="shared" si="331"/>
        <v>0</v>
      </c>
      <c r="K1971">
        <f t="shared" si="332"/>
        <v>0</v>
      </c>
      <c r="L1971">
        <f t="shared" si="333"/>
        <v>0</v>
      </c>
      <c r="M1971">
        <f t="shared" si="334"/>
        <v>0</v>
      </c>
      <c r="N1971">
        <f t="shared" si="335"/>
        <v>0</v>
      </c>
      <c r="O1971">
        <f t="shared" si="336"/>
        <v>0</v>
      </c>
      <c r="P1971" t="str">
        <f t="shared" si="337"/>
        <v/>
      </c>
      <c r="Q1971" t="str">
        <f>IF(B1971="","", IFERROR(VLOOKUP(B1971, '基準資産配分（設定）'!$A$2:$C$2001, 3, FALSE), ""))</f>
        <v/>
      </c>
      <c r="R1971" t="str">
        <f>IF(B1971="","", IFERROR(VLOOKUP(B1971, '基準資産配分（設定）'!$A$2:$C$2001, 2, FALSE)/100, 0))</f>
        <v/>
      </c>
      <c r="S1971" t="str">
        <f>IF(B1971="","", IFERROR(SUMIFS(ベンチマークリターン!$C$2:$C$2001, ベンチマークリターン!$A$2:$A$2001, A1971, ベンチマークリターン!$B$2:$B$2001, Q1971) / 100, 0))</f>
        <v/>
      </c>
      <c r="T1971" t="str">
        <f>IF(A1971="","", SUMIFS($H$2:$H$2000, $A$2:$A$2000, A1971))</f>
        <v/>
      </c>
      <c r="U1971" t="str">
        <f t="shared" si="338"/>
        <v/>
      </c>
      <c r="V1971" t="str">
        <f t="shared" si="339"/>
        <v/>
      </c>
      <c r="W1971" t="str">
        <f t="shared" si="340"/>
        <v/>
      </c>
    </row>
    <row r="1972" spans="1:23" x14ac:dyDescent="0.2">
      <c r="A1972" s="4" t="str">
        <f>IF(ポートフォリオ実績!A1973="","", ポートフォリオ実績!A1973)</f>
        <v/>
      </c>
      <c r="B1972" t="str">
        <f>IF(ポートフォリオ実績!B1973="","", ポートフォリオ実績!B1973)</f>
        <v/>
      </c>
      <c r="C1972" s="10" t="str">
        <f>IF(ポートフォリオ実績!C1973="","", ポートフォリオ実績!C1973)</f>
        <v/>
      </c>
      <c r="D1972" s="10" t="str">
        <f>IF(ポートフォリオ実績!D1973="","", ポートフォリオ実績!D1973)</f>
        <v/>
      </c>
      <c r="E1972" s="10" t="str">
        <f>IF(ポートフォリオ実績!E1973="","", ポートフォリオ実績!E1973)</f>
        <v/>
      </c>
      <c r="F1972" s="10" t="str">
        <f>IF(ポートフォリオ実績!F1973="","", ポートフォリオ実績!F1973)</f>
        <v/>
      </c>
      <c r="G1972" t="str">
        <f t="shared" si="330"/>
        <v/>
      </c>
      <c r="H1972">
        <f>IF(B1972&lt;&gt;"", SUMIFS(ポートフォリオ実績!$D$2:$D$2001, ポートフォリオ実績!$B$2:$B$2001, B1972, ポートフォリオ実績!$A$2:$A$2001, G1972), 0)</f>
        <v>0</v>
      </c>
      <c r="I1972">
        <f>IF(B1972&lt;&gt;"", SUMIFS(ポートフォリオ実績!$C$2:$C$2001, ポートフォリオ実績!$B$2:$B$2001, B1972, ポートフォリオ実績!$A$2:$A$2001, G1972), 0)</f>
        <v>0</v>
      </c>
      <c r="J1972">
        <f t="shared" si="331"/>
        <v>0</v>
      </c>
      <c r="K1972">
        <f t="shared" si="332"/>
        <v>0</v>
      </c>
      <c r="L1972">
        <f t="shared" si="333"/>
        <v>0</v>
      </c>
      <c r="M1972">
        <f t="shared" si="334"/>
        <v>0</v>
      </c>
      <c r="N1972">
        <f t="shared" si="335"/>
        <v>0</v>
      </c>
      <c r="O1972">
        <f t="shared" si="336"/>
        <v>0</v>
      </c>
      <c r="P1972" t="str">
        <f t="shared" si="337"/>
        <v/>
      </c>
      <c r="Q1972" t="str">
        <f>IF(B1972="","", IFERROR(VLOOKUP(B1972, '基準資産配分（設定）'!$A$2:$C$2001, 3, FALSE), ""))</f>
        <v/>
      </c>
      <c r="R1972" t="str">
        <f>IF(B1972="","", IFERROR(VLOOKUP(B1972, '基準資産配分（設定）'!$A$2:$C$2001, 2, FALSE)/100, 0))</f>
        <v/>
      </c>
      <c r="S1972" t="str">
        <f>IF(B1972="","", IFERROR(SUMIFS(ベンチマークリターン!$C$2:$C$2001, ベンチマークリターン!$A$2:$A$2001, A1972, ベンチマークリターン!$B$2:$B$2001, Q1972) / 100, 0))</f>
        <v/>
      </c>
      <c r="T1972" t="str">
        <f>IF(A1972="","", SUMIFS($H$2:$H$2000, $A$2:$A$2000, A1972))</f>
        <v/>
      </c>
      <c r="U1972" t="str">
        <f t="shared" si="338"/>
        <v/>
      </c>
      <c r="V1972" t="str">
        <f t="shared" si="339"/>
        <v/>
      </c>
      <c r="W1972" t="str">
        <f t="shared" si="340"/>
        <v/>
      </c>
    </row>
    <row r="1973" spans="1:23" x14ac:dyDescent="0.2">
      <c r="A1973" s="4" t="str">
        <f>IF(ポートフォリオ実績!A1974="","", ポートフォリオ実績!A1974)</f>
        <v/>
      </c>
      <c r="B1973" t="str">
        <f>IF(ポートフォリオ実績!B1974="","", ポートフォリオ実績!B1974)</f>
        <v/>
      </c>
      <c r="C1973" s="10" t="str">
        <f>IF(ポートフォリオ実績!C1974="","", ポートフォリオ実績!C1974)</f>
        <v/>
      </c>
      <c r="D1973" s="10" t="str">
        <f>IF(ポートフォリオ実績!D1974="","", ポートフォリオ実績!D1974)</f>
        <v/>
      </c>
      <c r="E1973" s="10" t="str">
        <f>IF(ポートフォリオ実績!E1974="","", ポートフォリオ実績!E1974)</f>
        <v/>
      </c>
      <c r="F1973" s="10" t="str">
        <f>IF(ポートフォリオ実績!F1974="","", ポートフォリオ実績!F1974)</f>
        <v/>
      </c>
      <c r="G1973" t="str">
        <f t="shared" si="330"/>
        <v/>
      </c>
      <c r="H1973">
        <f>IF(B1973&lt;&gt;"", SUMIFS(ポートフォリオ実績!$D$2:$D$2001, ポートフォリオ実績!$B$2:$B$2001, B1973, ポートフォリオ実績!$A$2:$A$2001, G1973), 0)</f>
        <v>0</v>
      </c>
      <c r="I1973">
        <f>IF(B1973&lt;&gt;"", SUMIFS(ポートフォリオ実績!$C$2:$C$2001, ポートフォリオ実績!$B$2:$B$2001, B1973, ポートフォリオ実績!$A$2:$A$2001, G1973), 0)</f>
        <v>0</v>
      </c>
      <c r="J1973">
        <f t="shared" si="331"/>
        <v>0</v>
      </c>
      <c r="K1973">
        <f t="shared" si="332"/>
        <v>0</v>
      </c>
      <c r="L1973">
        <f t="shared" si="333"/>
        <v>0</v>
      </c>
      <c r="M1973">
        <f t="shared" si="334"/>
        <v>0</v>
      </c>
      <c r="N1973">
        <f t="shared" si="335"/>
        <v>0</v>
      </c>
      <c r="O1973">
        <f t="shared" si="336"/>
        <v>0</v>
      </c>
      <c r="P1973" t="str">
        <f t="shared" si="337"/>
        <v/>
      </c>
      <c r="Q1973" t="str">
        <f>IF(B1973="","", IFERROR(VLOOKUP(B1973, '基準資産配分（設定）'!$A$2:$C$2001, 3, FALSE), ""))</f>
        <v/>
      </c>
      <c r="R1973" t="str">
        <f>IF(B1973="","", IFERROR(VLOOKUP(B1973, '基準資産配分（設定）'!$A$2:$C$2001, 2, FALSE)/100, 0))</f>
        <v/>
      </c>
      <c r="S1973" t="str">
        <f>IF(B1973="","", IFERROR(SUMIFS(ベンチマークリターン!$C$2:$C$2001, ベンチマークリターン!$A$2:$A$2001, A1973, ベンチマークリターン!$B$2:$B$2001, Q1973) / 100, 0))</f>
        <v/>
      </c>
      <c r="T1973" t="str">
        <f>IF(A1973="","", SUMIFS($H$2:$H$2000, $A$2:$A$2000, A1973))</f>
        <v/>
      </c>
      <c r="U1973" t="str">
        <f t="shared" si="338"/>
        <v/>
      </c>
      <c r="V1973" t="str">
        <f t="shared" si="339"/>
        <v/>
      </c>
      <c r="W1973" t="str">
        <f t="shared" si="340"/>
        <v/>
      </c>
    </row>
    <row r="1974" spans="1:23" x14ac:dyDescent="0.2">
      <c r="A1974" s="4" t="str">
        <f>IF(ポートフォリオ実績!A1975="","", ポートフォリオ実績!A1975)</f>
        <v/>
      </c>
      <c r="B1974" t="str">
        <f>IF(ポートフォリオ実績!B1975="","", ポートフォリオ実績!B1975)</f>
        <v/>
      </c>
      <c r="C1974" s="10" t="str">
        <f>IF(ポートフォリオ実績!C1975="","", ポートフォリオ実績!C1975)</f>
        <v/>
      </c>
      <c r="D1974" s="10" t="str">
        <f>IF(ポートフォリオ実績!D1975="","", ポートフォリオ実績!D1975)</f>
        <v/>
      </c>
      <c r="E1974" s="10" t="str">
        <f>IF(ポートフォリオ実績!E1975="","", ポートフォリオ実績!E1975)</f>
        <v/>
      </c>
      <c r="F1974" s="10" t="str">
        <f>IF(ポートフォリオ実績!F1975="","", ポートフォリオ実績!F1975)</f>
        <v/>
      </c>
      <c r="G1974" t="str">
        <f t="shared" si="330"/>
        <v/>
      </c>
      <c r="H1974">
        <f>IF(B1974&lt;&gt;"", SUMIFS(ポートフォリオ実績!$D$2:$D$2001, ポートフォリオ実績!$B$2:$B$2001, B1974, ポートフォリオ実績!$A$2:$A$2001, G1974), 0)</f>
        <v>0</v>
      </c>
      <c r="I1974">
        <f>IF(B1974&lt;&gt;"", SUMIFS(ポートフォリオ実績!$C$2:$C$2001, ポートフォリオ実績!$B$2:$B$2001, B1974, ポートフォリオ実績!$A$2:$A$2001, G1974), 0)</f>
        <v>0</v>
      </c>
      <c r="J1974">
        <f t="shared" si="331"/>
        <v>0</v>
      </c>
      <c r="K1974">
        <f t="shared" si="332"/>
        <v>0</v>
      </c>
      <c r="L1974">
        <f t="shared" si="333"/>
        <v>0</v>
      </c>
      <c r="M1974">
        <f t="shared" si="334"/>
        <v>0</v>
      </c>
      <c r="N1974">
        <f t="shared" si="335"/>
        <v>0</v>
      </c>
      <c r="O1974">
        <f t="shared" si="336"/>
        <v>0</v>
      </c>
      <c r="P1974" t="str">
        <f t="shared" si="337"/>
        <v/>
      </c>
      <c r="Q1974" t="str">
        <f>IF(B1974="","", IFERROR(VLOOKUP(B1974, '基準資産配分（設定）'!$A$2:$C$2001, 3, FALSE), ""))</f>
        <v/>
      </c>
      <c r="R1974" t="str">
        <f>IF(B1974="","", IFERROR(VLOOKUP(B1974, '基準資産配分（設定）'!$A$2:$C$2001, 2, FALSE)/100, 0))</f>
        <v/>
      </c>
      <c r="S1974" t="str">
        <f>IF(B1974="","", IFERROR(SUMIFS(ベンチマークリターン!$C$2:$C$2001, ベンチマークリターン!$A$2:$A$2001, A1974, ベンチマークリターン!$B$2:$B$2001, Q1974) / 100, 0))</f>
        <v/>
      </c>
      <c r="T1974" t="str">
        <f>IF(A1974="","", SUMIFS($H$2:$H$2000, $A$2:$A$2000, A1974))</f>
        <v/>
      </c>
      <c r="U1974" t="str">
        <f t="shared" si="338"/>
        <v/>
      </c>
      <c r="V1974" t="str">
        <f t="shared" si="339"/>
        <v/>
      </c>
      <c r="W1974" t="str">
        <f t="shared" si="340"/>
        <v/>
      </c>
    </row>
    <row r="1975" spans="1:23" x14ac:dyDescent="0.2">
      <c r="A1975" s="4" t="str">
        <f>IF(ポートフォリオ実績!A1976="","", ポートフォリオ実績!A1976)</f>
        <v/>
      </c>
      <c r="B1975" t="str">
        <f>IF(ポートフォリオ実績!B1976="","", ポートフォリオ実績!B1976)</f>
        <v/>
      </c>
      <c r="C1975" s="10" t="str">
        <f>IF(ポートフォリオ実績!C1976="","", ポートフォリオ実績!C1976)</f>
        <v/>
      </c>
      <c r="D1975" s="10" t="str">
        <f>IF(ポートフォリオ実績!D1976="","", ポートフォリオ実績!D1976)</f>
        <v/>
      </c>
      <c r="E1975" s="10" t="str">
        <f>IF(ポートフォリオ実績!E1976="","", ポートフォリオ実績!E1976)</f>
        <v/>
      </c>
      <c r="F1975" s="10" t="str">
        <f>IF(ポートフォリオ実績!F1976="","", ポートフォリオ実績!F1976)</f>
        <v/>
      </c>
      <c r="G1975" t="str">
        <f t="shared" si="330"/>
        <v/>
      </c>
      <c r="H1975">
        <f>IF(B1975&lt;&gt;"", SUMIFS(ポートフォリオ実績!$D$2:$D$2001, ポートフォリオ実績!$B$2:$B$2001, B1975, ポートフォリオ実績!$A$2:$A$2001, G1975), 0)</f>
        <v>0</v>
      </c>
      <c r="I1975">
        <f>IF(B1975&lt;&gt;"", SUMIFS(ポートフォリオ実績!$C$2:$C$2001, ポートフォリオ実績!$B$2:$B$2001, B1975, ポートフォリオ実績!$A$2:$A$2001, G1975), 0)</f>
        <v>0</v>
      </c>
      <c r="J1975">
        <f t="shared" si="331"/>
        <v>0</v>
      </c>
      <c r="K1975">
        <f t="shared" si="332"/>
        <v>0</v>
      </c>
      <c r="L1975">
        <f t="shared" si="333"/>
        <v>0</v>
      </c>
      <c r="M1975">
        <f t="shared" si="334"/>
        <v>0</v>
      </c>
      <c r="N1975">
        <f t="shared" si="335"/>
        <v>0</v>
      </c>
      <c r="O1975">
        <f t="shared" si="336"/>
        <v>0</v>
      </c>
      <c r="P1975" t="str">
        <f t="shared" si="337"/>
        <v/>
      </c>
      <c r="Q1975" t="str">
        <f>IF(B1975="","", IFERROR(VLOOKUP(B1975, '基準資産配分（設定）'!$A$2:$C$2001, 3, FALSE), ""))</f>
        <v/>
      </c>
      <c r="R1975" t="str">
        <f>IF(B1975="","", IFERROR(VLOOKUP(B1975, '基準資産配分（設定）'!$A$2:$C$2001, 2, FALSE)/100, 0))</f>
        <v/>
      </c>
      <c r="S1975" t="str">
        <f>IF(B1975="","", IFERROR(SUMIFS(ベンチマークリターン!$C$2:$C$2001, ベンチマークリターン!$A$2:$A$2001, A1975, ベンチマークリターン!$B$2:$B$2001, Q1975) / 100, 0))</f>
        <v/>
      </c>
      <c r="T1975" t="str">
        <f>IF(A1975="","", SUMIFS($H$2:$H$2000, $A$2:$A$2000, A1975))</f>
        <v/>
      </c>
      <c r="U1975" t="str">
        <f t="shared" si="338"/>
        <v/>
      </c>
      <c r="V1975" t="str">
        <f t="shared" si="339"/>
        <v/>
      </c>
      <c r="W1975" t="str">
        <f t="shared" si="340"/>
        <v/>
      </c>
    </row>
    <row r="1976" spans="1:23" x14ac:dyDescent="0.2">
      <c r="A1976" s="4" t="str">
        <f>IF(ポートフォリオ実績!A1977="","", ポートフォリオ実績!A1977)</f>
        <v/>
      </c>
      <c r="B1976" t="str">
        <f>IF(ポートフォリオ実績!B1977="","", ポートフォリオ実績!B1977)</f>
        <v/>
      </c>
      <c r="C1976" s="10" t="str">
        <f>IF(ポートフォリオ実績!C1977="","", ポートフォリオ実績!C1977)</f>
        <v/>
      </c>
      <c r="D1976" s="10" t="str">
        <f>IF(ポートフォリオ実績!D1977="","", ポートフォリオ実績!D1977)</f>
        <v/>
      </c>
      <c r="E1976" s="10" t="str">
        <f>IF(ポートフォリオ実績!E1977="","", ポートフォリオ実績!E1977)</f>
        <v/>
      </c>
      <c r="F1976" s="10" t="str">
        <f>IF(ポートフォリオ実績!F1977="","", ポートフォリオ実績!F1977)</f>
        <v/>
      </c>
      <c r="G1976" t="str">
        <f t="shared" si="330"/>
        <v/>
      </c>
      <c r="H1976">
        <f>IF(B1976&lt;&gt;"", SUMIFS(ポートフォリオ実績!$D$2:$D$2001, ポートフォリオ実績!$B$2:$B$2001, B1976, ポートフォリオ実績!$A$2:$A$2001, G1976), 0)</f>
        <v>0</v>
      </c>
      <c r="I1976">
        <f>IF(B1976&lt;&gt;"", SUMIFS(ポートフォリオ実績!$C$2:$C$2001, ポートフォリオ実績!$B$2:$B$2001, B1976, ポートフォリオ実績!$A$2:$A$2001, G1976), 0)</f>
        <v>0</v>
      </c>
      <c r="J1976">
        <f t="shared" si="331"/>
        <v>0</v>
      </c>
      <c r="K1976">
        <f t="shared" si="332"/>
        <v>0</v>
      </c>
      <c r="L1976">
        <f t="shared" si="333"/>
        <v>0</v>
      </c>
      <c r="M1976">
        <f t="shared" si="334"/>
        <v>0</v>
      </c>
      <c r="N1976">
        <f t="shared" si="335"/>
        <v>0</v>
      </c>
      <c r="O1976">
        <f t="shared" si="336"/>
        <v>0</v>
      </c>
      <c r="P1976" t="str">
        <f t="shared" si="337"/>
        <v/>
      </c>
      <c r="Q1976" t="str">
        <f>IF(B1976="","", IFERROR(VLOOKUP(B1976, '基準資産配分（設定）'!$A$2:$C$2001, 3, FALSE), ""))</f>
        <v/>
      </c>
      <c r="R1976" t="str">
        <f>IF(B1976="","", IFERROR(VLOOKUP(B1976, '基準資産配分（設定）'!$A$2:$C$2001, 2, FALSE)/100, 0))</f>
        <v/>
      </c>
      <c r="S1976" t="str">
        <f>IF(B1976="","", IFERROR(SUMIFS(ベンチマークリターン!$C$2:$C$2001, ベンチマークリターン!$A$2:$A$2001, A1976, ベンチマークリターン!$B$2:$B$2001, Q1976) / 100, 0))</f>
        <v/>
      </c>
      <c r="T1976" t="str">
        <f>IF(A1976="","", SUMIFS($H$2:$H$2000, $A$2:$A$2000, A1976))</f>
        <v/>
      </c>
      <c r="U1976" t="str">
        <f t="shared" si="338"/>
        <v/>
      </c>
      <c r="V1976" t="str">
        <f t="shared" si="339"/>
        <v/>
      </c>
      <c r="W1976" t="str">
        <f t="shared" si="340"/>
        <v/>
      </c>
    </row>
    <row r="1977" spans="1:23" x14ac:dyDescent="0.2">
      <c r="A1977" s="4" t="str">
        <f>IF(ポートフォリオ実績!A1978="","", ポートフォリオ実績!A1978)</f>
        <v/>
      </c>
      <c r="B1977" t="str">
        <f>IF(ポートフォリオ実績!B1978="","", ポートフォリオ実績!B1978)</f>
        <v/>
      </c>
      <c r="C1977" s="10" t="str">
        <f>IF(ポートフォリオ実績!C1978="","", ポートフォリオ実績!C1978)</f>
        <v/>
      </c>
      <c r="D1977" s="10" t="str">
        <f>IF(ポートフォリオ実績!D1978="","", ポートフォリオ実績!D1978)</f>
        <v/>
      </c>
      <c r="E1977" s="10" t="str">
        <f>IF(ポートフォリオ実績!E1978="","", ポートフォリオ実績!E1978)</f>
        <v/>
      </c>
      <c r="F1977" s="10" t="str">
        <f>IF(ポートフォリオ実績!F1978="","", ポートフォリオ実績!F1978)</f>
        <v/>
      </c>
      <c r="G1977" t="str">
        <f t="shared" si="330"/>
        <v/>
      </c>
      <c r="H1977">
        <f>IF(B1977&lt;&gt;"", SUMIFS(ポートフォリオ実績!$D$2:$D$2001, ポートフォリオ実績!$B$2:$B$2001, B1977, ポートフォリオ実績!$A$2:$A$2001, G1977), 0)</f>
        <v>0</v>
      </c>
      <c r="I1977">
        <f>IF(B1977&lt;&gt;"", SUMIFS(ポートフォリオ実績!$C$2:$C$2001, ポートフォリオ実績!$B$2:$B$2001, B1977, ポートフォリオ実績!$A$2:$A$2001, G1977), 0)</f>
        <v>0</v>
      </c>
      <c r="J1977">
        <f t="shared" si="331"/>
        <v>0</v>
      </c>
      <c r="K1977">
        <f t="shared" si="332"/>
        <v>0</v>
      </c>
      <c r="L1977">
        <f t="shared" si="333"/>
        <v>0</v>
      </c>
      <c r="M1977">
        <f t="shared" si="334"/>
        <v>0</v>
      </c>
      <c r="N1977">
        <f t="shared" si="335"/>
        <v>0</v>
      </c>
      <c r="O1977">
        <f t="shared" si="336"/>
        <v>0</v>
      </c>
      <c r="P1977" t="str">
        <f t="shared" si="337"/>
        <v/>
      </c>
      <c r="Q1977" t="str">
        <f>IF(B1977="","", IFERROR(VLOOKUP(B1977, '基準資産配分（設定）'!$A$2:$C$2001, 3, FALSE), ""))</f>
        <v/>
      </c>
      <c r="R1977" t="str">
        <f>IF(B1977="","", IFERROR(VLOOKUP(B1977, '基準資産配分（設定）'!$A$2:$C$2001, 2, FALSE)/100, 0))</f>
        <v/>
      </c>
      <c r="S1977" t="str">
        <f>IF(B1977="","", IFERROR(SUMIFS(ベンチマークリターン!$C$2:$C$2001, ベンチマークリターン!$A$2:$A$2001, A1977, ベンチマークリターン!$B$2:$B$2001, Q1977) / 100, 0))</f>
        <v/>
      </c>
      <c r="T1977" t="str">
        <f>IF(A1977="","", SUMIFS($H$2:$H$2000, $A$2:$A$2000, A1977))</f>
        <v/>
      </c>
      <c r="U1977" t="str">
        <f t="shared" si="338"/>
        <v/>
      </c>
      <c r="V1977" t="str">
        <f t="shared" si="339"/>
        <v/>
      </c>
      <c r="W1977" t="str">
        <f t="shared" si="340"/>
        <v/>
      </c>
    </row>
    <row r="1978" spans="1:23" x14ac:dyDescent="0.2">
      <c r="A1978" s="4" t="str">
        <f>IF(ポートフォリオ実績!A1979="","", ポートフォリオ実績!A1979)</f>
        <v/>
      </c>
      <c r="B1978" t="str">
        <f>IF(ポートフォリオ実績!B1979="","", ポートフォリオ実績!B1979)</f>
        <v/>
      </c>
      <c r="C1978" s="10" t="str">
        <f>IF(ポートフォリオ実績!C1979="","", ポートフォリオ実績!C1979)</f>
        <v/>
      </c>
      <c r="D1978" s="10" t="str">
        <f>IF(ポートフォリオ実績!D1979="","", ポートフォリオ実績!D1979)</f>
        <v/>
      </c>
      <c r="E1978" s="10" t="str">
        <f>IF(ポートフォリオ実績!E1979="","", ポートフォリオ実績!E1979)</f>
        <v/>
      </c>
      <c r="F1978" s="10" t="str">
        <f>IF(ポートフォリオ実績!F1979="","", ポートフォリオ実績!F1979)</f>
        <v/>
      </c>
      <c r="G1978" t="str">
        <f t="shared" si="330"/>
        <v/>
      </c>
      <c r="H1978">
        <f>IF(B1978&lt;&gt;"", SUMIFS(ポートフォリオ実績!$D$2:$D$2001, ポートフォリオ実績!$B$2:$B$2001, B1978, ポートフォリオ実績!$A$2:$A$2001, G1978), 0)</f>
        <v>0</v>
      </c>
      <c r="I1978">
        <f>IF(B1978&lt;&gt;"", SUMIFS(ポートフォリオ実績!$C$2:$C$2001, ポートフォリオ実績!$B$2:$B$2001, B1978, ポートフォリオ実績!$A$2:$A$2001, G1978), 0)</f>
        <v>0</v>
      </c>
      <c r="J1978">
        <f t="shared" si="331"/>
        <v>0</v>
      </c>
      <c r="K1978">
        <f t="shared" si="332"/>
        <v>0</v>
      </c>
      <c r="L1978">
        <f t="shared" si="333"/>
        <v>0</v>
      </c>
      <c r="M1978">
        <f t="shared" si="334"/>
        <v>0</v>
      </c>
      <c r="N1978">
        <f t="shared" si="335"/>
        <v>0</v>
      </c>
      <c r="O1978">
        <f t="shared" si="336"/>
        <v>0</v>
      </c>
      <c r="P1978" t="str">
        <f t="shared" si="337"/>
        <v/>
      </c>
      <c r="Q1978" t="str">
        <f>IF(B1978="","", IFERROR(VLOOKUP(B1978, '基準資産配分（設定）'!$A$2:$C$2001, 3, FALSE), ""))</f>
        <v/>
      </c>
      <c r="R1978" t="str">
        <f>IF(B1978="","", IFERROR(VLOOKUP(B1978, '基準資産配分（設定）'!$A$2:$C$2001, 2, FALSE)/100, 0))</f>
        <v/>
      </c>
      <c r="S1978" t="str">
        <f>IF(B1978="","", IFERROR(SUMIFS(ベンチマークリターン!$C$2:$C$2001, ベンチマークリターン!$A$2:$A$2001, A1978, ベンチマークリターン!$B$2:$B$2001, Q1978) / 100, 0))</f>
        <v/>
      </c>
      <c r="T1978" t="str">
        <f>IF(A1978="","", SUMIFS($H$2:$H$2000, $A$2:$A$2000, A1978))</f>
        <v/>
      </c>
      <c r="U1978" t="str">
        <f t="shared" si="338"/>
        <v/>
      </c>
      <c r="V1978" t="str">
        <f t="shared" si="339"/>
        <v/>
      </c>
      <c r="W1978" t="str">
        <f t="shared" si="340"/>
        <v/>
      </c>
    </row>
    <row r="1979" spans="1:23" x14ac:dyDescent="0.2">
      <c r="A1979" s="4" t="str">
        <f>IF(ポートフォリオ実績!A1980="","", ポートフォリオ実績!A1980)</f>
        <v/>
      </c>
      <c r="B1979" t="str">
        <f>IF(ポートフォリオ実績!B1980="","", ポートフォリオ実績!B1980)</f>
        <v/>
      </c>
      <c r="C1979" s="10" t="str">
        <f>IF(ポートフォリオ実績!C1980="","", ポートフォリオ実績!C1980)</f>
        <v/>
      </c>
      <c r="D1979" s="10" t="str">
        <f>IF(ポートフォリオ実績!D1980="","", ポートフォリオ実績!D1980)</f>
        <v/>
      </c>
      <c r="E1979" s="10" t="str">
        <f>IF(ポートフォリオ実績!E1980="","", ポートフォリオ実績!E1980)</f>
        <v/>
      </c>
      <c r="F1979" s="10" t="str">
        <f>IF(ポートフォリオ実績!F1980="","", ポートフォリオ実績!F1980)</f>
        <v/>
      </c>
      <c r="G1979" t="str">
        <f t="shared" si="330"/>
        <v/>
      </c>
      <c r="H1979">
        <f>IF(B1979&lt;&gt;"", SUMIFS(ポートフォリオ実績!$D$2:$D$2001, ポートフォリオ実績!$B$2:$B$2001, B1979, ポートフォリオ実績!$A$2:$A$2001, G1979), 0)</f>
        <v>0</v>
      </c>
      <c r="I1979">
        <f>IF(B1979&lt;&gt;"", SUMIFS(ポートフォリオ実績!$C$2:$C$2001, ポートフォリオ実績!$B$2:$B$2001, B1979, ポートフォリオ実績!$A$2:$A$2001, G1979), 0)</f>
        <v>0</v>
      </c>
      <c r="J1979">
        <f t="shared" si="331"/>
        <v>0</v>
      </c>
      <c r="K1979">
        <f t="shared" si="332"/>
        <v>0</v>
      </c>
      <c r="L1979">
        <f t="shared" si="333"/>
        <v>0</v>
      </c>
      <c r="M1979">
        <f t="shared" si="334"/>
        <v>0</v>
      </c>
      <c r="N1979">
        <f t="shared" si="335"/>
        <v>0</v>
      </c>
      <c r="O1979">
        <f t="shared" si="336"/>
        <v>0</v>
      </c>
      <c r="P1979" t="str">
        <f t="shared" si="337"/>
        <v/>
      </c>
      <c r="Q1979" t="str">
        <f>IF(B1979="","", IFERROR(VLOOKUP(B1979, '基準資産配分（設定）'!$A$2:$C$2001, 3, FALSE), ""))</f>
        <v/>
      </c>
      <c r="R1979" t="str">
        <f>IF(B1979="","", IFERROR(VLOOKUP(B1979, '基準資産配分（設定）'!$A$2:$C$2001, 2, FALSE)/100, 0))</f>
        <v/>
      </c>
      <c r="S1979" t="str">
        <f>IF(B1979="","", IFERROR(SUMIFS(ベンチマークリターン!$C$2:$C$2001, ベンチマークリターン!$A$2:$A$2001, A1979, ベンチマークリターン!$B$2:$B$2001, Q1979) / 100, 0))</f>
        <v/>
      </c>
      <c r="T1979" t="str">
        <f>IF(A1979="","", SUMIFS($H$2:$H$2000, $A$2:$A$2000, A1979))</f>
        <v/>
      </c>
      <c r="U1979" t="str">
        <f t="shared" si="338"/>
        <v/>
      </c>
      <c r="V1979" t="str">
        <f t="shared" si="339"/>
        <v/>
      </c>
      <c r="W1979" t="str">
        <f t="shared" si="340"/>
        <v/>
      </c>
    </row>
    <row r="1980" spans="1:23" x14ac:dyDescent="0.2">
      <c r="A1980" s="4" t="str">
        <f>IF(ポートフォリオ実績!A1981="","", ポートフォリオ実績!A1981)</f>
        <v/>
      </c>
      <c r="B1980" t="str">
        <f>IF(ポートフォリオ実績!B1981="","", ポートフォリオ実績!B1981)</f>
        <v/>
      </c>
      <c r="C1980" s="10" t="str">
        <f>IF(ポートフォリオ実績!C1981="","", ポートフォリオ実績!C1981)</f>
        <v/>
      </c>
      <c r="D1980" s="10" t="str">
        <f>IF(ポートフォリオ実績!D1981="","", ポートフォリオ実績!D1981)</f>
        <v/>
      </c>
      <c r="E1980" s="10" t="str">
        <f>IF(ポートフォリオ実績!E1981="","", ポートフォリオ実績!E1981)</f>
        <v/>
      </c>
      <c r="F1980" s="10" t="str">
        <f>IF(ポートフォリオ実績!F1981="","", ポートフォリオ実績!F1981)</f>
        <v/>
      </c>
      <c r="G1980" t="str">
        <f t="shared" si="330"/>
        <v/>
      </c>
      <c r="H1980">
        <f>IF(B1980&lt;&gt;"", SUMIFS(ポートフォリオ実績!$D$2:$D$2001, ポートフォリオ実績!$B$2:$B$2001, B1980, ポートフォリオ実績!$A$2:$A$2001, G1980), 0)</f>
        <v>0</v>
      </c>
      <c r="I1980">
        <f>IF(B1980&lt;&gt;"", SUMIFS(ポートフォリオ実績!$C$2:$C$2001, ポートフォリオ実績!$B$2:$B$2001, B1980, ポートフォリオ実績!$A$2:$A$2001, G1980), 0)</f>
        <v>0</v>
      </c>
      <c r="J1980">
        <f t="shared" si="331"/>
        <v>0</v>
      </c>
      <c r="K1980">
        <f t="shared" si="332"/>
        <v>0</v>
      </c>
      <c r="L1980">
        <f t="shared" si="333"/>
        <v>0</v>
      </c>
      <c r="M1980">
        <f t="shared" si="334"/>
        <v>0</v>
      </c>
      <c r="N1980">
        <f t="shared" si="335"/>
        <v>0</v>
      </c>
      <c r="O1980">
        <f t="shared" si="336"/>
        <v>0</v>
      </c>
      <c r="P1980" t="str">
        <f t="shared" si="337"/>
        <v/>
      </c>
      <c r="Q1980" t="str">
        <f>IF(B1980="","", IFERROR(VLOOKUP(B1980, '基準資産配分（設定）'!$A$2:$C$2001, 3, FALSE), ""))</f>
        <v/>
      </c>
      <c r="R1980" t="str">
        <f>IF(B1980="","", IFERROR(VLOOKUP(B1980, '基準資産配分（設定）'!$A$2:$C$2001, 2, FALSE)/100, 0))</f>
        <v/>
      </c>
      <c r="S1980" t="str">
        <f>IF(B1980="","", IFERROR(SUMIFS(ベンチマークリターン!$C$2:$C$2001, ベンチマークリターン!$A$2:$A$2001, A1980, ベンチマークリターン!$B$2:$B$2001, Q1980) / 100, 0))</f>
        <v/>
      </c>
      <c r="T1980" t="str">
        <f>IF(A1980="","", SUMIFS($H$2:$H$2000, $A$2:$A$2000, A1980))</f>
        <v/>
      </c>
      <c r="U1980" t="str">
        <f t="shared" si="338"/>
        <v/>
      </c>
      <c r="V1980" t="str">
        <f t="shared" si="339"/>
        <v/>
      </c>
      <c r="W1980" t="str">
        <f t="shared" si="340"/>
        <v/>
      </c>
    </row>
    <row r="1981" spans="1:23" x14ac:dyDescent="0.2">
      <c r="A1981" s="4" t="str">
        <f>IF(ポートフォリオ実績!A1982="","", ポートフォリオ実績!A1982)</f>
        <v/>
      </c>
      <c r="B1981" t="str">
        <f>IF(ポートフォリオ実績!B1982="","", ポートフォリオ実績!B1982)</f>
        <v/>
      </c>
      <c r="C1981" s="10" t="str">
        <f>IF(ポートフォリオ実績!C1982="","", ポートフォリオ実績!C1982)</f>
        <v/>
      </c>
      <c r="D1981" s="10" t="str">
        <f>IF(ポートフォリオ実績!D1982="","", ポートフォリオ実績!D1982)</f>
        <v/>
      </c>
      <c r="E1981" s="10" t="str">
        <f>IF(ポートフォリオ実績!E1982="","", ポートフォリオ実績!E1982)</f>
        <v/>
      </c>
      <c r="F1981" s="10" t="str">
        <f>IF(ポートフォリオ実績!F1982="","", ポートフォリオ実績!F1982)</f>
        <v/>
      </c>
      <c r="G1981" t="str">
        <f t="shared" si="330"/>
        <v/>
      </c>
      <c r="H1981">
        <f>IF(B1981&lt;&gt;"", SUMIFS(ポートフォリオ実績!$D$2:$D$2001, ポートフォリオ実績!$B$2:$B$2001, B1981, ポートフォリオ実績!$A$2:$A$2001, G1981), 0)</f>
        <v>0</v>
      </c>
      <c r="I1981">
        <f>IF(B1981&lt;&gt;"", SUMIFS(ポートフォリオ実績!$C$2:$C$2001, ポートフォリオ実績!$B$2:$B$2001, B1981, ポートフォリオ実績!$A$2:$A$2001, G1981), 0)</f>
        <v>0</v>
      </c>
      <c r="J1981">
        <f t="shared" si="331"/>
        <v>0</v>
      </c>
      <c r="K1981">
        <f t="shared" si="332"/>
        <v>0</v>
      </c>
      <c r="L1981">
        <f t="shared" si="333"/>
        <v>0</v>
      </c>
      <c r="M1981">
        <f t="shared" si="334"/>
        <v>0</v>
      </c>
      <c r="N1981">
        <f t="shared" si="335"/>
        <v>0</v>
      </c>
      <c r="O1981">
        <f t="shared" si="336"/>
        <v>0</v>
      </c>
      <c r="P1981" t="str">
        <f t="shared" si="337"/>
        <v/>
      </c>
      <c r="Q1981" t="str">
        <f>IF(B1981="","", IFERROR(VLOOKUP(B1981, '基準資産配分（設定）'!$A$2:$C$2001, 3, FALSE), ""))</f>
        <v/>
      </c>
      <c r="R1981" t="str">
        <f>IF(B1981="","", IFERROR(VLOOKUP(B1981, '基準資産配分（設定）'!$A$2:$C$2001, 2, FALSE)/100, 0))</f>
        <v/>
      </c>
      <c r="S1981" t="str">
        <f>IF(B1981="","", IFERROR(SUMIFS(ベンチマークリターン!$C$2:$C$2001, ベンチマークリターン!$A$2:$A$2001, A1981, ベンチマークリターン!$B$2:$B$2001, Q1981) / 100, 0))</f>
        <v/>
      </c>
      <c r="T1981" t="str">
        <f>IF(A1981="","", SUMIFS($H$2:$H$2000, $A$2:$A$2000, A1981))</f>
        <v/>
      </c>
      <c r="U1981" t="str">
        <f t="shared" si="338"/>
        <v/>
      </c>
      <c r="V1981" t="str">
        <f t="shared" si="339"/>
        <v/>
      </c>
      <c r="W1981" t="str">
        <f t="shared" si="340"/>
        <v/>
      </c>
    </row>
    <row r="1982" spans="1:23" x14ac:dyDescent="0.2">
      <c r="A1982" s="4" t="str">
        <f>IF(ポートフォリオ実績!A1983="","", ポートフォリオ実績!A1983)</f>
        <v/>
      </c>
      <c r="B1982" t="str">
        <f>IF(ポートフォリオ実績!B1983="","", ポートフォリオ実績!B1983)</f>
        <v/>
      </c>
      <c r="C1982" s="10" t="str">
        <f>IF(ポートフォリオ実績!C1983="","", ポートフォリオ実績!C1983)</f>
        <v/>
      </c>
      <c r="D1982" s="10" t="str">
        <f>IF(ポートフォリオ実績!D1983="","", ポートフォリオ実績!D1983)</f>
        <v/>
      </c>
      <c r="E1982" s="10" t="str">
        <f>IF(ポートフォリオ実績!E1983="","", ポートフォリオ実績!E1983)</f>
        <v/>
      </c>
      <c r="F1982" s="10" t="str">
        <f>IF(ポートフォリオ実績!F1983="","", ポートフォリオ実績!F1983)</f>
        <v/>
      </c>
      <c r="G1982" t="str">
        <f t="shared" si="330"/>
        <v/>
      </c>
      <c r="H1982">
        <f>IF(B1982&lt;&gt;"", SUMIFS(ポートフォリオ実績!$D$2:$D$2001, ポートフォリオ実績!$B$2:$B$2001, B1982, ポートフォリオ実績!$A$2:$A$2001, G1982), 0)</f>
        <v>0</v>
      </c>
      <c r="I1982">
        <f>IF(B1982&lt;&gt;"", SUMIFS(ポートフォリオ実績!$C$2:$C$2001, ポートフォリオ実績!$B$2:$B$2001, B1982, ポートフォリオ実績!$A$2:$A$2001, G1982), 0)</f>
        <v>0</v>
      </c>
      <c r="J1982">
        <f t="shared" si="331"/>
        <v>0</v>
      </c>
      <c r="K1982">
        <f t="shared" si="332"/>
        <v>0</v>
      </c>
      <c r="L1982">
        <f t="shared" si="333"/>
        <v>0</v>
      </c>
      <c r="M1982">
        <f t="shared" si="334"/>
        <v>0</v>
      </c>
      <c r="N1982">
        <f t="shared" si="335"/>
        <v>0</v>
      </c>
      <c r="O1982">
        <f t="shared" si="336"/>
        <v>0</v>
      </c>
      <c r="P1982" t="str">
        <f t="shared" si="337"/>
        <v/>
      </c>
      <c r="Q1982" t="str">
        <f>IF(B1982="","", IFERROR(VLOOKUP(B1982, '基準資産配分（設定）'!$A$2:$C$2001, 3, FALSE), ""))</f>
        <v/>
      </c>
      <c r="R1982" t="str">
        <f>IF(B1982="","", IFERROR(VLOOKUP(B1982, '基準資産配分（設定）'!$A$2:$C$2001, 2, FALSE)/100, 0))</f>
        <v/>
      </c>
      <c r="S1982" t="str">
        <f>IF(B1982="","", IFERROR(SUMIFS(ベンチマークリターン!$C$2:$C$2001, ベンチマークリターン!$A$2:$A$2001, A1982, ベンチマークリターン!$B$2:$B$2001, Q1982) / 100, 0))</f>
        <v/>
      </c>
      <c r="T1982" t="str">
        <f>IF(A1982="","", SUMIFS($H$2:$H$2000, $A$2:$A$2000, A1982))</f>
        <v/>
      </c>
      <c r="U1982" t="str">
        <f t="shared" si="338"/>
        <v/>
      </c>
      <c r="V1982" t="str">
        <f t="shared" si="339"/>
        <v/>
      </c>
      <c r="W1982" t="str">
        <f t="shared" si="340"/>
        <v/>
      </c>
    </row>
    <row r="1983" spans="1:23" x14ac:dyDescent="0.2">
      <c r="A1983" s="4" t="str">
        <f>IF(ポートフォリオ実績!A1984="","", ポートフォリオ実績!A1984)</f>
        <v/>
      </c>
      <c r="B1983" t="str">
        <f>IF(ポートフォリオ実績!B1984="","", ポートフォリオ実績!B1984)</f>
        <v/>
      </c>
      <c r="C1983" s="10" t="str">
        <f>IF(ポートフォリオ実績!C1984="","", ポートフォリオ実績!C1984)</f>
        <v/>
      </c>
      <c r="D1983" s="10" t="str">
        <f>IF(ポートフォリオ実績!D1984="","", ポートフォリオ実績!D1984)</f>
        <v/>
      </c>
      <c r="E1983" s="10" t="str">
        <f>IF(ポートフォリオ実績!E1984="","", ポートフォリオ実績!E1984)</f>
        <v/>
      </c>
      <c r="F1983" s="10" t="str">
        <f>IF(ポートフォリオ実績!F1984="","", ポートフォリオ実績!F1984)</f>
        <v/>
      </c>
      <c r="G1983" t="str">
        <f t="shared" si="330"/>
        <v/>
      </c>
      <c r="H1983">
        <f>IF(B1983&lt;&gt;"", SUMIFS(ポートフォリオ実績!$D$2:$D$2001, ポートフォリオ実績!$B$2:$B$2001, B1983, ポートフォリオ実績!$A$2:$A$2001, G1983), 0)</f>
        <v>0</v>
      </c>
      <c r="I1983">
        <f>IF(B1983&lt;&gt;"", SUMIFS(ポートフォリオ実績!$C$2:$C$2001, ポートフォリオ実績!$B$2:$B$2001, B1983, ポートフォリオ実績!$A$2:$A$2001, G1983), 0)</f>
        <v>0</v>
      </c>
      <c r="J1983">
        <f t="shared" si="331"/>
        <v>0</v>
      </c>
      <c r="K1983">
        <f t="shared" si="332"/>
        <v>0</v>
      </c>
      <c r="L1983">
        <f t="shared" si="333"/>
        <v>0</v>
      </c>
      <c r="M1983">
        <f t="shared" si="334"/>
        <v>0</v>
      </c>
      <c r="N1983">
        <f t="shared" si="335"/>
        <v>0</v>
      </c>
      <c r="O1983">
        <f t="shared" si="336"/>
        <v>0</v>
      </c>
      <c r="P1983" t="str">
        <f t="shared" si="337"/>
        <v/>
      </c>
      <c r="Q1983" t="str">
        <f>IF(B1983="","", IFERROR(VLOOKUP(B1983, '基準資産配分（設定）'!$A$2:$C$2001, 3, FALSE), ""))</f>
        <v/>
      </c>
      <c r="R1983" t="str">
        <f>IF(B1983="","", IFERROR(VLOOKUP(B1983, '基準資産配分（設定）'!$A$2:$C$2001, 2, FALSE)/100, 0))</f>
        <v/>
      </c>
      <c r="S1983" t="str">
        <f>IF(B1983="","", IFERROR(SUMIFS(ベンチマークリターン!$C$2:$C$2001, ベンチマークリターン!$A$2:$A$2001, A1983, ベンチマークリターン!$B$2:$B$2001, Q1983) / 100, 0))</f>
        <v/>
      </c>
      <c r="T1983" t="str">
        <f>IF(A1983="","", SUMIFS($H$2:$H$2000, $A$2:$A$2000, A1983))</f>
        <v/>
      </c>
      <c r="U1983" t="str">
        <f t="shared" si="338"/>
        <v/>
      </c>
      <c r="V1983" t="str">
        <f t="shared" si="339"/>
        <v/>
      </c>
      <c r="W1983" t="str">
        <f t="shared" si="340"/>
        <v/>
      </c>
    </row>
    <row r="1984" spans="1:23" x14ac:dyDescent="0.2">
      <c r="A1984" s="4" t="str">
        <f>IF(ポートフォリオ実績!A1985="","", ポートフォリオ実績!A1985)</f>
        <v/>
      </c>
      <c r="B1984" t="str">
        <f>IF(ポートフォリオ実績!B1985="","", ポートフォリオ実績!B1985)</f>
        <v/>
      </c>
      <c r="C1984" s="10" t="str">
        <f>IF(ポートフォリオ実績!C1985="","", ポートフォリオ実績!C1985)</f>
        <v/>
      </c>
      <c r="D1984" s="10" t="str">
        <f>IF(ポートフォリオ実績!D1985="","", ポートフォリオ実績!D1985)</f>
        <v/>
      </c>
      <c r="E1984" s="10" t="str">
        <f>IF(ポートフォリオ実績!E1985="","", ポートフォリオ実績!E1985)</f>
        <v/>
      </c>
      <c r="F1984" s="10" t="str">
        <f>IF(ポートフォリオ実績!F1985="","", ポートフォリオ実績!F1985)</f>
        <v/>
      </c>
      <c r="G1984" t="str">
        <f t="shared" si="330"/>
        <v/>
      </c>
      <c r="H1984">
        <f>IF(B1984&lt;&gt;"", SUMIFS(ポートフォリオ実績!$D$2:$D$2001, ポートフォリオ実績!$B$2:$B$2001, B1984, ポートフォリオ実績!$A$2:$A$2001, G1984), 0)</f>
        <v>0</v>
      </c>
      <c r="I1984">
        <f>IF(B1984&lt;&gt;"", SUMIFS(ポートフォリオ実績!$C$2:$C$2001, ポートフォリオ実績!$B$2:$B$2001, B1984, ポートフォリオ実績!$A$2:$A$2001, G1984), 0)</f>
        <v>0</v>
      </c>
      <c r="J1984">
        <f t="shared" si="331"/>
        <v>0</v>
      </c>
      <c r="K1984">
        <f t="shared" si="332"/>
        <v>0</v>
      </c>
      <c r="L1984">
        <f t="shared" si="333"/>
        <v>0</v>
      </c>
      <c r="M1984">
        <f t="shared" si="334"/>
        <v>0</v>
      </c>
      <c r="N1984">
        <f t="shared" si="335"/>
        <v>0</v>
      </c>
      <c r="O1984">
        <f t="shared" si="336"/>
        <v>0</v>
      </c>
      <c r="P1984" t="str">
        <f t="shared" si="337"/>
        <v/>
      </c>
      <c r="Q1984" t="str">
        <f>IF(B1984="","", IFERROR(VLOOKUP(B1984, '基準資産配分（設定）'!$A$2:$C$2001, 3, FALSE), ""))</f>
        <v/>
      </c>
      <c r="R1984" t="str">
        <f>IF(B1984="","", IFERROR(VLOOKUP(B1984, '基準資産配分（設定）'!$A$2:$C$2001, 2, FALSE)/100, 0))</f>
        <v/>
      </c>
      <c r="S1984" t="str">
        <f>IF(B1984="","", IFERROR(SUMIFS(ベンチマークリターン!$C$2:$C$2001, ベンチマークリターン!$A$2:$A$2001, A1984, ベンチマークリターン!$B$2:$B$2001, Q1984) / 100, 0))</f>
        <v/>
      </c>
      <c r="T1984" t="str">
        <f>IF(A1984="","", SUMIFS($H$2:$H$2000, $A$2:$A$2000, A1984))</f>
        <v/>
      </c>
      <c r="U1984" t="str">
        <f t="shared" si="338"/>
        <v/>
      </c>
      <c r="V1984" t="str">
        <f t="shared" si="339"/>
        <v/>
      </c>
      <c r="W1984" t="str">
        <f t="shared" si="340"/>
        <v/>
      </c>
    </row>
    <row r="1985" spans="1:23" x14ac:dyDescent="0.2">
      <c r="A1985" s="4" t="str">
        <f>IF(ポートフォリオ実績!A1986="","", ポートフォリオ実績!A1986)</f>
        <v/>
      </c>
      <c r="B1985" t="str">
        <f>IF(ポートフォリオ実績!B1986="","", ポートフォリオ実績!B1986)</f>
        <v/>
      </c>
      <c r="C1985" s="10" t="str">
        <f>IF(ポートフォリオ実績!C1986="","", ポートフォリオ実績!C1986)</f>
        <v/>
      </c>
      <c r="D1985" s="10" t="str">
        <f>IF(ポートフォリオ実績!D1986="","", ポートフォリオ実績!D1986)</f>
        <v/>
      </c>
      <c r="E1985" s="10" t="str">
        <f>IF(ポートフォリオ実績!E1986="","", ポートフォリオ実績!E1986)</f>
        <v/>
      </c>
      <c r="F1985" s="10" t="str">
        <f>IF(ポートフォリオ実績!F1986="","", ポートフォリオ実績!F1986)</f>
        <v/>
      </c>
      <c r="G1985" t="str">
        <f t="shared" ref="G1985:G2000" si="341">IF(A1985&lt;&gt;"", EOMONTH(A1985, -1), "")</f>
        <v/>
      </c>
      <c r="H1985">
        <f>IF(B1985&lt;&gt;"", SUMIFS(ポートフォリオ実績!$D$2:$D$2001, ポートフォリオ実績!$B$2:$B$2001, B1985, ポートフォリオ実績!$A$2:$A$2001, G1985), 0)</f>
        <v>0</v>
      </c>
      <c r="I1985">
        <f>IF(B1985&lt;&gt;"", SUMIFS(ポートフォリオ実績!$C$2:$C$2001, ポートフォリオ実績!$B$2:$B$2001, B1985, ポートフォリオ実績!$A$2:$A$2001, G1985), 0)</f>
        <v>0</v>
      </c>
      <c r="J1985">
        <f t="shared" ref="J1985:J2000" si="342">IF(A1985&lt;&gt;"", D1985-C1985, 0)</f>
        <v>0</v>
      </c>
      <c r="K1985">
        <f t="shared" ref="K1985:K2000" si="343">IF(A1985&lt;&gt;"", H1985-I1985, 0)</f>
        <v>0</v>
      </c>
      <c r="L1985">
        <f t="shared" ref="L1985:L2048" si="344">IF(H1985=0, 0, J1985-K1985)</f>
        <v>0</v>
      </c>
      <c r="M1985">
        <f t="shared" ref="M1985:M2048" si="345">IF(A1985&lt;&gt;"", E1985+F1985+L1985, 0)</f>
        <v>0</v>
      </c>
      <c r="N1985">
        <f t="shared" ref="N1985:N2048" si="346">IF(H1985=0, 0, (D1985-H1985)-M1985)</f>
        <v>0</v>
      </c>
      <c r="O1985">
        <f t="shared" ref="O1985:O2048" si="347">IF(A1985&lt;&gt;"", H1985+N1985*0.5, 0)</f>
        <v>0</v>
      </c>
      <c r="P1985" t="str">
        <f t="shared" ref="P1985:P2048" si="348">IF(A1985="","", IF(O1985&gt;0.000001, M1985/O1985, IF(ABS(M1985)&lt;0.000001, 0, 0)))</f>
        <v/>
      </c>
      <c r="Q1985" t="str">
        <f>IF(B1985="","", IFERROR(VLOOKUP(B1985, '基準資産配分（設定）'!$A$2:$C$2001, 3, FALSE), ""))</f>
        <v/>
      </c>
      <c r="R1985" t="str">
        <f>IF(B1985="","", IFERROR(VLOOKUP(B1985, '基準資産配分（設定）'!$A$2:$C$2001, 2, FALSE)/100, 0))</f>
        <v/>
      </c>
      <c r="S1985" t="str">
        <f>IF(B1985="","", IFERROR(SUMIFS(ベンチマークリターン!$C$2:$C$2001, ベンチマークリターン!$A$2:$A$2001, A1985, ベンチマークリターン!$B$2:$B$2001, Q1985) / 100, 0))</f>
        <v/>
      </c>
      <c r="T1985" t="str">
        <f>IF(A1985="","", SUMIFS($H$2:$H$2000, $A$2:$A$2000, A1985))</f>
        <v/>
      </c>
      <c r="U1985" t="str">
        <f t="shared" ref="U1985:U2048" si="349">IF(A1985="","", IFERROR(H1985/T1985, 0))</f>
        <v/>
      </c>
      <c r="V1985" t="str">
        <f t="shared" ref="V1985:V2048" si="350">IF(A1985="","", U1985*P1985)</f>
        <v/>
      </c>
      <c r="W1985" t="str">
        <f t="shared" ref="W1985:W2000" si="351">IF(A1985="","", R1985*S1985)</f>
        <v/>
      </c>
    </row>
    <row r="1986" spans="1:23" x14ac:dyDescent="0.2">
      <c r="A1986" s="4" t="str">
        <f>IF(ポートフォリオ実績!A1987="","", ポートフォリオ実績!A1987)</f>
        <v/>
      </c>
      <c r="B1986" t="str">
        <f>IF(ポートフォリオ実績!B1987="","", ポートフォリオ実績!B1987)</f>
        <v/>
      </c>
      <c r="C1986" s="10" t="str">
        <f>IF(ポートフォリオ実績!C1987="","", ポートフォリオ実績!C1987)</f>
        <v/>
      </c>
      <c r="D1986" s="10" t="str">
        <f>IF(ポートフォリオ実績!D1987="","", ポートフォリオ実績!D1987)</f>
        <v/>
      </c>
      <c r="E1986" s="10" t="str">
        <f>IF(ポートフォリオ実績!E1987="","", ポートフォリオ実績!E1987)</f>
        <v/>
      </c>
      <c r="F1986" s="10" t="str">
        <f>IF(ポートフォリオ実績!F1987="","", ポートフォリオ実績!F1987)</f>
        <v/>
      </c>
      <c r="G1986" t="str">
        <f t="shared" si="341"/>
        <v/>
      </c>
      <c r="H1986">
        <f>IF(B1986&lt;&gt;"", SUMIFS(ポートフォリオ実績!$D$2:$D$2001, ポートフォリオ実績!$B$2:$B$2001, B1986, ポートフォリオ実績!$A$2:$A$2001, G1986), 0)</f>
        <v>0</v>
      </c>
      <c r="I1986">
        <f>IF(B1986&lt;&gt;"", SUMIFS(ポートフォリオ実績!$C$2:$C$2001, ポートフォリオ実績!$B$2:$B$2001, B1986, ポートフォリオ実績!$A$2:$A$2001, G1986), 0)</f>
        <v>0</v>
      </c>
      <c r="J1986">
        <f t="shared" si="342"/>
        <v>0</v>
      </c>
      <c r="K1986">
        <f t="shared" si="343"/>
        <v>0</v>
      </c>
      <c r="L1986">
        <f t="shared" si="344"/>
        <v>0</v>
      </c>
      <c r="M1986">
        <f t="shared" si="345"/>
        <v>0</v>
      </c>
      <c r="N1986">
        <f t="shared" si="346"/>
        <v>0</v>
      </c>
      <c r="O1986">
        <f t="shared" si="347"/>
        <v>0</v>
      </c>
      <c r="P1986" t="str">
        <f t="shared" si="348"/>
        <v/>
      </c>
      <c r="Q1986" t="str">
        <f>IF(B1986="","", IFERROR(VLOOKUP(B1986, '基準資産配分（設定）'!$A$2:$C$2001, 3, FALSE), ""))</f>
        <v/>
      </c>
      <c r="R1986" t="str">
        <f>IF(B1986="","", IFERROR(VLOOKUP(B1986, '基準資産配分（設定）'!$A$2:$C$2001, 2, FALSE)/100, 0))</f>
        <v/>
      </c>
      <c r="S1986" t="str">
        <f>IF(B1986="","", IFERROR(SUMIFS(ベンチマークリターン!$C$2:$C$2001, ベンチマークリターン!$A$2:$A$2001, A1986, ベンチマークリターン!$B$2:$B$2001, Q1986) / 100, 0))</f>
        <v/>
      </c>
      <c r="T1986" t="str">
        <f>IF(A1986="","", SUMIFS($H$2:$H$2000, $A$2:$A$2000, A1986))</f>
        <v/>
      </c>
      <c r="U1986" t="str">
        <f t="shared" si="349"/>
        <v/>
      </c>
      <c r="V1986" t="str">
        <f t="shared" si="350"/>
        <v/>
      </c>
      <c r="W1986" t="str">
        <f t="shared" si="351"/>
        <v/>
      </c>
    </row>
    <row r="1987" spans="1:23" x14ac:dyDescent="0.2">
      <c r="A1987" s="4" t="str">
        <f>IF(ポートフォリオ実績!A1988="","", ポートフォリオ実績!A1988)</f>
        <v/>
      </c>
      <c r="B1987" t="str">
        <f>IF(ポートフォリオ実績!B1988="","", ポートフォリオ実績!B1988)</f>
        <v/>
      </c>
      <c r="C1987" s="10" t="str">
        <f>IF(ポートフォリオ実績!C1988="","", ポートフォリオ実績!C1988)</f>
        <v/>
      </c>
      <c r="D1987" s="10" t="str">
        <f>IF(ポートフォリオ実績!D1988="","", ポートフォリオ実績!D1988)</f>
        <v/>
      </c>
      <c r="E1987" s="10" t="str">
        <f>IF(ポートフォリオ実績!E1988="","", ポートフォリオ実績!E1988)</f>
        <v/>
      </c>
      <c r="F1987" s="10" t="str">
        <f>IF(ポートフォリオ実績!F1988="","", ポートフォリオ実績!F1988)</f>
        <v/>
      </c>
      <c r="G1987" t="str">
        <f t="shared" si="341"/>
        <v/>
      </c>
      <c r="H1987">
        <f>IF(B1987&lt;&gt;"", SUMIFS(ポートフォリオ実績!$D$2:$D$2001, ポートフォリオ実績!$B$2:$B$2001, B1987, ポートフォリオ実績!$A$2:$A$2001, G1987), 0)</f>
        <v>0</v>
      </c>
      <c r="I1987">
        <f>IF(B1987&lt;&gt;"", SUMIFS(ポートフォリオ実績!$C$2:$C$2001, ポートフォリオ実績!$B$2:$B$2001, B1987, ポートフォリオ実績!$A$2:$A$2001, G1987), 0)</f>
        <v>0</v>
      </c>
      <c r="J1987">
        <f t="shared" si="342"/>
        <v>0</v>
      </c>
      <c r="K1987">
        <f t="shared" si="343"/>
        <v>0</v>
      </c>
      <c r="L1987">
        <f t="shared" si="344"/>
        <v>0</v>
      </c>
      <c r="M1987">
        <f t="shared" si="345"/>
        <v>0</v>
      </c>
      <c r="N1987">
        <f t="shared" si="346"/>
        <v>0</v>
      </c>
      <c r="O1987">
        <f t="shared" si="347"/>
        <v>0</v>
      </c>
      <c r="P1987" t="str">
        <f t="shared" si="348"/>
        <v/>
      </c>
      <c r="Q1987" t="str">
        <f>IF(B1987="","", IFERROR(VLOOKUP(B1987, '基準資産配分（設定）'!$A$2:$C$2001, 3, FALSE), ""))</f>
        <v/>
      </c>
      <c r="R1987" t="str">
        <f>IF(B1987="","", IFERROR(VLOOKUP(B1987, '基準資産配分（設定）'!$A$2:$C$2001, 2, FALSE)/100, 0))</f>
        <v/>
      </c>
      <c r="S1987" t="str">
        <f>IF(B1987="","", IFERROR(SUMIFS(ベンチマークリターン!$C$2:$C$2001, ベンチマークリターン!$A$2:$A$2001, A1987, ベンチマークリターン!$B$2:$B$2001, Q1987) / 100, 0))</f>
        <v/>
      </c>
      <c r="T1987" t="str">
        <f>IF(A1987="","", SUMIFS($H$2:$H$2000, $A$2:$A$2000, A1987))</f>
        <v/>
      </c>
      <c r="U1987" t="str">
        <f t="shared" si="349"/>
        <v/>
      </c>
      <c r="V1987" t="str">
        <f t="shared" si="350"/>
        <v/>
      </c>
      <c r="W1987" t="str">
        <f t="shared" si="351"/>
        <v/>
      </c>
    </row>
    <row r="1988" spans="1:23" x14ac:dyDescent="0.2">
      <c r="A1988" s="4" t="str">
        <f>IF(ポートフォリオ実績!A1989="","", ポートフォリオ実績!A1989)</f>
        <v/>
      </c>
      <c r="B1988" t="str">
        <f>IF(ポートフォリオ実績!B1989="","", ポートフォリオ実績!B1989)</f>
        <v/>
      </c>
      <c r="C1988" s="10" t="str">
        <f>IF(ポートフォリオ実績!C1989="","", ポートフォリオ実績!C1989)</f>
        <v/>
      </c>
      <c r="D1988" s="10" t="str">
        <f>IF(ポートフォリオ実績!D1989="","", ポートフォリオ実績!D1989)</f>
        <v/>
      </c>
      <c r="E1988" s="10" t="str">
        <f>IF(ポートフォリオ実績!E1989="","", ポートフォリオ実績!E1989)</f>
        <v/>
      </c>
      <c r="F1988" s="10" t="str">
        <f>IF(ポートフォリオ実績!F1989="","", ポートフォリオ実績!F1989)</f>
        <v/>
      </c>
      <c r="G1988" t="str">
        <f t="shared" si="341"/>
        <v/>
      </c>
      <c r="H1988">
        <f>IF(B1988&lt;&gt;"", SUMIFS(ポートフォリオ実績!$D$2:$D$2001, ポートフォリオ実績!$B$2:$B$2001, B1988, ポートフォリオ実績!$A$2:$A$2001, G1988), 0)</f>
        <v>0</v>
      </c>
      <c r="I1988">
        <f>IF(B1988&lt;&gt;"", SUMIFS(ポートフォリオ実績!$C$2:$C$2001, ポートフォリオ実績!$B$2:$B$2001, B1988, ポートフォリオ実績!$A$2:$A$2001, G1988), 0)</f>
        <v>0</v>
      </c>
      <c r="J1988">
        <f t="shared" si="342"/>
        <v>0</v>
      </c>
      <c r="K1988">
        <f t="shared" si="343"/>
        <v>0</v>
      </c>
      <c r="L1988">
        <f t="shared" si="344"/>
        <v>0</v>
      </c>
      <c r="M1988">
        <f t="shared" si="345"/>
        <v>0</v>
      </c>
      <c r="N1988">
        <f t="shared" si="346"/>
        <v>0</v>
      </c>
      <c r="O1988">
        <f t="shared" si="347"/>
        <v>0</v>
      </c>
      <c r="P1988" t="str">
        <f t="shared" si="348"/>
        <v/>
      </c>
      <c r="Q1988" t="str">
        <f>IF(B1988="","", IFERROR(VLOOKUP(B1988, '基準資産配分（設定）'!$A$2:$C$2001, 3, FALSE), ""))</f>
        <v/>
      </c>
      <c r="R1988" t="str">
        <f>IF(B1988="","", IFERROR(VLOOKUP(B1988, '基準資産配分（設定）'!$A$2:$C$2001, 2, FALSE)/100, 0))</f>
        <v/>
      </c>
      <c r="S1988" t="str">
        <f>IF(B1988="","", IFERROR(SUMIFS(ベンチマークリターン!$C$2:$C$2001, ベンチマークリターン!$A$2:$A$2001, A1988, ベンチマークリターン!$B$2:$B$2001, Q1988) / 100, 0))</f>
        <v/>
      </c>
      <c r="T1988" t="str">
        <f>IF(A1988="","", SUMIFS($H$2:$H$2000, $A$2:$A$2000, A1988))</f>
        <v/>
      </c>
      <c r="U1988" t="str">
        <f t="shared" si="349"/>
        <v/>
      </c>
      <c r="V1988" t="str">
        <f t="shared" si="350"/>
        <v/>
      </c>
      <c r="W1988" t="str">
        <f t="shared" si="351"/>
        <v/>
      </c>
    </row>
    <row r="1989" spans="1:23" x14ac:dyDescent="0.2">
      <c r="A1989" s="4" t="str">
        <f>IF(ポートフォリオ実績!A1990="","", ポートフォリオ実績!A1990)</f>
        <v/>
      </c>
      <c r="B1989" t="str">
        <f>IF(ポートフォリオ実績!B1990="","", ポートフォリオ実績!B1990)</f>
        <v/>
      </c>
      <c r="C1989" s="10" t="str">
        <f>IF(ポートフォリオ実績!C1990="","", ポートフォリオ実績!C1990)</f>
        <v/>
      </c>
      <c r="D1989" s="10" t="str">
        <f>IF(ポートフォリオ実績!D1990="","", ポートフォリオ実績!D1990)</f>
        <v/>
      </c>
      <c r="E1989" s="10" t="str">
        <f>IF(ポートフォリオ実績!E1990="","", ポートフォリオ実績!E1990)</f>
        <v/>
      </c>
      <c r="F1989" s="10" t="str">
        <f>IF(ポートフォリオ実績!F1990="","", ポートフォリオ実績!F1990)</f>
        <v/>
      </c>
      <c r="G1989" t="str">
        <f t="shared" si="341"/>
        <v/>
      </c>
      <c r="H1989">
        <f>IF(B1989&lt;&gt;"", SUMIFS(ポートフォリオ実績!$D$2:$D$2001, ポートフォリオ実績!$B$2:$B$2001, B1989, ポートフォリオ実績!$A$2:$A$2001, G1989), 0)</f>
        <v>0</v>
      </c>
      <c r="I1989">
        <f>IF(B1989&lt;&gt;"", SUMIFS(ポートフォリオ実績!$C$2:$C$2001, ポートフォリオ実績!$B$2:$B$2001, B1989, ポートフォリオ実績!$A$2:$A$2001, G1989), 0)</f>
        <v>0</v>
      </c>
      <c r="J1989">
        <f t="shared" si="342"/>
        <v>0</v>
      </c>
      <c r="K1989">
        <f t="shared" si="343"/>
        <v>0</v>
      </c>
      <c r="L1989">
        <f t="shared" si="344"/>
        <v>0</v>
      </c>
      <c r="M1989">
        <f t="shared" si="345"/>
        <v>0</v>
      </c>
      <c r="N1989">
        <f t="shared" si="346"/>
        <v>0</v>
      </c>
      <c r="O1989">
        <f t="shared" si="347"/>
        <v>0</v>
      </c>
      <c r="P1989" t="str">
        <f t="shared" si="348"/>
        <v/>
      </c>
      <c r="Q1989" t="str">
        <f>IF(B1989="","", IFERROR(VLOOKUP(B1989, '基準資産配分（設定）'!$A$2:$C$2001, 3, FALSE), ""))</f>
        <v/>
      </c>
      <c r="R1989" t="str">
        <f>IF(B1989="","", IFERROR(VLOOKUP(B1989, '基準資産配分（設定）'!$A$2:$C$2001, 2, FALSE)/100, 0))</f>
        <v/>
      </c>
      <c r="S1989" t="str">
        <f>IF(B1989="","", IFERROR(SUMIFS(ベンチマークリターン!$C$2:$C$2001, ベンチマークリターン!$A$2:$A$2001, A1989, ベンチマークリターン!$B$2:$B$2001, Q1989) / 100, 0))</f>
        <v/>
      </c>
      <c r="T1989" t="str">
        <f>IF(A1989="","", SUMIFS($H$2:$H$2000, $A$2:$A$2000, A1989))</f>
        <v/>
      </c>
      <c r="U1989" t="str">
        <f t="shared" si="349"/>
        <v/>
      </c>
      <c r="V1989" t="str">
        <f t="shared" si="350"/>
        <v/>
      </c>
      <c r="W1989" t="str">
        <f t="shared" si="351"/>
        <v/>
      </c>
    </row>
    <row r="1990" spans="1:23" x14ac:dyDescent="0.2">
      <c r="A1990" s="4" t="str">
        <f>IF(ポートフォリオ実績!A1991="","", ポートフォリオ実績!A1991)</f>
        <v/>
      </c>
      <c r="B1990" t="str">
        <f>IF(ポートフォリオ実績!B1991="","", ポートフォリオ実績!B1991)</f>
        <v/>
      </c>
      <c r="C1990" s="10" t="str">
        <f>IF(ポートフォリオ実績!C1991="","", ポートフォリオ実績!C1991)</f>
        <v/>
      </c>
      <c r="D1990" s="10" t="str">
        <f>IF(ポートフォリオ実績!D1991="","", ポートフォリオ実績!D1991)</f>
        <v/>
      </c>
      <c r="E1990" s="10" t="str">
        <f>IF(ポートフォリオ実績!E1991="","", ポートフォリオ実績!E1991)</f>
        <v/>
      </c>
      <c r="F1990" s="10" t="str">
        <f>IF(ポートフォリオ実績!F1991="","", ポートフォリオ実績!F1991)</f>
        <v/>
      </c>
      <c r="G1990" t="str">
        <f t="shared" si="341"/>
        <v/>
      </c>
      <c r="H1990">
        <f>IF(B1990&lt;&gt;"", SUMIFS(ポートフォリオ実績!$D$2:$D$2001, ポートフォリオ実績!$B$2:$B$2001, B1990, ポートフォリオ実績!$A$2:$A$2001, G1990), 0)</f>
        <v>0</v>
      </c>
      <c r="I1990">
        <f>IF(B1990&lt;&gt;"", SUMIFS(ポートフォリオ実績!$C$2:$C$2001, ポートフォリオ実績!$B$2:$B$2001, B1990, ポートフォリオ実績!$A$2:$A$2001, G1990), 0)</f>
        <v>0</v>
      </c>
      <c r="J1990">
        <f t="shared" si="342"/>
        <v>0</v>
      </c>
      <c r="K1990">
        <f t="shared" si="343"/>
        <v>0</v>
      </c>
      <c r="L1990">
        <f t="shared" si="344"/>
        <v>0</v>
      </c>
      <c r="M1990">
        <f t="shared" si="345"/>
        <v>0</v>
      </c>
      <c r="N1990">
        <f t="shared" si="346"/>
        <v>0</v>
      </c>
      <c r="O1990">
        <f t="shared" si="347"/>
        <v>0</v>
      </c>
      <c r="P1990" t="str">
        <f t="shared" si="348"/>
        <v/>
      </c>
      <c r="Q1990" t="str">
        <f>IF(B1990="","", IFERROR(VLOOKUP(B1990, '基準資産配分（設定）'!$A$2:$C$2001, 3, FALSE), ""))</f>
        <v/>
      </c>
      <c r="R1990" t="str">
        <f>IF(B1990="","", IFERROR(VLOOKUP(B1990, '基準資産配分（設定）'!$A$2:$C$2001, 2, FALSE)/100, 0))</f>
        <v/>
      </c>
      <c r="S1990" t="str">
        <f>IF(B1990="","", IFERROR(SUMIFS(ベンチマークリターン!$C$2:$C$2001, ベンチマークリターン!$A$2:$A$2001, A1990, ベンチマークリターン!$B$2:$B$2001, Q1990) / 100, 0))</f>
        <v/>
      </c>
      <c r="T1990" t="str">
        <f>IF(A1990="","", SUMIFS($H$2:$H$2000, $A$2:$A$2000, A1990))</f>
        <v/>
      </c>
      <c r="U1990" t="str">
        <f t="shared" si="349"/>
        <v/>
      </c>
      <c r="V1990" t="str">
        <f t="shared" si="350"/>
        <v/>
      </c>
      <c r="W1990" t="str">
        <f t="shared" si="351"/>
        <v/>
      </c>
    </row>
    <row r="1991" spans="1:23" x14ac:dyDescent="0.2">
      <c r="A1991" s="4" t="str">
        <f>IF(ポートフォリオ実績!A1992="","", ポートフォリオ実績!A1992)</f>
        <v/>
      </c>
      <c r="B1991" t="str">
        <f>IF(ポートフォリオ実績!B1992="","", ポートフォリオ実績!B1992)</f>
        <v/>
      </c>
      <c r="C1991" s="10" t="str">
        <f>IF(ポートフォリオ実績!C1992="","", ポートフォリオ実績!C1992)</f>
        <v/>
      </c>
      <c r="D1991" s="10" t="str">
        <f>IF(ポートフォリオ実績!D1992="","", ポートフォリオ実績!D1992)</f>
        <v/>
      </c>
      <c r="E1991" s="10" t="str">
        <f>IF(ポートフォリオ実績!E1992="","", ポートフォリオ実績!E1992)</f>
        <v/>
      </c>
      <c r="F1991" s="10" t="str">
        <f>IF(ポートフォリオ実績!F1992="","", ポートフォリオ実績!F1992)</f>
        <v/>
      </c>
      <c r="G1991" t="str">
        <f t="shared" si="341"/>
        <v/>
      </c>
      <c r="H1991">
        <f>IF(B1991&lt;&gt;"", SUMIFS(ポートフォリオ実績!$D$2:$D$2001, ポートフォリオ実績!$B$2:$B$2001, B1991, ポートフォリオ実績!$A$2:$A$2001, G1991), 0)</f>
        <v>0</v>
      </c>
      <c r="I1991">
        <f>IF(B1991&lt;&gt;"", SUMIFS(ポートフォリオ実績!$C$2:$C$2001, ポートフォリオ実績!$B$2:$B$2001, B1991, ポートフォリオ実績!$A$2:$A$2001, G1991), 0)</f>
        <v>0</v>
      </c>
      <c r="J1991">
        <f t="shared" si="342"/>
        <v>0</v>
      </c>
      <c r="K1991">
        <f t="shared" si="343"/>
        <v>0</v>
      </c>
      <c r="L1991">
        <f t="shared" si="344"/>
        <v>0</v>
      </c>
      <c r="M1991">
        <f t="shared" si="345"/>
        <v>0</v>
      </c>
      <c r="N1991">
        <f t="shared" si="346"/>
        <v>0</v>
      </c>
      <c r="O1991">
        <f t="shared" si="347"/>
        <v>0</v>
      </c>
      <c r="P1991" t="str">
        <f t="shared" si="348"/>
        <v/>
      </c>
      <c r="Q1991" t="str">
        <f>IF(B1991="","", IFERROR(VLOOKUP(B1991, '基準資産配分（設定）'!$A$2:$C$2001, 3, FALSE), ""))</f>
        <v/>
      </c>
      <c r="R1991" t="str">
        <f>IF(B1991="","", IFERROR(VLOOKUP(B1991, '基準資産配分（設定）'!$A$2:$C$2001, 2, FALSE)/100, 0))</f>
        <v/>
      </c>
      <c r="S1991" t="str">
        <f>IF(B1991="","", IFERROR(SUMIFS(ベンチマークリターン!$C$2:$C$2001, ベンチマークリターン!$A$2:$A$2001, A1991, ベンチマークリターン!$B$2:$B$2001, Q1991) / 100, 0))</f>
        <v/>
      </c>
      <c r="T1991" t="str">
        <f>IF(A1991="","", SUMIFS($H$2:$H$2000, $A$2:$A$2000, A1991))</f>
        <v/>
      </c>
      <c r="U1991" t="str">
        <f t="shared" si="349"/>
        <v/>
      </c>
      <c r="V1991" t="str">
        <f t="shared" si="350"/>
        <v/>
      </c>
      <c r="W1991" t="str">
        <f t="shared" si="351"/>
        <v/>
      </c>
    </row>
    <row r="1992" spans="1:23" x14ac:dyDescent="0.2">
      <c r="A1992" s="4" t="str">
        <f>IF(ポートフォリオ実績!A1993="","", ポートフォリオ実績!A1993)</f>
        <v/>
      </c>
      <c r="B1992" t="str">
        <f>IF(ポートフォリオ実績!B1993="","", ポートフォリオ実績!B1993)</f>
        <v/>
      </c>
      <c r="C1992" s="10" t="str">
        <f>IF(ポートフォリオ実績!C1993="","", ポートフォリオ実績!C1993)</f>
        <v/>
      </c>
      <c r="D1992" s="10" t="str">
        <f>IF(ポートフォリオ実績!D1993="","", ポートフォリオ実績!D1993)</f>
        <v/>
      </c>
      <c r="E1992" s="10" t="str">
        <f>IF(ポートフォリオ実績!E1993="","", ポートフォリオ実績!E1993)</f>
        <v/>
      </c>
      <c r="F1992" s="10" t="str">
        <f>IF(ポートフォリオ実績!F1993="","", ポートフォリオ実績!F1993)</f>
        <v/>
      </c>
      <c r="G1992" t="str">
        <f t="shared" si="341"/>
        <v/>
      </c>
      <c r="H1992">
        <f>IF(B1992&lt;&gt;"", SUMIFS(ポートフォリオ実績!$D$2:$D$2001, ポートフォリオ実績!$B$2:$B$2001, B1992, ポートフォリオ実績!$A$2:$A$2001, G1992), 0)</f>
        <v>0</v>
      </c>
      <c r="I1992">
        <f>IF(B1992&lt;&gt;"", SUMIFS(ポートフォリオ実績!$C$2:$C$2001, ポートフォリオ実績!$B$2:$B$2001, B1992, ポートフォリオ実績!$A$2:$A$2001, G1992), 0)</f>
        <v>0</v>
      </c>
      <c r="J1992">
        <f t="shared" si="342"/>
        <v>0</v>
      </c>
      <c r="K1992">
        <f t="shared" si="343"/>
        <v>0</v>
      </c>
      <c r="L1992">
        <f t="shared" si="344"/>
        <v>0</v>
      </c>
      <c r="M1992">
        <f t="shared" si="345"/>
        <v>0</v>
      </c>
      <c r="N1992">
        <f t="shared" si="346"/>
        <v>0</v>
      </c>
      <c r="O1992">
        <f t="shared" si="347"/>
        <v>0</v>
      </c>
      <c r="P1992" t="str">
        <f t="shared" si="348"/>
        <v/>
      </c>
      <c r="Q1992" t="str">
        <f>IF(B1992="","", IFERROR(VLOOKUP(B1992, '基準資産配分（設定）'!$A$2:$C$2001, 3, FALSE), ""))</f>
        <v/>
      </c>
      <c r="R1992" t="str">
        <f>IF(B1992="","", IFERROR(VLOOKUP(B1992, '基準資産配分（設定）'!$A$2:$C$2001, 2, FALSE)/100, 0))</f>
        <v/>
      </c>
      <c r="S1992" t="str">
        <f>IF(B1992="","", IFERROR(SUMIFS(ベンチマークリターン!$C$2:$C$2001, ベンチマークリターン!$A$2:$A$2001, A1992, ベンチマークリターン!$B$2:$B$2001, Q1992) / 100, 0))</f>
        <v/>
      </c>
      <c r="T1992" t="str">
        <f>IF(A1992="","", SUMIFS($H$2:$H$2000, $A$2:$A$2000, A1992))</f>
        <v/>
      </c>
      <c r="U1992" t="str">
        <f t="shared" si="349"/>
        <v/>
      </c>
      <c r="V1992" t="str">
        <f t="shared" si="350"/>
        <v/>
      </c>
      <c r="W1992" t="str">
        <f t="shared" si="351"/>
        <v/>
      </c>
    </row>
    <row r="1993" spans="1:23" x14ac:dyDescent="0.2">
      <c r="A1993" s="4" t="str">
        <f>IF(ポートフォリオ実績!A1994="","", ポートフォリオ実績!A1994)</f>
        <v/>
      </c>
      <c r="B1993" t="str">
        <f>IF(ポートフォリオ実績!B1994="","", ポートフォリオ実績!B1994)</f>
        <v/>
      </c>
      <c r="C1993" s="10" t="str">
        <f>IF(ポートフォリオ実績!C1994="","", ポートフォリオ実績!C1994)</f>
        <v/>
      </c>
      <c r="D1993" s="10" t="str">
        <f>IF(ポートフォリオ実績!D1994="","", ポートフォリオ実績!D1994)</f>
        <v/>
      </c>
      <c r="E1993" s="10" t="str">
        <f>IF(ポートフォリオ実績!E1994="","", ポートフォリオ実績!E1994)</f>
        <v/>
      </c>
      <c r="F1993" s="10" t="str">
        <f>IF(ポートフォリオ実績!F1994="","", ポートフォリオ実績!F1994)</f>
        <v/>
      </c>
      <c r="G1993" t="str">
        <f t="shared" si="341"/>
        <v/>
      </c>
      <c r="H1993">
        <f>IF(B1993&lt;&gt;"", SUMIFS(ポートフォリオ実績!$D$2:$D$2001, ポートフォリオ実績!$B$2:$B$2001, B1993, ポートフォリオ実績!$A$2:$A$2001, G1993), 0)</f>
        <v>0</v>
      </c>
      <c r="I1993">
        <f>IF(B1993&lt;&gt;"", SUMIFS(ポートフォリオ実績!$C$2:$C$2001, ポートフォリオ実績!$B$2:$B$2001, B1993, ポートフォリオ実績!$A$2:$A$2001, G1993), 0)</f>
        <v>0</v>
      </c>
      <c r="J1993">
        <f t="shared" si="342"/>
        <v>0</v>
      </c>
      <c r="K1993">
        <f t="shared" si="343"/>
        <v>0</v>
      </c>
      <c r="L1993">
        <f t="shared" si="344"/>
        <v>0</v>
      </c>
      <c r="M1993">
        <f t="shared" si="345"/>
        <v>0</v>
      </c>
      <c r="N1993">
        <f t="shared" si="346"/>
        <v>0</v>
      </c>
      <c r="O1993">
        <f t="shared" si="347"/>
        <v>0</v>
      </c>
      <c r="P1993" t="str">
        <f t="shared" si="348"/>
        <v/>
      </c>
      <c r="Q1993" t="str">
        <f>IF(B1993="","", IFERROR(VLOOKUP(B1993, '基準資産配分（設定）'!$A$2:$C$2001, 3, FALSE), ""))</f>
        <v/>
      </c>
      <c r="R1993" t="str">
        <f>IF(B1993="","", IFERROR(VLOOKUP(B1993, '基準資産配分（設定）'!$A$2:$C$2001, 2, FALSE)/100, 0))</f>
        <v/>
      </c>
      <c r="S1993" t="str">
        <f>IF(B1993="","", IFERROR(SUMIFS(ベンチマークリターン!$C$2:$C$2001, ベンチマークリターン!$A$2:$A$2001, A1993, ベンチマークリターン!$B$2:$B$2001, Q1993) / 100, 0))</f>
        <v/>
      </c>
      <c r="T1993" t="str">
        <f>IF(A1993="","", SUMIFS($H$2:$H$2000, $A$2:$A$2000, A1993))</f>
        <v/>
      </c>
      <c r="U1993" t="str">
        <f t="shared" si="349"/>
        <v/>
      </c>
      <c r="V1993" t="str">
        <f t="shared" si="350"/>
        <v/>
      </c>
      <c r="W1993" t="str">
        <f t="shared" si="351"/>
        <v/>
      </c>
    </row>
    <row r="1994" spans="1:23" x14ac:dyDescent="0.2">
      <c r="A1994" s="4" t="str">
        <f>IF(ポートフォリオ実績!A1995="","", ポートフォリオ実績!A1995)</f>
        <v/>
      </c>
      <c r="B1994" t="str">
        <f>IF(ポートフォリオ実績!B1995="","", ポートフォリオ実績!B1995)</f>
        <v/>
      </c>
      <c r="C1994" s="10" t="str">
        <f>IF(ポートフォリオ実績!C1995="","", ポートフォリオ実績!C1995)</f>
        <v/>
      </c>
      <c r="D1994" s="10" t="str">
        <f>IF(ポートフォリオ実績!D1995="","", ポートフォリオ実績!D1995)</f>
        <v/>
      </c>
      <c r="E1994" s="10" t="str">
        <f>IF(ポートフォリオ実績!E1995="","", ポートフォリオ実績!E1995)</f>
        <v/>
      </c>
      <c r="F1994" s="10" t="str">
        <f>IF(ポートフォリオ実績!F1995="","", ポートフォリオ実績!F1995)</f>
        <v/>
      </c>
      <c r="G1994" t="str">
        <f t="shared" si="341"/>
        <v/>
      </c>
      <c r="H1994">
        <f>IF(B1994&lt;&gt;"", SUMIFS(ポートフォリオ実績!$D$2:$D$2001, ポートフォリオ実績!$B$2:$B$2001, B1994, ポートフォリオ実績!$A$2:$A$2001, G1994), 0)</f>
        <v>0</v>
      </c>
      <c r="I1994">
        <f>IF(B1994&lt;&gt;"", SUMIFS(ポートフォリオ実績!$C$2:$C$2001, ポートフォリオ実績!$B$2:$B$2001, B1994, ポートフォリオ実績!$A$2:$A$2001, G1994), 0)</f>
        <v>0</v>
      </c>
      <c r="J1994">
        <f t="shared" si="342"/>
        <v>0</v>
      </c>
      <c r="K1994">
        <f t="shared" si="343"/>
        <v>0</v>
      </c>
      <c r="L1994">
        <f t="shared" si="344"/>
        <v>0</v>
      </c>
      <c r="M1994">
        <f t="shared" si="345"/>
        <v>0</v>
      </c>
      <c r="N1994">
        <f t="shared" si="346"/>
        <v>0</v>
      </c>
      <c r="O1994">
        <f t="shared" si="347"/>
        <v>0</v>
      </c>
      <c r="P1994" t="str">
        <f t="shared" si="348"/>
        <v/>
      </c>
      <c r="Q1994" t="str">
        <f>IF(B1994="","", IFERROR(VLOOKUP(B1994, '基準資産配分（設定）'!$A$2:$C$2001, 3, FALSE), ""))</f>
        <v/>
      </c>
      <c r="R1994" t="str">
        <f>IF(B1994="","", IFERROR(VLOOKUP(B1994, '基準資産配分（設定）'!$A$2:$C$2001, 2, FALSE)/100, 0))</f>
        <v/>
      </c>
      <c r="S1994" t="str">
        <f>IF(B1994="","", IFERROR(SUMIFS(ベンチマークリターン!$C$2:$C$2001, ベンチマークリターン!$A$2:$A$2001, A1994, ベンチマークリターン!$B$2:$B$2001, Q1994) / 100, 0))</f>
        <v/>
      </c>
      <c r="T1994" t="str">
        <f>IF(A1994="","", SUMIFS($H$2:$H$2000, $A$2:$A$2000, A1994))</f>
        <v/>
      </c>
      <c r="U1994" t="str">
        <f t="shared" si="349"/>
        <v/>
      </c>
      <c r="V1994" t="str">
        <f t="shared" si="350"/>
        <v/>
      </c>
      <c r="W1994" t="str">
        <f t="shared" si="351"/>
        <v/>
      </c>
    </row>
    <row r="1995" spans="1:23" x14ac:dyDescent="0.2">
      <c r="A1995" s="4" t="str">
        <f>IF(ポートフォリオ実績!A1996="","", ポートフォリオ実績!A1996)</f>
        <v/>
      </c>
      <c r="B1995" t="str">
        <f>IF(ポートフォリオ実績!B1996="","", ポートフォリオ実績!B1996)</f>
        <v/>
      </c>
      <c r="C1995" s="10" t="str">
        <f>IF(ポートフォリオ実績!C1996="","", ポートフォリオ実績!C1996)</f>
        <v/>
      </c>
      <c r="D1995" s="10" t="str">
        <f>IF(ポートフォリオ実績!D1996="","", ポートフォリオ実績!D1996)</f>
        <v/>
      </c>
      <c r="E1995" s="10" t="str">
        <f>IF(ポートフォリオ実績!E1996="","", ポートフォリオ実績!E1996)</f>
        <v/>
      </c>
      <c r="F1995" s="10" t="str">
        <f>IF(ポートフォリオ実績!F1996="","", ポートフォリオ実績!F1996)</f>
        <v/>
      </c>
      <c r="G1995" t="str">
        <f t="shared" si="341"/>
        <v/>
      </c>
      <c r="H1995">
        <f>IF(B1995&lt;&gt;"", SUMIFS(ポートフォリオ実績!$D$2:$D$2001, ポートフォリオ実績!$B$2:$B$2001, B1995, ポートフォリオ実績!$A$2:$A$2001, G1995), 0)</f>
        <v>0</v>
      </c>
      <c r="I1995">
        <f>IF(B1995&lt;&gt;"", SUMIFS(ポートフォリオ実績!$C$2:$C$2001, ポートフォリオ実績!$B$2:$B$2001, B1995, ポートフォリオ実績!$A$2:$A$2001, G1995), 0)</f>
        <v>0</v>
      </c>
      <c r="J1995">
        <f t="shared" si="342"/>
        <v>0</v>
      </c>
      <c r="K1995">
        <f t="shared" si="343"/>
        <v>0</v>
      </c>
      <c r="L1995">
        <f t="shared" si="344"/>
        <v>0</v>
      </c>
      <c r="M1995">
        <f t="shared" si="345"/>
        <v>0</v>
      </c>
      <c r="N1995">
        <f t="shared" si="346"/>
        <v>0</v>
      </c>
      <c r="O1995">
        <f t="shared" si="347"/>
        <v>0</v>
      </c>
      <c r="P1995" t="str">
        <f t="shared" si="348"/>
        <v/>
      </c>
      <c r="Q1995" t="str">
        <f>IF(B1995="","", IFERROR(VLOOKUP(B1995, '基準資産配分（設定）'!$A$2:$C$2001, 3, FALSE), ""))</f>
        <v/>
      </c>
      <c r="R1995" t="str">
        <f>IF(B1995="","", IFERROR(VLOOKUP(B1995, '基準資産配分（設定）'!$A$2:$C$2001, 2, FALSE)/100, 0))</f>
        <v/>
      </c>
      <c r="S1995" t="str">
        <f>IF(B1995="","", IFERROR(SUMIFS(ベンチマークリターン!$C$2:$C$2001, ベンチマークリターン!$A$2:$A$2001, A1995, ベンチマークリターン!$B$2:$B$2001, Q1995) / 100, 0))</f>
        <v/>
      </c>
      <c r="T1995" t="str">
        <f>IF(A1995="","", SUMIFS($H$2:$H$2000, $A$2:$A$2000, A1995))</f>
        <v/>
      </c>
      <c r="U1995" t="str">
        <f t="shared" si="349"/>
        <v/>
      </c>
      <c r="V1995" t="str">
        <f t="shared" si="350"/>
        <v/>
      </c>
      <c r="W1995" t="str">
        <f t="shared" si="351"/>
        <v/>
      </c>
    </row>
    <row r="1996" spans="1:23" x14ac:dyDescent="0.2">
      <c r="A1996" s="4" t="str">
        <f>IF(ポートフォリオ実績!A1997="","", ポートフォリオ実績!A1997)</f>
        <v/>
      </c>
      <c r="B1996" t="str">
        <f>IF(ポートフォリオ実績!B1997="","", ポートフォリオ実績!B1997)</f>
        <v/>
      </c>
      <c r="C1996" s="10" t="str">
        <f>IF(ポートフォリオ実績!C1997="","", ポートフォリオ実績!C1997)</f>
        <v/>
      </c>
      <c r="D1996" s="10" t="str">
        <f>IF(ポートフォリオ実績!D1997="","", ポートフォリオ実績!D1997)</f>
        <v/>
      </c>
      <c r="E1996" s="10" t="str">
        <f>IF(ポートフォリオ実績!E1997="","", ポートフォリオ実績!E1997)</f>
        <v/>
      </c>
      <c r="F1996" s="10" t="str">
        <f>IF(ポートフォリオ実績!F1997="","", ポートフォリオ実績!F1997)</f>
        <v/>
      </c>
      <c r="G1996" t="str">
        <f t="shared" si="341"/>
        <v/>
      </c>
      <c r="H1996">
        <f>IF(B1996&lt;&gt;"", SUMIFS(ポートフォリオ実績!$D$2:$D$2001, ポートフォリオ実績!$B$2:$B$2001, B1996, ポートフォリオ実績!$A$2:$A$2001, G1996), 0)</f>
        <v>0</v>
      </c>
      <c r="I1996">
        <f>IF(B1996&lt;&gt;"", SUMIFS(ポートフォリオ実績!$C$2:$C$2001, ポートフォリオ実績!$B$2:$B$2001, B1996, ポートフォリオ実績!$A$2:$A$2001, G1996), 0)</f>
        <v>0</v>
      </c>
      <c r="J1996">
        <f t="shared" si="342"/>
        <v>0</v>
      </c>
      <c r="K1996">
        <f t="shared" si="343"/>
        <v>0</v>
      </c>
      <c r="L1996">
        <f t="shared" si="344"/>
        <v>0</v>
      </c>
      <c r="M1996">
        <f t="shared" si="345"/>
        <v>0</v>
      </c>
      <c r="N1996">
        <f t="shared" si="346"/>
        <v>0</v>
      </c>
      <c r="O1996">
        <f t="shared" si="347"/>
        <v>0</v>
      </c>
      <c r="P1996" t="str">
        <f t="shared" si="348"/>
        <v/>
      </c>
      <c r="Q1996" t="str">
        <f>IF(B1996="","", IFERROR(VLOOKUP(B1996, '基準資産配分（設定）'!$A$2:$C$2001, 3, FALSE), ""))</f>
        <v/>
      </c>
      <c r="R1996" t="str">
        <f>IF(B1996="","", IFERROR(VLOOKUP(B1996, '基準資産配分（設定）'!$A$2:$C$2001, 2, FALSE)/100, 0))</f>
        <v/>
      </c>
      <c r="S1996" t="str">
        <f>IF(B1996="","", IFERROR(SUMIFS(ベンチマークリターン!$C$2:$C$2001, ベンチマークリターン!$A$2:$A$2001, A1996, ベンチマークリターン!$B$2:$B$2001, Q1996) / 100, 0))</f>
        <v/>
      </c>
      <c r="T1996" t="str">
        <f>IF(A1996="","", SUMIFS($H$2:$H$2000, $A$2:$A$2000, A1996))</f>
        <v/>
      </c>
      <c r="U1996" t="str">
        <f t="shared" si="349"/>
        <v/>
      </c>
      <c r="V1996" t="str">
        <f t="shared" si="350"/>
        <v/>
      </c>
      <c r="W1996" t="str">
        <f t="shared" si="351"/>
        <v/>
      </c>
    </row>
    <row r="1997" spans="1:23" x14ac:dyDescent="0.2">
      <c r="A1997" s="4" t="str">
        <f>IF(ポートフォリオ実績!A1998="","", ポートフォリオ実績!A1998)</f>
        <v/>
      </c>
      <c r="B1997" t="str">
        <f>IF(ポートフォリオ実績!B1998="","", ポートフォリオ実績!B1998)</f>
        <v/>
      </c>
      <c r="C1997" s="10" t="str">
        <f>IF(ポートフォリオ実績!C1998="","", ポートフォリオ実績!C1998)</f>
        <v/>
      </c>
      <c r="D1997" s="10" t="str">
        <f>IF(ポートフォリオ実績!D1998="","", ポートフォリオ実績!D1998)</f>
        <v/>
      </c>
      <c r="E1997" s="10" t="str">
        <f>IF(ポートフォリオ実績!E1998="","", ポートフォリオ実績!E1998)</f>
        <v/>
      </c>
      <c r="F1997" s="10" t="str">
        <f>IF(ポートフォリオ実績!F1998="","", ポートフォリオ実績!F1998)</f>
        <v/>
      </c>
      <c r="G1997" t="str">
        <f t="shared" si="341"/>
        <v/>
      </c>
      <c r="H1997">
        <f>IF(B1997&lt;&gt;"", SUMIFS(ポートフォリオ実績!$D$2:$D$2001, ポートフォリオ実績!$B$2:$B$2001, B1997, ポートフォリオ実績!$A$2:$A$2001, G1997), 0)</f>
        <v>0</v>
      </c>
      <c r="I1997">
        <f>IF(B1997&lt;&gt;"", SUMIFS(ポートフォリオ実績!$C$2:$C$2001, ポートフォリオ実績!$B$2:$B$2001, B1997, ポートフォリオ実績!$A$2:$A$2001, G1997), 0)</f>
        <v>0</v>
      </c>
      <c r="J1997">
        <f t="shared" si="342"/>
        <v>0</v>
      </c>
      <c r="K1997">
        <f t="shared" si="343"/>
        <v>0</v>
      </c>
      <c r="L1997">
        <f t="shared" si="344"/>
        <v>0</v>
      </c>
      <c r="M1997">
        <f t="shared" si="345"/>
        <v>0</v>
      </c>
      <c r="N1997">
        <f t="shared" si="346"/>
        <v>0</v>
      </c>
      <c r="O1997">
        <f t="shared" si="347"/>
        <v>0</v>
      </c>
      <c r="P1997" t="str">
        <f t="shared" si="348"/>
        <v/>
      </c>
      <c r="Q1997" t="str">
        <f>IF(B1997="","", IFERROR(VLOOKUP(B1997, '基準資産配分（設定）'!$A$2:$C$2001, 3, FALSE), ""))</f>
        <v/>
      </c>
      <c r="R1997" t="str">
        <f>IF(B1997="","", IFERROR(VLOOKUP(B1997, '基準資産配分（設定）'!$A$2:$C$2001, 2, FALSE)/100, 0))</f>
        <v/>
      </c>
      <c r="S1997" t="str">
        <f>IF(B1997="","", IFERROR(SUMIFS(ベンチマークリターン!$C$2:$C$2001, ベンチマークリターン!$A$2:$A$2001, A1997, ベンチマークリターン!$B$2:$B$2001, Q1997) / 100, 0))</f>
        <v/>
      </c>
      <c r="T1997" t="str">
        <f>IF(A1997="","", SUMIFS($H$2:$H$2000, $A$2:$A$2000, A1997))</f>
        <v/>
      </c>
      <c r="U1997" t="str">
        <f t="shared" si="349"/>
        <v/>
      </c>
      <c r="V1997" t="str">
        <f t="shared" si="350"/>
        <v/>
      </c>
      <c r="W1997" t="str">
        <f t="shared" si="351"/>
        <v/>
      </c>
    </row>
    <row r="1998" spans="1:23" x14ac:dyDescent="0.2">
      <c r="A1998" s="4" t="str">
        <f>IF(ポートフォリオ実績!A1999="","", ポートフォリオ実績!A1999)</f>
        <v/>
      </c>
      <c r="B1998" t="str">
        <f>IF(ポートフォリオ実績!B1999="","", ポートフォリオ実績!B1999)</f>
        <v/>
      </c>
      <c r="C1998" s="10" t="str">
        <f>IF(ポートフォリオ実績!C1999="","", ポートフォリオ実績!C1999)</f>
        <v/>
      </c>
      <c r="D1998" s="10" t="str">
        <f>IF(ポートフォリオ実績!D1999="","", ポートフォリオ実績!D1999)</f>
        <v/>
      </c>
      <c r="E1998" s="10" t="str">
        <f>IF(ポートフォリオ実績!E1999="","", ポートフォリオ実績!E1999)</f>
        <v/>
      </c>
      <c r="F1998" s="10" t="str">
        <f>IF(ポートフォリオ実績!F1999="","", ポートフォリオ実績!F1999)</f>
        <v/>
      </c>
      <c r="G1998" t="str">
        <f t="shared" si="341"/>
        <v/>
      </c>
      <c r="H1998">
        <f>IF(B1998&lt;&gt;"", SUMIFS(ポートフォリオ実績!$D$2:$D$2001, ポートフォリオ実績!$B$2:$B$2001, B1998, ポートフォリオ実績!$A$2:$A$2001, G1998), 0)</f>
        <v>0</v>
      </c>
      <c r="I1998">
        <f>IF(B1998&lt;&gt;"", SUMIFS(ポートフォリオ実績!$C$2:$C$2001, ポートフォリオ実績!$B$2:$B$2001, B1998, ポートフォリオ実績!$A$2:$A$2001, G1998), 0)</f>
        <v>0</v>
      </c>
      <c r="J1998">
        <f t="shared" si="342"/>
        <v>0</v>
      </c>
      <c r="K1998">
        <f t="shared" si="343"/>
        <v>0</v>
      </c>
      <c r="L1998">
        <f t="shared" si="344"/>
        <v>0</v>
      </c>
      <c r="M1998">
        <f t="shared" si="345"/>
        <v>0</v>
      </c>
      <c r="N1998">
        <f t="shared" si="346"/>
        <v>0</v>
      </c>
      <c r="O1998">
        <f t="shared" si="347"/>
        <v>0</v>
      </c>
      <c r="P1998" t="str">
        <f t="shared" si="348"/>
        <v/>
      </c>
      <c r="Q1998" t="str">
        <f>IF(B1998="","", IFERROR(VLOOKUP(B1998, '基準資産配分（設定）'!$A$2:$C$2001, 3, FALSE), ""))</f>
        <v/>
      </c>
      <c r="R1998" t="str">
        <f>IF(B1998="","", IFERROR(VLOOKUP(B1998, '基準資産配分（設定）'!$A$2:$C$2001, 2, FALSE)/100, 0))</f>
        <v/>
      </c>
      <c r="S1998" t="str">
        <f>IF(B1998="","", IFERROR(SUMIFS(ベンチマークリターン!$C$2:$C$2001, ベンチマークリターン!$A$2:$A$2001, A1998, ベンチマークリターン!$B$2:$B$2001, Q1998) / 100, 0))</f>
        <v/>
      </c>
      <c r="T1998" t="str">
        <f>IF(A1998="","", SUMIFS($H$2:$H$2000, $A$2:$A$2000, A1998))</f>
        <v/>
      </c>
      <c r="U1998" t="str">
        <f t="shared" si="349"/>
        <v/>
      </c>
      <c r="V1998" t="str">
        <f t="shared" si="350"/>
        <v/>
      </c>
      <c r="W1998" t="str">
        <f t="shared" si="351"/>
        <v/>
      </c>
    </row>
    <row r="1999" spans="1:23" x14ac:dyDescent="0.2">
      <c r="A1999" s="4" t="str">
        <f>IF(ポートフォリオ実績!A2000="","", ポートフォリオ実績!A2000)</f>
        <v/>
      </c>
      <c r="B1999" t="str">
        <f>IF(ポートフォリオ実績!B2000="","", ポートフォリオ実績!B2000)</f>
        <v/>
      </c>
      <c r="C1999" s="10" t="str">
        <f>IF(ポートフォリオ実績!C2000="","", ポートフォリオ実績!C2000)</f>
        <v/>
      </c>
      <c r="D1999" s="10" t="str">
        <f>IF(ポートフォリオ実績!D2000="","", ポートフォリオ実績!D2000)</f>
        <v/>
      </c>
      <c r="E1999" s="10" t="str">
        <f>IF(ポートフォリオ実績!E2000="","", ポートフォリオ実績!E2000)</f>
        <v/>
      </c>
      <c r="F1999" s="10" t="str">
        <f>IF(ポートフォリオ実績!F2000="","", ポートフォリオ実績!F2000)</f>
        <v/>
      </c>
      <c r="G1999" t="str">
        <f t="shared" si="341"/>
        <v/>
      </c>
      <c r="H1999">
        <f>IF(B1999&lt;&gt;"", SUMIFS(ポートフォリオ実績!$D$2:$D$2001, ポートフォリオ実績!$B$2:$B$2001, B1999, ポートフォリオ実績!$A$2:$A$2001, G1999), 0)</f>
        <v>0</v>
      </c>
      <c r="I1999">
        <f>IF(B1999&lt;&gt;"", SUMIFS(ポートフォリオ実績!$C$2:$C$2001, ポートフォリオ実績!$B$2:$B$2001, B1999, ポートフォリオ実績!$A$2:$A$2001, G1999), 0)</f>
        <v>0</v>
      </c>
      <c r="J1999">
        <f t="shared" si="342"/>
        <v>0</v>
      </c>
      <c r="K1999">
        <f t="shared" si="343"/>
        <v>0</v>
      </c>
      <c r="L1999">
        <f t="shared" si="344"/>
        <v>0</v>
      </c>
      <c r="M1999">
        <f t="shared" si="345"/>
        <v>0</v>
      </c>
      <c r="N1999">
        <f t="shared" si="346"/>
        <v>0</v>
      </c>
      <c r="O1999">
        <f t="shared" si="347"/>
        <v>0</v>
      </c>
      <c r="P1999" t="str">
        <f t="shared" si="348"/>
        <v/>
      </c>
      <c r="Q1999" t="str">
        <f>IF(B1999="","", IFERROR(VLOOKUP(B1999, '基準資産配分（設定）'!$A$2:$C$2001, 3, FALSE), ""))</f>
        <v/>
      </c>
      <c r="R1999" t="str">
        <f>IF(B1999="","", IFERROR(VLOOKUP(B1999, '基準資産配分（設定）'!$A$2:$C$2001, 2, FALSE)/100, 0))</f>
        <v/>
      </c>
      <c r="S1999" t="str">
        <f>IF(B1999="","", IFERROR(SUMIFS(ベンチマークリターン!$C$2:$C$2001, ベンチマークリターン!$A$2:$A$2001, A1999, ベンチマークリターン!$B$2:$B$2001, Q1999) / 100, 0))</f>
        <v/>
      </c>
      <c r="T1999" t="str">
        <f>IF(A1999="","", SUMIFS($H$2:$H$2000, $A$2:$A$2000, A1999))</f>
        <v/>
      </c>
      <c r="U1999" t="str">
        <f t="shared" si="349"/>
        <v/>
      </c>
      <c r="V1999" t="str">
        <f t="shared" si="350"/>
        <v/>
      </c>
      <c r="W1999" t="str">
        <f t="shared" si="351"/>
        <v/>
      </c>
    </row>
    <row r="2000" spans="1:23" x14ac:dyDescent="0.2">
      <c r="A2000" s="4" t="str">
        <f>IF(ポートフォリオ実績!A2001="","", ポートフォリオ実績!A2001)</f>
        <v/>
      </c>
      <c r="B2000" t="str">
        <f>IF(ポートフォリオ実績!B2001="","", ポートフォリオ実績!B2001)</f>
        <v/>
      </c>
      <c r="C2000" s="10" t="str">
        <f>IF(ポートフォリオ実績!C2001="","", ポートフォリオ実績!C2001)</f>
        <v/>
      </c>
      <c r="D2000" s="10" t="str">
        <f>IF(ポートフォリオ実績!D2001="","", ポートフォリオ実績!D2001)</f>
        <v/>
      </c>
      <c r="E2000" s="10" t="str">
        <f>IF(ポートフォリオ実績!E2001="","", ポートフォリオ実績!E2001)</f>
        <v/>
      </c>
      <c r="F2000" s="10" t="str">
        <f>IF(ポートフォリオ実績!F2001="","", ポートフォリオ実績!F2001)</f>
        <v/>
      </c>
      <c r="G2000" t="str">
        <f t="shared" si="341"/>
        <v/>
      </c>
      <c r="H2000">
        <f>IF(B2000&lt;&gt;"", SUMIFS(ポートフォリオ実績!$D$2:$D$2001, ポートフォリオ実績!$B$2:$B$2001, B2000, ポートフォリオ実績!$A$2:$A$2001, G2000), 0)</f>
        <v>0</v>
      </c>
      <c r="I2000">
        <f>IF(B2000&lt;&gt;"", SUMIFS(ポートフォリオ実績!$C$2:$C$2001, ポートフォリオ実績!$B$2:$B$2001, B2000, ポートフォリオ実績!$A$2:$A$2001, G2000), 0)</f>
        <v>0</v>
      </c>
      <c r="J2000">
        <f t="shared" si="342"/>
        <v>0</v>
      </c>
      <c r="K2000">
        <f t="shared" si="343"/>
        <v>0</v>
      </c>
      <c r="L2000">
        <f t="shared" si="344"/>
        <v>0</v>
      </c>
      <c r="M2000">
        <f t="shared" si="345"/>
        <v>0</v>
      </c>
      <c r="N2000">
        <f t="shared" si="346"/>
        <v>0</v>
      </c>
      <c r="O2000">
        <f t="shared" si="347"/>
        <v>0</v>
      </c>
      <c r="P2000" t="str">
        <f t="shared" si="348"/>
        <v/>
      </c>
      <c r="Q2000" t="str">
        <f>IF(B2000="","", IFERROR(VLOOKUP(B2000, '基準資産配分（設定）'!$A$2:$C$2001, 3, FALSE), ""))</f>
        <v/>
      </c>
      <c r="R2000" t="str">
        <f>IF(B2000="","", IFERROR(VLOOKUP(B2000, '基準資産配分（設定）'!$A$2:$C$2001, 2, FALSE)/100, 0))</f>
        <v/>
      </c>
      <c r="S2000" t="str">
        <f>IF(B2000="","", IFERROR(SUMIFS(ベンチマークリターン!$C$2:$C$2001, ベンチマークリターン!$A$2:$A$2001, A2000, ベンチマークリターン!$B$2:$B$2001, Q2000) / 100, 0))</f>
        <v/>
      </c>
      <c r="T2000" t="str">
        <f>IF(A2000="","", SUMIFS($H$2:$H$2000, $A$2:$A$2000, A2000))</f>
        <v/>
      </c>
      <c r="U2000" t="str">
        <f t="shared" si="349"/>
        <v/>
      </c>
      <c r="V2000" t="str">
        <f t="shared" si="350"/>
        <v/>
      </c>
      <c r="W2000" t="str">
        <f t="shared" si="351"/>
        <v/>
      </c>
    </row>
  </sheetData>
  <phoneticPr fontId="5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CC"/>
  </sheetPr>
  <dimension ref="A1:O63"/>
  <sheetViews>
    <sheetView workbookViewId="0">
      <pane ySplit="2" topLeftCell="A3" activePane="bottomLeft" state="frozen"/>
      <selection pane="bottomLeft" activeCell="C3" sqref="C3"/>
    </sheetView>
  </sheetViews>
  <sheetFormatPr defaultRowHeight="13" x14ac:dyDescent="0.2"/>
  <cols>
    <col min="1" max="5" width="12" customWidth="1"/>
    <col min="7" max="7" width="30" customWidth="1"/>
    <col min="8" max="15" width="15" customWidth="1"/>
  </cols>
  <sheetData>
    <row r="1" spans="1:15" x14ac:dyDescent="0.2">
      <c r="A1" s="2" t="s">
        <v>30</v>
      </c>
      <c r="G1" s="2" t="s">
        <v>31</v>
      </c>
    </row>
    <row r="2" spans="1:15" ht="30" customHeight="1" x14ac:dyDescent="0.2">
      <c r="A2" s="1" t="s">
        <v>0</v>
      </c>
      <c r="B2" s="1" t="s">
        <v>32</v>
      </c>
      <c r="C2" s="1" t="s">
        <v>33</v>
      </c>
      <c r="D2" s="1" t="s">
        <v>34</v>
      </c>
      <c r="E2" s="1" t="s">
        <v>35</v>
      </c>
      <c r="G2" s="1" t="s">
        <v>1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</row>
    <row r="3" spans="1:15" x14ac:dyDescent="0.2">
      <c r="A3" s="3">
        <v>45016</v>
      </c>
      <c r="B3" s="5">
        <f>IF(A3="","", SUMIFS(計算シート!$V$2:$V$2000, 計算シート!$A$2:$A$2000, A3))</f>
        <v>1.2384053684064774E-2</v>
      </c>
      <c r="C3" s="5">
        <f>IF(A3="","", SUMIFS(計算シート!$W$2:$W$2000, 計算シート!$A$2:$A$2000, A3))</f>
        <v>5.2446002000000004E-3</v>
      </c>
      <c r="D3" s="5">
        <f>IF(A3="","", B3)</f>
        <v>1.2384053684064774E-2</v>
      </c>
      <c r="E3" s="5">
        <f>IF(A3="","", C3)</f>
        <v>5.2446002000000004E-3</v>
      </c>
      <c r="G3" t="str">
        <f>IF('基準資産配分（設定）'!A3="","", '基準資産配分（設定）'!A3)</f>
        <v>国内債券（固定金利・国債中心）</v>
      </c>
      <c r="H3">
        <f>IF($G3="","", AVERAGEIFS(計算シート!$U$2:$U$2000, 計算シート!$B$2:$B$2000, $G3))</f>
        <v>0.30825299998676259</v>
      </c>
      <c r="I3">
        <f>IF($G3="","", AVERAGEIFS(計算シート!$R$2:$R$2000, 計算シート!$B$2:$B$2000, $G3))</f>
        <v>0.39059999999999967</v>
      </c>
      <c r="J3">
        <f>IF($G3="","", AVERAGEIFS(計算シート!$P$2:$P$2000, 計算シート!$B$2:$B$2000, $G3))</f>
        <v>2.9248920394377184E-3</v>
      </c>
      <c r="K3">
        <f>IF($G3="","", AVERAGEIFS(計算シート!$S$2:$S$2000, 計算シート!$B$2:$B$2000, $G3))</f>
        <v>-3.2394594594594594E-4</v>
      </c>
      <c r="L3">
        <f t="shared" ref="L3:L9" si="0">IF($G3="","", AVERAGE($C$3:$C$62))</f>
        <v>1.7302554583333335E-3</v>
      </c>
      <c r="M3">
        <f t="shared" ref="M3:M9" si="1">IF($G3="","", (H3-I3)*(K3-L3))</f>
        <v>1.6915732306537748E-4</v>
      </c>
      <c r="N3">
        <f t="shared" ref="N3:N9" si="2">IF($G3="","", H3*(J3-K3))</f>
        <v>1.0014640554654646E-3</v>
      </c>
      <c r="O3">
        <f t="shared" ref="O3:O9" si="3">IF($G3="","", M3+N3)</f>
        <v>1.170621378530842E-3</v>
      </c>
    </row>
    <row r="4" spans="1:15" x14ac:dyDescent="0.2">
      <c r="A4" s="4">
        <f t="shared" ref="A4:A35" si="4">IF(A3="","", EOMONTH(A3, 1))</f>
        <v>45046</v>
      </c>
      <c r="B4" s="5">
        <f>IF(A4="","", SUMIFS(計算シート!$V$2:$V$2000, 計算シート!$A$2:$A$2000, A4))</f>
        <v>6.0533580672214298E-3</v>
      </c>
      <c r="C4" s="5">
        <f>IF(A4="","", SUMIFS(計算シート!$W$2:$W$2000, 計算シート!$A$2:$A$2000, A4))</f>
        <v>6.1774234000000015E-3</v>
      </c>
      <c r="D4" s="5">
        <f t="shared" ref="D4:D35" si="5">IF(A4="","", (1+D3)*(1+B4)-1)</f>
        <v>1.8512376862559465E-2</v>
      </c>
      <c r="E4" s="5">
        <f t="shared" ref="E4:E35" si="6">IF(A4="","", (1+E3)*(1+C4)-1)</f>
        <v>1.1454421715999086E-2</v>
      </c>
      <c r="G4" t="str">
        <f>IF('基準資産配分（設定）'!A4="","", '基準資産配分（設定）'!A4)</f>
        <v>国内債券（変動/ASW）</v>
      </c>
      <c r="H4">
        <f>IF($G4="","", AVERAGEIFS(計算シート!$U$2:$U$2000, 計算シート!$B$2:$B$2000, $G4))</f>
        <v>0.13737746064068942</v>
      </c>
      <c r="I4">
        <f>IF($G4="","", AVERAGEIFS(計算シート!$R$2:$R$2000, 計算シート!$B$2:$B$2000, $G4))</f>
        <v>0.15620000000000009</v>
      </c>
      <c r="J4">
        <f>IF($G4="","", AVERAGEIFS(計算シート!$P$2:$P$2000, 計算シート!$B$2:$B$2000, $G4))</f>
        <v>2.2014109967476701E-3</v>
      </c>
      <c r="K4">
        <f>IF($G4="","", AVERAGEIFS(計算シート!$S$2:$S$2000, 計算シート!$B$2:$B$2000, $G4))</f>
        <v>7.801891891891892E-4</v>
      </c>
      <c r="L4">
        <f t="shared" si="0"/>
        <v>1.7302554583333335E-3</v>
      </c>
      <c r="M4">
        <f t="shared" si="1"/>
        <v>1.7882659744919096E-5</v>
      </c>
      <c r="N4">
        <f t="shared" si="2"/>
        <v>1.9524384292955469E-4</v>
      </c>
      <c r="O4">
        <f t="shared" si="3"/>
        <v>2.1312650267447377E-4</v>
      </c>
    </row>
    <row r="5" spans="1:15" x14ac:dyDescent="0.2">
      <c r="A5" s="4">
        <f t="shared" si="4"/>
        <v>45077</v>
      </c>
      <c r="B5" s="5">
        <f>IF(A5="","", SUMIFS(計算シート!$V$2:$V$2000, 計算シート!$A$2:$A$2000, A5))</f>
        <v>-1.3840504156352547E-2</v>
      </c>
      <c r="C5" s="5">
        <f>IF(A5="","", SUMIFS(計算シート!$W$2:$W$2000, 計算シート!$A$2:$A$2000, A5))</f>
        <v>5.2232852999999999E-3</v>
      </c>
      <c r="D5" s="5">
        <f t="shared" si="5"/>
        <v>4.4156520772966612E-3</v>
      </c>
      <c r="E5" s="5">
        <f t="shared" si="6"/>
        <v>1.6737536728568259E-2</v>
      </c>
      <c r="G5" t="str">
        <f>IF('基準資産配分（設定）'!A5="","", '基準資産配分（設定）'!A5)</f>
        <v>外国債券（為替ヘッジ有・固定）</v>
      </c>
      <c r="H5">
        <f>IF($G5="","", AVERAGEIFS(計算シート!$U$2:$U$2000, 計算シート!$B$2:$B$2000, $G5))</f>
        <v>0.21746353106456331</v>
      </c>
      <c r="I5">
        <f>IF($G5="","", AVERAGEIFS(計算シート!$R$2:$R$2000, 計算シート!$B$2:$B$2000, $G5))</f>
        <v>0.23440000000000003</v>
      </c>
      <c r="J5">
        <f>IF($G5="","", AVERAGEIFS(計算シート!$P$2:$P$2000, 計算シート!$B$2:$B$2000, $G5))</f>
        <v>8.7404794388844069E-3</v>
      </c>
      <c r="K5">
        <f>IF($G5="","", AVERAGEIFS(計算シート!$S$2:$S$2000, 計算シート!$B$2:$B$2000, $G5))</f>
        <v>3.5467837837837835E-3</v>
      </c>
      <c r="L5">
        <f t="shared" si="0"/>
        <v>1.7302554583333335E-3</v>
      </c>
      <c r="M5">
        <f t="shared" si="1"/>
        <v>-3.0765575554332412E-5</v>
      </c>
      <c r="N5">
        <f t="shared" si="2"/>
        <v>1.1294393964328619E-3</v>
      </c>
      <c r="O5">
        <f t="shared" si="3"/>
        <v>1.0986738208785295E-3</v>
      </c>
    </row>
    <row r="6" spans="1:15" x14ac:dyDescent="0.2">
      <c r="A6" s="4">
        <f t="shared" si="4"/>
        <v>45107</v>
      </c>
      <c r="B6" s="5">
        <f>IF(A6="","", SUMIFS(計算シート!$V$2:$V$2000, 計算シート!$A$2:$A$2000, A6))</f>
        <v>-1.1403603435532612E-2</v>
      </c>
      <c r="C6" s="5">
        <f>IF(A6="","", SUMIFS(計算シート!$W$2:$W$2000, 計算シート!$A$2:$A$2000, A6))</f>
        <v>-2.8445776000000024E-3</v>
      </c>
      <c r="D6" s="5">
        <f t="shared" si="5"/>
        <v>-7.0383057034346663E-3</v>
      </c>
      <c r="E6" s="5">
        <f t="shared" si="6"/>
        <v>1.3845347906511041E-2</v>
      </c>
      <c r="G6" t="str">
        <f>IF('基準資産配分（設定）'!A6="","", '基準資産配分（設定）'!A6)</f>
        <v>国内株式（純投資）</v>
      </c>
      <c r="H6">
        <f>IF($G6="","", AVERAGEIFS(計算シート!$U$2:$U$2000, 計算シート!$B$2:$B$2000, $G6))</f>
        <v>0.13519520655817985</v>
      </c>
      <c r="I6">
        <f>IF($G6="","", AVERAGEIFS(計算シート!$R$2:$R$2000, 計算シート!$B$2:$B$2000, $G6))</f>
        <v>0.11720000000000001</v>
      </c>
      <c r="J6">
        <f>IF($G6="","", AVERAGEIFS(計算シート!$P$2:$P$2000, 計算シート!$B$2:$B$2000, $G6))</f>
        <v>1.6811288075486996E-2</v>
      </c>
      <c r="K6">
        <f>IF($G6="","", AVERAGEIFS(計算シート!$S$2:$S$2000, 計算シート!$B$2:$B$2000, $G6))</f>
        <v>1.1053675675675676E-2</v>
      </c>
      <c r="L6">
        <f t="shared" si="0"/>
        <v>1.7302554583333335E-3</v>
      </c>
      <c r="M6">
        <f t="shared" si="1"/>
        <v>1.677768726397854E-4</v>
      </c>
      <c r="N6">
        <f t="shared" si="2"/>
        <v>7.7840159767442901E-4</v>
      </c>
      <c r="O6">
        <f t="shared" si="3"/>
        <v>9.4617847031421443E-4</v>
      </c>
    </row>
    <row r="7" spans="1:15" x14ac:dyDescent="0.2">
      <c r="A7" s="4">
        <f t="shared" si="4"/>
        <v>45138</v>
      </c>
      <c r="B7" s="5">
        <f>IF(A7="","", SUMIFS(計算シート!$V$2:$V$2000, 計算シート!$A$2:$A$2000, A7))</f>
        <v>7.2844242455382888E-4</v>
      </c>
      <c r="C7" s="5">
        <f>IF(A7="","", SUMIFS(計算シート!$W$2:$W$2000, 計算シート!$A$2:$A$2000, A7))</f>
        <v>-3.0863179999999981E-4</v>
      </c>
      <c r="D7" s="5">
        <f t="shared" si="5"/>
        <v>-6.3149902793523394E-3</v>
      </c>
      <c r="E7" s="5">
        <f t="shared" si="6"/>
        <v>1.3532442991865068E-2</v>
      </c>
      <c r="G7" t="str">
        <f>IF('基準資産配分（設定）'!A7="","", '基準資産配分（設定）'!A7)</f>
        <v>不動産（J-REIT含む）</v>
      </c>
      <c r="H7">
        <f>IF($G7="","", AVERAGEIFS(計算シート!$U$2:$U$2000, 計算シート!$B$2:$B$2000, $G7))</f>
        <v>3.3590045307847191E-2</v>
      </c>
      <c r="I7">
        <f>IF($G7="","", AVERAGEIFS(計算シート!$R$2:$R$2000, 計算シート!$B$2:$B$2000, $G7))</f>
        <v>3.9099999999999982E-2</v>
      </c>
      <c r="J7">
        <f>IF($G7="","", AVERAGEIFS(計算シート!$P$2:$P$2000, 計算シート!$B$2:$B$2000, $G7))</f>
        <v>1.0317632205219951E-2</v>
      </c>
      <c r="K7">
        <f>IF($G7="","", AVERAGEIFS(計算シート!$S$2:$S$2000, 計算シート!$B$2:$B$2000, $G7))</f>
        <v>7.6106216216216228E-3</v>
      </c>
      <c r="L7">
        <f t="shared" si="0"/>
        <v>1.7302554583333335E-3</v>
      </c>
      <c r="M7">
        <f t="shared" si="1"/>
        <v>-3.2400551132986811E-5</v>
      </c>
      <c r="N7">
        <f t="shared" si="2"/>
        <v>9.0928608151889695E-5</v>
      </c>
      <c r="O7">
        <f t="shared" si="3"/>
        <v>5.8528057018902884E-5</v>
      </c>
    </row>
    <row r="8" spans="1:15" x14ac:dyDescent="0.2">
      <c r="A8" s="4">
        <f t="shared" si="4"/>
        <v>45169</v>
      </c>
      <c r="B8" s="5">
        <f>IF(A8="","", SUMIFS(計算シート!$V$2:$V$2000, 計算シート!$A$2:$A$2000, A8))</f>
        <v>5.3038765389658779E-3</v>
      </c>
      <c r="C8" s="5">
        <f>IF(A8="","", SUMIFS(計算シート!$W$2:$W$2000, 計算シート!$A$2:$A$2000, A8))</f>
        <v>1.10362215E-2</v>
      </c>
      <c r="D8" s="5">
        <f t="shared" si="5"/>
        <v>-1.0446076691729145E-3</v>
      </c>
      <c r="E8" s="5">
        <f t="shared" si="6"/>
        <v>2.471801153015929E-2</v>
      </c>
      <c r="G8" t="str">
        <f>IF('基準資産配分（設定）'!A8="","", '基準資産配分（設定）'!A8)</f>
        <v>マルチアセット・その他投信</v>
      </c>
      <c r="H8">
        <f>IF($G8="","", AVERAGEIFS(計算シート!$U$2:$U$2000, 計算シート!$B$2:$B$2000, $G8))</f>
        <v>5.8623736260574828E-2</v>
      </c>
      <c r="I8">
        <f>IF($G8="","", AVERAGEIFS(計算シート!$R$2:$R$2000, 計算シート!$B$2:$B$2000, $G8))</f>
        <v>6.25E-2</v>
      </c>
      <c r="J8">
        <f>IF($G8="","", AVERAGEIFS(計算シート!$P$2:$P$2000, 計算シート!$B$2:$B$2000, $G8))</f>
        <v>2.6207088009536431E-3</v>
      </c>
      <c r="K8">
        <f>IF($G8="","", AVERAGEIFS(計算シート!$S$2:$S$2000, 計算シート!$B$2:$B$2000, $G8))</f>
        <v>1.6465675675675678E-2</v>
      </c>
      <c r="L8">
        <f t="shared" si="0"/>
        <v>1.7302554583333335E-3</v>
      </c>
      <c r="M8">
        <f t="shared" si="1"/>
        <v>-5.7118375073676711E-5</v>
      </c>
      <c r="N8">
        <f t="shared" si="2"/>
        <v>-8.116436866000995E-4</v>
      </c>
      <c r="O8">
        <f t="shared" si="3"/>
        <v>-8.6876206167377625E-4</v>
      </c>
    </row>
    <row r="9" spans="1:15" x14ac:dyDescent="0.2">
      <c r="A9" s="4">
        <f t="shared" si="4"/>
        <v>45199</v>
      </c>
      <c r="B9" s="5">
        <f>IF(A9="","", SUMIFS(計算シート!$V$2:$V$2000, 計算シート!$A$2:$A$2000, A9))</f>
        <v>8.1319286605557387E-3</v>
      </c>
      <c r="C9" s="5">
        <f>IF(A9="","", SUMIFS(計算シート!$W$2:$W$2000, 計算シート!$A$2:$A$2000, A9))</f>
        <v>7.4122041000000008E-3</v>
      </c>
      <c r="D9" s="5">
        <f t="shared" si="5"/>
        <v>7.0788263163388265E-3</v>
      </c>
      <c r="E9" s="5">
        <f t="shared" si="6"/>
        <v>3.2313430576566882E-2</v>
      </c>
      <c r="G9" t="str">
        <f>IF('基準資産配分（設定）'!A9="","", '基準資産配分（設定）'!A9)</f>
        <v>（参考）政策保有株式</v>
      </c>
      <c r="H9">
        <f>IF($G9="","", AVERAGEIFS(計算シート!$U$2:$U$2000, 計算シート!$B$2:$B$2000, $G9))</f>
        <v>8.2469993154355742E-2</v>
      </c>
      <c r="I9">
        <f>IF($G9="","", AVERAGEIFS(計算シート!$R$2:$R$2000, 計算シート!$B$2:$B$2000, $G9))</f>
        <v>0</v>
      </c>
      <c r="J9">
        <f>IF($G9="","", AVERAGEIFS(計算シート!$P$2:$P$2000, 計算シート!$B$2:$B$2000, $G9))</f>
        <v>7.1788053729700254E-3</v>
      </c>
      <c r="K9">
        <f>IF($G9="","", AVERAGEIFS(計算シート!$S$2:$S$2000, 計算シート!$B$2:$B$2000, $G9))</f>
        <v>1.1053675675675676E-2</v>
      </c>
      <c r="L9">
        <f t="shared" si="0"/>
        <v>1.7302554583333335E-3</v>
      </c>
      <c r="M9">
        <f t="shared" si="1"/>
        <v>7.6890240149940492E-4</v>
      </c>
      <c r="N9">
        <f t="shared" si="2"/>
        <v>-3.1956052733815132E-4</v>
      </c>
      <c r="O9">
        <f t="shared" si="3"/>
        <v>4.493418741612536E-4</v>
      </c>
    </row>
    <row r="10" spans="1:15" x14ac:dyDescent="0.2">
      <c r="A10" s="4">
        <f t="shared" si="4"/>
        <v>45230</v>
      </c>
      <c r="B10" s="5">
        <f>IF(A10="","", SUMIFS(計算シート!$V$2:$V$2000, 計算シート!$A$2:$A$2000, A10))</f>
        <v>-8.5058679572428339E-3</v>
      </c>
      <c r="C10" s="5">
        <f>IF(A10="","", SUMIFS(計算シート!$W$2:$W$2000, 計算シート!$A$2:$A$2000, A10))</f>
        <v>9.8549037000000006E-3</v>
      </c>
      <c r="D10" s="5">
        <f t="shared" si="5"/>
        <v>-1.4872532028430419E-3</v>
      </c>
      <c r="E10" s="5">
        <f t="shared" si="6"/>
        <v>4.2486780023115456E-2</v>
      </c>
      <c r="G10" s="2" t="s">
        <v>44</v>
      </c>
      <c r="H10" s="6">
        <f>SUM(H3:H9)</f>
        <v>0.97297297297297292</v>
      </c>
      <c r="I10" s="6">
        <f>SUM(I3:I9)</f>
        <v>0.99999999999999978</v>
      </c>
      <c r="J10" s="6"/>
      <c r="K10" s="6"/>
      <c r="L10" s="6"/>
      <c r="M10" s="6">
        <f>SUM(M3:M9)</f>
        <v>1.0034347551884908E-3</v>
      </c>
      <c r="N10" s="6">
        <f>SUM(N3:N9)</f>
        <v>2.0642732867159489E-3</v>
      </c>
      <c r="O10" s="6">
        <f>SUM(O3:O9)</f>
        <v>3.0677080419044401E-3</v>
      </c>
    </row>
    <row r="11" spans="1:15" x14ac:dyDescent="0.2">
      <c r="A11" s="4">
        <f t="shared" si="4"/>
        <v>45260</v>
      </c>
      <c r="B11" s="5">
        <f>IF(A11="","", SUMIFS(計算シート!$V$2:$V$2000, 計算シート!$A$2:$A$2000, A11))</f>
        <v>6.163134543526582E-3</v>
      </c>
      <c r="C11" s="5">
        <f>IF(A11="","", SUMIFS(計算シート!$W$2:$W$2000, 計算シート!$A$2:$A$2000, A11))</f>
        <v>-2.4463549999999973E-4</v>
      </c>
      <c r="D11" s="5">
        <f t="shared" si="5"/>
        <v>4.666715199094229E-3</v>
      </c>
      <c r="E11" s="5">
        <f t="shared" si="6"/>
        <v>4.2231750748441099E-2</v>
      </c>
    </row>
    <row r="12" spans="1:15" x14ac:dyDescent="0.2">
      <c r="A12" s="4">
        <f t="shared" si="4"/>
        <v>45291</v>
      </c>
      <c r="B12" s="5">
        <f>IF(A12="","", SUMIFS(計算シート!$V$2:$V$2000, 計算シート!$A$2:$A$2000, A12))</f>
        <v>1.0974188433868208E-2</v>
      </c>
      <c r="C12" s="5">
        <f>IF(A12="","", SUMIFS(計算シート!$W$2:$W$2000, 計算シート!$A$2:$A$2000, A12))</f>
        <v>1.6799076400000001E-2</v>
      </c>
      <c r="D12" s="5">
        <f t="shared" si="5"/>
        <v>1.5692117044924458E-2</v>
      </c>
      <c r="E12" s="5">
        <f t="shared" si="6"/>
        <v>5.9740281555769714E-2</v>
      </c>
    </row>
    <row r="13" spans="1:15" x14ac:dyDescent="0.2">
      <c r="A13" s="4">
        <f t="shared" si="4"/>
        <v>45322</v>
      </c>
      <c r="B13" s="5">
        <f>IF(A13="","", SUMIFS(計算シート!$V$2:$V$2000, 計算シート!$A$2:$A$2000, A13))</f>
        <v>9.4662150593239833E-5</v>
      </c>
      <c r="C13" s="5">
        <f>IF(A13="","", SUMIFS(計算シート!$W$2:$W$2000, 計算シート!$A$2:$A$2000, A13))</f>
        <v>1.9669703200000003E-2</v>
      </c>
      <c r="D13" s="5">
        <f t="shared" si="5"/>
        <v>1.5788264645064665E-2</v>
      </c>
      <c r="E13" s="5">
        <f t="shared" si="6"/>
        <v>8.0585058363056072E-2</v>
      </c>
    </row>
    <row r="14" spans="1:15" x14ac:dyDescent="0.2">
      <c r="A14" s="4">
        <f t="shared" si="4"/>
        <v>45351</v>
      </c>
      <c r="B14" s="5">
        <f>IF(A14="","", SUMIFS(計算シート!$V$2:$V$2000, 計算シート!$A$2:$A$2000, A14))</f>
        <v>1.3638826389847768E-2</v>
      </c>
      <c r="C14" s="5">
        <f>IF(A14="","", SUMIFS(計算シート!$W$2:$W$2000, 計算シート!$A$2:$A$2000, A14))</f>
        <v>5.2041079000000011E-3</v>
      </c>
      <c r="D14" s="5">
        <f t="shared" si="5"/>
        <v>2.9642424435403436E-2</v>
      </c>
      <c r="E14" s="5">
        <f t="shared" si="6"/>
        <v>8.6208539601905221E-2</v>
      </c>
    </row>
    <row r="15" spans="1:15" x14ac:dyDescent="0.2">
      <c r="A15" s="4">
        <f t="shared" si="4"/>
        <v>45382</v>
      </c>
      <c r="B15" s="5">
        <f>IF(A15="","", SUMIFS(計算シート!$V$2:$V$2000, 計算シート!$A$2:$A$2000, A15))</f>
        <v>2.8082170080953031E-3</v>
      </c>
      <c r="C15" s="5">
        <f>IF(A15="","", SUMIFS(計算シート!$W$2:$W$2000, 計算シート!$A$2:$A$2000, A15))</f>
        <v>-9.3218999999999995E-4</v>
      </c>
      <c r="D15" s="5">
        <f t="shared" si="5"/>
        <v>3.2533883803959274E-2</v>
      </c>
      <c r="E15" s="5">
        <f t="shared" si="6"/>
        <v>8.5195986863373818E-2</v>
      </c>
    </row>
    <row r="16" spans="1:15" x14ac:dyDescent="0.2">
      <c r="A16" s="4">
        <f t="shared" si="4"/>
        <v>45412</v>
      </c>
      <c r="B16" s="5">
        <f>IF(A16="","", SUMIFS(計算シート!$V$2:$V$2000, 計算シート!$A$2:$A$2000, A16))</f>
        <v>1.5863010207922173E-2</v>
      </c>
      <c r="C16" s="5">
        <f>IF(A16="","", SUMIFS(計算シート!$W$2:$W$2000, 計算シート!$A$2:$A$2000, A16))</f>
        <v>5.1032076999999992E-3</v>
      </c>
      <c r="D16" s="5">
        <f t="shared" si="5"/>
        <v>4.8912979342767171E-2</v>
      </c>
      <c r="E16" s="5">
        <f t="shared" si="6"/>
        <v>9.0733967379543978E-2</v>
      </c>
    </row>
    <row r="17" spans="1:5" x14ac:dyDescent="0.2">
      <c r="A17" s="4">
        <f t="shared" si="4"/>
        <v>45443</v>
      </c>
      <c r="B17" s="5">
        <f>IF(A17="","", SUMIFS(計算シート!$V$2:$V$2000, 計算シート!$A$2:$A$2000, A17))</f>
        <v>-1.8677501387042608E-3</v>
      </c>
      <c r="C17" s="5">
        <f>IF(A17="","", SUMIFS(計算シート!$W$2:$W$2000, 計算シート!$A$2:$A$2000, A17))</f>
        <v>1.5980802100000004E-2</v>
      </c>
      <c r="D17" s="5">
        <f t="shared" si="5"/>
        <v>4.6953871980111028E-2</v>
      </c>
      <c r="E17" s="5">
        <f t="shared" si="6"/>
        <v>0.10816477105598432</v>
      </c>
    </row>
    <row r="18" spans="1:5" x14ac:dyDescent="0.2">
      <c r="A18" s="4">
        <f t="shared" si="4"/>
        <v>45473</v>
      </c>
      <c r="B18" s="5">
        <f>IF(A18="","", SUMIFS(計算シート!$V$2:$V$2000, 計算シート!$A$2:$A$2000, A18))</f>
        <v>-1.2744098199099494E-2</v>
      </c>
      <c r="C18" s="5">
        <f>IF(A18="","", SUMIFS(計算シート!$W$2:$W$2000, 計算シート!$A$2:$A$2000, A18))</f>
        <v>7.616111000000004E-4</v>
      </c>
      <c r="D18" s="5">
        <f t="shared" si="5"/>
        <v>3.3611389025669069E-2</v>
      </c>
      <c r="E18" s="5">
        <f t="shared" si="6"/>
        <v>0.1090087616462494</v>
      </c>
    </row>
    <row r="19" spans="1:5" x14ac:dyDescent="0.2">
      <c r="A19" s="4">
        <f t="shared" si="4"/>
        <v>45504</v>
      </c>
      <c r="B19" s="5">
        <f>IF(A19="","", SUMIFS(計算シート!$V$2:$V$2000, 計算シート!$A$2:$A$2000, A19))</f>
        <v>1.6550543791884361E-2</v>
      </c>
      <c r="C19" s="5">
        <f>IF(A19="","", SUMIFS(計算シート!$W$2:$W$2000, 計算シート!$A$2:$A$2000, A19))</f>
        <v>7.7654400000000011E-4</v>
      </c>
      <c r="D19" s="5">
        <f t="shared" si="5"/>
        <v>5.0718219583528734E-2</v>
      </c>
      <c r="E19" s="5">
        <f t="shared" si="6"/>
        <v>0.10986995574605318</v>
      </c>
    </row>
    <row r="20" spans="1:5" x14ac:dyDescent="0.2">
      <c r="A20" s="4">
        <f t="shared" si="4"/>
        <v>45535</v>
      </c>
      <c r="B20" s="5">
        <f>IF(A20="","", SUMIFS(計算シート!$V$2:$V$2000, 計算シート!$A$2:$A$2000, A20))</f>
        <v>3.206090938036265E-2</v>
      </c>
      <c r="C20" s="5">
        <f>IF(A20="","", SUMIFS(計算シート!$W$2:$W$2000, 計算シート!$A$2:$A$2000, A20))</f>
        <v>-8.2615586999999994E-3</v>
      </c>
      <c r="D20" s="5">
        <f t="shared" si="5"/>
        <v>8.4405201205892233E-2</v>
      </c>
      <c r="E20" s="5">
        <f t="shared" si="6"/>
        <v>0.10070069995729081</v>
      </c>
    </row>
    <row r="21" spans="1:5" x14ac:dyDescent="0.2">
      <c r="A21" s="4">
        <f t="shared" si="4"/>
        <v>45565</v>
      </c>
      <c r="B21" s="5">
        <f>IF(A21="","", SUMIFS(計算シート!$V$2:$V$2000, 計算シート!$A$2:$A$2000, A21))</f>
        <v>1.4124399447995911E-3</v>
      </c>
      <c r="C21" s="5">
        <f>IF(A21="","", SUMIFS(計算シート!$W$2:$W$2000, 計算シート!$A$2:$A$2000, A21))</f>
        <v>-1.1948599100000002E-2</v>
      </c>
      <c r="D21" s="5">
        <f t="shared" si="5"/>
        <v>8.5936858428423912E-2</v>
      </c>
      <c r="E21" s="5">
        <f t="shared" si="6"/>
        <v>8.7548868564411686E-2</v>
      </c>
    </row>
    <row r="22" spans="1:5" x14ac:dyDescent="0.2">
      <c r="A22" s="4">
        <f t="shared" si="4"/>
        <v>45596</v>
      </c>
      <c r="B22" s="5">
        <f>IF(A22="","", SUMIFS(計算シート!$V$2:$V$2000, 計算シート!$A$2:$A$2000, A22))</f>
        <v>-7.4208410335129867E-3</v>
      </c>
      <c r="C22" s="5">
        <f>IF(A22="","", SUMIFS(計算シート!$W$2:$W$2000, 計算シート!$A$2:$A$2000, A22))</f>
        <v>3.8095439000000002E-3</v>
      </c>
      <c r="D22" s="5">
        <f t="shared" si="5"/>
        <v>7.7878293629594086E-2</v>
      </c>
      <c r="E22" s="5">
        <f t="shared" si="6"/>
        <v>9.1691933722603203E-2</v>
      </c>
    </row>
    <row r="23" spans="1:5" x14ac:dyDescent="0.2">
      <c r="A23" s="4">
        <f t="shared" si="4"/>
        <v>45626</v>
      </c>
      <c r="B23" s="5">
        <f>IF(A23="","", SUMIFS(計算シート!$V$2:$V$2000, 計算シート!$A$2:$A$2000, A23))</f>
        <v>2.0935357421763074E-2</v>
      </c>
      <c r="C23" s="5">
        <f>IF(A23="","", SUMIFS(計算シート!$W$2:$W$2000, 計算シート!$A$2:$A$2000, A23))</f>
        <v>-2.7700125999999999E-3</v>
      </c>
      <c r="D23" s="5">
        <f t="shared" si="5"/>
        <v>0.10044406096388969</v>
      </c>
      <c r="E23" s="5">
        <f t="shared" si="6"/>
        <v>8.8667933310873304E-2</v>
      </c>
    </row>
    <row r="24" spans="1:5" x14ac:dyDescent="0.2">
      <c r="A24" s="4">
        <f t="shared" si="4"/>
        <v>45657</v>
      </c>
      <c r="B24" s="5">
        <f>IF(A24="","", SUMIFS(計算シート!$V$2:$V$2000, 計算シート!$A$2:$A$2000, A24))</f>
        <v>1.3805609691192872E-2</v>
      </c>
      <c r="C24" s="5">
        <f>IF(A24="","", SUMIFS(計算シート!$W$2:$W$2000, 計算シート!$A$2:$A$2000, A24))</f>
        <v>1.5476683E-3</v>
      </c>
      <c r="D24" s="5">
        <f t="shared" si="5"/>
        <v>0.11563636215654838</v>
      </c>
      <c r="E24" s="5">
        <f t="shared" si="6"/>
        <v>9.0352830160485009E-2</v>
      </c>
    </row>
    <row r="25" spans="1:5" x14ac:dyDescent="0.2">
      <c r="A25" s="4">
        <f t="shared" si="4"/>
        <v>45688</v>
      </c>
      <c r="B25" s="5">
        <f>IF(A25="","", SUMIFS(計算シート!$V$2:$V$2000, 計算シート!$A$2:$A$2000, A25))</f>
        <v>1.2454811241537059E-2</v>
      </c>
      <c r="C25" s="5">
        <f>IF(A25="","", SUMIFS(計算シート!$W$2:$W$2000, 計算シート!$A$2:$A$2000, A25))</f>
        <v>-2.4935609999999966E-4</v>
      </c>
      <c r="D25" s="5">
        <f t="shared" si="5"/>
        <v>0.12953140246140316</v>
      </c>
      <c r="E25" s="5">
        <f t="shared" si="6"/>
        <v>9.0080944031132315E-2</v>
      </c>
    </row>
    <row r="26" spans="1:5" x14ac:dyDescent="0.2">
      <c r="A26" s="4">
        <f t="shared" si="4"/>
        <v>45716</v>
      </c>
      <c r="B26" s="5">
        <f>IF(A26="","", SUMIFS(計算シート!$V$2:$V$2000, 計算シート!$A$2:$A$2000, A26))</f>
        <v>-8.5597169478636315E-3</v>
      </c>
      <c r="C26" s="5">
        <f>IF(A26="","", SUMIFS(計算シート!$W$2:$W$2000, 計算シート!$A$2:$A$2000, A26))</f>
        <v>4.4939762999999999E-3</v>
      </c>
      <c r="D26" s="5">
        <f t="shared" si="5"/>
        <v>0.11986293337261023</v>
      </c>
      <c r="E26" s="5">
        <f t="shared" si="6"/>
        <v>9.4979741958689967E-2</v>
      </c>
    </row>
    <row r="27" spans="1:5" x14ac:dyDescent="0.2">
      <c r="A27" s="4">
        <f t="shared" si="4"/>
        <v>45747</v>
      </c>
      <c r="B27" s="5">
        <f>IF(A27="","", SUMIFS(計算シート!$V$2:$V$2000, 計算シート!$A$2:$A$2000, A27))</f>
        <v>5.7529658769153577E-3</v>
      </c>
      <c r="C27" s="5">
        <f>IF(A27="","", SUMIFS(計算シート!$W$2:$W$2000, 計算シート!$A$2:$A$2000, A27))</f>
        <v>1.2280009800000002E-2</v>
      </c>
      <c r="D27" s="5">
        <f t="shared" si="5"/>
        <v>0.12630546661512509</v>
      </c>
      <c r="E27" s="5">
        <f t="shared" si="6"/>
        <v>0.10842610392074414</v>
      </c>
    </row>
    <row r="28" spans="1:5" x14ac:dyDescent="0.2">
      <c r="A28" s="4">
        <f t="shared" si="4"/>
        <v>45777</v>
      </c>
      <c r="B28" s="5">
        <f>IF(A28="","", SUMIFS(計算シート!$V$2:$V$2000, 計算シート!$A$2:$A$2000, A28))</f>
        <v>0</v>
      </c>
      <c r="C28" s="5">
        <f>IF(A28="","", SUMIFS(計算シート!$W$2:$W$2000, 計算シート!$A$2:$A$2000, A28))</f>
        <v>0</v>
      </c>
      <c r="D28" s="5">
        <f t="shared" si="5"/>
        <v>0.12630546661512509</v>
      </c>
      <c r="E28" s="5">
        <f t="shared" si="6"/>
        <v>0.10842610392074414</v>
      </c>
    </row>
    <row r="29" spans="1:5" x14ac:dyDescent="0.2">
      <c r="A29" s="4">
        <f t="shared" si="4"/>
        <v>45808</v>
      </c>
      <c r="B29" s="5">
        <f>IF(A29="","", SUMIFS(計算シート!$V$2:$V$2000, 計算シート!$A$2:$A$2000, A29))</f>
        <v>0</v>
      </c>
      <c r="C29" s="5">
        <f>IF(A29="","", SUMIFS(計算シート!$W$2:$W$2000, 計算シート!$A$2:$A$2000, A29))</f>
        <v>0</v>
      </c>
      <c r="D29" s="5">
        <f t="shared" si="5"/>
        <v>0.12630546661512509</v>
      </c>
      <c r="E29" s="5">
        <f t="shared" si="6"/>
        <v>0.10842610392074414</v>
      </c>
    </row>
    <row r="30" spans="1:5" x14ac:dyDescent="0.2">
      <c r="A30" s="4">
        <f t="shared" si="4"/>
        <v>45838</v>
      </c>
      <c r="B30" s="5">
        <f>IF(A30="","", SUMIFS(計算シート!$V$2:$V$2000, 計算シート!$A$2:$A$2000, A30))</f>
        <v>0</v>
      </c>
      <c r="C30" s="5">
        <f>IF(A30="","", SUMIFS(計算シート!$W$2:$W$2000, 計算シート!$A$2:$A$2000, A30))</f>
        <v>0</v>
      </c>
      <c r="D30" s="5">
        <f t="shared" si="5"/>
        <v>0.12630546661512509</v>
      </c>
      <c r="E30" s="5">
        <f t="shared" si="6"/>
        <v>0.10842610392074414</v>
      </c>
    </row>
    <row r="31" spans="1:5" x14ac:dyDescent="0.2">
      <c r="A31" s="4">
        <f t="shared" si="4"/>
        <v>45869</v>
      </c>
      <c r="B31" s="5">
        <f>IF(A31="","", SUMIFS(計算シート!$V$2:$V$2000, 計算シート!$A$2:$A$2000, A31))</f>
        <v>0</v>
      </c>
      <c r="C31" s="5">
        <f>IF(A31="","", SUMIFS(計算シート!$W$2:$W$2000, 計算シート!$A$2:$A$2000, A31))</f>
        <v>0</v>
      </c>
      <c r="D31" s="5">
        <f t="shared" si="5"/>
        <v>0.12630546661512509</v>
      </c>
      <c r="E31" s="5">
        <f t="shared" si="6"/>
        <v>0.10842610392074414</v>
      </c>
    </row>
    <row r="32" spans="1:5" x14ac:dyDescent="0.2">
      <c r="A32" s="4">
        <f t="shared" si="4"/>
        <v>45900</v>
      </c>
      <c r="B32" s="5">
        <f>IF(A32="","", SUMIFS(計算シート!$V$2:$V$2000, 計算シート!$A$2:$A$2000, A32))</f>
        <v>0</v>
      </c>
      <c r="C32" s="5">
        <f>IF(A32="","", SUMIFS(計算シート!$W$2:$W$2000, 計算シート!$A$2:$A$2000, A32))</f>
        <v>0</v>
      </c>
      <c r="D32" s="5">
        <f t="shared" si="5"/>
        <v>0.12630546661512509</v>
      </c>
      <c r="E32" s="5">
        <f t="shared" si="6"/>
        <v>0.10842610392074414</v>
      </c>
    </row>
    <row r="33" spans="1:5" x14ac:dyDescent="0.2">
      <c r="A33" s="4">
        <f t="shared" si="4"/>
        <v>45930</v>
      </c>
      <c r="B33" s="5">
        <f>IF(A33="","", SUMIFS(計算シート!$V$2:$V$2000, 計算シート!$A$2:$A$2000, A33))</f>
        <v>0</v>
      </c>
      <c r="C33" s="5">
        <f>IF(A33="","", SUMIFS(計算シート!$W$2:$W$2000, 計算シート!$A$2:$A$2000, A33))</f>
        <v>0</v>
      </c>
      <c r="D33" s="5">
        <f t="shared" si="5"/>
        <v>0.12630546661512509</v>
      </c>
      <c r="E33" s="5">
        <f t="shared" si="6"/>
        <v>0.10842610392074414</v>
      </c>
    </row>
    <row r="34" spans="1:5" x14ac:dyDescent="0.2">
      <c r="A34" s="4">
        <f t="shared" si="4"/>
        <v>45961</v>
      </c>
      <c r="B34" s="5">
        <f>IF(A34="","", SUMIFS(計算シート!$V$2:$V$2000, 計算シート!$A$2:$A$2000, A34))</f>
        <v>0</v>
      </c>
      <c r="C34" s="5">
        <f>IF(A34="","", SUMIFS(計算シート!$W$2:$W$2000, 計算シート!$A$2:$A$2000, A34))</f>
        <v>0</v>
      </c>
      <c r="D34" s="5">
        <f t="shared" si="5"/>
        <v>0.12630546661512509</v>
      </c>
      <c r="E34" s="5">
        <f t="shared" si="6"/>
        <v>0.10842610392074414</v>
      </c>
    </row>
    <row r="35" spans="1:5" x14ac:dyDescent="0.2">
      <c r="A35" s="4">
        <f t="shared" si="4"/>
        <v>45991</v>
      </c>
      <c r="B35" s="5">
        <f>IF(A35="","", SUMIFS(計算シート!$V$2:$V$2000, 計算シート!$A$2:$A$2000, A35))</f>
        <v>0</v>
      </c>
      <c r="C35" s="5">
        <f>IF(A35="","", SUMIFS(計算シート!$W$2:$W$2000, 計算シート!$A$2:$A$2000, A35))</f>
        <v>0</v>
      </c>
      <c r="D35" s="5">
        <f t="shared" si="5"/>
        <v>0.12630546661512509</v>
      </c>
      <c r="E35" s="5">
        <f t="shared" si="6"/>
        <v>0.10842610392074414</v>
      </c>
    </row>
    <row r="36" spans="1:5" x14ac:dyDescent="0.2">
      <c r="A36" s="4">
        <f t="shared" ref="A36:A62" si="7">IF(A35="","", EOMONTH(A35, 1))</f>
        <v>46022</v>
      </c>
      <c r="B36" s="5">
        <f>IF(A36="","", SUMIFS(計算シート!$V$2:$V$2000, 計算シート!$A$2:$A$2000, A36))</f>
        <v>0</v>
      </c>
      <c r="C36" s="5">
        <f>IF(A36="","", SUMIFS(計算シート!$W$2:$W$2000, 計算シート!$A$2:$A$2000, A36))</f>
        <v>0</v>
      </c>
      <c r="D36" s="5">
        <f t="shared" ref="D36:D62" si="8">IF(A36="","", (1+D35)*(1+B36)-1)</f>
        <v>0.12630546661512509</v>
      </c>
      <c r="E36" s="5">
        <f t="shared" ref="E36:E62" si="9">IF(A36="","", (1+E35)*(1+C36)-1)</f>
        <v>0.10842610392074414</v>
      </c>
    </row>
    <row r="37" spans="1:5" x14ac:dyDescent="0.2">
      <c r="A37" s="4">
        <f t="shared" si="7"/>
        <v>46053</v>
      </c>
      <c r="B37" s="5">
        <f>IF(A37="","", SUMIFS(計算シート!$V$2:$V$2000, 計算シート!$A$2:$A$2000, A37))</f>
        <v>0</v>
      </c>
      <c r="C37" s="5">
        <f>IF(A37="","", SUMIFS(計算シート!$W$2:$W$2000, 計算シート!$A$2:$A$2000, A37))</f>
        <v>0</v>
      </c>
      <c r="D37" s="5">
        <f t="shared" si="8"/>
        <v>0.12630546661512509</v>
      </c>
      <c r="E37" s="5">
        <f t="shared" si="9"/>
        <v>0.10842610392074414</v>
      </c>
    </row>
    <row r="38" spans="1:5" x14ac:dyDescent="0.2">
      <c r="A38" s="4">
        <f t="shared" si="7"/>
        <v>46081</v>
      </c>
      <c r="B38" s="5">
        <f>IF(A38="","", SUMIFS(計算シート!$V$2:$V$2000, 計算シート!$A$2:$A$2000, A38))</f>
        <v>0</v>
      </c>
      <c r="C38" s="5">
        <f>IF(A38="","", SUMIFS(計算シート!$W$2:$W$2000, 計算シート!$A$2:$A$2000, A38))</f>
        <v>0</v>
      </c>
      <c r="D38" s="5">
        <f t="shared" si="8"/>
        <v>0.12630546661512509</v>
      </c>
      <c r="E38" s="5">
        <f t="shared" si="9"/>
        <v>0.10842610392074414</v>
      </c>
    </row>
    <row r="39" spans="1:5" x14ac:dyDescent="0.2">
      <c r="A39" s="4">
        <f t="shared" si="7"/>
        <v>46112</v>
      </c>
      <c r="B39" s="5">
        <f>IF(A39="","", SUMIFS(計算シート!$V$2:$V$2000, 計算シート!$A$2:$A$2000, A39))</f>
        <v>0</v>
      </c>
      <c r="C39" s="5">
        <f>IF(A39="","", SUMIFS(計算シート!$W$2:$W$2000, 計算シート!$A$2:$A$2000, A39))</f>
        <v>0</v>
      </c>
      <c r="D39" s="5">
        <f t="shared" si="8"/>
        <v>0.12630546661512509</v>
      </c>
      <c r="E39" s="5">
        <f t="shared" si="9"/>
        <v>0.10842610392074414</v>
      </c>
    </row>
    <row r="40" spans="1:5" x14ac:dyDescent="0.2">
      <c r="A40" s="4">
        <f t="shared" si="7"/>
        <v>46142</v>
      </c>
      <c r="B40" s="5">
        <f>IF(A40="","", SUMIFS(計算シート!$V$2:$V$2000, 計算シート!$A$2:$A$2000, A40))</f>
        <v>0</v>
      </c>
      <c r="C40" s="5">
        <f>IF(A40="","", SUMIFS(計算シート!$W$2:$W$2000, 計算シート!$A$2:$A$2000, A40))</f>
        <v>0</v>
      </c>
      <c r="D40" s="5">
        <f t="shared" si="8"/>
        <v>0.12630546661512509</v>
      </c>
      <c r="E40" s="5">
        <f t="shared" si="9"/>
        <v>0.10842610392074414</v>
      </c>
    </row>
    <row r="41" spans="1:5" x14ac:dyDescent="0.2">
      <c r="A41" s="4">
        <f t="shared" si="7"/>
        <v>46173</v>
      </c>
      <c r="B41" s="5">
        <f>IF(A41="","", SUMIFS(計算シート!$V$2:$V$2000, 計算シート!$A$2:$A$2000, A41))</f>
        <v>0</v>
      </c>
      <c r="C41" s="5">
        <f>IF(A41="","", SUMIFS(計算シート!$W$2:$W$2000, 計算シート!$A$2:$A$2000, A41))</f>
        <v>0</v>
      </c>
      <c r="D41" s="5">
        <f t="shared" si="8"/>
        <v>0.12630546661512509</v>
      </c>
      <c r="E41" s="5">
        <f t="shared" si="9"/>
        <v>0.10842610392074414</v>
      </c>
    </row>
    <row r="42" spans="1:5" x14ac:dyDescent="0.2">
      <c r="A42" s="4">
        <f t="shared" si="7"/>
        <v>46203</v>
      </c>
      <c r="B42" s="5">
        <f>IF(A42="","", SUMIFS(計算シート!$V$2:$V$2000, 計算シート!$A$2:$A$2000, A42))</f>
        <v>0</v>
      </c>
      <c r="C42" s="5">
        <f>IF(A42="","", SUMIFS(計算シート!$W$2:$W$2000, 計算シート!$A$2:$A$2000, A42))</f>
        <v>0</v>
      </c>
      <c r="D42" s="5">
        <f t="shared" si="8"/>
        <v>0.12630546661512509</v>
      </c>
      <c r="E42" s="5">
        <f t="shared" si="9"/>
        <v>0.10842610392074414</v>
      </c>
    </row>
    <row r="43" spans="1:5" x14ac:dyDescent="0.2">
      <c r="A43" s="4">
        <f t="shared" si="7"/>
        <v>46234</v>
      </c>
      <c r="B43" s="5">
        <f>IF(A43="","", SUMIFS(計算シート!$V$2:$V$2000, 計算シート!$A$2:$A$2000, A43))</f>
        <v>0</v>
      </c>
      <c r="C43" s="5">
        <f>IF(A43="","", SUMIFS(計算シート!$W$2:$W$2000, 計算シート!$A$2:$A$2000, A43))</f>
        <v>0</v>
      </c>
      <c r="D43" s="5">
        <f t="shared" si="8"/>
        <v>0.12630546661512509</v>
      </c>
      <c r="E43" s="5">
        <f t="shared" si="9"/>
        <v>0.10842610392074414</v>
      </c>
    </row>
    <row r="44" spans="1:5" x14ac:dyDescent="0.2">
      <c r="A44" s="4">
        <f t="shared" si="7"/>
        <v>46265</v>
      </c>
      <c r="B44" s="5">
        <f>IF(A44="","", SUMIFS(計算シート!$V$2:$V$2000, 計算シート!$A$2:$A$2000, A44))</f>
        <v>0</v>
      </c>
      <c r="C44" s="5">
        <f>IF(A44="","", SUMIFS(計算シート!$W$2:$W$2000, 計算シート!$A$2:$A$2000, A44))</f>
        <v>0</v>
      </c>
      <c r="D44" s="5">
        <f t="shared" si="8"/>
        <v>0.12630546661512509</v>
      </c>
      <c r="E44" s="5">
        <f t="shared" si="9"/>
        <v>0.10842610392074414</v>
      </c>
    </row>
    <row r="45" spans="1:5" x14ac:dyDescent="0.2">
      <c r="A45" s="4">
        <f t="shared" si="7"/>
        <v>46295</v>
      </c>
      <c r="B45" s="5">
        <f>IF(A45="","", SUMIFS(計算シート!$V$2:$V$2000, 計算シート!$A$2:$A$2000, A45))</f>
        <v>0</v>
      </c>
      <c r="C45" s="5">
        <f>IF(A45="","", SUMIFS(計算シート!$W$2:$W$2000, 計算シート!$A$2:$A$2000, A45))</f>
        <v>0</v>
      </c>
      <c r="D45" s="5">
        <f t="shared" si="8"/>
        <v>0.12630546661512509</v>
      </c>
      <c r="E45" s="5">
        <f t="shared" si="9"/>
        <v>0.10842610392074414</v>
      </c>
    </row>
    <row r="46" spans="1:5" x14ac:dyDescent="0.2">
      <c r="A46" s="4">
        <f t="shared" si="7"/>
        <v>46326</v>
      </c>
      <c r="B46" s="5">
        <f>IF(A46="","", SUMIFS(計算シート!$V$2:$V$2000, 計算シート!$A$2:$A$2000, A46))</f>
        <v>0</v>
      </c>
      <c r="C46" s="5">
        <f>IF(A46="","", SUMIFS(計算シート!$W$2:$W$2000, 計算シート!$A$2:$A$2000, A46))</f>
        <v>0</v>
      </c>
      <c r="D46" s="5">
        <f t="shared" si="8"/>
        <v>0.12630546661512509</v>
      </c>
      <c r="E46" s="5">
        <f t="shared" si="9"/>
        <v>0.10842610392074414</v>
      </c>
    </row>
    <row r="47" spans="1:5" x14ac:dyDescent="0.2">
      <c r="A47" s="4">
        <f t="shared" si="7"/>
        <v>46356</v>
      </c>
      <c r="B47" s="5">
        <f>IF(A47="","", SUMIFS(計算シート!$V$2:$V$2000, 計算シート!$A$2:$A$2000, A47))</f>
        <v>0</v>
      </c>
      <c r="C47" s="5">
        <f>IF(A47="","", SUMIFS(計算シート!$W$2:$W$2000, 計算シート!$A$2:$A$2000, A47))</f>
        <v>0</v>
      </c>
      <c r="D47" s="5">
        <f t="shared" si="8"/>
        <v>0.12630546661512509</v>
      </c>
      <c r="E47" s="5">
        <f t="shared" si="9"/>
        <v>0.10842610392074414</v>
      </c>
    </row>
    <row r="48" spans="1:5" x14ac:dyDescent="0.2">
      <c r="A48" s="4">
        <f t="shared" si="7"/>
        <v>46387</v>
      </c>
      <c r="B48" s="5">
        <f>IF(A48="","", SUMIFS(計算シート!$V$2:$V$2000, 計算シート!$A$2:$A$2000, A48))</f>
        <v>0</v>
      </c>
      <c r="C48" s="5">
        <f>IF(A48="","", SUMIFS(計算シート!$W$2:$W$2000, 計算シート!$A$2:$A$2000, A48))</f>
        <v>0</v>
      </c>
      <c r="D48" s="5">
        <f t="shared" si="8"/>
        <v>0.12630546661512509</v>
      </c>
      <c r="E48" s="5">
        <f t="shared" si="9"/>
        <v>0.10842610392074414</v>
      </c>
    </row>
    <row r="49" spans="1:5" x14ac:dyDescent="0.2">
      <c r="A49" s="4">
        <f t="shared" si="7"/>
        <v>46418</v>
      </c>
      <c r="B49" s="5">
        <f>IF(A49="","", SUMIFS(計算シート!$V$2:$V$2000, 計算シート!$A$2:$A$2000, A49))</f>
        <v>0</v>
      </c>
      <c r="C49" s="5">
        <f>IF(A49="","", SUMIFS(計算シート!$W$2:$W$2000, 計算シート!$A$2:$A$2000, A49))</f>
        <v>0</v>
      </c>
      <c r="D49" s="5">
        <f t="shared" si="8"/>
        <v>0.12630546661512509</v>
      </c>
      <c r="E49" s="5">
        <f t="shared" si="9"/>
        <v>0.10842610392074414</v>
      </c>
    </row>
    <row r="50" spans="1:5" x14ac:dyDescent="0.2">
      <c r="A50" s="4">
        <f t="shared" si="7"/>
        <v>46446</v>
      </c>
      <c r="B50" s="5">
        <f>IF(A50="","", SUMIFS(計算シート!$V$2:$V$2000, 計算シート!$A$2:$A$2000, A50))</f>
        <v>0</v>
      </c>
      <c r="C50" s="5">
        <f>IF(A50="","", SUMIFS(計算シート!$W$2:$W$2000, 計算シート!$A$2:$A$2000, A50))</f>
        <v>0</v>
      </c>
      <c r="D50" s="5">
        <f t="shared" si="8"/>
        <v>0.12630546661512509</v>
      </c>
      <c r="E50" s="5">
        <f t="shared" si="9"/>
        <v>0.10842610392074414</v>
      </c>
    </row>
    <row r="51" spans="1:5" x14ac:dyDescent="0.2">
      <c r="A51" s="4">
        <f t="shared" si="7"/>
        <v>46477</v>
      </c>
      <c r="B51" s="5">
        <f>IF(A51="","", SUMIFS(計算シート!$V$2:$V$2000, 計算シート!$A$2:$A$2000, A51))</f>
        <v>0</v>
      </c>
      <c r="C51" s="5">
        <f>IF(A51="","", SUMIFS(計算シート!$W$2:$W$2000, 計算シート!$A$2:$A$2000, A51))</f>
        <v>0</v>
      </c>
      <c r="D51" s="5">
        <f t="shared" si="8"/>
        <v>0.12630546661512509</v>
      </c>
      <c r="E51" s="5">
        <f t="shared" si="9"/>
        <v>0.10842610392074414</v>
      </c>
    </row>
    <row r="52" spans="1:5" x14ac:dyDescent="0.2">
      <c r="A52" s="4">
        <f t="shared" si="7"/>
        <v>46507</v>
      </c>
      <c r="B52" s="5">
        <f>IF(A52="","", SUMIFS(計算シート!$V$2:$V$2000, 計算シート!$A$2:$A$2000, A52))</f>
        <v>0</v>
      </c>
      <c r="C52" s="5">
        <f>IF(A52="","", SUMIFS(計算シート!$W$2:$W$2000, 計算シート!$A$2:$A$2000, A52))</f>
        <v>0</v>
      </c>
      <c r="D52" s="5">
        <f t="shared" si="8"/>
        <v>0.12630546661512509</v>
      </c>
      <c r="E52" s="5">
        <f t="shared" si="9"/>
        <v>0.10842610392074414</v>
      </c>
    </row>
    <row r="53" spans="1:5" x14ac:dyDescent="0.2">
      <c r="A53" s="4">
        <f t="shared" si="7"/>
        <v>46538</v>
      </c>
      <c r="B53" s="5">
        <f>IF(A53="","", SUMIFS(計算シート!$V$2:$V$2000, 計算シート!$A$2:$A$2000, A53))</f>
        <v>0</v>
      </c>
      <c r="C53" s="5">
        <f>IF(A53="","", SUMIFS(計算シート!$W$2:$W$2000, 計算シート!$A$2:$A$2000, A53))</f>
        <v>0</v>
      </c>
      <c r="D53" s="5">
        <f t="shared" si="8"/>
        <v>0.12630546661512509</v>
      </c>
      <c r="E53" s="5">
        <f t="shared" si="9"/>
        <v>0.10842610392074414</v>
      </c>
    </row>
    <row r="54" spans="1:5" x14ac:dyDescent="0.2">
      <c r="A54" s="4">
        <f t="shared" si="7"/>
        <v>46568</v>
      </c>
      <c r="B54" s="5">
        <f>IF(A54="","", SUMIFS(計算シート!$V$2:$V$2000, 計算シート!$A$2:$A$2000, A54))</f>
        <v>0</v>
      </c>
      <c r="C54" s="5">
        <f>IF(A54="","", SUMIFS(計算シート!$W$2:$W$2000, 計算シート!$A$2:$A$2000, A54))</f>
        <v>0</v>
      </c>
      <c r="D54" s="5">
        <f t="shared" si="8"/>
        <v>0.12630546661512509</v>
      </c>
      <c r="E54" s="5">
        <f t="shared" si="9"/>
        <v>0.10842610392074414</v>
      </c>
    </row>
    <row r="55" spans="1:5" x14ac:dyDescent="0.2">
      <c r="A55" s="4">
        <f t="shared" si="7"/>
        <v>46599</v>
      </c>
      <c r="B55" s="5">
        <f>IF(A55="","", SUMIFS(計算シート!$V$2:$V$2000, 計算シート!$A$2:$A$2000, A55))</f>
        <v>0</v>
      </c>
      <c r="C55" s="5">
        <f>IF(A55="","", SUMIFS(計算シート!$W$2:$W$2000, 計算シート!$A$2:$A$2000, A55))</f>
        <v>0</v>
      </c>
      <c r="D55" s="5">
        <f t="shared" si="8"/>
        <v>0.12630546661512509</v>
      </c>
      <c r="E55" s="5">
        <f t="shared" si="9"/>
        <v>0.10842610392074414</v>
      </c>
    </row>
    <row r="56" spans="1:5" x14ac:dyDescent="0.2">
      <c r="A56" s="4">
        <f t="shared" si="7"/>
        <v>46630</v>
      </c>
      <c r="B56" s="5">
        <f>IF(A56="","", SUMIFS(計算シート!$V$2:$V$2000, 計算シート!$A$2:$A$2000, A56))</f>
        <v>0</v>
      </c>
      <c r="C56" s="5">
        <f>IF(A56="","", SUMIFS(計算シート!$W$2:$W$2000, 計算シート!$A$2:$A$2000, A56))</f>
        <v>0</v>
      </c>
      <c r="D56" s="5">
        <f t="shared" si="8"/>
        <v>0.12630546661512509</v>
      </c>
      <c r="E56" s="5">
        <f t="shared" si="9"/>
        <v>0.10842610392074414</v>
      </c>
    </row>
    <row r="57" spans="1:5" x14ac:dyDescent="0.2">
      <c r="A57" s="4">
        <f t="shared" si="7"/>
        <v>46660</v>
      </c>
      <c r="B57" s="5">
        <f>IF(A57="","", SUMIFS(計算シート!$V$2:$V$2000, 計算シート!$A$2:$A$2000, A57))</f>
        <v>0</v>
      </c>
      <c r="C57" s="5">
        <f>IF(A57="","", SUMIFS(計算シート!$W$2:$W$2000, 計算シート!$A$2:$A$2000, A57))</f>
        <v>0</v>
      </c>
      <c r="D57" s="5">
        <f t="shared" si="8"/>
        <v>0.12630546661512509</v>
      </c>
      <c r="E57" s="5">
        <f t="shared" si="9"/>
        <v>0.10842610392074414</v>
      </c>
    </row>
    <row r="58" spans="1:5" x14ac:dyDescent="0.2">
      <c r="A58" s="4">
        <f t="shared" si="7"/>
        <v>46691</v>
      </c>
      <c r="B58" s="5">
        <f>IF(A58="","", SUMIFS(計算シート!$V$2:$V$2000, 計算シート!$A$2:$A$2000, A58))</f>
        <v>0</v>
      </c>
      <c r="C58" s="5">
        <f>IF(A58="","", SUMIFS(計算シート!$W$2:$W$2000, 計算シート!$A$2:$A$2000, A58))</f>
        <v>0</v>
      </c>
      <c r="D58" s="5">
        <f t="shared" si="8"/>
        <v>0.12630546661512509</v>
      </c>
      <c r="E58" s="5">
        <f t="shared" si="9"/>
        <v>0.10842610392074414</v>
      </c>
    </row>
    <row r="59" spans="1:5" x14ac:dyDescent="0.2">
      <c r="A59" s="4">
        <f t="shared" si="7"/>
        <v>46721</v>
      </c>
      <c r="B59" s="5">
        <f>IF(A59="","", SUMIFS(計算シート!$V$2:$V$2000, 計算シート!$A$2:$A$2000, A59))</f>
        <v>0</v>
      </c>
      <c r="C59" s="5">
        <f>IF(A59="","", SUMIFS(計算シート!$W$2:$W$2000, 計算シート!$A$2:$A$2000, A59))</f>
        <v>0</v>
      </c>
      <c r="D59" s="5">
        <f t="shared" si="8"/>
        <v>0.12630546661512509</v>
      </c>
      <c r="E59" s="5">
        <f t="shared" si="9"/>
        <v>0.10842610392074414</v>
      </c>
    </row>
    <row r="60" spans="1:5" x14ac:dyDescent="0.2">
      <c r="A60" s="4">
        <f t="shared" si="7"/>
        <v>46752</v>
      </c>
      <c r="B60" s="5">
        <f>IF(A60="","", SUMIFS(計算シート!$V$2:$V$2000, 計算シート!$A$2:$A$2000, A60))</f>
        <v>0</v>
      </c>
      <c r="C60" s="5">
        <f>IF(A60="","", SUMIFS(計算シート!$W$2:$W$2000, 計算シート!$A$2:$A$2000, A60))</f>
        <v>0</v>
      </c>
      <c r="D60" s="5">
        <f t="shared" si="8"/>
        <v>0.12630546661512509</v>
      </c>
      <c r="E60" s="5">
        <f t="shared" si="9"/>
        <v>0.10842610392074414</v>
      </c>
    </row>
    <row r="61" spans="1:5" x14ac:dyDescent="0.2">
      <c r="A61" s="4">
        <f t="shared" si="7"/>
        <v>46783</v>
      </c>
      <c r="B61" s="5">
        <f>IF(A61="","", SUMIFS(計算シート!$V$2:$V$2000, 計算シート!$A$2:$A$2000, A61))</f>
        <v>0</v>
      </c>
      <c r="C61" s="5">
        <f>IF(A61="","", SUMIFS(計算シート!$W$2:$W$2000, 計算シート!$A$2:$A$2000, A61))</f>
        <v>0</v>
      </c>
      <c r="D61" s="5">
        <f t="shared" si="8"/>
        <v>0.12630546661512509</v>
      </c>
      <c r="E61" s="5">
        <f t="shared" si="9"/>
        <v>0.10842610392074414</v>
      </c>
    </row>
    <row r="62" spans="1:5" x14ac:dyDescent="0.2">
      <c r="A62" s="4">
        <f t="shared" si="7"/>
        <v>46812</v>
      </c>
      <c r="B62" s="5">
        <f>IF(A62="","", SUMIFS(計算シート!$V$2:$V$2000, 計算シート!$A$2:$A$2000, A62))</f>
        <v>0</v>
      </c>
      <c r="C62" s="5">
        <f>IF(A62="","", SUMIFS(計算シート!$W$2:$W$2000, 計算シート!$A$2:$A$2000, A62))</f>
        <v>0</v>
      </c>
      <c r="D62" s="5">
        <f t="shared" si="8"/>
        <v>0.12630546661512509</v>
      </c>
      <c r="E62" s="5">
        <f t="shared" si="9"/>
        <v>0.10842610392074414</v>
      </c>
    </row>
    <row r="63" spans="1:5" x14ac:dyDescent="0.2">
      <c r="B63" s="5">
        <f>SUM(B3:B62)</f>
        <v>0.12077395358936155</v>
      </c>
      <c r="C63" s="5">
        <f>SUM(C3:C62)</f>
        <v>0.10381532750000001</v>
      </c>
      <c r="D63" s="5"/>
      <c r="E63" s="5"/>
    </row>
  </sheetData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ポートフォリオ実績</vt:lpstr>
      <vt:lpstr>ベンチマークリターン</vt:lpstr>
      <vt:lpstr>基準資産配分（設定）</vt:lpstr>
      <vt:lpstr>計算シート</vt:lpstr>
      <vt:lpstr>ダッシュボード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智康 辻</cp:lastModifiedBy>
  <dcterms:created xsi:type="dcterms:W3CDTF">2025-11-05T04:52:17Z</dcterms:created>
  <dcterms:modified xsi:type="dcterms:W3CDTF">2025-11-05T05:09:34Z</dcterms:modified>
</cp:coreProperties>
</file>