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インプット" sheetId="1" r:id="rId1"/>
    <sheet name="Bull" sheetId="2" r:id="rId2"/>
    <sheet name="Base" sheetId="3" r:id="rId3"/>
    <sheet name="Bear" sheetId="4" r:id="rId4"/>
  </sheets>
  <calcPr calcId="124519" fullCalcOnLoad="1"/>
</workbook>
</file>

<file path=xl/sharedStrings.xml><?xml version="1.0" encoding="utf-8"?>
<sst xmlns="http://schemas.openxmlformats.org/spreadsheetml/2006/main" count="249" uniqueCount="101">
  <si>
    <t>■ 基礎データ</t>
  </si>
  <si>
    <t>資産区分</t>
  </si>
  <si>
    <t>時価(億円)</t>
  </si>
  <si>
    <t>簿価(億円)</t>
  </si>
  <si>
    <t>債券</t>
  </si>
  <si>
    <t>株式</t>
  </si>
  <si>
    <t>プライベート</t>
  </si>
  <si>
    <t>■ 目標構成比</t>
  </si>
  <si>
    <t>下限</t>
  </si>
  <si>
    <t>中央</t>
  </si>
  <si>
    <t>上限</t>
  </si>
  <si>
    <t>伝統資産うち債券</t>
  </si>
  <si>
    <t>伝統資産うち株式</t>
  </si>
  <si>
    <t>プライベート資産</t>
  </si>
  <si>
    <t>■ 償還スケジュール(億円・簿価ベース)</t>
  </si>
  <si>
    <t>2026</t>
  </si>
  <si>
    <t>2027</t>
  </si>
  <si>
    <t>2028</t>
  </si>
  <si>
    <t>2029</t>
  </si>
  <si>
    <t>2030</t>
  </si>
  <si>
    <t>■ 投資額(億円)</t>
  </si>
  <si>
    <t>項目</t>
  </si>
  <si>
    <t>伝統資産</t>
  </si>
  <si>
    <t>■ パラメータ（数式で使用・変更可能）</t>
  </si>
  <si>
    <t>← オレンジ枠の値を変更するとリターン計算に反映</t>
  </si>
  <si>
    <t>値</t>
  </si>
  <si>
    <t>説明</t>
  </si>
  <si>
    <t>内債デュレーション</t>
  </si>
  <si>
    <t>金利変動に対する価格感応度</t>
  </si>
  <si>
    <t>ユーロ円債デュレーション</t>
  </si>
  <si>
    <t>外債米ドルデュレーション</t>
  </si>
  <si>
    <t>外債豪ドルデュレーション</t>
  </si>
  <si>
    <t>ユーロ円債スプレッド(対JGB)</t>
  </si>
  <si>
    <t>JGB利回りに加算</t>
  </si>
  <si>
    <t>外債豪ドルスプレッド(対UST)</t>
  </si>
  <si>
    <t>豪ドル債 金利感応度係数</t>
  </si>
  <si>
    <t>UST変動に対する豪ドル債の感応度</t>
  </si>
  <si>
    <t>■ 債券ウェイト（加重平均計算用）</t>
  </si>
  <si>
    <t>資産</t>
  </si>
  <si>
    <t>初期時価(億円)</t>
  </si>
  <si>
    <t>ウェイト</t>
  </si>
  <si>
    <t>内債</t>
  </si>
  <si>
    <t>ユーロ円債</t>
  </si>
  <si>
    <t>外債米ドル建て</t>
  </si>
  <si>
    <t>外債豪ドル建て</t>
  </si>
  <si>
    <t>■ ハウスビュー（年度末水準） — Bull(楽観)</t>
  </si>
  <si>
    <t>← オレンジ枠に日興証券等のデータを入力</t>
  </si>
  <si>
    <t>指標</t>
  </si>
  <si>
    <t>現在値</t>
  </si>
  <si>
    <t>日本国債10年利回り(%)</t>
  </si>
  <si>
    <t>米国債10年利回り(%)</t>
  </si>
  <si>
    <t>ドル/円</t>
  </si>
  <si>
    <t>豪ドル/円</t>
  </si>
  <si>
    <t>TOPIX</t>
  </si>
  <si>
    <t>■ ハウスビュー（年度末水準） — Base(中央)</t>
  </si>
  <si>
    <t>■ ハウスビュー（年度末水準） — Bear(悲観)</t>
  </si>
  <si>
    <t>■ 算出リターン（自動計算） — Bull(楽観)</t>
  </si>
  <si>
    <t>※ ハウスビュー＋パラメータから自動算出</t>
  </si>
  <si>
    <t>内債ﾘﾀｰﾝ</t>
  </si>
  <si>
    <t>ユーロ円債ﾘﾀｰﾝ</t>
  </si>
  <si>
    <t>外債米ドルﾘﾀｰﾝ</t>
  </si>
  <si>
    <t>外債豪ドルﾘﾀｰﾝ</t>
  </si>
  <si>
    <t>国内株式ﾘﾀｰﾝ</t>
  </si>
  <si>
    <t>債券加重平均ﾘﾀｰﾝ</t>
  </si>
  <si>
    <t>株式ﾘﾀｰﾝ</t>
  </si>
  <si>
    <t>■ 算出リターン（自動計算） — Base(中央)</t>
  </si>
  <si>
    <t>■ 算出リターン（自動計算） — Bear(悲観)</t>
  </si>
  <si>
    <t>■ 最適配分（逆算結果・参考）</t>
  </si>
  <si>
    <t>シナリオ</t>
  </si>
  <si>
    <t>Bull(楽観)</t>
  </si>
  <si>
    <t>Base(中央)</t>
  </si>
  <si>
    <t>Bear(悲観)</t>
  </si>
  <si>
    <t>■ Bull(楽観) シミュレーション</t>
  </si>
  <si>
    <t>配分比率(オレンジ枠)を変更可。リターンはインプットシートから自動計算。</t>
  </si>
  <si>
    <t>株式配分比率 ← 変更可</t>
  </si>
  <si>
    <t>債券配分比率</t>
  </si>
  <si>
    <t>債券期待ﾘﾀｰﾝ(自動)</t>
  </si>
  <si>
    <t>株式期待ﾘﾀｰﾝ(自動)</t>
  </si>
  <si>
    <t xml:space="preserve"> 現状</t>
  </si>
  <si>
    <t>目標</t>
  </si>
  <si>
    <t>債券償還(簿価)</t>
  </si>
  <si>
    <t>株式償還</t>
  </si>
  <si>
    <t>伝統資産投資</t>
  </si>
  <si>
    <t>ﾌﾟﾗｲﾍﾞｰﾄ投資</t>
  </si>
  <si>
    <t>→ 債券投資</t>
  </si>
  <si>
    <t>→ 株式投資</t>
  </si>
  <si>
    <t>債券残高(時価)</t>
  </si>
  <si>
    <t>株式残高(時価)</t>
  </si>
  <si>
    <t>ﾌﾟﾗｲﾍﾞｰﾄ残高</t>
  </si>
  <si>
    <t>合計(時価)</t>
  </si>
  <si>
    <t>債券構成比</t>
  </si>
  <si>
    <t>株式構成比</t>
  </si>
  <si>
    <t>ﾌﾟﾗｲﾍﾞｰﾄ構成比</t>
  </si>
  <si>
    <t>債券残高(簿価)</t>
  </si>
  <si>
    <t>株式残高(簿価)</t>
  </si>
  <si>
    <t>ﾌﾟﾗｲﾍﾞｰﾄ(簿価)</t>
  </si>
  <si>
    <t>合計(簿価)</t>
  </si>
  <si>
    <t>評価損益(債券)</t>
  </si>
  <si>
    <t>評価損益(株式)</t>
  </si>
  <si>
    <t>■ Base(中央) シミュレーション</t>
  </si>
  <si>
    <t>■ Bear(悲観) シミュレーション</t>
  </si>
</sst>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#,##0.00"/>
    <numFmt numFmtId="167" formatCode="0.00%"/>
    <numFmt numFmtId="168" formatCode="0.0000"/>
    <numFmt numFmtId="169" formatCode="0%"/>
  </numFmts>
  <fonts count="7">
    <font>
      <sz val="11"/>
      <color theme="1"/>
      <name val="Calibri"/>
      <family val="2"/>
      <scheme val="minor"/>
    </font>
    <font>
      <b/>
      <sz val="14"/>
      <color rgb="FF1A73E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88888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D47A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0F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6D00"/>
      </left>
      <right style="medium">
        <color rgb="FFFF6D00"/>
      </right>
      <top style="medium">
        <color rgb="FFFF6D00"/>
      </top>
      <bottom style="medium">
        <color rgb="FFFF6D0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/>
    <xf numFmtId="166" fontId="4" fillId="3" borderId="2" xfId="0" applyNumberFormat="1" applyFont="1" applyFill="1" applyBorder="1"/>
    <xf numFmtId="167" fontId="0" fillId="0" borderId="1" xfId="0" applyNumberFormat="1" applyBorder="1"/>
    <xf numFmtId="0" fontId="5" fillId="0" borderId="3" xfId="0" applyFont="1" applyBorder="1"/>
    <xf numFmtId="168" fontId="0" fillId="0" borderId="1" xfId="0" applyNumberFormat="1" applyBorder="1"/>
    <xf numFmtId="167" fontId="0" fillId="4" borderId="1" xfId="0" applyNumberFormat="1" applyFill="1" applyBorder="1"/>
    <xf numFmtId="0" fontId="4" fillId="0" borderId="0" xfId="0" applyFont="1"/>
    <xf numFmtId="169" fontId="6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Bull(楽観) 構成比推移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債券</c:v>
          </c:tx>
          <c:spPr>
            <a:solidFill>
              <a:srgbClr val="1A73E8"/>
            </a:solidFill>
          </c:spPr>
          <c:cat>
            <c:strRef>
              <c:f>Bull!$B$9:$H$9</c:f>
              <c:strCache>
                <c:ptCount val="7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目標</c:v>
                </c:pt>
              </c:strCache>
            </c:strRef>
          </c:cat>
          <c:val>
            <c:numRef>
              <c:f>Bull!$B$22:$H$22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0.45</c:v>
                </c:pt>
              </c:numCache>
            </c:numRef>
          </c:val>
        </c:ser>
        <c:ser>
          <c:idx val="1"/>
          <c:order val="1"/>
          <c:tx>
            <c:v>株式</c:v>
          </c:tx>
          <c:spPr>
            <a:solidFill>
              <a:srgbClr val="FF6D00"/>
            </a:solidFill>
          </c:spPr>
          <c:cat>
            <c:strRef>
              <c:f>Bull!$B$9:$H$9</c:f>
              <c:strCache>
                <c:ptCount val="7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目標</c:v>
                </c:pt>
              </c:strCache>
            </c:strRef>
          </c:cat>
          <c:val>
            <c:numRef>
              <c:f>Bull!$B$23:$H$23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</c:numCache>
            </c:numRef>
          </c:val>
        </c:ser>
        <c:ser>
          <c:idx val="2"/>
          <c:order val="2"/>
          <c:tx>
            <c:v>ﾌﾟﾗｲﾍﾞｰﾄ</c:v>
          </c:tx>
          <c:spPr>
            <a:solidFill>
              <a:srgbClr val="9C27B0"/>
            </a:solidFill>
          </c:spPr>
          <c:cat>
            <c:strRef>
              <c:f>Bull!$B$9:$H$9</c:f>
              <c:strCache>
                <c:ptCount val="7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目標</c:v>
                </c:pt>
              </c:strCache>
            </c:strRef>
          </c:cat>
          <c:val>
            <c:numRef>
              <c:f>Bull!$B$24:$H$24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構成比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Bull(楽観) 残高推移(億円)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債券</c:v>
          </c:tx>
          <c:spPr>
            <a:solidFill>
              <a:srgbClr val="1A73E8"/>
            </a:solidFill>
          </c:spPr>
          <c:cat>
            <c:strRef>
              <c:f>Bull!$B$9:$G$9</c:f>
              <c:strCache>
                <c:ptCount val="6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Bull!$B$17:$G$17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株式</c:v>
          </c:tx>
          <c:spPr>
            <a:solidFill>
              <a:srgbClr val="FF6D00"/>
            </a:solidFill>
          </c:spPr>
          <c:cat>
            <c:strRef>
              <c:f>Bull!$B$9:$G$9</c:f>
              <c:strCache>
                <c:ptCount val="6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Bull!$B$18:$G$18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ﾌﾟﾗｲﾍﾞｰﾄ</c:v>
          </c:tx>
          <c:spPr>
            <a:solidFill>
              <a:srgbClr val="9C27B0"/>
            </a:solidFill>
          </c:spPr>
          <c:cat>
            <c:strRef>
              <c:f>Bull!$B$9:$G$9</c:f>
              <c:strCache>
                <c:ptCount val="6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Bull!$B$19:$G$19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残高(億円)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Base(中央) 構成比推移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債券</c:v>
          </c:tx>
          <c:spPr>
            <a:solidFill>
              <a:srgbClr val="1A73E8"/>
            </a:solidFill>
          </c:spPr>
          <c:cat>
            <c:strRef>
              <c:f>Base!$B$9:$H$9</c:f>
              <c:strCache>
                <c:ptCount val="7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目標</c:v>
                </c:pt>
              </c:strCache>
            </c:strRef>
          </c:cat>
          <c:val>
            <c:numRef>
              <c:f>Base!$B$22:$H$22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0.45</c:v>
                </c:pt>
              </c:numCache>
            </c:numRef>
          </c:val>
        </c:ser>
        <c:ser>
          <c:idx val="1"/>
          <c:order val="1"/>
          <c:tx>
            <c:v>株式</c:v>
          </c:tx>
          <c:spPr>
            <a:solidFill>
              <a:srgbClr val="FF6D00"/>
            </a:solidFill>
          </c:spPr>
          <c:cat>
            <c:strRef>
              <c:f>Base!$B$9:$H$9</c:f>
              <c:strCache>
                <c:ptCount val="7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目標</c:v>
                </c:pt>
              </c:strCache>
            </c:strRef>
          </c:cat>
          <c:val>
            <c:numRef>
              <c:f>Base!$B$23:$H$23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</c:numCache>
            </c:numRef>
          </c:val>
        </c:ser>
        <c:ser>
          <c:idx val="2"/>
          <c:order val="2"/>
          <c:tx>
            <c:v>ﾌﾟﾗｲﾍﾞｰﾄ</c:v>
          </c:tx>
          <c:spPr>
            <a:solidFill>
              <a:srgbClr val="9C27B0"/>
            </a:solidFill>
          </c:spPr>
          <c:cat>
            <c:strRef>
              <c:f>Base!$B$9:$H$9</c:f>
              <c:strCache>
                <c:ptCount val="7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目標</c:v>
                </c:pt>
              </c:strCache>
            </c:strRef>
          </c:cat>
          <c:val>
            <c:numRef>
              <c:f>Base!$B$24:$H$24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構成比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Base(中央) 残高推移(億円)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債券</c:v>
          </c:tx>
          <c:spPr>
            <a:solidFill>
              <a:srgbClr val="1A73E8"/>
            </a:solidFill>
          </c:spPr>
          <c:cat>
            <c:strRef>
              <c:f>Base!$B$9:$G$9</c:f>
              <c:strCache>
                <c:ptCount val="6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Base!$B$17:$G$17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株式</c:v>
          </c:tx>
          <c:spPr>
            <a:solidFill>
              <a:srgbClr val="FF6D00"/>
            </a:solidFill>
          </c:spPr>
          <c:cat>
            <c:strRef>
              <c:f>Base!$B$9:$G$9</c:f>
              <c:strCache>
                <c:ptCount val="6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Base!$B$18:$G$18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ﾌﾟﾗｲﾍﾞｰﾄ</c:v>
          </c:tx>
          <c:spPr>
            <a:solidFill>
              <a:srgbClr val="9C27B0"/>
            </a:solidFill>
          </c:spPr>
          <c:cat>
            <c:strRef>
              <c:f>Base!$B$9:$G$9</c:f>
              <c:strCache>
                <c:ptCount val="6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Base!$B$19:$G$19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残高(億円)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Bear(悲観) 構成比推移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債券</c:v>
          </c:tx>
          <c:spPr>
            <a:solidFill>
              <a:srgbClr val="1A73E8"/>
            </a:solidFill>
          </c:spPr>
          <c:cat>
            <c:strRef>
              <c:f>Bear!$B$9:$H$9</c:f>
              <c:strCache>
                <c:ptCount val="7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目標</c:v>
                </c:pt>
              </c:strCache>
            </c:strRef>
          </c:cat>
          <c:val>
            <c:numRef>
              <c:f>Bear!$B$22:$H$22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0.45</c:v>
                </c:pt>
              </c:numCache>
            </c:numRef>
          </c:val>
        </c:ser>
        <c:ser>
          <c:idx val="1"/>
          <c:order val="1"/>
          <c:tx>
            <c:v>株式</c:v>
          </c:tx>
          <c:spPr>
            <a:solidFill>
              <a:srgbClr val="FF6D00"/>
            </a:solidFill>
          </c:spPr>
          <c:cat>
            <c:strRef>
              <c:f>Bear!$B$9:$H$9</c:f>
              <c:strCache>
                <c:ptCount val="7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目標</c:v>
                </c:pt>
              </c:strCache>
            </c:strRef>
          </c:cat>
          <c:val>
            <c:numRef>
              <c:f>Bear!$B$23:$H$23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</c:numCache>
            </c:numRef>
          </c:val>
        </c:ser>
        <c:ser>
          <c:idx val="2"/>
          <c:order val="2"/>
          <c:tx>
            <c:v>ﾌﾟﾗｲﾍﾞｰﾄ</c:v>
          </c:tx>
          <c:spPr>
            <a:solidFill>
              <a:srgbClr val="9C27B0"/>
            </a:solidFill>
          </c:spPr>
          <c:cat>
            <c:strRef>
              <c:f>Bear!$B$9:$H$9</c:f>
              <c:strCache>
                <c:ptCount val="7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目標</c:v>
                </c:pt>
              </c:strCache>
            </c:strRef>
          </c:cat>
          <c:val>
            <c:numRef>
              <c:f>Bear!$B$24:$H$24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1.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構成比</a:t>
                </a:r>
              </a:p>
            </c:rich>
          </c:tx>
          <c:layout/>
        </c:title>
        <c:numFmt formatCode="0%" sourceLinked="0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Bear(悲観) 残高推移(億円)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債券</c:v>
          </c:tx>
          <c:spPr>
            <a:solidFill>
              <a:srgbClr val="1A73E8"/>
            </a:solidFill>
          </c:spPr>
          <c:cat>
            <c:strRef>
              <c:f>Bear!$B$9:$G$9</c:f>
              <c:strCache>
                <c:ptCount val="6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Bear!$B$17:$G$17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株式</c:v>
          </c:tx>
          <c:spPr>
            <a:solidFill>
              <a:srgbClr val="FF6D00"/>
            </a:solidFill>
          </c:spPr>
          <c:cat>
            <c:strRef>
              <c:f>Bear!$B$9:$G$9</c:f>
              <c:strCache>
                <c:ptCount val="6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Bear!$B$18:$G$18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ﾌﾟﾗｲﾍﾞｰﾄ</c:v>
          </c:tx>
          <c:spPr>
            <a:solidFill>
              <a:srgbClr val="9C27B0"/>
            </a:solidFill>
          </c:spPr>
          <c:cat>
            <c:strRef>
              <c:f>Bear!$B$9:$G$9</c:f>
              <c:strCache>
                <c:ptCount val="6"/>
                <c:pt idx="0">
                  <c:v> 現状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Bear!$B$19:$G$19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残高(億円)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0</xdr:rowOff>
    </xdr:from>
    <xdr:to>
      <xdr:col>5</xdr:col>
      <xdr:colOff>790575</xdr:colOff>
      <xdr:row>51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5</xdr:col>
      <xdr:colOff>790575</xdr:colOff>
      <xdr:row>72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0</xdr:rowOff>
    </xdr:from>
    <xdr:to>
      <xdr:col>5</xdr:col>
      <xdr:colOff>790575</xdr:colOff>
      <xdr:row>51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5</xdr:col>
      <xdr:colOff>790575</xdr:colOff>
      <xdr:row>72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0</xdr:rowOff>
    </xdr:from>
    <xdr:to>
      <xdr:col>5</xdr:col>
      <xdr:colOff>790575</xdr:colOff>
      <xdr:row>51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5</xdr:col>
      <xdr:colOff>790575</xdr:colOff>
      <xdr:row>72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9"/>
  <sheetViews>
    <sheetView tabSelected="1" workbookViewId="0"/>
  </sheetViews>
  <sheetFormatPr defaultRowHeight="15"/>
  <cols>
    <col min="1" max="1" width="26.7109375" customWidth="1"/>
    <col min="2" max="8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</row>
    <row r="3" spans="1:6">
      <c r="A3" s="3" t="s">
        <v>4</v>
      </c>
      <c r="B3" s="4">
        <v>575</v>
      </c>
      <c r="C3" s="4">
        <v>516</v>
      </c>
    </row>
    <row r="4" spans="1:6">
      <c r="A4" s="3" t="s">
        <v>5</v>
      </c>
      <c r="B4" s="4">
        <v>125</v>
      </c>
      <c r="C4" s="4">
        <v>119</v>
      </c>
    </row>
    <row r="5" spans="1:6">
      <c r="A5" s="3" t="s">
        <v>6</v>
      </c>
      <c r="B5" s="4">
        <v>70</v>
      </c>
      <c r="C5" s="4">
        <v>70</v>
      </c>
    </row>
    <row r="7" spans="1:6">
      <c r="A7" s="1" t="s">
        <v>7</v>
      </c>
    </row>
    <row r="8" spans="1:6">
      <c r="A8" s="2" t="s">
        <v>1</v>
      </c>
      <c r="B8" s="2" t="s">
        <v>8</v>
      </c>
      <c r="C8" s="2" t="s">
        <v>9</v>
      </c>
      <c r="D8" s="2" t="s">
        <v>10</v>
      </c>
    </row>
    <row r="9" spans="1:6">
      <c r="A9" s="3" t="s">
        <v>11</v>
      </c>
      <c r="B9" s="5">
        <v>0.4</v>
      </c>
      <c r="C9" s="5">
        <v>0.45</v>
      </c>
      <c r="D9" s="5">
        <v>0.5</v>
      </c>
    </row>
    <row r="10" spans="1:6">
      <c r="A10" s="3" t="s">
        <v>12</v>
      </c>
      <c r="B10" s="5">
        <v>0.2</v>
      </c>
      <c r="C10" s="5">
        <v>0.25</v>
      </c>
      <c r="D10" s="5">
        <v>0.3</v>
      </c>
    </row>
    <row r="11" spans="1:6">
      <c r="A11" s="3" t="s">
        <v>13</v>
      </c>
      <c r="B11" s="5">
        <v>0.2</v>
      </c>
      <c r="C11" s="5">
        <v>0.25</v>
      </c>
      <c r="D11" s="5">
        <v>0.3</v>
      </c>
    </row>
    <row r="13" spans="1:6">
      <c r="A13" s="1" t="s">
        <v>14</v>
      </c>
    </row>
    <row r="14" spans="1:6">
      <c r="A14" s="2" t="s">
        <v>1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</row>
    <row r="15" spans="1:6">
      <c r="A15" s="3" t="s">
        <v>4</v>
      </c>
      <c r="B15" s="4">
        <v>33</v>
      </c>
      <c r="C15" s="4">
        <v>42</v>
      </c>
      <c r="D15" s="4">
        <v>31</v>
      </c>
      <c r="E15" s="4">
        <v>64.5</v>
      </c>
      <c r="F15" s="4">
        <v>59</v>
      </c>
    </row>
    <row r="16" spans="1:6">
      <c r="A16" s="3" t="s">
        <v>5</v>
      </c>
      <c r="B16" s="4">
        <v>20</v>
      </c>
      <c r="C16" s="4">
        <v>0</v>
      </c>
      <c r="D16" s="4">
        <v>0</v>
      </c>
      <c r="E16" s="4">
        <v>0</v>
      </c>
      <c r="F16" s="4">
        <v>0</v>
      </c>
    </row>
    <row r="18" spans="1:6">
      <c r="A18" s="1" t="s">
        <v>20</v>
      </c>
    </row>
    <row r="19" spans="1:6">
      <c r="A19" s="2" t="s">
        <v>21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19</v>
      </c>
    </row>
    <row r="20" spans="1:6">
      <c r="A20" s="3" t="s">
        <v>22</v>
      </c>
      <c r="B20" s="4">
        <v>30</v>
      </c>
      <c r="C20" s="4">
        <v>15</v>
      </c>
      <c r="D20" s="4">
        <v>10</v>
      </c>
      <c r="E20" s="4">
        <v>34</v>
      </c>
      <c r="F20" s="4">
        <v>15</v>
      </c>
    </row>
    <row r="21" spans="1:6">
      <c r="A21" s="3" t="s">
        <v>6</v>
      </c>
      <c r="B21" s="4">
        <v>11.6</v>
      </c>
      <c r="C21" s="4">
        <v>9.199999999999999</v>
      </c>
      <c r="D21" s="4">
        <v>5.2</v>
      </c>
      <c r="E21" s="4">
        <v>3</v>
      </c>
      <c r="F21" s="4">
        <v>1.6</v>
      </c>
    </row>
    <row r="23" spans="1:6">
      <c r="A23" s="1" t="s">
        <v>23</v>
      </c>
    </row>
    <row r="24" spans="1:6">
      <c r="A24" s="6" t="s">
        <v>24</v>
      </c>
    </row>
    <row r="26" spans="1:6">
      <c r="A26" s="2" t="s">
        <v>21</v>
      </c>
      <c r="B26" s="2" t="s">
        <v>25</v>
      </c>
      <c r="C26" s="2" t="s">
        <v>26</v>
      </c>
    </row>
    <row r="27" spans="1:6">
      <c r="A27" s="3" t="s">
        <v>27</v>
      </c>
      <c r="B27" s="7">
        <v>7</v>
      </c>
      <c r="C27" s="6" t="s">
        <v>28</v>
      </c>
    </row>
    <row r="28" spans="1:6">
      <c r="A28" s="3" t="s">
        <v>29</v>
      </c>
      <c r="B28" s="7">
        <v>5</v>
      </c>
    </row>
    <row r="29" spans="1:6">
      <c r="A29" s="3" t="s">
        <v>30</v>
      </c>
      <c r="B29" s="7">
        <v>6</v>
      </c>
    </row>
    <row r="30" spans="1:6">
      <c r="A30" s="3" t="s">
        <v>31</v>
      </c>
      <c r="B30" s="7">
        <v>5.5</v>
      </c>
    </row>
    <row r="31" spans="1:6">
      <c r="A31" s="3" t="s">
        <v>32</v>
      </c>
      <c r="B31" s="8">
        <v>0.003</v>
      </c>
      <c r="C31" s="6" t="s">
        <v>33</v>
      </c>
    </row>
    <row r="32" spans="1:6">
      <c r="A32" s="3" t="s">
        <v>34</v>
      </c>
      <c r="B32" s="8">
        <v>0.005</v>
      </c>
    </row>
    <row r="33" spans="1:7">
      <c r="A33" s="3" t="s">
        <v>35</v>
      </c>
      <c r="B33" s="7">
        <v>0.7</v>
      </c>
      <c r="C33" s="6" t="s">
        <v>36</v>
      </c>
    </row>
    <row r="35" spans="1:7">
      <c r="A35" s="9" t="s">
        <v>37</v>
      </c>
    </row>
    <row r="36" spans="1:7">
      <c r="A36" s="2" t="s">
        <v>38</v>
      </c>
      <c r="B36" s="2" t="s">
        <v>39</v>
      </c>
      <c r="C36" s="2" t="s">
        <v>40</v>
      </c>
    </row>
    <row r="37" spans="1:7">
      <c r="A37" s="3" t="s">
        <v>41</v>
      </c>
      <c r="B37" s="4">
        <v>124</v>
      </c>
      <c r="C37" s="10">
        <f>B37/SUM(B37:B40)</f>
        <v>0</v>
      </c>
    </row>
    <row r="38" spans="1:7">
      <c r="A38" s="3" t="s">
        <v>42</v>
      </c>
      <c r="B38" s="4">
        <v>187</v>
      </c>
      <c r="C38" s="10">
        <f>B38/SUM(B37:B40)</f>
        <v>0</v>
      </c>
    </row>
    <row r="39" spans="1:7">
      <c r="A39" s="3" t="s">
        <v>43</v>
      </c>
      <c r="B39" s="4">
        <v>158</v>
      </c>
      <c r="C39" s="10">
        <f>B39/SUM(B37:B40)</f>
        <v>0</v>
      </c>
    </row>
    <row r="40" spans="1:7">
      <c r="A40" s="3" t="s">
        <v>44</v>
      </c>
      <c r="B40" s="4">
        <v>106</v>
      </c>
      <c r="C40" s="10">
        <f>B40/SUM(B37:B40)</f>
        <v>0</v>
      </c>
    </row>
    <row r="43" spans="1:7">
      <c r="A43" s="1" t="s">
        <v>45</v>
      </c>
    </row>
    <row r="44" spans="1:7">
      <c r="A44" s="6" t="s">
        <v>46</v>
      </c>
    </row>
    <row r="46" spans="1:7">
      <c r="A46" s="2" t="s">
        <v>47</v>
      </c>
      <c r="B46" s="2" t="s">
        <v>48</v>
      </c>
      <c r="C46" s="2" t="s">
        <v>15</v>
      </c>
      <c r="D46" s="2" t="s">
        <v>16</v>
      </c>
      <c r="E46" s="2" t="s">
        <v>17</v>
      </c>
      <c r="F46" s="2" t="s">
        <v>18</v>
      </c>
      <c r="G46" s="2" t="s">
        <v>19</v>
      </c>
    </row>
    <row r="47" spans="1:7">
      <c r="A47" s="3" t="s">
        <v>49</v>
      </c>
      <c r="B47" s="7">
        <v>1.47</v>
      </c>
      <c r="C47" s="7">
        <v>1.68</v>
      </c>
      <c r="D47" s="7">
        <v>1.5</v>
      </c>
      <c r="E47" s="7">
        <v>1.17</v>
      </c>
      <c r="F47" s="7">
        <v>1.295</v>
      </c>
      <c r="G47" s="7">
        <v>1.12</v>
      </c>
    </row>
    <row r="48" spans="1:7">
      <c r="A48" s="3" t="s">
        <v>50</v>
      </c>
      <c r="B48" s="7">
        <v>4.390000000000001</v>
      </c>
      <c r="C48" s="7">
        <v>4.7</v>
      </c>
      <c r="D48" s="7">
        <v>4.02</v>
      </c>
      <c r="E48" s="7">
        <v>2.21</v>
      </c>
      <c r="F48" s="7">
        <v>3.84</v>
      </c>
      <c r="G48" s="7">
        <v>3.29</v>
      </c>
    </row>
    <row r="49" spans="1:7">
      <c r="A49" s="3" t="s">
        <v>51</v>
      </c>
      <c r="B49" s="7">
        <v>118.07</v>
      </c>
      <c r="C49" s="7">
        <v>119.11</v>
      </c>
      <c r="D49" s="7">
        <v>111.71</v>
      </c>
      <c r="E49" s="7">
        <v>90.64</v>
      </c>
      <c r="F49" s="7">
        <v>93.02</v>
      </c>
      <c r="G49" s="7">
        <v>81.48999999999999</v>
      </c>
    </row>
    <row r="50" spans="1:7">
      <c r="A50" s="3" t="s">
        <v>52</v>
      </c>
      <c r="B50" s="7">
        <v>86.40000000000001</v>
      </c>
      <c r="C50" s="7">
        <v>93.90000000000001</v>
      </c>
      <c r="D50" s="7">
        <v>97.90000000000001</v>
      </c>
      <c r="E50" s="7">
        <v>62.7</v>
      </c>
      <c r="F50" s="7">
        <v>83.2</v>
      </c>
      <c r="G50" s="7">
        <v>82.8</v>
      </c>
    </row>
    <row r="51" spans="1:7">
      <c r="A51" s="3" t="s">
        <v>53</v>
      </c>
      <c r="B51" s="7">
        <v>1649.76</v>
      </c>
      <c r="C51" s="7">
        <v>1681.07</v>
      </c>
      <c r="D51" s="7">
        <v>1475.68</v>
      </c>
      <c r="E51" s="7">
        <v>859.24</v>
      </c>
      <c r="F51" s="7">
        <v>907.59</v>
      </c>
      <c r="G51" s="7">
        <v>898.8</v>
      </c>
    </row>
    <row r="54" spans="1:7">
      <c r="A54" s="1" t="s">
        <v>54</v>
      </c>
    </row>
    <row r="55" spans="1:7">
      <c r="A55" s="6" t="s">
        <v>46</v>
      </c>
    </row>
    <row r="57" spans="1:7">
      <c r="A57" s="2" t="s">
        <v>47</v>
      </c>
      <c r="B57" s="2" t="s">
        <v>48</v>
      </c>
      <c r="C57" s="2" t="s">
        <v>15</v>
      </c>
      <c r="D57" s="2" t="s">
        <v>16</v>
      </c>
      <c r="E57" s="2" t="s">
        <v>17</v>
      </c>
      <c r="F57" s="2" t="s">
        <v>18</v>
      </c>
      <c r="G57" s="2" t="s">
        <v>19</v>
      </c>
    </row>
    <row r="58" spans="1:7">
      <c r="A58" s="3" t="s">
        <v>49</v>
      </c>
      <c r="B58" s="7">
        <v>2.25</v>
      </c>
      <c r="C58" s="7">
        <v>2.5</v>
      </c>
      <c r="D58" s="7">
        <v>2.8</v>
      </c>
      <c r="E58" s="7">
        <v>2.85</v>
      </c>
      <c r="F58" s="7">
        <v>2.9</v>
      </c>
      <c r="G58" s="7">
        <v>2.950000000000001</v>
      </c>
    </row>
    <row r="59" spans="1:7">
      <c r="A59" s="3" t="s">
        <v>50</v>
      </c>
      <c r="B59" s="7">
        <v>4.1</v>
      </c>
      <c r="C59" s="7">
        <v>3.8</v>
      </c>
      <c r="D59" s="7">
        <v>4.1</v>
      </c>
      <c r="E59" s="7">
        <v>4.1</v>
      </c>
      <c r="F59" s="7">
        <v>4.1</v>
      </c>
      <c r="G59" s="7">
        <v>4.1</v>
      </c>
    </row>
    <row r="60" spans="1:7">
      <c r="A60" s="3" t="s">
        <v>51</v>
      </c>
      <c r="B60" s="7">
        <v>153</v>
      </c>
      <c r="C60" s="7">
        <v>157.1073825503356</v>
      </c>
      <c r="D60" s="7">
        <v>152.0064935064935</v>
      </c>
      <c r="E60" s="7">
        <v>152.0064935064935</v>
      </c>
      <c r="F60" s="7">
        <v>152.0064935064935</v>
      </c>
      <c r="G60" s="7">
        <v>152.0064935064935</v>
      </c>
    </row>
    <row r="61" spans="1:7">
      <c r="A61" s="3" t="s">
        <v>52</v>
      </c>
      <c r="B61" s="7">
        <v>109</v>
      </c>
      <c r="C61" s="7">
        <v>112.0849056603774</v>
      </c>
      <c r="D61" s="7">
        <v>113.152380952381</v>
      </c>
      <c r="E61" s="7">
        <v>111.0373831775701</v>
      </c>
      <c r="F61" s="7">
        <v>108.9619180714473</v>
      </c>
      <c r="G61" s="7">
        <v>106.9252467056259</v>
      </c>
    </row>
    <row r="62" spans="1:7">
      <c r="A62" s="3" t="s">
        <v>53</v>
      </c>
      <c r="B62" s="7">
        <v>3930</v>
      </c>
      <c r="C62" s="7">
        <v>3600.20979020979</v>
      </c>
      <c r="D62" s="7">
        <v>3486.433408577878</v>
      </c>
      <c r="E62" s="7">
        <v>3328.64224137931</v>
      </c>
      <c r="F62" s="7">
        <v>3177.99248476516</v>
      </c>
      <c r="G62" s="7">
        <v>3034.1609283426</v>
      </c>
    </row>
    <row r="65" spans="1:7">
      <c r="A65" s="1" t="s">
        <v>55</v>
      </c>
    </row>
    <row r="66" spans="1:7">
      <c r="A66" s="6" t="s">
        <v>46</v>
      </c>
    </row>
    <row r="68" spans="1:7">
      <c r="A68" s="2" t="s">
        <v>47</v>
      </c>
      <c r="B68" s="2" t="s">
        <v>48</v>
      </c>
      <c r="C68" s="2" t="s">
        <v>15</v>
      </c>
      <c r="D68" s="2" t="s">
        <v>16</v>
      </c>
      <c r="E68" s="2" t="s">
        <v>17</v>
      </c>
      <c r="F68" s="2" t="s">
        <v>18</v>
      </c>
      <c r="G68" s="2" t="s">
        <v>19</v>
      </c>
    </row>
    <row r="69" spans="1:7">
      <c r="A69" s="3" t="s">
        <v>49</v>
      </c>
      <c r="B69" s="7">
        <v>-0.01</v>
      </c>
      <c r="C69" s="7">
        <v>0.02</v>
      </c>
      <c r="D69" s="7">
        <v>0.06999999999999999</v>
      </c>
      <c r="E69" s="7">
        <v>0.42</v>
      </c>
      <c r="F69" s="7">
        <v>0.61</v>
      </c>
      <c r="G69" s="7">
        <v>1.05</v>
      </c>
    </row>
    <row r="70" spans="1:7">
      <c r="A70" s="3" t="s">
        <v>50</v>
      </c>
      <c r="B70" s="7">
        <v>1.92</v>
      </c>
      <c r="C70" s="7">
        <v>0.91</v>
      </c>
      <c r="D70" s="7">
        <v>1.51</v>
      </c>
      <c r="E70" s="7">
        <v>3.87</v>
      </c>
      <c r="F70" s="7">
        <v>3.88</v>
      </c>
      <c r="G70" s="7">
        <v>4.2</v>
      </c>
    </row>
    <row r="71" spans="1:7">
      <c r="A71" s="3" t="s">
        <v>51</v>
      </c>
      <c r="B71" s="7">
        <v>108.61</v>
      </c>
      <c r="C71" s="7">
        <v>103.19</v>
      </c>
      <c r="D71" s="7">
        <v>115.08</v>
      </c>
      <c r="E71" s="7">
        <v>131.11</v>
      </c>
      <c r="F71" s="7">
        <v>141.83</v>
      </c>
      <c r="G71" s="7">
        <v>158</v>
      </c>
    </row>
    <row r="72" spans="1:7">
      <c r="A72" s="3" t="s">
        <v>52</v>
      </c>
      <c r="B72" s="7">
        <v>76.09999999999999</v>
      </c>
      <c r="C72" s="7">
        <v>79.40000000000001</v>
      </c>
      <c r="D72" s="7">
        <v>83.40000000000001</v>
      </c>
      <c r="E72" s="7">
        <v>88.90000000000001</v>
      </c>
      <c r="F72" s="7">
        <v>96.59999999999999</v>
      </c>
      <c r="G72" s="7">
        <v>107.4</v>
      </c>
    </row>
    <row r="73" spans="1:7">
      <c r="A73" s="3" t="s">
        <v>53</v>
      </c>
      <c r="B73" s="7">
        <v>1721.36</v>
      </c>
      <c r="C73" s="7">
        <v>1804.68</v>
      </c>
      <c r="D73" s="7">
        <v>1992.33</v>
      </c>
      <c r="E73" s="7">
        <v>1891.71</v>
      </c>
      <c r="F73" s="7">
        <v>2366.39</v>
      </c>
      <c r="G73" s="7">
        <v>2784.92</v>
      </c>
    </row>
    <row r="76" spans="1:7">
      <c r="A76" s="9" t="s">
        <v>56</v>
      </c>
    </row>
    <row r="77" spans="1:7">
      <c r="A77" s="6" t="s">
        <v>57</v>
      </c>
    </row>
    <row r="79" spans="1:7">
      <c r="A79" s="2" t="s">
        <v>38</v>
      </c>
      <c r="B79" s="2" t="s">
        <v>15</v>
      </c>
      <c r="C79" s="2" t="s">
        <v>16</v>
      </c>
      <c r="D79" s="2" t="s">
        <v>17</v>
      </c>
      <c r="E79" s="2" t="s">
        <v>18</v>
      </c>
      <c r="F79" s="2" t="s">
        <v>19</v>
      </c>
    </row>
    <row r="80" spans="1:7">
      <c r="A80" s="3" t="s">
        <v>58</v>
      </c>
      <c r="B80" s="11">
        <f>B47/100-$B$27*(C47-B47)/100</f>
        <v>0</v>
      </c>
      <c r="C80" s="11">
        <f>C47/100-$B$27*(D47-C47)/100</f>
        <v>0</v>
      </c>
      <c r="D80" s="11">
        <f>D47/100-$B$27*(E47-D47)/100</f>
        <v>0</v>
      </c>
      <c r="E80" s="11">
        <f>E47/100-$B$27*(F47-E47)/100</f>
        <v>0</v>
      </c>
      <c r="F80" s="11">
        <f>F47/100-$B$27*(G47-F47)/100</f>
        <v>0</v>
      </c>
    </row>
    <row r="81" spans="1:6">
      <c r="A81" s="3" t="s">
        <v>59</v>
      </c>
      <c r="B81" s="11">
        <f>B47/100+$B$31-$B$28*(C47-B47)/100</f>
        <v>0</v>
      </c>
      <c r="C81" s="11">
        <f>C47/100+$B$31-$B$28*(D47-C47)/100</f>
        <v>0</v>
      </c>
      <c r="D81" s="11">
        <f>D47/100+$B$31-$B$28*(E47-D47)/100</f>
        <v>0</v>
      </c>
      <c r="E81" s="11">
        <f>E47/100+$B$31-$B$28*(F47-E47)/100</f>
        <v>0</v>
      </c>
      <c r="F81" s="11">
        <f>F47/100+$B$31-$B$28*(G47-F47)/100</f>
        <v>0</v>
      </c>
    </row>
    <row r="82" spans="1:6">
      <c r="A82" s="3" t="s">
        <v>60</v>
      </c>
      <c r="B82" s="11">
        <f>B48/100-$B$29*(C48-B48)/100+(C49-B49)/B49</f>
        <v>0</v>
      </c>
      <c r="C82" s="11">
        <f>C48/100-$B$29*(D48-C48)/100+(D49-C49)/C49</f>
        <v>0</v>
      </c>
      <c r="D82" s="11">
        <f>D48/100-$B$29*(E48-D48)/100+(E49-D49)/D49</f>
        <v>0</v>
      </c>
      <c r="E82" s="11">
        <f>E48/100-$B$29*(F48-E48)/100+(F49-E49)/E49</f>
        <v>0</v>
      </c>
      <c r="F82" s="11">
        <f>F48/100-$B$29*(G48-F48)/100+(G49-F49)/F49</f>
        <v>0</v>
      </c>
    </row>
    <row r="83" spans="1:6">
      <c r="A83" s="3" t="s">
        <v>61</v>
      </c>
      <c r="B83" s="11">
        <f>B48/100+$B$32-$B$30*(C48-B48)*$B$33/100+(C50-B50)/B50</f>
        <v>0</v>
      </c>
      <c r="C83" s="11">
        <f>C48/100+$B$32-$B$30*(D48-C48)*$B$33/100+(D50-C50)/C50</f>
        <v>0</v>
      </c>
      <c r="D83" s="11">
        <f>D48/100+$B$32-$B$30*(E48-D48)*$B$33/100+(E50-D50)/D50</f>
        <v>0</v>
      </c>
      <c r="E83" s="11">
        <f>E48/100+$B$32-$B$30*(F48-E48)*$B$33/100+(F50-E50)/E50</f>
        <v>0</v>
      </c>
      <c r="F83" s="11">
        <f>F48/100+$B$32-$B$30*(G48-F48)*$B$33/100+(G50-F50)/F50</f>
        <v>0</v>
      </c>
    </row>
    <row r="84" spans="1:6">
      <c r="A84" s="3" t="s">
        <v>62</v>
      </c>
      <c r="B84" s="11">
        <f>(C51-B51)/B51</f>
        <v>0</v>
      </c>
      <c r="C84" s="11">
        <f>(D51-C51)/C51</f>
        <v>0</v>
      </c>
      <c r="D84" s="11">
        <f>(E51-D51)/D51</f>
        <v>0</v>
      </c>
      <c r="E84" s="11">
        <f>(F51-E51)/E51</f>
        <v>0</v>
      </c>
      <c r="F84" s="11">
        <f>(G51-F51)/F51</f>
        <v>0</v>
      </c>
    </row>
    <row r="85" spans="1:6">
      <c r="A85" s="12" t="s">
        <v>63</v>
      </c>
      <c r="B85" s="11">
        <f>$C$37*B80+$C$38*B81+$C$39*B82+$C$40*B83</f>
        <v>0</v>
      </c>
      <c r="C85" s="11">
        <f>$C$37*C80+$C$38*C81+$C$39*C82+$C$40*C83</f>
        <v>0</v>
      </c>
      <c r="D85" s="11">
        <f>$C$37*D80+$C$38*D81+$C$39*D82+$C$40*D83</f>
        <v>0</v>
      </c>
      <c r="E85" s="11">
        <f>$C$37*E80+$C$38*E81+$C$39*E82+$C$40*E83</f>
        <v>0</v>
      </c>
      <c r="F85" s="11">
        <f>$C$37*F80+$C$38*F81+$C$39*F82+$C$40*F83</f>
        <v>0</v>
      </c>
    </row>
    <row r="86" spans="1:6">
      <c r="A86" s="12" t="s">
        <v>64</v>
      </c>
      <c r="B86" s="11">
        <f>B84</f>
        <v>0</v>
      </c>
      <c r="C86" s="11">
        <f>C84</f>
        <v>0</v>
      </c>
      <c r="D86" s="11">
        <f>D84</f>
        <v>0</v>
      </c>
      <c r="E86" s="11">
        <f>E84</f>
        <v>0</v>
      </c>
      <c r="F86" s="11">
        <f>F84</f>
        <v>0</v>
      </c>
    </row>
    <row r="89" spans="1:6">
      <c r="A89" s="9" t="s">
        <v>65</v>
      </c>
    </row>
    <row r="90" spans="1:6">
      <c r="A90" s="6" t="s">
        <v>57</v>
      </c>
    </row>
    <row r="92" spans="1:6">
      <c r="A92" s="2" t="s">
        <v>38</v>
      </c>
      <c r="B92" s="2" t="s">
        <v>15</v>
      </c>
      <c r="C92" s="2" t="s">
        <v>16</v>
      </c>
      <c r="D92" s="2" t="s">
        <v>17</v>
      </c>
      <c r="E92" s="2" t="s">
        <v>18</v>
      </c>
      <c r="F92" s="2" t="s">
        <v>19</v>
      </c>
    </row>
    <row r="93" spans="1:6">
      <c r="A93" s="3" t="s">
        <v>58</v>
      </c>
      <c r="B93" s="11">
        <f>B58/100-$B$27*(C58-B58)/100</f>
        <v>0</v>
      </c>
      <c r="C93" s="11">
        <f>C58/100-$B$27*(D58-C58)/100</f>
        <v>0</v>
      </c>
      <c r="D93" s="11">
        <f>D58/100-$B$27*(E58-D58)/100</f>
        <v>0</v>
      </c>
      <c r="E93" s="11">
        <f>E58/100-$B$27*(F58-E58)/100</f>
        <v>0</v>
      </c>
      <c r="F93" s="11">
        <f>F58/100-$B$27*(G58-F58)/100</f>
        <v>0</v>
      </c>
    </row>
    <row r="94" spans="1:6">
      <c r="A94" s="3" t="s">
        <v>59</v>
      </c>
      <c r="B94" s="11">
        <f>B58/100+$B$31-$B$28*(C58-B58)/100</f>
        <v>0</v>
      </c>
      <c r="C94" s="11">
        <f>C58/100+$B$31-$B$28*(D58-C58)/100</f>
        <v>0</v>
      </c>
      <c r="D94" s="11">
        <f>D58/100+$B$31-$B$28*(E58-D58)/100</f>
        <v>0</v>
      </c>
      <c r="E94" s="11">
        <f>E58/100+$B$31-$B$28*(F58-E58)/100</f>
        <v>0</v>
      </c>
      <c r="F94" s="11">
        <f>F58/100+$B$31-$B$28*(G58-F58)/100</f>
        <v>0</v>
      </c>
    </row>
    <row r="95" spans="1:6">
      <c r="A95" s="3" t="s">
        <v>60</v>
      </c>
      <c r="B95" s="11">
        <f>B59/100-$B$29*(C59-B59)/100+(C60-B60)/B60</f>
        <v>0</v>
      </c>
      <c r="C95" s="11">
        <f>C59/100-$B$29*(D59-C59)/100+(D60-C60)/C60</f>
        <v>0</v>
      </c>
      <c r="D95" s="11">
        <f>D59/100-$B$29*(E59-D59)/100+(E60-D60)/D60</f>
        <v>0</v>
      </c>
      <c r="E95" s="11">
        <f>E59/100-$B$29*(F59-E59)/100+(F60-E60)/E60</f>
        <v>0</v>
      </c>
      <c r="F95" s="11">
        <f>F59/100-$B$29*(G59-F59)/100+(G60-F60)/F60</f>
        <v>0</v>
      </c>
    </row>
    <row r="96" spans="1:6">
      <c r="A96" s="3" t="s">
        <v>61</v>
      </c>
      <c r="B96" s="11">
        <f>B59/100+$B$32-$B$30*(C59-B59)*$B$33/100+(C61-B61)/B61</f>
        <v>0</v>
      </c>
      <c r="C96" s="11">
        <f>C59/100+$B$32-$B$30*(D59-C59)*$B$33/100+(D61-C61)/C61</f>
        <v>0</v>
      </c>
      <c r="D96" s="11">
        <f>D59/100+$B$32-$B$30*(E59-D59)*$B$33/100+(E61-D61)/D61</f>
        <v>0</v>
      </c>
      <c r="E96" s="11">
        <f>E59/100+$B$32-$B$30*(F59-E59)*$B$33/100+(F61-E61)/E61</f>
        <v>0</v>
      </c>
      <c r="F96" s="11">
        <f>F59/100+$B$32-$B$30*(G59-F59)*$B$33/100+(G61-F61)/F61</f>
        <v>0</v>
      </c>
    </row>
    <row r="97" spans="1:6">
      <c r="A97" s="3" t="s">
        <v>62</v>
      </c>
      <c r="B97" s="11">
        <f>(C62-B62)/B62</f>
        <v>0</v>
      </c>
      <c r="C97" s="11">
        <f>(D62-C62)/C62</f>
        <v>0</v>
      </c>
      <c r="D97" s="11">
        <f>(E62-D62)/D62</f>
        <v>0</v>
      </c>
      <c r="E97" s="11">
        <f>(F62-E62)/E62</f>
        <v>0</v>
      </c>
      <c r="F97" s="11">
        <f>(G62-F62)/F62</f>
        <v>0</v>
      </c>
    </row>
    <row r="98" spans="1:6">
      <c r="A98" s="12" t="s">
        <v>63</v>
      </c>
      <c r="B98" s="11">
        <f>$C$37*B93+$C$38*B94+$C$39*B95+$C$40*B96</f>
        <v>0</v>
      </c>
      <c r="C98" s="11">
        <f>$C$37*C93+$C$38*C94+$C$39*C95+$C$40*C96</f>
        <v>0</v>
      </c>
      <c r="D98" s="11">
        <f>$C$37*D93+$C$38*D94+$C$39*D95+$C$40*D96</f>
        <v>0</v>
      </c>
      <c r="E98" s="11">
        <f>$C$37*E93+$C$38*E94+$C$39*E95+$C$40*E96</f>
        <v>0</v>
      </c>
      <c r="F98" s="11">
        <f>$C$37*F93+$C$38*F94+$C$39*F95+$C$40*F96</f>
        <v>0</v>
      </c>
    </row>
    <row r="99" spans="1:6">
      <c r="A99" s="12" t="s">
        <v>64</v>
      </c>
      <c r="B99" s="11">
        <f>B97</f>
        <v>0</v>
      </c>
      <c r="C99" s="11">
        <f>C97</f>
        <v>0</v>
      </c>
      <c r="D99" s="11">
        <f>D97</f>
        <v>0</v>
      </c>
      <c r="E99" s="11">
        <f>E97</f>
        <v>0</v>
      </c>
      <c r="F99" s="11">
        <f>F97</f>
        <v>0</v>
      </c>
    </row>
    <row r="102" spans="1:6">
      <c r="A102" s="9" t="s">
        <v>66</v>
      </c>
    </row>
    <row r="103" spans="1:6">
      <c r="A103" s="6" t="s">
        <v>57</v>
      </c>
    </row>
    <row r="105" spans="1:6">
      <c r="A105" s="2" t="s">
        <v>38</v>
      </c>
      <c r="B105" s="2" t="s">
        <v>15</v>
      </c>
      <c r="C105" s="2" t="s">
        <v>16</v>
      </c>
      <c r="D105" s="2" t="s">
        <v>17</v>
      </c>
      <c r="E105" s="2" t="s">
        <v>18</v>
      </c>
      <c r="F105" s="2" t="s">
        <v>19</v>
      </c>
    </row>
    <row r="106" spans="1:6">
      <c r="A106" s="3" t="s">
        <v>58</v>
      </c>
      <c r="B106" s="11">
        <f>B69/100-$B$27*(C69-B69)/100</f>
        <v>0</v>
      </c>
      <c r="C106" s="11">
        <f>C69/100-$B$27*(D69-C69)/100</f>
        <v>0</v>
      </c>
      <c r="D106" s="11">
        <f>D69/100-$B$27*(E69-D69)/100</f>
        <v>0</v>
      </c>
      <c r="E106" s="11">
        <f>E69/100-$B$27*(F69-E69)/100</f>
        <v>0</v>
      </c>
      <c r="F106" s="11">
        <f>F69/100-$B$27*(G69-F69)/100</f>
        <v>0</v>
      </c>
    </row>
    <row r="107" spans="1:6">
      <c r="A107" s="3" t="s">
        <v>59</v>
      </c>
      <c r="B107" s="11">
        <f>B69/100+$B$31-$B$28*(C69-B69)/100</f>
        <v>0</v>
      </c>
      <c r="C107" s="11">
        <f>C69/100+$B$31-$B$28*(D69-C69)/100</f>
        <v>0</v>
      </c>
      <c r="D107" s="11">
        <f>D69/100+$B$31-$B$28*(E69-D69)/100</f>
        <v>0</v>
      </c>
      <c r="E107" s="11">
        <f>E69/100+$B$31-$B$28*(F69-E69)/100</f>
        <v>0</v>
      </c>
      <c r="F107" s="11">
        <f>F69/100+$B$31-$B$28*(G69-F69)/100</f>
        <v>0</v>
      </c>
    </row>
    <row r="108" spans="1:6">
      <c r="A108" s="3" t="s">
        <v>60</v>
      </c>
      <c r="B108" s="11">
        <f>B70/100-$B$29*(C70-B70)/100+(C71-B71)/B71</f>
        <v>0</v>
      </c>
      <c r="C108" s="11">
        <f>C70/100-$B$29*(D70-C70)/100+(D71-C71)/C71</f>
        <v>0</v>
      </c>
      <c r="D108" s="11">
        <f>D70/100-$B$29*(E70-D70)/100+(E71-D71)/D71</f>
        <v>0</v>
      </c>
      <c r="E108" s="11">
        <f>E70/100-$B$29*(F70-E70)/100+(F71-E71)/E71</f>
        <v>0</v>
      </c>
      <c r="F108" s="11">
        <f>F70/100-$B$29*(G70-F70)/100+(G71-F71)/F71</f>
        <v>0</v>
      </c>
    </row>
    <row r="109" spans="1:6">
      <c r="A109" s="3" t="s">
        <v>61</v>
      </c>
      <c r="B109" s="11">
        <f>B70/100+$B$32-$B$30*(C70-B70)*$B$33/100+(C72-B72)/B72</f>
        <v>0</v>
      </c>
      <c r="C109" s="11">
        <f>C70/100+$B$32-$B$30*(D70-C70)*$B$33/100+(D72-C72)/C72</f>
        <v>0</v>
      </c>
      <c r="D109" s="11">
        <f>D70/100+$B$32-$B$30*(E70-D70)*$B$33/100+(E72-D72)/D72</f>
        <v>0</v>
      </c>
      <c r="E109" s="11">
        <f>E70/100+$B$32-$B$30*(F70-E70)*$B$33/100+(F72-E72)/E72</f>
        <v>0</v>
      </c>
      <c r="F109" s="11">
        <f>F70/100+$B$32-$B$30*(G70-F70)*$B$33/100+(G72-F72)/F72</f>
        <v>0</v>
      </c>
    </row>
    <row r="110" spans="1:6">
      <c r="A110" s="3" t="s">
        <v>62</v>
      </c>
      <c r="B110" s="11">
        <f>(C73-B73)/B73</f>
        <v>0</v>
      </c>
      <c r="C110" s="11">
        <f>(D73-C73)/C73</f>
        <v>0</v>
      </c>
      <c r="D110" s="11">
        <f>(E73-D73)/D73</f>
        <v>0</v>
      </c>
      <c r="E110" s="11">
        <f>(F73-E73)/E73</f>
        <v>0</v>
      </c>
      <c r="F110" s="11">
        <f>(G73-F73)/F73</f>
        <v>0</v>
      </c>
    </row>
    <row r="111" spans="1:6">
      <c r="A111" s="12" t="s">
        <v>63</v>
      </c>
      <c r="B111" s="11">
        <f>$C$37*B106+$C$38*B107+$C$39*B108+$C$40*B109</f>
        <v>0</v>
      </c>
      <c r="C111" s="11">
        <f>$C$37*C106+$C$38*C107+$C$39*C108+$C$40*C109</f>
        <v>0</v>
      </c>
      <c r="D111" s="11">
        <f>$C$37*D106+$C$38*D107+$C$39*D108+$C$40*D109</f>
        <v>0</v>
      </c>
      <c r="E111" s="11">
        <f>$C$37*E106+$C$38*E107+$C$39*E108+$C$40*E109</f>
        <v>0</v>
      </c>
      <c r="F111" s="11">
        <f>$C$37*F106+$C$38*F107+$C$39*F108+$C$40*F109</f>
        <v>0</v>
      </c>
    </row>
    <row r="112" spans="1:6">
      <c r="A112" s="12" t="s">
        <v>64</v>
      </c>
      <c r="B112" s="11">
        <f>B110</f>
        <v>0</v>
      </c>
      <c r="C112" s="11">
        <f>C110</f>
        <v>0</v>
      </c>
      <c r="D112" s="11">
        <f>D110</f>
        <v>0</v>
      </c>
      <c r="E112" s="11">
        <f>E110</f>
        <v>0</v>
      </c>
      <c r="F112" s="11">
        <f>F110</f>
        <v>0</v>
      </c>
    </row>
    <row r="115" spans="1:6">
      <c r="A115" s="1" t="s">
        <v>67</v>
      </c>
    </row>
    <row r="116" spans="1:6">
      <c r="A116" s="2" t="s">
        <v>68</v>
      </c>
      <c r="B116" s="2" t="s">
        <v>15</v>
      </c>
      <c r="C116" s="2" t="s">
        <v>16</v>
      </c>
      <c r="D116" s="2" t="s">
        <v>17</v>
      </c>
      <c r="E116" s="2" t="s">
        <v>18</v>
      </c>
      <c r="F116" s="2" t="s">
        <v>19</v>
      </c>
    </row>
    <row r="117" spans="1:6">
      <c r="A117" s="3" t="s">
        <v>69</v>
      </c>
      <c r="B117" s="5">
        <v>1</v>
      </c>
      <c r="C117" s="5">
        <v>1</v>
      </c>
      <c r="D117" s="5">
        <v>1</v>
      </c>
      <c r="E117" s="5">
        <v>1</v>
      </c>
      <c r="F117" s="5">
        <v>1</v>
      </c>
    </row>
    <row r="118" spans="1:6">
      <c r="A118" s="3" t="s">
        <v>70</v>
      </c>
      <c r="B118" s="5">
        <v>1</v>
      </c>
      <c r="C118" s="5">
        <v>1</v>
      </c>
      <c r="D118" s="5">
        <v>1</v>
      </c>
      <c r="E118" s="5">
        <v>1</v>
      </c>
      <c r="F118" s="5">
        <v>1</v>
      </c>
    </row>
    <row r="119" spans="1:6">
      <c r="A119" s="3" t="s">
        <v>71</v>
      </c>
      <c r="B119" s="5">
        <v>0.31</v>
      </c>
      <c r="C119" s="5">
        <v>1</v>
      </c>
      <c r="D119" s="5">
        <v>1</v>
      </c>
      <c r="E119" s="5">
        <v>1</v>
      </c>
      <c r="F119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1" width="20.7109375" customWidth="1"/>
    <col min="2" max="9" width="14.7109375" customWidth="1"/>
  </cols>
  <sheetData>
    <row r="1" spans="1:8">
      <c r="A1" s="1" t="s">
        <v>72</v>
      </c>
    </row>
    <row r="2" spans="1:8">
      <c r="A2" s="6" t="s">
        <v>73</v>
      </c>
    </row>
    <row r="3" spans="1:8">
      <c r="A3" s="12" t="s">
        <v>74</v>
      </c>
      <c r="C3" s="13">
        <v>1</v>
      </c>
      <c r="D3" s="13">
        <v>1</v>
      </c>
      <c r="E3" s="13">
        <v>1</v>
      </c>
      <c r="F3" s="13">
        <v>1</v>
      </c>
      <c r="G3" s="13">
        <v>1</v>
      </c>
    </row>
    <row r="4" spans="1:8">
      <c r="A4" s="12" t="s">
        <v>75</v>
      </c>
      <c r="C4" s="5">
        <f>1-C3</f>
        <v>0</v>
      </c>
      <c r="D4" s="5">
        <f>1-D3</f>
        <v>0</v>
      </c>
      <c r="E4" s="5">
        <f>1-E3</f>
        <v>0</v>
      </c>
      <c r="F4" s="5">
        <f>1-F3</f>
        <v>0</v>
      </c>
      <c r="G4" s="5">
        <f>1-G3</f>
        <v>0</v>
      </c>
    </row>
    <row r="6" spans="1:8">
      <c r="A6" s="12" t="s">
        <v>76</v>
      </c>
      <c r="C6" s="8">
        <f>'インプット'!B85</f>
        <v>0</v>
      </c>
      <c r="D6" s="8">
        <f>'インプット'!C85</f>
        <v>0</v>
      </c>
      <c r="E6" s="8">
        <f>'インプット'!D85</f>
        <v>0</v>
      </c>
      <c r="F6" s="8">
        <f>'インプット'!E85</f>
        <v>0</v>
      </c>
      <c r="G6" s="8">
        <f>'インプット'!F85</f>
        <v>0</v>
      </c>
    </row>
    <row r="7" spans="1:8">
      <c r="A7" s="12" t="s">
        <v>77</v>
      </c>
      <c r="C7" s="8">
        <f>'インプット'!B86</f>
        <v>0</v>
      </c>
      <c r="D7" s="8">
        <f>'インプット'!C86</f>
        <v>0</v>
      </c>
      <c r="E7" s="8">
        <f>'インプット'!D86</f>
        <v>0</v>
      </c>
      <c r="F7" s="8">
        <f>'インプット'!E86</f>
        <v>0</v>
      </c>
      <c r="G7" s="8">
        <f>'インプット'!F86</f>
        <v>0</v>
      </c>
    </row>
    <row r="9" spans="1:8">
      <c r="A9" s="2"/>
      <c r="B9" s="2" t="s">
        <v>78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79</v>
      </c>
    </row>
    <row r="10" spans="1:8">
      <c r="A10" s="12" t="s">
        <v>80</v>
      </c>
      <c r="B10" s="4">
        <v>0</v>
      </c>
      <c r="C10" s="4">
        <f>'インプット'!B15</f>
        <v>0</v>
      </c>
      <c r="D10" s="4">
        <f>'インプット'!C15</f>
        <v>0</v>
      </c>
      <c r="E10" s="4">
        <f>'インプット'!D15</f>
        <v>0</v>
      </c>
      <c r="F10" s="4">
        <f>'インプット'!E15</f>
        <v>0</v>
      </c>
      <c r="G10" s="4">
        <f>'インプット'!F15</f>
        <v>0</v>
      </c>
    </row>
    <row r="11" spans="1:8">
      <c r="A11" s="12" t="s">
        <v>81</v>
      </c>
      <c r="B11" s="4">
        <v>0</v>
      </c>
      <c r="C11" s="4">
        <f>'インプット'!B16</f>
        <v>0</v>
      </c>
      <c r="D11" s="4">
        <f>'インプット'!C16</f>
        <v>0</v>
      </c>
      <c r="E11" s="4">
        <f>'インプット'!D16</f>
        <v>0</v>
      </c>
      <c r="F11" s="4">
        <f>'インプット'!E16</f>
        <v>0</v>
      </c>
      <c r="G11" s="4">
        <f>'インプット'!F16</f>
        <v>0</v>
      </c>
    </row>
    <row r="12" spans="1:8">
      <c r="A12" s="12" t="s">
        <v>82</v>
      </c>
      <c r="B12" s="4">
        <v>0</v>
      </c>
      <c r="C12" s="4">
        <f>'インプット'!B20</f>
        <v>0</v>
      </c>
      <c r="D12" s="4">
        <f>'インプット'!C20</f>
        <v>0</v>
      </c>
      <c r="E12" s="4">
        <f>'インプット'!D20</f>
        <v>0</v>
      </c>
      <c r="F12" s="4">
        <f>'インプット'!E20</f>
        <v>0</v>
      </c>
      <c r="G12" s="4">
        <f>'インプット'!F20</f>
        <v>0</v>
      </c>
    </row>
    <row r="13" spans="1:8">
      <c r="A13" s="12" t="s">
        <v>83</v>
      </c>
      <c r="B13" s="4">
        <v>0</v>
      </c>
      <c r="C13" s="4">
        <f>'インプット'!B21</f>
        <v>0</v>
      </c>
      <c r="D13" s="4">
        <f>'インプット'!C21</f>
        <v>0</v>
      </c>
      <c r="E13" s="4">
        <f>'インプット'!D21</f>
        <v>0</v>
      </c>
      <c r="F13" s="4">
        <f>'インプット'!E21</f>
        <v>0</v>
      </c>
      <c r="G13" s="4">
        <f>'インプット'!F21</f>
        <v>0</v>
      </c>
    </row>
    <row r="14" spans="1:8">
      <c r="A14" s="12" t="s">
        <v>84</v>
      </c>
      <c r="B14" s="4">
        <v>0</v>
      </c>
      <c r="C14" s="4">
        <f>C12*(1-C3)</f>
        <v>0</v>
      </c>
      <c r="D14" s="4">
        <f>D12*(1-D3)</f>
        <v>0</v>
      </c>
      <c r="E14" s="4">
        <f>E12*(1-E3)</f>
        <v>0</v>
      </c>
      <c r="F14" s="4">
        <f>F12*(1-F3)</f>
        <v>0</v>
      </c>
      <c r="G14" s="4">
        <f>G12*(1-G3)</f>
        <v>0</v>
      </c>
    </row>
    <row r="15" spans="1:8">
      <c r="A15" s="12" t="s">
        <v>85</v>
      </c>
      <c r="B15" s="4">
        <v>0</v>
      </c>
      <c r="C15" s="4">
        <f>C12*C3</f>
        <v>0</v>
      </c>
      <c r="D15" s="4">
        <f>D12*D3</f>
        <v>0</v>
      </c>
      <c r="E15" s="4">
        <f>E12*E3</f>
        <v>0</v>
      </c>
      <c r="F15" s="4">
        <f>F12*F3</f>
        <v>0</v>
      </c>
      <c r="G15" s="4">
        <f>G12*G3</f>
        <v>0</v>
      </c>
    </row>
    <row r="17" spans="1:8">
      <c r="A17" s="12" t="s">
        <v>86</v>
      </c>
      <c r="B17" s="4">
        <f>'インプット'!B3</f>
        <v>0</v>
      </c>
      <c r="C17" s="4">
        <f>(B17-C10)*(1+C6)+C14</f>
        <v>0</v>
      </c>
      <c r="D17" s="4">
        <f>(C17-D10)*(1+D6)+D14</f>
        <v>0</v>
      </c>
      <c r="E17" s="4">
        <f>(D17-E10)*(1+E6)+E14</f>
        <v>0</v>
      </c>
      <c r="F17" s="4">
        <f>(E17-F10)*(1+F6)+F14</f>
        <v>0</v>
      </c>
      <c r="G17" s="4">
        <f>(F17-G10)*(1+G6)+G14</f>
        <v>0</v>
      </c>
    </row>
    <row r="18" spans="1:8">
      <c r="A18" s="12" t="s">
        <v>87</v>
      </c>
      <c r="B18" s="4">
        <f>'インプット'!B4</f>
        <v>0</v>
      </c>
      <c r="C18" s="4">
        <f>(B18-C11)*(1+C7)+C15</f>
        <v>0</v>
      </c>
      <c r="D18" s="4">
        <f>(C18-D11)*(1+D7)+D15</f>
        <v>0</v>
      </c>
      <c r="E18" s="4">
        <f>(D18-E11)*(1+E7)+E15</f>
        <v>0</v>
      </c>
      <c r="F18" s="4">
        <f>(E18-F11)*(1+F7)+F15</f>
        <v>0</v>
      </c>
      <c r="G18" s="4">
        <f>(F18-G11)*(1+G7)+G15</f>
        <v>0</v>
      </c>
    </row>
    <row r="19" spans="1:8">
      <c r="A19" s="12" t="s">
        <v>88</v>
      </c>
      <c r="B19" s="4">
        <f>'インプット'!B5</f>
        <v>0</v>
      </c>
      <c r="C19" s="4">
        <f>B19+C13</f>
        <v>0</v>
      </c>
      <c r="D19" s="4">
        <f>C19+D13</f>
        <v>0</v>
      </c>
      <c r="E19" s="4">
        <f>D19+E13</f>
        <v>0</v>
      </c>
      <c r="F19" s="4">
        <f>E19+F13</f>
        <v>0</v>
      </c>
      <c r="G19" s="4">
        <f>F19+G13</f>
        <v>0</v>
      </c>
    </row>
    <row r="20" spans="1:8">
      <c r="A20" s="12" t="s">
        <v>89</v>
      </c>
      <c r="B20" s="4">
        <f>B17+B18+B19</f>
        <v>0</v>
      </c>
      <c r="C20" s="4">
        <f>C17+C18+C19</f>
        <v>0</v>
      </c>
      <c r="D20" s="4">
        <f>D17+D18+D19</f>
        <v>0</v>
      </c>
      <c r="E20" s="4">
        <f>E17+E18+E19</f>
        <v>0</v>
      </c>
      <c r="F20" s="4">
        <f>F17+F18+F19</f>
        <v>0</v>
      </c>
      <c r="G20" s="4">
        <f>G17+G18+G19</f>
        <v>0</v>
      </c>
    </row>
    <row r="22" spans="1:8">
      <c r="A22" s="12" t="s">
        <v>90</v>
      </c>
      <c r="B22" s="5">
        <f>B17/B20</f>
        <v>0</v>
      </c>
      <c r="C22" s="5">
        <f>C17/C20</f>
        <v>0</v>
      </c>
      <c r="D22" s="5">
        <f>D17/D20</f>
        <v>0</v>
      </c>
      <c r="E22" s="5">
        <f>E17/E20</f>
        <v>0</v>
      </c>
      <c r="F22" s="5">
        <f>F17/F20</f>
        <v>0</v>
      </c>
      <c r="G22" s="5">
        <f>G17/G20</f>
        <v>0</v>
      </c>
      <c r="H22" s="5">
        <v>0.45</v>
      </c>
    </row>
    <row r="23" spans="1:8">
      <c r="A23" s="12" t="s">
        <v>91</v>
      </c>
      <c r="B23" s="5">
        <f>B18/B20</f>
        <v>0</v>
      </c>
      <c r="C23" s="5">
        <f>C18/C20</f>
        <v>0</v>
      </c>
      <c r="D23" s="5">
        <f>D18/D20</f>
        <v>0</v>
      </c>
      <c r="E23" s="5">
        <f>E18/E20</f>
        <v>0</v>
      </c>
      <c r="F23" s="5">
        <f>F18/F20</f>
        <v>0</v>
      </c>
      <c r="G23" s="5">
        <f>G18/G20</f>
        <v>0</v>
      </c>
      <c r="H23" s="5">
        <v>0.25</v>
      </c>
    </row>
    <row r="24" spans="1:8">
      <c r="A24" s="12" t="s">
        <v>92</v>
      </c>
      <c r="B24" s="5">
        <f>B19/B20</f>
        <v>0</v>
      </c>
      <c r="C24" s="5">
        <f>C19/C20</f>
        <v>0</v>
      </c>
      <c r="D24" s="5">
        <f>D19/D20</f>
        <v>0</v>
      </c>
      <c r="E24" s="5">
        <f>E19/E20</f>
        <v>0</v>
      </c>
      <c r="F24" s="5">
        <f>F19/F20</f>
        <v>0</v>
      </c>
      <c r="G24" s="5">
        <f>G19/G20</f>
        <v>0</v>
      </c>
      <c r="H24" s="5">
        <v>0.25</v>
      </c>
    </row>
    <row r="26" spans="1:8">
      <c r="A26" s="12" t="s">
        <v>93</v>
      </c>
      <c r="B26" s="4">
        <f>'インプット'!C3</f>
        <v>0</v>
      </c>
      <c r="C26" s="4">
        <f>B26-C10+C14</f>
        <v>0</v>
      </c>
      <c r="D26" s="4">
        <f>C26-D10+D14</f>
        <v>0</v>
      </c>
      <c r="E26" s="4">
        <f>D26-E10+E14</f>
        <v>0</v>
      </c>
      <c r="F26" s="4">
        <f>E26-F10+F14</f>
        <v>0</v>
      </c>
      <c r="G26" s="4">
        <f>F26-G10+G14</f>
        <v>0</v>
      </c>
    </row>
    <row r="27" spans="1:8">
      <c r="A27" s="12" t="s">
        <v>94</v>
      </c>
      <c r="B27" s="4">
        <f>'インプット'!C4</f>
        <v>0</v>
      </c>
      <c r="C27" s="4">
        <f>B27-C11+C15</f>
        <v>0</v>
      </c>
      <c r="D27" s="4">
        <f>C27-D11+D15</f>
        <v>0</v>
      </c>
      <c r="E27" s="4">
        <f>D27-E11+E15</f>
        <v>0</v>
      </c>
      <c r="F27" s="4">
        <f>E27-F11+F15</f>
        <v>0</v>
      </c>
      <c r="G27" s="4">
        <f>F27-G11+G15</f>
        <v>0</v>
      </c>
    </row>
    <row r="28" spans="1:8">
      <c r="A28" s="12" t="s">
        <v>95</v>
      </c>
      <c r="B28" s="4">
        <f>'インプット'!C5</f>
        <v>0</v>
      </c>
      <c r="C28" s="4">
        <f>B28+C13</f>
        <v>0</v>
      </c>
      <c r="D28" s="4">
        <f>C28+D13</f>
        <v>0</v>
      </c>
      <c r="E28" s="4">
        <f>D28+E13</f>
        <v>0</v>
      </c>
      <c r="F28" s="4">
        <f>E28+F13</f>
        <v>0</v>
      </c>
      <c r="G28" s="4">
        <f>F28+G13</f>
        <v>0</v>
      </c>
    </row>
    <row r="29" spans="1:8">
      <c r="A29" s="12" t="s">
        <v>96</v>
      </c>
      <c r="B29" s="4">
        <f>B26+B27+B28</f>
        <v>0</v>
      </c>
      <c r="C29" s="4">
        <f>C26+C27+C28</f>
        <v>0</v>
      </c>
      <c r="D29" s="4">
        <f>D26+D27+D28</f>
        <v>0</v>
      </c>
      <c r="E29" s="4">
        <f>E26+E27+E28</f>
        <v>0</v>
      </c>
      <c r="F29" s="4">
        <f>F26+F27+F28</f>
        <v>0</v>
      </c>
      <c r="G29" s="4">
        <f>G26+G27+G28</f>
        <v>0</v>
      </c>
    </row>
    <row r="31" spans="1:8">
      <c r="A31" s="12" t="s">
        <v>97</v>
      </c>
      <c r="B31" s="4">
        <v>0</v>
      </c>
      <c r="C31" s="4">
        <f>C17-C26</f>
        <v>0</v>
      </c>
      <c r="D31" s="4">
        <f>D17-D26</f>
        <v>0</v>
      </c>
      <c r="E31" s="4">
        <f>E17-E26</f>
        <v>0</v>
      </c>
      <c r="F31" s="4">
        <f>F17-F26</f>
        <v>0</v>
      </c>
      <c r="G31" s="4">
        <f>G17-G26</f>
        <v>0</v>
      </c>
    </row>
    <row r="32" spans="1:8">
      <c r="A32" s="12" t="s">
        <v>98</v>
      </c>
      <c r="B32" s="4">
        <v>0</v>
      </c>
      <c r="C32" s="4">
        <f>C18-C27</f>
        <v>0</v>
      </c>
      <c r="D32" s="4">
        <f>D18-D27</f>
        <v>0</v>
      </c>
      <c r="E32" s="4">
        <f>E18-E27</f>
        <v>0</v>
      </c>
      <c r="F32" s="4">
        <f>F18-F27</f>
        <v>0</v>
      </c>
      <c r="G32" s="4">
        <f>G18-G27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1" width="20.7109375" customWidth="1"/>
    <col min="2" max="9" width="14.7109375" customWidth="1"/>
  </cols>
  <sheetData>
    <row r="1" spans="1:8">
      <c r="A1" s="1" t="s">
        <v>99</v>
      </c>
    </row>
    <row r="2" spans="1:8">
      <c r="A2" s="6" t="s">
        <v>73</v>
      </c>
    </row>
    <row r="3" spans="1:8">
      <c r="A3" s="12" t="s">
        <v>74</v>
      </c>
      <c r="C3" s="13">
        <v>1</v>
      </c>
      <c r="D3" s="13">
        <v>1</v>
      </c>
      <c r="E3" s="13">
        <v>1</v>
      </c>
      <c r="F3" s="13">
        <v>1</v>
      </c>
      <c r="G3" s="13">
        <v>1</v>
      </c>
    </row>
    <row r="4" spans="1:8">
      <c r="A4" s="12" t="s">
        <v>75</v>
      </c>
      <c r="C4" s="5">
        <f>1-C3</f>
        <v>0</v>
      </c>
      <c r="D4" s="5">
        <f>1-D3</f>
        <v>0</v>
      </c>
      <c r="E4" s="5">
        <f>1-E3</f>
        <v>0</v>
      </c>
      <c r="F4" s="5">
        <f>1-F3</f>
        <v>0</v>
      </c>
      <c r="G4" s="5">
        <f>1-G3</f>
        <v>0</v>
      </c>
    </row>
    <row r="6" spans="1:8">
      <c r="A6" s="12" t="s">
        <v>76</v>
      </c>
      <c r="C6" s="8">
        <f>'インプット'!B98</f>
        <v>0</v>
      </c>
      <c r="D6" s="8">
        <f>'インプット'!C98</f>
        <v>0</v>
      </c>
      <c r="E6" s="8">
        <f>'インプット'!D98</f>
        <v>0</v>
      </c>
      <c r="F6" s="8">
        <f>'インプット'!E98</f>
        <v>0</v>
      </c>
      <c r="G6" s="8">
        <f>'インプット'!F98</f>
        <v>0</v>
      </c>
    </row>
    <row r="7" spans="1:8">
      <c r="A7" s="12" t="s">
        <v>77</v>
      </c>
      <c r="C7" s="8">
        <f>'インプット'!B99</f>
        <v>0</v>
      </c>
      <c r="D7" s="8">
        <f>'インプット'!C99</f>
        <v>0</v>
      </c>
      <c r="E7" s="8">
        <f>'インプット'!D99</f>
        <v>0</v>
      </c>
      <c r="F7" s="8">
        <f>'インプット'!E99</f>
        <v>0</v>
      </c>
      <c r="G7" s="8">
        <f>'インプット'!F99</f>
        <v>0</v>
      </c>
    </row>
    <row r="9" spans="1:8">
      <c r="A9" s="2"/>
      <c r="B9" s="2" t="s">
        <v>78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79</v>
      </c>
    </row>
    <row r="10" spans="1:8">
      <c r="A10" s="12" t="s">
        <v>80</v>
      </c>
      <c r="B10" s="4">
        <v>0</v>
      </c>
      <c r="C10" s="4">
        <f>'インプット'!B15</f>
        <v>0</v>
      </c>
      <c r="D10" s="4">
        <f>'インプット'!C15</f>
        <v>0</v>
      </c>
      <c r="E10" s="4">
        <f>'インプット'!D15</f>
        <v>0</v>
      </c>
      <c r="F10" s="4">
        <f>'インプット'!E15</f>
        <v>0</v>
      </c>
      <c r="G10" s="4">
        <f>'インプット'!F15</f>
        <v>0</v>
      </c>
    </row>
    <row r="11" spans="1:8">
      <c r="A11" s="12" t="s">
        <v>81</v>
      </c>
      <c r="B11" s="4">
        <v>0</v>
      </c>
      <c r="C11" s="4">
        <f>'インプット'!B16</f>
        <v>0</v>
      </c>
      <c r="D11" s="4">
        <f>'インプット'!C16</f>
        <v>0</v>
      </c>
      <c r="E11" s="4">
        <f>'インプット'!D16</f>
        <v>0</v>
      </c>
      <c r="F11" s="4">
        <f>'インプット'!E16</f>
        <v>0</v>
      </c>
      <c r="G11" s="4">
        <f>'インプット'!F16</f>
        <v>0</v>
      </c>
    </row>
    <row r="12" spans="1:8">
      <c r="A12" s="12" t="s">
        <v>82</v>
      </c>
      <c r="B12" s="4">
        <v>0</v>
      </c>
      <c r="C12" s="4">
        <f>'インプット'!B20</f>
        <v>0</v>
      </c>
      <c r="D12" s="4">
        <f>'インプット'!C20</f>
        <v>0</v>
      </c>
      <c r="E12" s="4">
        <f>'インプット'!D20</f>
        <v>0</v>
      </c>
      <c r="F12" s="4">
        <f>'インプット'!E20</f>
        <v>0</v>
      </c>
      <c r="G12" s="4">
        <f>'インプット'!F20</f>
        <v>0</v>
      </c>
    </row>
    <row r="13" spans="1:8">
      <c r="A13" s="12" t="s">
        <v>83</v>
      </c>
      <c r="B13" s="4">
        <v>0</v>
      </c>
      <c r="C13" s="4">
        <f>'インプット'!B21</f>
        <v>0</v>
      </c>
      <c r="D13" s="4">
        <f>'インプット'!C21</f>
        <v>0</v>
      </c>
      <c r="E13" s="4">
        <f>'インプット'!D21</f>
        <v>0</v>
      </c>
      <c r="F13" s="4">
        <f>'インプット'!E21</f>
        <v>0</v>
      </c>
      <c r="G13" s="4">
        <f>'インプット'!F21</f>
        <v>0</v>
      </c>
    </row>
    <row r="14" spans="1:8">
      <c r="A14" s="12" t="s">
        <v>84</v>
      </c>
      <c r="B14" s="4">
        <v>0</v>
      </c>
      <c r="C14" s="4">
        <f>C12*(1-C3)</f>
        <v>0</v>
      </c>
      <c r="D14" s="4">
        <f>D12*(1-D3)</f>
        <v>0</v>
      </c>
      <c r="E14" s="4">
        <f>E12*(1-E3)</f>
        <v>0</v>
      </c>
      <c r="F14" s="4">
        <f>F12*(1-F3)</f>
        <v>0</v>
      </c>
      <c r="G14" s="4">
        <f>G12*(1-G3)</f>
        <v>0</v>
      </c>
    </row>
    <row r="15" spans="1:8">
      <c r="A15" s="12" t="s">
        <v>85</v>
      </c>
      <c r="B15" s="4">
        <v>0</v>
      </c>
      <c r="C15" s="4">
        <f>C12*C3</f>
        <v>0</v>
      </c>
      <c r="D15" s="4">
        <f>D12*D3</f>
        <v>0</v>
      </c>
      <c r="E15" s="4">
        <f>E12*E3</f>
        <v>0</v>
      </c>
      <c r="F15" s="4">
        <f>F12*F3</f>
        <v>0</v>
      </c>
      <c r="G15" s="4">
        <f>G12*G3</f>
        <v>0</v>
      </c>
    </row>
    <row r="17" spans="1:8">
      <c r="A17" s="12" t="s">
        <v>86</v>
      </c>
      <c r="B17" s="4">
        <f>'インプット'!B3</f>
        <v>0</v>
      </c>
      <c r="C17" s="4">
        <f>(B17-C10)*(1+C6)+C14</f>
        <v>0</v>
      </c>
      <c r="D17" s="4">
        <f>(C17-D10)*(1+D6)+D14</f>
        <v>0</v>
      </c>
      <c r="E17" s="4">
        <f>(D17-E10)*(1+E6)+E14</f>
        <v>0</v>
      </c>
      <c r="F17" s="4">
        <f>(E17-F10)*(1+F6)+F14</f>
        <v>0</v>
      </c>
      <c r="G17" s="4">
        <f>(F17-G10)*(1+G6)+G14</f>
        <v>0</v>
      </c>
    </row>
    <row r="18" spans="1:8">
      <c r="A18" s="12" t="s">
        <v>87</v>
      </c>
      <c r="B18" s="4">
        <f>'インプット'!B4</f>
        <v>0</v>
      </c>
      <c r="C18" s="4">
        <f>(B18-C11)*(1+C7)+C15</f>
        <v>0</v>
      </c>
      <c r="D18" s="4">
        <f>(C18-D11)*(1+D7)+D15</f>
        <v>0</v>
      </c>
      <c r="E18" s="4">
        <f>(D18-E11)*(1+E7)+E15</f>
        <v>0</v>
      </c>
      <c r="F18" s="4">
        <f>(E18-F11)*(1+F7)+F15</f>
        <v>0</v>
      </c>
      <c r="G18" s="4">
        <f>(F18-G11)*(1+G7)+G15</f>
        <v>0</v>
      </c>
    </row>
    <row r="19" spans="1:8">
      <c r="A19" s="12" t="s">
        <v>88</v>
      </c>
      <c r="B19" s="4">
        <f>'インプット'!B5</f>
        <v>0</v>
      </c>
      <c r="C19" s="4">
        <f>B19+C13</f>
        <v>0</v>
      </c>
      <c r="D19" s="4">
        <f>C19+D13</f>
        <v>0</v>
      </c>
      <c r="E19" s="4">
        <f>D19+E13</f>
        <v>0</v>
      </c>
      <c r="F19" s="4">
        <f>E19+F13</f>
        <v>0</v>
      </c>
      <c r="G19" s="4">
        <f>F19+G13</f>
        <v>0</v>
      </c>
    </row>
    <row r="20" spans="1:8">
      <c r="A20" s="12" t="s">
        <v>89</v>
      </c>
      <c r="B20" s="4">
        <f>B17+B18+B19</f>
        <v>0</v>
      </c>
      <c r="C20" s="4">
        <f>C17+C18+C19</f>
        <v>0</v>
      </c>
      <c r="D20" s="4">
        <f>D17+D18+D19</f>
        <v>0</v>
      </c>
      <c r="E20" s="4">
        <f>E17+E18+E19</f>
        <v>0</v>
      </c>
      <c r="F20" s="4">
        <f>F17+F18+F19</f>
        <v>0</v>
      </c>
      <c r="G20" s="4">
        <f>G17+G18+G19</f>
        <v>0</v>
      </c>
    </row>
    <row r="22" spans="1:8">
      <c r="A22" s="12" t="s">
        <v>90</v>
      </c>
      <c r="B22" s="5">
        <f>B17/B20</f>
        <v>0</v>
      </c>
      <c r="C22" s="5">
        <f>C17/C20</f>
        <v>0</v>
      </c>
      <c r="D22" s="5">
        <f>D17/D20</f>
        <v>0</v>
      </c>
      <c r="E22" s="5">
        <f>E17/E20</f>
        <v>0</v>
      </c>
      <c r="F22" s="5">
        <f>F17/F20</f>
        <v>0</v>
      </c>
      <c r="G22" s="5">
        <f>G17/G20</f>
        <v>0</v>
      </c>
      <c r="H22" s="5">
        <v>0.45</v>
      </c>
    </row>
    <row r="23" spans="1:8">
      <c r="A23" s="12" t="s">
        <v>91</v>
      </c>
      <c r="B23" s="5">
        <f>B18/B20</f>
        <v>0</v>
      </c>
      <c r="C23" s="5">
        <f>C18/C20</f>
        <v>0</v>
      </c>
      <c r="D23" s="5">
        <f>D18/D20</f>
        <v>0</v>
      </c>
      <c r="E23" s="5">
        <f>E18/E20</f>
        <v>0</v>
      </c>
      <c r="F23" s="5">
        <f>F18/F20</f>
        <v>0</v>
      </c>
      <c r="G23" s="5">
        <f>G18/G20</f>
        <v>0</v>
      </c>
      <c r="H23" s="5">
        <v>0.25</v>
      </c>
    </row>
    <row r="24" spans="1:8">
      <c r="A24" s="12" t="s">
        <v>92</v>
      </c>
      <c r="B24" s="5">
        <f>B19/B20</f>
        <v>0</v>
      </c>
      <c r="C24" s="5">
        <f>C19/C20</f>
        <v>0</v>
      </c>
      <c r="D24" s="5">
        <f>D19/D20</f>
        <v>0</v>
      </c>
      <c r="E24" s="5">
        <f>E19/E20</f>
        <v>0</v>
      </c>
      <c r="F24" s="5">
        <f>F19/F20</f>
        <v>0</v>
      </c>
      <c r="G24" s="5">
        <f>G19/G20</f>
        <v>0</v>
      </c>
      <c r="H24" s="5">
        <v>0.25</v>
      </c>
    </row>
    <row r="26" spans="1:8">
      <c r="A26" s="12" t="s">
        <v>93</v>
      </c>
      <c r="B26" s="4">
        <f>'インプット'!C3</f>
        <v>0</v>
      </c>
      <c r="C26" s="4">
        <f>B26-C10+C14</f>
        <v>0</v>
      </c>
      <c r="D26" s="4">
        <f>C26-D10+D14</f>
        <v>0</v>
      </c>
      <c r="E26" s="4">
        <f>D26-E10+E14</f>
        <v>0</v>
      </c>
      <c r="F26" s="4">
        <f>E26-F10+F14</f>
        <v>0</v>
      </c>
      <c r="G26" s="4">
        <f>F26-G10+G14</f>
        <v>0</v>
      </c>
    </row>
    <row r="27" spans="1:8">
      <c r="A27" s="12" t="s">
        <v>94</v>
      </c>
      <c r="B27" s="4">
        <f>'インプット'!C4</f>
        <v>0</v>
      </c>
      <c r="C27" s="4">
        <f>B27-C11+C15</f>
        <v>0</v>
      </c>
      <c r="D27" s="4">
        <f>C27-D11+D15</f>
        <v>0</v>
      </c>
      <c r="E27" s="4">
        <f>D27-E11+E15</f>
        <v>0</v>
      </c>
      <c r="F27" s="4">
        <f>E27-F11+F15</f>
        <v>0</v>
      </c>
      <c r="G27" s="4">
        <f>F27-G11+G15</f>
        <v>0</v>
      </c>
    </row>
    <row r="28" spans="1:8">
      <c r="A28" s="12" t="s">
        <v>95</v>
      </c>
      <c r="B28" s="4">
        <f>'インプット'!C5</f>
        <v>0</v>
      </c>
      <c r="C28" s="4">
        <f>B28+C13</f>
        <v>0</v>
      </c>
      <c r="D28" s="4">
        <f>C28+D13</f>
        <v>0</v>
      </c>
      <c r="E28" s="4">
        <f>D28+E13</f>
        <v>0</v>
      </c>
      <c r="F28" s="4">
        <f>E28+F13</f>
        <v>0</v>
      </c>
      <c r="G28" s="4">
        <f>F28+G13</f>
        <v>0</v>
      </c>
    </row>
    <row r="29" spans="1:8">
      <c r="A29" s="12" t="s">
        <v>96</v>
      </c>
      <c r="B29" s="4">
        <f>B26+B27+B28</f>
        <v>0</v>
      </c>
      <c r="C29" s="4">
        <f>C26+C27+C28</f>
        <v>0</v>
      </c>
      <c r="D29" s="4">
        <f>D26+D27+D28</f>
        <v>0</v>
      </c>
      <c r="E29" s="4">
        <f>E26+E27+E28</f>
        <v>0</v>
      </c>
      <c r="F29" s="4">
        <f>F26+F27+F28</f>
        <v>0</v>
      </c>
      <c r="G29" s="4">
        <f>G26+G27+G28</f>
        <v>0</v>
      </c>
    </row>
    <row r="31" spans="1:8">
      <c r="A31" s="12" t="s">
        <v>97</v>
      </c>
      <c r="B31" s="4">
        <v>0</v>
      </c>
      <c r="C31" s="4">
        <f>C17-C26</f>
        <v>0</v>
      </c>
      <c r="D31" s="4">
        <f>D17-D26</f>
        <v>0</v>
      </c>
      <c r="E31" s="4">
        <f>E17-E26</f>
        <v>0</v>
      </c>
      <c r="F31" s="4">
        <f>F17-F26</f>
        <v>0</v>
      </c>
      <c r="G31" s="4">
        <f>G17-G26</f>
        <v>0</v>
      </c>
    </row>
    <row r="32" spans="1:8">
      <c r="A32" s="12" t="s">
        <v>98</v>
      </c>
      <c r="B32" s="4">
        <v>0</v>
      </c>
      <c r="C32" s="4">
        <f>C18-C27</f>
        <v>0</v>
      </c>
      <c r="D32" s="4">
        <f>D18-D27</f>
        <v>0</v>
      </c>
      <c r="E32" s="4">
        <f>E18-E27</f>
        <v>0</v>
      </c>
      <c r="F32" s="4">
        <f>F18-F27</f>
        <v>0</v>
      </c>
      <c r="G32" s="4">
        <f>G18-G27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1" width="20.7109375" customWidth="1"/>
    <col min="2" max="9" width="14.7109375" customWidth="1"/>
  </cols>
  <sheetData>
    <row r="1" spans="1:8">
      <c r="A1" s="1" t="s">
        <v>100</v>
      </c>
    </row>
    <row r="2" spans="1:8">
      <c r="A2" s="6" t="s">
        <v>73</v>
      </c>
    </row>
    <row r="3" spans="1:8">
      <c r="A3" s="12" t="s">
        <v>74</v>
      </c>
      <c r="C3" s="13">
        <v>0.31</v>
      </c>
      <c r="D3" s="13">
        <v>1</v>
      </c>
      <c r="E3" s="13">
        <v>1</v>
      </c>
      <c r="F3" s="13">
        <v>1</v>
      </c>
      <c r="G3" s="13">
        <v>1</v>
      </c>
    </row>
    <row r="4" spans="1:8">
      <c r="A4" s="12" t="s">
        <v>75</v>
      </c>
      <c r="C4" s="5">
        <f>1-C3</f>
        <v>0</v>
      </c>
      <c r="D4" s="5">
        <f>1-D3</f>
        <v>0</v>
      </c>
      <c r="E4" s="5">
        <f>1-E3</f>
        <v>0</v>
      </c>
      <c r="F4" s="5">
        <f>1-F3</f>
        <v>0</v>
      </c>
      <c r="G4" s="5">
        <f>1-G3</f>
        <v>0</v>
      </c>
    </row>
    <row r="6" spans="1:8">
      <c r="A6" s="12" t="s">
        <v>76</v>
      </c>
      <c r="C6" s="8">
        <f>'インプット'!B111</f>
        <v>0</v>
      </c>
      <c r="D6" s="8">
        <f>'インプット'!C111</f>
        <v>0</v>
      </c>
      <c r="E6" s="8">
        <f>'インプット'!D111</f>
        <v>0</v>
      </c>
      <c r="F6" s="8">
        <f>'インプット'!E111</f>
        <v>0</v>
      </c>
      <c r="G6" s="8">
        <f>'インプット'!F111</f>
        <v>0</v>
      </c>
    </row>
    <row r="7" spans="1:8">
      <c r="A7" s="12" t="s">
        <v>77</v>
      </c>
      <c r="C7" s="8">
        <f>'インプット'!B112</f>
        <v>0</v>
      </c>
      <c r="D7" s="8">
        <f>'インプット'!C112</f>
        <v>0</v>
      </c>
      <c r="E7" s="8">
        <f>'インプット'!D112</f>
        <v>0</v>
      </c>
      <c r="F7" s="8">
        <f>'インプット'!E112</f>
        <v>0</v>
      </c>
      <c r="G7" s="8">
        <f>'インプット'!F112</f>
        <v>0</v>
      </c>
    </row>
    <row r="9" spans="1:8">
      <c r="A9" s="2"/>
      <c r="B9" s="2" t="s">
        <v>78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79</v>
      </c>
    </row>
    <row r="10" spans="1:8">
      <c r="A10" s="12" t="s">
        <v>80</v>
      </c>
      <c r="B10" s="4">
        <v>0</v>
      </c>
      <c r="C10" s="4">
        <f>'インプット'!B15</f>
        <v>0</v>
      </c>
      <c r="D10" s="4">
        <f>'インプット'!C15</f>
        <v>0</v>
      </c>
      <c r="E10" s="4">
        <f>'インプット'!D15</f>
        <v>0</v>
      </c>
      <c r="F10" s="4">
        <f>'インプット'!E15</f>
        <v>0</v>
      </c>
      <c r="G10" s="4">
        <f>'インプット'!F15</f>
        <v>0</v>
      </c>
    </row>
    <row r="11" spans="1:8">
      <c r="A11" s="12" t="s">
        <v>81</v>
      </c>
      <c r="B11" s="4">
        <v>0</v>
      </c>
      <c r="C11" s="4">
        <f>'インプット'!B16</f>
        <v>0</v>
      </c>
      <c r="D11" s="4">
        <f>'インプット'!C16</f>
        <v>0</v>
      </c>
      <c r="E11" s="4">
        <f>'インプット'!D16</f>
        <v>0</v>
      </c>
      <c r="F11" s="4">
        <f>'インプット'!E16</f>
        <v>0</v>
      </c>
      <c r="G11" s="4">
        <f>'インプット'!F16</f>
        <v>0</v>
      </c>
    </row>
    <row r="12" spans="1:8">
      <c r="A12" s="12" t="s">
        <v>82</v>
      </c>
      <c r="B12" s="4">
        <v>0</v>
      </c>
      <c r="C12" s="4">
        <f>'インプット'!B20</f>
        <v>0</v>
      </c>
      <c r="D12" s="4">
        <f>'インプット'!C20</f>
        <v>0</v>
      </c>
      <c r="E12" s="4">
        <f>'インプット'!D20</f>
        <v>0</v>
      </c>
      <c r="F12" s="4">
        <f>'インプット'!E20</f>
        <v>0</v>
      </c>
      <c r="G12" s="4">
        <f>'インプット'!F20</f>
        <v>0</v>
      </c>
    </row>
    <row r="13" spans="1:8">
      <c r="A13" s="12" t="s">
        <v>83</v>
      </c>
      <c r="B13" s="4">
        <v>0</v>
      </c>
      <c r="C13" s="4">
        <f>'インプット'!B21</f>
        <v>0</v>
      </c>
      <c r="D13" s="4">
        <f>'インプット'!C21</f>
        <v>0</v>
      </c>
      <c r="E13" s="4">
        <f>'インプット'!D21</f>
        <v>0</v>
      </c>
      <c r="F13" s="4">
        <f>'インプット'!E21</f>
        <v>0</v>
      </c>
      <c r="G13" s="4">
        <f>'インプット'!F21</f>
        <v>0</v>
      </c>
    </row>
    <row r="14" spans="1:8">
      <c r="A14" s="12" t="s">
        <v>84</v>
      </c>
      <c r="B14" s="4">
        <v>0</v>
      </c>
      <c r="C14" s="4">
        <f>C12*(1-C3)</f>
        <v>0</v>
      </c>
      <c r="D14" s="4">
        <f>D12*(1-D3)</f>
        <v>0</v>
      </c>
      <c r="E14" s="4">
        <f>E12*(1-E3)</f>
        <v>0</v>
      </c>
      <c r="F14" s="4">
        <f>F12*(1-F3)</f>
        <v>0</v>
      </c>
      <c r="G14" s="4">
        <f>G12*(1-G3)</f>
        <v>0</v>
      </c>
    </row>
    <row r="15" spans="1:8">
      <c r="A15" s="12" t="s">
        <v>85</v>
      </c>
      <c r="B15" s="4">
        <v>0</v>
      </c>
      <c r="C15" s="4">
        <f>C12*C3</f>
        <v>0</v>
      </c>
      <c r="D15" s="4">
        <f>D12*D3</f>
        <v>0</v>
      </c>
      <c r="E15" s="4">
        <f>E12*E3</f>
        <v>0</v>
      </c>
      <c r="F15" s="4">
        <f>F12*F3</f>
        <v>0</v>
      </c>
      <c r="G15" s="4">
        <f>G12*G3</f>
        <v>0</v>
      </c>
    </row>
    <row r="17" spans="1:8">
      <c r="A17" s="12" t="s">
        <v>86</v>
      </c>
      <c r="B17" s="4">
        <f>'インプット'!B3</f>
        <v>0</v>
      </c>
      <c r="C17" s="4">
        <f>(B17-C10)*(1+C6)+C14</f>
        <v>0</v>
      </c>
      <c r="D17" s="4">
        <f>(C17-D10)*(1+D6)+D14</f>
        <v>0</v>
      </c>
      <c r="E17" s="4">
        <f>(D17-E10)*(1+E6)+E14</f>
        <v>0</v>
      </c>
      <c r="F17" s="4">
        <f>(E17-F10)*(1+F6)+F14</f>
        <v>0</v>
      </c>
      <c r="G17" s="4">
        <f>(F17-G10)*(1+G6)+G14</f>
        <v>0</v>
      </c>
    </row>
    <row r="18" spans="1:8">
      <c r="A18" s="12" t="s">
        <v>87</v>
      </c>
      <c r="B18" s="4">
        <f>'インプット'!B4</f>
        <v>0</v>
      </c>
      <c r="C18" s="4">
        <f>(B18-C11)*(1+C7)+C15</f>
        <v>0</v>
      </c>
      <c r="D18" s="4">
        <f>(C18-D11)*(1+D7)+D15</f>
        <v>0</v>
      </c>
      <c r="E18" s="4">
        <f>(D18-E11)*(1+E7)+E15</f>
        <v>0</v>
      </c>
      <c r="F18" s="4">
        <f>(E18-F11)*(1+F7)+F15</f>
        <v>0</v>
      </c>
      <c r="G18" s="4">
        <f>(F18-G11)*(1+G7)+G15</f>
        <v>0</v>
      </c>
    </row>
    <row r="19" spans="1:8">
      <c r="A19" s="12" t="s">
        <v>88</v>
      </c>
      <c r="B19" s="4">
        <f>'インプット'!B5</f>
        <v>0</v>
      </c>
      <c r="C19" s="4">
        <f>B19+C13</f>
        <v>0</v>
      </c>
      <c r="D19" s="4">
        <f>C19+D13</f>
        <v>0</v>
      </c>
      <c r="E19" s="4">
        <f>D19+E13</f>
        <v>0</v>
      </c>
      <c r="F19" s="4">
        <f>E19+F13</f>
        <v>0</v>
      </c>
      <c r="G19" s="4">
        <f>F19+G13</f>
        <v>0</v>
      </c>
    </row>
    <row r="20" spans="1:8">
      <c r="A20" s="12" t="s">
        <v>89</v>
      </c>
      <c r="B20" s="4">
        <f>B17+B18+B19</f>
        <v>0</v>
      </c>
      <c r="C20" s="4">
        <f>C17+C18+C19</f>
        <v>0</v>
      </c>
      <c r="D20" s="4">
        <f>D17+D18+D19</f>
        <v>0</v>
      </c>
      <c r="E20" s="4">
        <f>E17+E18+E19</f>
        <v>0</v>
      </c>
      <c r="F20" s="4">
        <f>F17+F18+F19</f>
        <v>0</v>
      </c>
      <c r="G20" s="4">
        <f>G17+G18+G19</f>
        <v>0</v>
      </c>
    </row>
    <row r="22" spans="1:8">
      <c r="A22" s="12" t="s">
        <v>90</v>
      </c>
      <c r="B22" s="5">
        <f>B17/B20</f>
        <v>0</v>
      </c>
      <c r="C22" s="5">
        <f>C17/C20</f>
        <v>0</v>
      </c>
      <c r="D22" s="5">
        <f>D17/D20</f>
        <v>0</v>
      </c>
      <c r="E22" s="5">
        <f>E17/E20</f>
        <v>0</v>
      </c>
      <c r="F22" s="5">
        <f>F17/F20</f>
        <v>0</v>
      </c>
      <c r="G22" s="5">
        <f>G17/G20</f>
        <v>0</v>
      </c>
      <c r="H22" s="5">
        <v>0.45</v>
      </c>
    </row>
    <row r="23" spans="1:8">
      <c r="A23" s="12" t="s">
        <v>91</v>
      </c>
      <c r="B23" s="5">
        <f>B18/B20</f>
        <v>0</v>
      </c>
      <c r="C23" s="5">
        <f>C18/C20</f>
        <v>0</v>
      </c>
      <c r="D23" s="5">
        <f>D18/D20</f>
        <v>0</v>
      </c>
      <c r="E23" s="5">
        <f>E18/E20</f>
        <v>0</v>
      </c>
      <c r="F23" s="5">
        <f>F18/F20</f>
        <v>0</v>
      </c>
      <c r="G23" s="5">
        <f>G18/G20</f>
        <v>0</v>
      </c>
      <c r="H23" s="5">
        <v>0.25</v>
      </c>
    </row>
    <row r="24" spans="1:8">
      <c r="A24" s="12" t="s">
        <v>92</v>
      </c>
      <c r="B24" s="5">
        <f>B19/B20</f>
        <v>0</v>
      </c>
      <c r="C24" s="5">
        <f>C19/C20</f>
        <v>0</v>
      </c>
      <c r="D24" s="5">
        <f>D19/D20</f>
        <v>0</v>
      </c>
      <c r="E24" s="5">
        <f>E19/E20</f>
        <v>0</v>
      </c>
      <c r="F24" s="5">
        <f>F19/F20</f>
        <v>0</v>
      </c>
      <c r="G24" s="5">
        <f>G19/G20</f>
        <v>0</v>
      </c>
      <c r="H24" s="5">
        <v>0.25</v>
      </c>
    </row>
    <row r="26" spans="1:8">
      <c r="A26" s="12" t="s">
        <v>93</v>
      </c>
      <c r="B26" s="4">
        <f>'インプット'!C3</f>
        <v>0</v>
      </c>
      <c r="C26" s="4">
        <f>B26-C10+C14</f>
        <v>0</v>
      </c>
      <c r="D26" s="4">
        <f>C26-D10+D14</f>
        <v>0</v>
      </c>
      <c r="E26" s="4">
        <f>D26-E10+E14</f>
        <v>0</v>
      </c>
      <c r="F26" s="4">
        <f>E26-F10+F14</f>
        <v>0</v>
      </c>
      <c r="G26" s="4">
        <f>F26-G10+G14</f>
        <v>0</v>
      </c>
    </row>
    <row r="27" spans="1:8">
      <c r="A27" s="12" t="s">
        <v>94</v>
      </c>
      <c r="B27" s="4">
        <f>'インプット'!C4</f>
        <v>0</v>
      </c>
      <c r="C27" s="4">
        <f>B27-C11+C15</f>
        <v>0</v>
      </c>
      <c r="D27" s="4">
        <f>C27-D11+D15</f>
        <v>0</v>
      </c>
      <c r="E27" s="4">
        <f>D27-E11+E15</f>
        <v>0</v>
      </c>
      <c r="F27" s="4">
        <f>E27-F11+F15</f>
        <v>0</v>
      </c>
      <c r="G27" s="4">
        <f>F27-G11+G15</f>
        <v>0</v>
      </c>
    </row>
    <row r="28" spans="1:8">
      <c r="A28" s="12" t="s">
        <v>95</v>
      </c>
      <c r="B28" s="4">
        <f>'インプット'!C5</f>
        <v>0</v>
      </c>
      <c r="C28" s="4">
        <f>B28+C13</f>
        <v>0</v>
      </c>
      <c r="D28" s="4">
        <f>C28+D13</f>
        <v>0</v>
      </c>
      <c r="E28" s="4">
        <f>D28+E13</f>
        <v>0</v>
      </c>
      <c r="F28" s="4">
        <f>E28+F13</f>
        <v>0</v>
      </c>
      <c r="G28" s="4">
        <f>F28+G13</f>
        <v>0</v>
      </c>
    </row>
    <row r="29" spans="1:8">
      <c r="A29" s="12" t="s">
        <v>96</v>
      </c>
      <c r="B29" s="4">
        <f>B26+B27+B28</f>
        <v>0</v>
      </c>
      <c r="C29" s="4">
        <f>C26+C27+C28</f>
        <v>0</v>
      </c>
      <c r="D29" s="4">
        <f>D26+D27+D28</f>
        <v>0</v>
      </c>
      <c r="E29" s="4">
        <f>E26+E27+E28</f>
        <v>0</v>
      </c>
      <c r="F29" s="4">
        <f>F26+F27+F28</f>
        <v>0</v>
      </c>
      <c r="G29" s="4">
        <f>G26+G27+G28</f>
        <v>0</v>
      </c>
    </row>
    <row r="31" spans="1:8">
      <c r="A31" s="12" t="s">
        <v>97</v>
      </c>
      <c r="B31" s="4">
        <v>0</v>
      </c>
      <c r="C31" s="4">
        <f>C17-C26</f>
        <v>0</v>
      </c>
      <c r="D31" s="4">
        <f>D17-D26</f>
        <v>0</v>
      </c>
      <c r="E31" s="4">
        <f>E17-E26</f>
        <v>0</v>
      </c>
      <c r="F31" s="4">
        <f>F17-F26</f>
        <v>0</v>
      </c>
      <c r="G31" s="4">
        <f>G17-G26</f>
        <v>0</v>
      </c>
    </row>
    <row r="32" spans="1:8">
      <c r="A32" s="12" t="s">
        <v>98</v>
      </c>
      <c r="B32" s="4">
        <v>0</v>
      </c>
      <c r="C32" s="4">
        <f>C18-C27</f>
        <v>0</v>
      </c>
      <c r="D32" s="4">
        <f>D18-D27</f>
        <v>0</v>
      </c>
      <c r="E32" s="4">
        <f>E18-E27</f>
        <v>0</v>
      </c>
      <c r="F32" s="4">
        <f>F18-F27</f>
        <v>0</v>
      </c>
      <c r="G32" s="4">
        <f>G18-G27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インプット</vt:lpstr>
      <vt:lpstr>Bull</vt:lpstr>
      <vt:lpstr>Base</vt:lpstr>
      <vt:lpstr>Bear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2026-04-10T01:49:05Z</dcterms:created>
  <dcterms:modified xsi:type="dcterms:W3CDTF">2026-04-10T01:49:05Z</dcterms:modified>
</cp:coreProperties>
</file>