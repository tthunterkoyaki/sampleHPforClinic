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thun\OneDrive\Documents\"/>
    </mc:Choice>
  </mc:AlternateContent>
  <xr:revisionPtr revIDLastSave="0" documentId="13_ncr:1_{9941EE3A-20CF-4B2B-964D-DA2FC0BA331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. インプット" sheetId="1" r:id="rId1"/>
    <sheet name="2. 計算ロジック" sheetId="2" r:id="rId2"/>
    <sheet name="3. 結果サマリー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3" l="1"/>
  <c r="J65" i="3"/>
  <c r="K30" i="3"/>
  <c r="J21" i="3"/>
  <c r="I31" i="3" s="1"/>
  <c r="B127" i="2"/>
  <c r="B103" i="2"/>
  <c r="B104" i="2" s="1"/>
  <c r="B79" i="2"/>
  <c r="B69" i="2"/>
  <c r="B53" i="2"/>
  <c r="B99" i="2" s="1"/>
  <c r="B52" i="2"/>
  <c r="B51" i="2"/>
  <c r="B114" i="2" s="1"/>
  <c r="B50" i="2"/>
  <c r="B49" i="2"/>
  <c r="B48" i="2"/>
  <c r="B47" i="2"/>
  <c r="B46" i="2"/>
  <c r="B45" i="2"/>
  <c r="B101" i="2" s="1"/>
  <c r="B121" i="2" s="1"/>
  <c r="B44" i="2"/>
  <c r="B98" i="2" s="1"/>
  <c r="B43" i="2"/>
  <c r="B97" i="2" s="1"/>
  <c r="B42" i="2"/>
  <c r="B96" i="2" s="1"/>
  <c r="B41" i="2"/>
  <c r="B149" i="2" s="1"/>
  <c r="B40" i="2"/>
  <c r="B39" i="2"/>
  <c r="B36" i="2"/>
  <c r="B35" i="2"/>
  <c r="B34" i="2"/>
  <c r="B33" i="2"/>
  <c r="B63" i="2" s="1"/>
  <c r="B32" i="2"/>
  <c r="B31" i="2"/>
  <c r="B75" i="2" s="1"/>
  <c r="B30" i="2"/>
  <c r="B29" i="2"/>
  <c r="B28" i="2"/>
  <c r="B27" i="2"/>
  <c r="B153" i="2" s="1"/>
  <c r="B26" i="2"/>
  <c r="B151" i="2" s="1"/>
  <c r="B25" i="2"/>
  <c r="B150" i="2" s="1"/>
  <c r="B24" i="2"/>
  <c r="B23" i="2"/>
  <c r="B113" i="2" s="1"/>
  <c r="B22" i="2"/>
  <c r="B21" i="2"/>
  <c r="B20" i="2"/>
  <c r="B19" i="2"/>
  <c r="B18" i="2"/>
  <c r="I21" i="3" s="1"/>
  <c r="B17" i="2"/>
  <c r="I25" i="3" s="1"/>
  <c r="M30" i="3" s="1"/>
  <c r="B16" i="2"/>
  <c r="B67" i="2" s="1"/>
  <c r="B15" i="2"/>
  <c r="I22" i="3" s="1"/>
  <c r="J30" i="3" s="1"/>
  <c r="B14" i="2"/>
  <c r="I24" i="3" s="1"/>
  <c r="L30" i="3" s="1"/>
  <c r="B13" i="2"/>
  <c r="B58" i="2" s="1"/>
  <c r="H20" i="1"/>
  <c r="C14" i="3" l="1"/>
  <c r="B68" i="2"/>
  <c r="I30" i="3"/>
  <c r="B152" i="2"/>
  <c r="B64" i="2"/>
  <c r="B95" i="2"/>
  <c r="B111" i="2"/>
  <c r="B62" i="2"/>
  <c r="B66" i="2" s="1"/>
  <c r="B57" i="2"/>
  <c r="B59" i="2" s="1"/>
  <c r="B65" i="2"/>
  <c r="B73" i="2"/>
  <c r="B84" i="2"/>
  <c r="B100" i="2"/>
  <c r="I26" i="3"/>
  <c r="N30" i="3" s="1"/>
  <c r="B122" i="2"/>
  <c r="B123" i="2" s="1"/>
  <c r="B74" i="2"/>
  <c r="B76" i="2" s="1"/>
  <c r="B77" i="2" s="1"/>
  <c r="C11" i="3"/>
  <c r="B88" i="2"/>
  <c r="B102" i="2"/>
  <c r="I27" i="3" l="1"/>
  <c r="C15" i="3"/>
  <c r="B72" i="2"/>
  <c r="C10" i="3" s="1"/>
  <c r="B89" i="2"/>
  <c r="B71" i="2"/>
  <c r="C9" i="3" s="1"/>
  <c r="B86" i="2"/>
  <c r="B87" i="2" s="1"/>
  <c r="B141" i="2"/>
  <c r="B109" i="2"/>
  <c r="B85" i="2"/>
  <c r="B78" i="2"/>
  <c r="C8" i="3"/>
  <c r="B146" i="2"/>
  <c r="B60" i="2"/>
  <c r="B61" i="2" s="1"/>
  <c r="J26" i="3" l="1"/>
  <c r="N31" i="3" s="1"/>
  <c r="C6" i="3"/>
  <c r="B70" i="2"/>
  <c r="C7" i="3" s="1"/>
  <c r="B20" i="3"/>
  <c r="B90" i="2"/>
  <c r="B91" i="2"/>
  <c r="C13" i="3"/>
  <c r="B80" i="2"/>
  <c r="C12" i="3" s="1"/>
  <c r="B157" i="2" l="1"/>
  <c r="B23" i="3" s="1"/>
  <c r="B105" i="2"/>
  <c r="B106" i="2" s="1"/>
  <c r="B125" i="2"/>
  <c r="B93" i="2"/>
  <c r="J23" i="3" s="1"/>
  <c r="K31" i="3" s="1"/>
  <c r="B92" i="2"/>
  <c r="B126" i="2"/>
  <c r="J22" i="3"/>
  <c r="B156" i="2"/>
  <c r="B25" i="3" s="1"/>
  <c r="B112" i="2"/>
  <c r="J25" i="3" l="1"/>
  <c r="M31" i="3" s="1"/>
  <c r="B135" i="2"/>
  <c r="B154" i="2"/>
  <c r="B147" i="2"/>
  <c r="B148" i="2" s="1"/>
  <c r="B124" i="2"/>
  <c r="B128" i="2" s="1"/>
  <c r="B108" i="2"/>
  <c r="B110" i="2" s="1"/>
  <c r="B129" i="2"/>
  <c r="J31" i="3"/>
  <c r="B158" i="2"/>
  <c r="B24" i="3" s="1"/>
  <c r="B107" i="2"/>
  <c r="B94" i="2"/>
  <c r="B130" i="2" l="1"/>
  <c r="B133" i="2" s="1"/>
  <c r="D9" i="3" s="1"/>
  <c r="E9" i="3" s="1"/>
  <c r="D14" i="3"/>
  <c r="E14" i="3" s="1"/>
  <c r="D15" i="3"/>
  <c r="E15" i="3" s="1"/>
  <c r="B117" i="2"/>
  <c r="B118" i="2" s="1"/>
  <c r="B136" i="2"/>
  <c r="J24" i="3"/>
  <c r="B155" i="2"/>
  <c r="B22" i="3" s="1"/>
  <c r="D8" i="3"/>
  <c r="E8" i="3" s="1"/>
  <c r="B159" i="2"/>
  <c r="B26" i="3" s="1"/>
  <c r="B115" i="2"/>
  <c r="B116" i="2" s="1"/>
  <c r="B21" i="3"/>
  <c r="L31" i="3" l="1"/>
  <c r="J27" i="3"/>
  <c r="D6" i="3"/>
  <c r="E6" i="3" s="1"/>
  <c r="B119" i="2"/>
  <c r="B120" i="2" s="1"/>
  <c r="B160" i="2"/>
  <c r="D11" i="3"/>
  <c r="E11" i="3" s="1"/>
  <c r="C65" i="3"/>
  <c r="B137" i="2"/>
  <c r="B138" i="2" s="1"/>
  <c r="B139" i="2" s="1"/>
  <c r="B140" i="2" s="1"/>
  <c r="D13" i="3" l="1"/>
  <c r="E13" i="3" s="1"/>
  <c r="B142" i="2"/>
  <c r="B131" i="2"/>
  <c r="B132" i="2" s="1"/>
  <c r="D7" i="3" s="1"/>
  <c r="E7" i="3" s="1"/>
  <c r="B134" i="2"/>
  <c r="D10" i="3" l="1"/>
  <c r="E10" i="3" s="1"/>
  <c r="B65" i="3"/>
  <c r="D12" i="3"/>
  <c r="E12" i="3" s="1"/>
</calcChain>
</file>

<file path=xl/sharedStrings.xml><?xml version="1.0" encoding="utf-8"?>
<sst xmlns="http://schemas.openxmlformats.org/spreadsheetml/2006/main" count="373" uniqueCount="204">
  <si>
    <t>1.1 初期データ（現状）</t>
  </si>
  <si>
    <t>1.2 環境シナリオと経営アクション</t>
  </si>
  <si>
    <t>カテゴリ</t>
  </si>
  <si>
    <t>項目</t>
  </si>
  <si>
    <t>値</t>
  </si>
  <si>
    <t>単位/説明</t>
  </si>
  <si>
    <t>貸借対照表（資産）</t>
  </si>
  <si>
    <t>農林中金預け金（必須分）</t>
  </si>
  <si>
    <t>億円</t>
  </si>
  <si>
    <t>環境シナリオ（外部要因）</t>
  </si>
  <si>
    <t>農林中金預け金（任意分）</t>
  </si>
  <si>
    <t>マクロ環境</t>
  </si>
  <si>
    <t>貯金流出率（年率）</t>
  </si>
  <si>
    <t>有価証券残高</t>
  </si>
  <si>
    <t>市場金利変化幅 (ΔRate)</t>
  </si>
  <si>
    <t>貸出金残高</t>
  </si>
  <si>
    <t>市場金利連動率（β値）</t>
  </si>
  <si>
    <t>貯金金利連動率</t>
  </si>
  <si>
    <t>倍</t>
  </si>
  <si>
    <t>その他資産</t>
  </si>
  <si>
    <t>農中預け金連動率（必須分）</t>
  </si>
  <si>
    <t>貸借対照表（負債・純資産）</t>
  </si>
  <si>
    <t>貯金残高</t>
  </si>
  <si>
    <t>農中預け金連動率（任意分）</t>
  </si>
  <si>
    <t>健全性指標</t>
  </si>
  <si>
    <t>自己資本（比率分子）</t>
  </si>
  <si>
    <t>貸出金利連動率</t>
  </si>
  <si>
    <t>その他有価証券評価差額金（AOCI）</t>
  </si>
  <si>
    <t>経営アクション（内部要因）</t>
  </si>
  <si>
    <t>損益計算書</t>
  </si>
  <si>
    <t>経費（絶対額）</t>
  </si>
  <si>
    <t>有価証券・ALM戦略</t>
  </si>
  <si>
    <t>1. リスクテイク: 利回り向上 (bps)</t>
  </si>
  <si>
    <t>与信コスト（絶対額）</t>
  </si>
  <si>
    <t>2. ALM: アセットスワップ活用比率 (%)</t>
  </si>
  <si>
    <t>%</t>
  </si>
  <si>
    <t>その他収支（絶対額）</t>
  </si>
  <si>
    <t>3. 構造: HTM比率目標 (%)</t>
  </si>
  <si>
    <t>主要な利回り・コスト</t>
  </si>
  <si>
    <t>農林中金預け金利回り（必須分）</t>
  </si>
  <si>
    <t>4. 目標有価証券デュレーション（年）</t>
  </si>
  <si>
    <t>年</t>
  </si>
  <si>
    <t>農林中金預け金利回り（任意分）</t>
  </si>
  <si>
    <t>資産アロケーション戦略</t>
  </si>
  <si>
    <t>5. 貸出金比率目標 (%)</t>
  </si>
  <si>
    <t>有価証券利回り</t>
  </si>
  <si>
    <t>6. 有価証券比率目標 (%)</t>
  </si>
  <si>
    <t>貸出金利回り</t>
  </si>
  <si>
    <t>→ 農林中金（任意分）比率</t>
  </si>
  <si>
    <t>% (自動計算)</t>
  </si>
  <si>
    <t>貯金利回り（平均）</t>
  </si>
  <si>
    <t>コスト・収益多角化戦略</t>
  </si>
  <si>
    <t>7. 経費変化率 (%)</t>
  </si>
  <si>
    <t>その他パラメータ</t>
  </si>
  <si>
    <t>有価証券デュレーション</t>
  </si>
  <si>
    <t>8. 役務収益等変化率 (%)</t>
  </si>
  <si>
    <t>リスクウェイト（RW）</t>
  </si>
  <si>
    <t>RW_預け金（%）</t>
  </si>
  <si>
    <t>9. 貸出プライシング: スプレッド変化 (bps)</t>
  </si>
  <si>
    <t>RW_有価証券（%）</t>
  </si>
  <si>
    <t>RW_貸出金（%）</t>
  </si>
  <si>
    <t>RW_その他資産（%）</t>
  </si>
  <si>
    <t>固定RWA（億円）</t>
  </si>
  <si>
    <t>実効税率（%）</t>
  </si>
  <si>
    <t>目標当期純利益</t>
  </si>
  <si>
    <t>必須預け金比率</t>
  </si>
  <si>
    <t>NORINCHUKIN_MANDATORY_RATIO</t>
  </si>
  <si>
    <t>LCR AFSヘアカット率</t>
  </si>
  <si>
    <t>LCR_HQLA_HAIRCUT_AFS</t>
  </si>
  <si>
    <t>LCR 純資金流出率</t>
  </si>
  <si>
    <t>LCR_NET_OUTFLOW_RATIO</t>
  </si>
  <si>
    <t>リスクテイクRWA影響度</t>
  </si>
  <si>
    <t>RISK_TAKING_RWA_IMPACT_FACTOR</t>
  </si>
  <si>
    <t>許容誤差（ゼロ除算回避用）</t>
  </si>
  <si>
    <t>TOLERANCE</t>
  </si>
  <si>
    <t>(億円)</t>
  </si>
  <si>
    <t>(比率)</t>
  </si>
  <si>
    <t>(年)</t>
  </si>
  <si>
    <t>(倍)</t>
  </si>
  <si>
    <t>受取利息</t>
  </si>
  <si>
    <t>支払利息</t>
  </si>
  <si>
    <t>資金利益 (NII)</t>
  </si>
  <si>
    <t>経常利益</t>
  </si>
  <si>
    <t>当期純利益</t>
  </si>
  <si>
    <t>RWA_預け金</t>
  </si>
  <si>
    <t>RWA_有価証券</t>
  </si>
  <si>
    <t>RWA_貸出金</t>
  </si>
  <si>
    <t>RWA_その他資産</t>
  </si>
  <si>
    <t>RWA合計</t>
  </si>
  <si>
    <t>総資産</t>
  </si>
  <si>
    <t>運用資産</t>
  </si>
  <si>
    <t>自己資本（会計）</t>
  </si>
  <si>
    <t>ROE (%)</t>
  </si>
  <si>
    <t>NIM (%)</t>
  </si>
  <si>
    <t>自己資本比率 (%)</t>
  </si>
  <si>
    <t>HQLA Level 1</t>
  </si>
  <si>
    <t>任意預け金</t>
  </si>
  <si>
    <t>AFS残高（簿価）</t>
  </si>
  <si>
    <t>税効果前含み損益</t>
  </si>
  <si>
    <t>有価証券時価</t>
  </si>
  <si>
    <t>HQLA Securities</t>
  </si>
  <si>
    <t>HQLA合計</t>
  </si>
  <si>
    <t>純資金流出額</t>
  </si>
  <si>
    <t>LCR (%)</t>
  </si>
  <si>
    <t>必須預け金</t>
  </si>
  <si>
    <t>貯金変化額</t>
  </si>
  <si>
    <t>任意運用可能資金の変化額</t>
  </si>
  <si>
    <t>現状の任意運用可能資金</t>
  </si>
  <si>
    <t>将来の任意運用可能資金</t>
  </si>
  <si>
    <t>有価証券残高合計</t>
  </si>
  <si>
    <t>有価証券(HTM)</t>
  </si>
  <si>
    <t>有価証券(AFS)</t>
  </si>
  <si>
    <t>預け金利回り（必須分）</t>
  </si>
  <si>
    <t>預け金利回り（任意分）</t>
  </si>
  <si>
    <t>貸出金利変化（市場）</t>
  </si>
  <si>
    <t>貸出金利変化（戦略）</t>
  </si>
  <si>
    <t>有価証券利回り変化（戦略）</t>
  </si>
  <si>
    <t>年間償還額（再投資）</t>
  </si>
  <si>
    <t>再投資効果額</t>
  </si>
  <si>
    <t>アセットスワップ対象額</t>
  </si>
  <si>
    <t>アセットスワップ効果額</t>
  </si>
  <si>
    <t>ダイナミック効果合計</t>
  </si>
  <si>
    <t>受取利息（静態）</t>
  </si>
  <si>
    <t>現状与信コスト率</t>
  </si>
  <si>
    <t>与信コスト</t>
  </si>
  <si>
    <t>その他収支</t>
  </si>
  <si>
    <t>経費</t>
  </si>
  <si>
    <t>AOCI変動額</t>
  </si>
  <si>
    <t>AOCI（将来）</t>
  </si>
  <si>
    <t>内部留保変動額</t>
  </si>
  <si>
    <t>規制自己資本（将来）</t>
  </si>
  <si>
    <t>RW上昇幅（リスクテイク）</t>
  </si>
  <si>
    <t>RW調整ファクター</t>
  </si>
  <si>
    <t>調整後RW_有価証券</t>
  </si>
  <si>
    <t>有価証券時価 (AFS)</t>
  </si>
  <si>
    <t>現状NII</t>
  </si>
  <si>
    <t>NII (ボリューム効果後)</t>
  </si>
  <si>
    <t>ボリューム効果</t>
  </si>
  <si>
    <t>市場Rate_貯金</t>
  </si>
  <si>
    <t>市場Rate_必須預け金</t>
  </si>
  <si>
    <t>市場Rate_任意預け金</t>
  </si>
  <si>
    <t>市場Rate_貸出金</t>
  </si>
  <si>
    <t>市場Rate_有価証券</t>
  </si>
  <si>
    <t>NII (市場環境効果後)</t>
  </si>
  <si>
    <t>市場環境効果</t>
  </si>
  <si>
    <t>戦略効果_プライシング</t>
  </si>
  <si>
    <t>戦略効果_リスクテイク</t>
  </si>
  <si>
    <t>戦略効果_ALM（スワップ）</t>
  </si>
  <si>
    <t>想定NII（確認用）</t>
  </si>
  <si>
    <t>検算（ゼロならOK）</t>
  </si>
  <si>
    <t>シミュレーション結果サマリー</t>
  </si>
  <si>
    <t>1. KPIサマリー</t>
  </si>
  <si>
    <t>指標</t>
  </si>
  <si>
    <t>現状</t>
  </si>
  <si>
    <t>シナリオ後</t>
  </si>
  <si>
    <t>変化量</t>
  </si>
  <si>
    <t>単位</t>
  </si>
  <si>
    <t>目標達成度</t>
  </si>
  <si>
    <t>ROE (会計ベース)</t>
  </si>
  <si>
    <t>収益性</t>
  </si>
  <si>
    <t>NIM</t>
  </si>
  <si>
    <t>健全性</t>
  </si>
  <si>
    <t>自己資本比率 (対RWA)</t>
  </si>
  <si>
    <t>評価損益 (AOCI)</t>
  </si>
  <si>
    <t>流動性</t>
  </si>
  <si>
    <t>LCR (簡易試算)</t>
  </si>
  <si>
    <t>HQLA残高</t>
  </si>
  <si>
    <t>規模</t>
  </si>
  <si>
    <t>RWA</t>
  </si>
  <si>
    <t>2. 要因分析とバランスシート変化</t>
  </si>
  <si>
    <t>2.1 資金利益(NII)変動の要因分析（億円）</t>
  </si>
  <si>
    <t>2.2 バランスシート（資産サイド）の変化（億円）</t>
  </si>
  <si>
    <t>市場金利変動</t>
  </si>
  <si>
    <t>貸出金</t>
  </si>
  <si>
    <t>リスクテイク戦略</t>
  </si>
  <si>
    <t>スワップ戦略</t>
  </si>
  <si>
    <t>有価証券(AFS/その他)</t>
  </si>
  <si>
    <t>プライシング戦略</t>
  </si>
  <si>
    <t>任意預け金(農中)</t>
  </si>
  <si>
    <t>想定NII</t>
  </si>
  <si>
    <t>必須預け金(農中)</t>
  </si>
  <si>
    <t>総資産合計</t>
  </si>
  <si>
    <t>3. 戦略的意思決定の示唆（感応度分析：データテーブル）</t>
  </si>
  <si>
    <t>3.1 HTM戦略（資本安定性 vs 流動性）</t>
  </si>
  <si>
    <t>3.2 リスクテイク戦略（収益性 vs 健全性）</t>
  </si>
  <si>
    <t>HTM比率(%)</t>
  </si>
  <si>
    <t>AOCI (億円)</t>
  </si>
  <si>
    <t>利回り向上幅(bps)</t>
  </si>
  <si>
    <t>NII (億円)</t>
  </si>
  <si>
    <t>設定方法：範囲 H65:J75 を選択→[データ]&gt;[What-If分析]&gt;[データテーブル]→「列の代入セル」に「'1. インプット'!H14」を入力してOK。</t>
  </si>
  <si>
    <t>信連用 経営インパクトシミュレーターインプット</t>
    <phoneticPr fontId="9"/>
  </si>
  <si>
    <t>億円</t>
    <phoneticPr fontId="9"/>
  </si>
  <si>
    <t>%</t>
    <phoneticPr fontId="9"/>
  </si>
  <si>
    <t>bps</t>
    <phoneticPr fontId="9"/>
  </si>
  <si>
    <t>設定方法：範囲 A65:C75 を選択→[データ]&gt;[What-If分析]&gt;[データテーブル]→「列の代入セル」に「'1. インプット'!H16」を入力してOK。</t>
    <phoneticPr fontId="9"/>
  </si>
  <si>
    <t>&gt;&gt;シナリオパラメータ (Scenario)</t>
    <phoneticPr fontId="9"/>
  </si>
  <si>
    <t>貯金流出率（年率）</t>
    <phoneticPr fontId="9"/>
  </si>
  <si>
    <t>&gt;＞インプットデータを計算用に転記</t>
    <rPh sb="15" eb="17">
      <t>テンキ</t>
    </rPh>
    <phoneticPr fontId="9"/>
  </si>
  <si>
    <t>&gt;初期データ (Base)</t>
    <phoneticPr fontId="9"/>
  </si>
  <si>
    <t>&gt;＞定数定義</t>
    <phoneticPr fontId="9"/>
  </si>
  <si>
    <t>&gt;&gt;&gt;計算ロジック</t>
    <phoneticPr fontId="9"/>
  </si>
  <si>
    <t>&gt;ベースケース計算 (現状)</t>
    <phoneticPr fontId="9"/>
  </si>
  <si>
    <t>&gt;シナリオ計算 (将来)</t>
    <phoneticPr fontId="9"/>
  </si>
  <si>
    <t>&gt;NII要因分解計算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</si>
</sst>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"/>
    <numFmt numFmtId="178" formatCode="0.000%"/>
  </numFmts>
  <fonts count="1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rgb="FFFFFFFF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FFFFE0"/>
        <bgColor rgb="FFFFFFE0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5F5F5"/>
        <bgColor rgb="FFF5F5F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1">
      <alignment horizontal="center"/>
    </xf>
    <xf numFmtId="0" fontId="2" fillId="3" borderId="2"/>
    <xf numFmtId="0" fontId="3" fillId="4" borderId="1"/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5" fillId="0" borderId="0" xfId="0" applyFont="1"/>
    <xf numFmtId="0" fontId="6" fillId="2" borderId="1" xfId="1" applyFont="1">
      <alignment horizontal="center"/>
    </xf>
    <xf numFmtId="0" fontId="7" fillId="4" borderId="1" xfId="3" applyFont="1"/>
    <xf numFmtId="0" fontId="8" fillId="3" borderId="2" xfId="2" applyFont="1"/>
    <xf numFmtId="176" fontId="8" fillId="3" borderId="2" xfId="2" applyNumberFormat="1" applyFont="1"/>
    <xf numFmtId="2" fontId="8" fillId="3" borderId="2" xfId="2" applyNumberFormat="1" applyFont="1"/>
    <xf numFmtId="176" fontId="5" fillId="0" borderId="0" xfId="0" applyNumberFormat="1" applyFont="1"/>
    <xf numFmtId="0" fontId="7" fillId="0" borderId="0" xfId="0" applyFont="1"/>
    <xf numFmtId="0" fontId="10" fillId="0" borderId="0" xfId="0" applyFont="1"/>
    <xf numFmtId="0" fontId="7" fillId="6" borderId="0" xfId="0" applyFont="1" applyFill="1"/>
    <xf numFmtId="0" fontId="7" fillId="5" borderId="0" xfId="0" applyFont="1" applyFill="1"/>
    <xf numFmtId="0" fontId="5" fillId="8" borderId="0" xfId="0" applyFont="1" applyFill="1"/>
    <xf numFmtId="0" fontId="5" fillId="9" borderId="0" xfId="0" applyFont="1" applyFill="1"/>
    <xf numFmtId="178" fontId="5" fillId="9" borderId="0" xfId="5" applyNumberFormat="1" applyFont="1" applyFill="1" applyAlignment="1"/>
    <xf numFmtId="10" fontId="5" fillId="9" borderId="0" xfId="5" applyNumberFormat="1" applyFont="1" applyFill="1" applyAlignment="1"/>
    <xf numFmtId="0" fontId="8" fillId="0" borderId="0" xfId="0" applyFont="1"/>
    <xf numFmtId="0" fontId="8" fillId="0" borderId="1" xfId="3" applyFont="1" applyFill="1"/>
    <xf numFmtId="38" fontId="5" fillId="9" borderId="0" xfId="4" applyFont="1" applyFill="1" applyAlignment="1"/>
    <xf numFmtId="0" fontId="11" fillId="0" borderId="0" xfId="0" applyFont="1"/>
    <xf numFmtId="0" fontId="12" fillId="0" borderId="0" xfId="0" applyFont="1"/>
    <xf numFmtId="0" fontId="5" fillId="0" borderId="2" xfId="0" applyFont="1" applyBorder="1"/>
    <xf numFmtId="3" fontId="5" fillId="0" borderId="2" xfId="0" applyNumberFormat="1" applyFont="1" applyBorder="1"/>
    <xf numFmtId="177" fontId="5" fillId="0" borderId="2" xfId="0" applyNumberFormat="1" applyFont="1" applyBorder="1"/>
    <xf numFmtId="0" fontId="13" fillId="2" borderId="2" xfId="1" applyFont="1" applyBorder="1">
      <alignment horizontal="center"/>
    </xf>
    <xf numFmtId="4" fontId="5" fillId="0" borderId="2" xfId="0" applyNumberFormat="1" applyFont="1" applyBorder="1"/>
    <xf numFmtId="0" fontId="13" fillId="2" borderId="3" xfId="1" applyFont="1" applyBorder="1">
      <alignment horizontal="center"/>
    </xf>
    <xf numFmtId="0" fontId="5" fillId="0" borderId="3" xfId="0" applyFont="1" applyBorder="1"/>
    <xf numFmtId="0" fontId="13" fillId="2" borderId="4" xfId="1" applyFont="1" applyBorder="1">
      <alignment horizontal="center"/>
    </xf>
    <xf numFmtId="0" fontId="8" fillId="4" borderId="5" xfId="3" applyFont="1" applyBorder="1"/>
    <xf numFmtId="0" fontId="8" fillId="7" borderId="4" xfId="0" applyFont="1" applyFill="1" applyBorder="1"/>
    <xf numFmtId="0" fontId="8" fillId="7" borderId="5" xfId="0" applyFont="1" applyFill="1" applyBorder="1"/>
    <xf numFmtId="0" fontId="8" fillId="4" borderId="4" xfId="0" applyFont="1" applyFill="1" applyBorder="1"/>
    <xf numFmtId="0" fontId="8" fillId="4" borderId="5" xfId="0" applyFont="1" applyFill="1" applyBorder="1"/>
    <xf numFmtId="0" fontId="8" fillId="6" borderId="4" xfId="0" applyFont="1" applyFill="1" applyBorder="1"/>
    <xf numFmtId="0" fontId="8" fillId="6" borderId="5" xfId="0" applyFont="1" applyFill="1" applyBorder="1"/>
    <xf numFmtId="0" fontId="8" fillId="5" borderId="4" xfId="0" applyFont="1" applyFill="1" applyBorder="1"/>
    <xf numFmtId="0" fontId="8" fillId="5" borderId="5" xfId="0" applyFont="1" applyFill="1" applyBorder="1"/>
    <xf numFmtId="0" fontId="8" fillId="4" borderId="4" xfId="3" applyFont="1" applyBorder="1"/>
    <xf numFmtId="38" fontId="5" fillId="0" borderId="2" xfId="4" applyFont="1" applyBorder="1" applyAlignment="1"/>
  </cellXfs>
  <cellStyles count="6">
    <cellStyle name="category" xfId="3" xr:uid="{00000000-0005-0000-0000-000003000000}"/>
    <cellStyle name="header" xfId="1" xr:uid="{00000000-0005-0000-0000-000001000000}"/>
    <cellStyle name="input_cell" xfId="2" xr:uid="{00000000-0005-0000-0000-000002000000}"/>
    <cellStyle name="パーセント" xfId="5" builtinId="5"/>
    <cellStyle name="桁区切り" xfId="4" builtinId="6"/>
    <cellStyle name="標準" xfId="0" builtinId="0"/>
  </cellStyles>
  <dxfs count="2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資金利益（</a:t>
            </a:r>
            <a:r>
              <a:rPr lang="en-US"/>
              <a:t>NII）</a:t>
            </a:r>
            <a:r>
              <a:rPr lang="ja-JP"/>
              <a:t>変動要因</a:t>
            </a:r>
          </a:p>
        </c:rich>
      </c:tx>
      <c:layout>
        <c:manualLayout>
          <c:xMode val="edge"/>
          <c:yMode val="edge"/>
          <c:x val="0.17330324074074074"/>
          <c:y val="2.469444444444444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'3. 結果サマリー'!$A$20:$A$26</c:f>
              <c:strCache>
                <c:ptCount val="7"/>
                <c:pt idx="0">
                  <c:v>現状NII</c:v>
                </c:pt>
                <c:pt idx="1">
                  <c:v>ボリューム効果</c:v>
                </c:pt>
                <c:pt idx="2">
                  <c:v>市場金利変動</c:v>
                </c:pt>
                <c:pt idx="3">
                  <c:v>リスクテイク戦略</c:v>
                </c:pt>
                <c:pt idx="4">
                  <c:v>スワップ戦略</c:v>
                </c:pt>
                <c:pt idx="5">
                  <c:v>プライシング戦略</c:v>
                </c:pt>
                <c:pt idx="6">
                  <c:v>想定NII</c:v>
                </c:pt>
              </c:strCache>
            </c:strRef>
          </c:cat>
          <c:val>
            <c:numRef>
              <c:f>'3. 結果サマリー'!$B$20:$B$26</c:f>
              <c:numCache>
                <c:formatCode>#,##0.0</c:formatCode>
                <c:ptCount val="7"/>
                <c:pt idx="0">
                  <c:v>84.188540000000003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84.188540000000003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6-40A5-85D0-4BB10F35C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資産構成の変化（単位：億円）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 結果サマリー'!$I$29</c:f>
              <c:strCache>
                <c:ptCount val="1"/>
                <c:pt idx="0">
                  <c:v>その他資産</c:v>
                </c:pt>
              </c:strCache>
            </c:strRef>
          </c:tx>
          <c:spPr>
            <a:solidFill>
              <a:srgbClr val="9E9E9E"/>
            </a:solidFill>
            <a:ln>
              <a:prstDash val="solid"/>
            </a:ln>
          </c:spPr>
          <c:invertIfNegative val="0"/>
          <c:cat>
            <c:strRef>
              <c:f>'3. 結果サマリー'!$H$30:$H$31</c:f>
              <c:strCache>
                <c:ptCount val="2"/>
                <c:pt idx="0">
                  <c:v>現状</c:v>
                </c:pt>
                <c:pt idx="1">
                  <c:v>シナリオ後</c:v>
                </c:pt>
              </c:strCache>
            </c:strRef>
          </c:cat>
          <c:val>
            <c:numRef>
              <c:f>'3. 結果サマリー'!$I$30:$I$31</c:f>
              <c:numCache>
                <c:formatCode>General</c:formatCode>
                <c:ptCount val="2"/>
                <c:pt idx="0">
                  <c:v>5476</c:v>
                </c:pt>
                <c:pt idx="1">
                  <c:v>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E-4399-9FEC-4259FCB2D53F}"/>
            </c:ext>
          </c:extLst>
        </c:ser>
        <c:ser>
          <c:idx val="1"/>
          <c:order val="1"/>
          <c:tx>
            <c:strRef>
              <c:f>'3. 結果サマリー'!$J$29</c:f>
              <c:strCache>
                <c:ptCount val="1"/>
                <c:pt idx="0">
                  <c:v>貸出金</c:v>
                </c:pt>
              </c:strCache>
            </c:strRef>
          </c:tx>
          <c:spPr>
            <a:solidFill>
              <a:srgbClr val="42A5F5"/>
            </a:solidFill>
            <a:ln>
              <a:prstDash val="solid"/>
            </a:ln>
          </c:spPr>
          <c:invertIfNegative val="0"/>
          <c:cat>
            <c:strRef>
              <c:f>'3. 結果サマリー'!$H$30:$H$31</c:f>
              <c:strCache>
                <c:ptCount val="2"/>
                <c:pt idx="0">
                  <c:v>現状</c:v>
                </c:pt>
                <c:pt idx="1">
                  <c:v>シナリオ後</c:v>
                </c:pt>
              </c:strCache>
            </c:strRef>
          </c:cat>
          <c:val>
            <c:numRef>
              <c:f>'3. 結果サマリー'!$J$30:$J$31</c:f>
              <c:numCache>
                <c:formatCode>General</c:formatCode>
                <c:ptCount val="2"/>
                <c:pt idx="0">
                  <c:v>11447</c:v>
                </c:pt>
                <c:pt idx="1">
                  <c:v>11447.000000000002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E-4399-9FEC-4259FCB2D53F}"/>
            </c:ext>
          </c:extLst>
        </c:ser>
        <c:ser>
          <c:idx val="2"/>
          <c:order val="2"/>
          <c:tx>
            <c:strRef>
              <c:f>'3. 結果サマリー'!$K$29</c:f>
              <c:strCache>
                <c:ptCount val="1"/>
                <c:pt idx="0">
                  <c:v>有価証券(HTM)</c:v>
                </c:pt>
              </c:strCache>
            </c:strRef>
          </c:tx>
          <c:spPr>
            <a:solidFill>
              <a:srgbClr val="FFA726"/>
            </a:solidFill>
            <a:ln>
              <a:prstDash val="solid"/>
            </a:ln>
          </c:spPr>
          <c:invertIfNegative val="0"/>
          <c:cat>
            <c:strRef>
              <c:f>'3. 結果サマリー'!$H$30:$H$31</c:f>
              <c:strCache>
                <c:ptCount val="2"/>
                <c:pt idx="0">
                  <c:v>現状</c:v>
                </c:pt>
                <c:pt idx="1">
                  <c:v>シナリオ後</c:v>
                </c:pt>
              </c:strCache>
            </c:strRef>
          </c:cat>
          <c:val>
            <c:numRef>
              <c:f>'3. 結果サマリー'!$K$30:$K$31</c:f>
              <c:numCache>
                <c:formatCode>General</c:formatCode>
                <c:ptCount val="2"/>
                <c:pt idx="0">
                  <c:v>0</c:v>
                </c:pt>
                <c:pt idx="1">
                  <c:v>2711.4000000000005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E-4399-9FEC-4259FCB2D53F}"/>
            </c:ext>
          </c:extLst>
        </c:ser>
        <c:ser>
          <c:idx val="3"/>
          <c:order val="3"/>
          <c:tx>
            <c:strRef>
              <c:f>'3. 結果サマリー'!$L$29</c:f>
              <c:strCache>
                <c:ptCount val="1"/>
                <c:pt idx="0">
                  <c:v>有価証券(AFS/その他)</c:v>
                </c:pt>
              </c:strCache>
            </c:strRef>
          </c:tx>
          <c:spPr>
            <a:solidFill>
              <a:srgbClr val="FFC107"/>
            </a:solidFill>
            <a:ln>
              <a:prstDash val="solid"/>
            </a:ln>
          </c:spPr>
          <c:invertIfNegative val="0"/>
          <c:cat>
            <c:strRef>
              <c:f>'3. 結果サマリー'!$H$30:$H$31</c:f>
              <c:strCache>
                <c:ptCount val="2"/>
                <c:pt idx="0">
                  <c:v>現状</c:v>
                </c:pt>
                <c:pt idx="1">
                  <c:v>シナリオ後</c:v>
                </c:pt>
              </c:strCache>
            </c:strRef>
          </c:cat>
          <c:val>
            <c:numRef>
              <c:f>'3. 結果サマリー'!$L$30:$L$31</c:f>
              <c:numCache>
                <c:formatCode>General</c:formatCode>
                <c:ptCount val="2"/>
                <c:pt idx="0">
                  <c:v>13557</c:v>
                </c:pt>
                <c:pt idx="1">
                  <c:v>10845.600000000002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AE-4399-9FEC-4259FCB2D53F}"/>
            </c:ext>
          </c:extLst>
        </c:ser>
        <c:ser>
          <c:idx val="4"/>
          <c:order val="4"/>
          <c:tx>
            <c:strRef>
              <c:f>'3. 結果サマリー'!$M$29</c:f>
              <c:strCache>
                <c:ptCount val="1"/>
                <c:pt idx="0">
                  <c:v>任意預け金(農中)</c:v>
                </c:pt>
              </c:strCache>
            </c:strRef>
          </c:tx>
          <c:spPr>
            <a:solidFill>
              <a:srgbClr val="66BB6A"/>
            </a:solidFill>
            <a:ln>
              <a:prstDash val="solid"/>
            </a:ln>
          </c:spPr>
          <c:invertIfNegative val="0"/>
          <c:cat>
            <c:strRef>
              <c:f>'3. 結果サマリー'!$H$30:$H$31</c:f>
              <c:strCache>
                <c:ptCount val="2"/>
                <c:pt idx="0">
                  <c:v>現状</c:v>
                </c:pt>
                <c:pt idx="1">
                  <c:v>シナリオ後</c:v>
                </c:pt>
              </c:strCache>
            </c:strRef>
          </c:cat>
          <c:val>
            <c:numRef>
              <c:f>'3. 結果サマリー'!$M$30:$M$31</c:f>
              <c:numCache>
                <c:formatCode>General</c:formatCode>
                <c:ptCount val="2"/>
                <c:pt idx="0">
                  <c:v>2618</c:v>
                </c:pt>
                <c:pt idx="1">
                  <c:v>2617.9999999999964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AE-4399-9FEC-4259FCB2D53F}"/>
            </c:ext>
          </c:extLst>
        </c:ser>
        <c:ser>
          <c:idx val="5"/>
          <c:order val="5"/>
          <c:tx>
            <c:strRef>
              <c:f>'3. 結果サマリー'!$N$29</c:f>
              <c:strCache>
                <c:ptCount val="1"/>
                <c:pt idx="0">
                  <c:v>必須預け金(農中)</c:v>
                </c:pt>
              </c:strCache>
            </c:strRef>
          </c:tx>
          <c:spPr>
            <a:solidFill>
              <a:srgbClr val="388E3C"/>
            </a:solidFill>
            <a:ln>
              <a:prstDash val="solid"/>
            </a:ln>
          </c:spPr>
          <c:invertIfNegative val="0"/>
          <c:cat>
            <c:strRef>
              <c:f>'3. 結果サマリー'!$H$30:$H$31</c:f>
              <c:strCache>
                <c:ptCount val="2"/>
                <c:pt idx="0">
                  <c:v>現状</c:v>
                </c:pt>
                <c:pt idx="1">
                  <c:v>シナリオ後</c:v>
                </c:pt>
              </c:strCache>
            </c:strRef>
          </c:cat>
          <c:val>
            <c:numRef>
              <c:f>'3. 結果サマリー'!$N$30:$N$31</c:f>
              <c:numCache>
                <c:formatCode>General</c:formatCode>
                <c:ptCount val="2"/>
                <c:pt idx="0">
                  <c:v>27666</c:v>
                </c:pt>
                <c:pt idx="1">
                  <c:v>27666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AE-4399-9FEC-4259FCB2D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/>
                  <a:t>金額 </a:t>
                </a:r>
                <a:r>
                  <a:rPr lang="en-US"/>
                  <a:t>(</a:t>
                </a:r>
                <a:r>
                  <a:rPr lang="ja-JP"/>
                  <a:t>億円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HTM</a:t>
            </a:r>
            <a:r>
              <a:rPr lang="ja-JP" altLang="en-US"/>
              <a:t>比率のトレードオフ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トレードオフ曲線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'3. 結果サマリー'!$C$66:$C$75</c:f>
              <c:numCache>
                <c:formatCode>General</c:formatCode>
                <c:ptCount val="10"/>
              </c:numCache>
            </c:numRef>
          </c:xVal>
          <c:yVal>
            <c:numRef>
              <c:f>'3. 結果サマリー'!$B$66:$B$75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68-4135-872D-D6B227B6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資本安定性：</a:t>
                </a:r>
                <a:r>
                  <a:rPr lang="en-US"/>
                  <a:t>AOCI (</a:t>
                </a:r>
                <a:r>
                  <a:rPr lang="ja-JP" altLang="en-US"/>
                  <a:t>億円</a:t>
                </a:r>
                <a:r>
                  <a:rPr lang="en-US" altLang="ja-JP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流動性：</a:t>
                </a:r>
                <a:r>
                  <a:rPr lang="en-US"/>
                  <a:t>LCR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リスクテイク戦略のトレードオフ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トレードオフ曲線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'3. 結果サマリー'!$J$66:$J$75</c:f>
              <c:numCache>
                <c:formatCode>General</c:formatCode>
                <c:ptCount val="10"/>
              </c:numCache>
            </c:numRef>
          </c:xVal>
          <c:yVal>
            <c:numRef>
              <c:f>'3. 結果サマリー'!$I$66:$I$75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CB-4678-BF57-4A07A8B37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健全性：自己資本比率 </a:t>
                </a:r>
                <a:r>
                  <a:rPr lang="en-US" altLang="ja-JP"/>
                  <a:t>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収益性：</a:t>
                </a:r>
                <a:r>
                  <a:rPr lang="en-US"/>
                  <a:t>NII (</a:t>
                </a:r>
                <a:r>
                  <a:rPr lang="ja-JP" altLang="en-US"/>
                  <a:t>億円</a:t>
                </a:r>
                <a:r>
                  <a:rPr lang="en-US" altLang="ja-JP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31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77</xdr:row>
      <xdr:rowOff>0</xdr:rowOff>
    </xdr:from>
    <xdr:ext cx="5400000" cy="3600000"/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F7E63D79-8C0F-4D50-A011-37E7C8DE7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469900</xdr:colOff>
      <xdr:row>77</xdr:row>
      <xdr:rowOff>0</xdr:rowOff>
    </xdr:from>
    <xdr:ext cx="5400000" cy="3600000"/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3A5DCED3-54AC-4621-AA4A-63AA8A37E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B8" workbookViewId="0">
      <selection activeCell="H16" sqref="H16"/>
    </sheetView>
  </sheetViews>
  <sheetFormatPr defaultRowHeight="15" x14ac:dyDescent="0.35"/>
  <cols>
    <col min="1" max="1" width="25" style="1" customWidth="1"/>
    <col min="2" max="2" width="35.54296875" style="1" bestFit="1" customWidth="1"/>
    <col min="3" max="3" width="15" style="1" customWidth="1"/>
    <col min="4" max="4" width="10.7265625" style="1" bestFit="1" customWidth="1"/>
    <col min="5" max="5" width="5" style="1" customWidth="1"/>
    <col min="6" max="6" width="30" style="1" customWidth="1"/>
    <col min="7" max="7" width="40" style="1" customWidth="1"/>
    <col min="8" max="8" width="15" style="1" customWidth="1"/>
    <col min="9" max="9" width="20" style="1" customWidth="1"/>
    <col min="10" max="16384" width="8.7265625" style="1"/>
  </cols>
  <sheetData>
    <row r="1" spans="1:9" x14ac:dyDescent="0.35">
      <c r="A1" s="8" t="s">
        <v>190</v>
      </c>
    </row>
    <row r="3" spans="1:9" x14ac:dyDescent="0.35">
      <c r="A3" s="8" t="s">
        <v>0</v>
      </c>
      <c r="F3" s="8" t="s">
        <v>1</v>
      </c>
    </row>
    <row r="5" spans="1:9" x14ac:dyDescent="0.35">
      <c r="A5" s="2" t="s">
        <v>2</v>
      </c>
      <c r="B5" s="2" t="s">
        <v>3</v>
      </c>
      <c r="C5" s="2" t="s">
        <v>4</v>
      </c>
      <c r="D5" s="2" t="s">
        <v>5</v>
      </c>
      <c r="F5" s="2" t="s">
        <v>2</v>
      </c>
      <c r="G5" s="2" t="s">
        <v>3</v>
      </c>
      <c r="H5" s="2" t="s">
        <v>4</v>
      </c>
      <c r="I5" s="2" t="s">
        <v>5</v>
      </c>
    </row>
    <row r="6" spans="1:9" x14ac:dyDescent="0.35">
      <c r="A6" s="3" t="s">
        <v>6</v>
      </c>
      <c r="B6" s="1" t="s">
        <v>7</v>
      </c>
      <c r="C6" s="4">
        <v>27666</v>
      </c>
      <c r="D6" s="1" t="s">
        <v>8</v>
      </c>
      <c r="F6" s="11" t="s">
        <v>9</v>
      </c>
    </row>
    <row r="7" spans="1:9" x14ac:dyDescent="0.35">
      <c r="B7" s="1" t="s">
        <v>10</v>
      </c>
      <c r="C7" s="4">
        <v>2618</v>
      </c>
      <c r="D7" s="1" t="s">
        <v>8</v>
      </c>
      <c r="F7" s="3" t="s">
        <v>11</v>
      </c>
      <c r="G7" s="1" t="s">
        <v>12</v>
      </c>
      <c r="H7" s="5">
        <v>0</v>
      </c>
      <c r="I7" s="1" t="s">
        <v>192</v>
      </c>
    </row>
    <row r="8" spans="1:9" x14ac:dyDescent="0.35">
      <c r="B8" s="1" t="s">
        <v>13</v>
      </c>
      <c r="C8" s="4">
        <v>13557</v>
      </c>
      <c r="D8" s="1" t="s">
        <v>8</v>
      </c>
      <c r="G8" s="1" t="s">
        <v>14</v>
      </c>
      <c r="H8" s="5">
        <v>0</v>
      </c>
      <c r="I8" s="1" t="s">
        <v>192</v>
      </c>
    </row>
    <row r="9" spans="1:9" x14ac:dyDescent="0.35">
      <c r="B9" s="1" t="s">
        <v>15</v>
      </c>
      <c r="C9" s="4">
        <v>11447</v>
      </c>
      <c r="D9" s="1" t="s">
        <v>8</v>
      </c>
      <c r="F9" s="3" t="s">
        <v>16</v>
      </c>
      <c r="G9" s="1" t="s">
        <v>17</v>
      </c>
      <c r="H9" s="6">
        <v>1</v>
      </c>
      <c r="I9" s="1" t="s">
        <v>18</v>
      </c>
    </row>
    <row r="10" spans="1:9" x14ac:dyDescent="0.35">
      <c r="B10" s="1" t="s">
        <v>19</v>
      </c>
      <c r="C10" s="4">
        <v>5476</v>
      </c>
      <c r="D10" s="1" t="s">
        <v>8</v>
      </c>
      <c r="G10" s="1" t="s">
        <v>20</v>
      </c>
      <c r="H10" s="6">
        <v>1</v>
      </c>
      <c r="I10" s="1" t="s">
        <v>18</v>
      </c>
    </row>
    <row r="11" spans="1:9" x14ac:dyDescent="0.35">
      <c r="A11" s="3" t="s">
        <v>21</v>
      </c>
      <c r="B11" s="1" t="s">
        <v>22</v>
      </c>
      <c r="C11" s="4">
        <v>55332</v>
      </c>
      <c r="D11" s="1" t="s">
        <v>8</v>
      </c>
      <c r="G11" s="1" t="s">
        <v>23</v>
      </c>
      <c r="H11" s="6">
        <v>1</v>
      </c>
      <c r="I11" s="1" t="s">
        <v>18</v>
      </c>
    </row>
    <row r="12" spans="1:9" x14ac:dyDescent="0.35">
      <c r="A12" s="3" t="s">
        <v>24</v>
      </c>
      <c r="B12" s="1" t="s">
        <v>25</v>
      </c>
      <c r="C12" s="4">
        <v>4484</v>
      </c>
      <c r="D12" s="1" t="s">
        <v>191</v>
      </c>
      <c r="G12" s="1" t="s">
        <v>26</v>
      </c>
      <c r="H12" s="6">
        <v>0.6</v>
      </c>
      <c r="I12" s="1" t="s">
        <v>18</v>
      </c>
    </row>
    <row r="13" spans="1:9" x14ac:dyDescent="0.35">
      <c r="B13" s="1" t="s">
        <v>27</v>
      </c>
      <c r="C13" s="4">
        <v>-263</v>
      </c>
      <c r="D13" s="1" t="s">
        <v>191</v>
      </c>
      <c r="F13" s="10" t="s">
        <v>28</v>
      </c>
    </row>
    <row r="14" spans="1:9" x14ac:dyDescent="0.35">
      <c r="A14" s="3" t="s">
        <v>29</v>
      </c>
      <c r="B14" s="1" t="s">
        <v>30</v>
      </c>
      <c r="C14" s="4">
        <v>49</v>
      </c>
      <c r="D14" s="1" t="s">
        <v>8</v>
      </c>
      <c r="F14" s="3" t="s">
        <v>31</v>
      </c>
      <c r="G14" s="1" t="s">
        <v>32</v>
      </c>
      <c r="H14" s="5">
        <v>0</v>
      </c>
      <c r="I14" s="1" t="s">
        <v>193</v>
      </c>
    </row>
    <row r="15" spans="1:9" x14ac:dyDescent="0.35">
      <c r="B15" s="1" t="s">
        <v>33</v>
      </c>
      <c r="C15" s="4">
        <v>10</v>
      </c>
      <c r="D15" s="1" t="s">
        <v>8</v>
      </c>
      <c r="G15" s="1" t="s">
        <v>34</v>
      </c>
      <c r="H15" s="5">
        <v>0</v>
      </c>
      <c r="I15" s="1" t="s">
        <v>35</v>
      </c>
    </row>
    <row r="16" spans="1:9" x14ac:dyDescent="0.35">
      <c r="B16" s="1" t="s">
        <v>36</v>
      </c>
      <c r="C16" s="4">
        <v>52</v>
      </c>
      <c r="D16" s="1" t="s">
        <v>8</v>
      </c>
      <c r="G16" s="1" t="s">
        <v>37</v>
      </c>
      <c r="H16" s="5">
        <v>20</v>
      </c>
      <c r="I16" s="1" t="s">
        <v>35</v>
      </c>
    </row>
    <row r="17" spans="1:9" x14ac:dyDescent="0.35">
      <c r="A17" s="3" t="s">
        <v>38</v>
      </c>
      <c r="B17" s="1" t="s">
        <v>39</v>
      </c>
      <c r="C17" s="4">
        <v>0.72399999999999998</v>
      </c>
      <c r="D17" s="1" t="s">
        <v>35</v>
      </c>
      <c r="G17" s="1" t="s">
        <v>40</v>
      </c>
      <c r="H17" s="5">
        <v>5</v>
      </c>
      <c r="I17" s="1" t="s">
        <v>41</v>
      </c>
    </row>
    <row r="18" spans="1:9" x14ac:dyDescent="0.35">
      <c r="B18" s="1" t="s">
        <v>42</v>
      </c>
      <c r="C18" s="4">
        <v>0.1</v>
      </c>
      <c r="D18" s="1" t="s">
        <v>35</v>
      </c>
      <c r="F18" s="3" t="s">
        <v>43</v>
      </c>
      <c r="G18" s="1" t="s">
        <v>44</v>
      </c>
      <c r="H18" s="5">
        <v>41.441604518137723</v>
      </c>
      <c r="I18" s="1" t="s">
        <v>35</v>
      </c>
    </row>
    <row r="19" spans="1:9" x14ac:dyDescent="0.35">
      <c r="B19" s="1" t="s">
        <v>45</v>
      </c>
      <c r="C19" s="4">
        <v>1.02</v>
      </c>
      <c r="D19" s="1" t="s">
        <v>35</v>
      </c>
      <c r="G19" s="1" t="s">
        <v>46</v>
      </c>
      <c r="H19" s="5">
        <v>49.080443125045257</v>
      </c>
      <c r="I19" s="1" t="s">
        <v>35</v>
      </c>
    </row>
    <row r="20" spans="1:9" x14ac:dyDescent="0.35">
      <c r="B20" s="1" t="s">
        <v>47</v>
      </c>
      <c r="C20" s="4">
        <v>0.51</v>
      </c>
      <c r="D20" s="1" t="s">
        <v>35</v>
      </c>
      <c r="G20" s="1" t="s">
        <v>48</v>
      </c>
      <c r="H20" s="7">
        <f>MAX(0, 100 - '1. インプット'!H18 - '1. インプット'!H19)</f>
        <v>9.4779523568170205</v>
      </c>
      <c r="I20" s="1" t="s">
        <v>49</v>
      </c>
    </row>
    <row r="21" spans="1:9" x14ac:dyDescent="0.35">
      <c r="B21" s="1" t="s">
        <v>50</v>
      </c>
      <c r="C21" s="4">
        <v>0.56999999999999995</v>
      </c>
      <c r="D21" s="1" t="s">
        <v>35</v>
      </c>
      <c r="F21" s="3" t="s">
        <v>51</v>
      </c>
      <c r="G21" s="1" t="s">
        <v>52</v>
      </c>
      <c r="H21" s="5">
        <v>0</v>
      </c>
      <c r="I21" s="1" t="s">
        <v>35</v>
      </c>
    </row>
    <row r="22" spans="1:9" x14ac:dyDescent="0.35">
      <c r="A22" s="3" t="s">
        <v>53</v>
      </c>
      <c r="B22" s="1" t="s">
        <v>54</v>
      </c>
      <c r="C22" s="4">
        <v>5</v>
      </c>
      <c r="D22" s="1" t="s">
        <v>41</v>
      </c>
      <c r="G22" s="1" t="s">
        <v>55</v>
      </c>
      <c r="H22" s="5">
        <v>0</v>
      </c>
      <c r="I22" s="1" t="s">
        <v>35</v>
      </c>
    </row>
    <row r="23" spans="1:9" x14ac:dyDescent="0.35">
      <c r="A23" s="3" t="s">
        <v>56</v>
      </c>
      <c r="B23" s="1" t="s">
        <v>57</v>
      </c>
      <c r="C23" s="4">
        <v>21</v>
      </c>
      <c r="D23" s="1" t="s">
        <v>35</v>
      </c>
      <c r="G23" s="1" t="s">
        <v>58</v>
      </c>
      <c r="H23" s="5">
        <v>0</v>
      </c>
      <c r="I23" s="1" t="s">
        <v>193</v>
      </c>
    </row>
    <row r="24" spans="1:9" x14ac:dyDescent="0.35">
      <c r="B24" s="1" t="s">
        <v>59</v>
      </c>
      <c r="C24" s="4">
        <v>85</v>
      </c>
      <c r="D24" s="1" t="s">
        <v>35</v>
      </c>
    </row>
    <row r="25" spans="1:9" x14ac:dyDescent="0.35">
      <c r="B25" s="1" t="s">
        <v>60</v>
      </c>
      <c r="C25" s="4">
        <v>85</v>
      </c>
      <c r="D25" s="1" t="s">
        <v>35</v>
      </c>
    </row>
    <row r="26" spans="1:9" x14ac:dyDescent="0.35">
      <c r="B26" s="1" t="s">
        <v>61</v>
      </c>
      <c r="C26" s="4">
        <v>56.94</v>
      </c>
      <c r="D26" s="1" t="s">
        <v>35</v>
      </c>
    </row>
    <row r="27" spans="1:9" x14ac:dyDescent="0.35">
      <c r="A27" s="3" t="s">
        <v>53</v>
      </c>
      <c r="B27" s="1" t="s">
        <v>62</v>
      </c>
      <c r="C27" s="4">
        <v>2783</v>
      </c>
      <c r="D27" s="1" t="s">
        <v>8</v>
      </c>
    </row>
    <row r="28" spans="1:9" x14ac:dyDescent="0.35">
      <c r="B28" s="1" t="s">
        <v>63</v>
      </c>
      <c r="C28" s="4">
        <v>17.8</v>
      </c>
      <c r="D28" s="1" t="s">
        <v>35</v>
      </c>
    </row>
    <row r="29" spans="1:9" x14ac:dyDescent="0.35">
      <c r="B29" s="1" t="s">
        <v>64</v>
      </c>
      <c r="C29" s="4">
        <v>70</v>
      </c>
      <c r="D29" s="1" t="s">
        <v>8</v>
      </c>
    </row>
  </sheetData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0"/>
  <sheetViews>
    <sheetView topLeftCell="A67" workbookViewId="0">
      <selection activeCell="A85" sqref="A85"/>
    </sheetView>
  </sheetViews>
  <sheetFormatPr defaultRowHeight="15" x14ac:dyDescent="0.35"/>
  <cols>
    <col min="1" max="1" width="30" style="1" customWidth="1"/>
    <col min="2" max="2" width="16.90625" style="1" bestFit="1" customWidth="1"/>
    <col min="3" max="3" width="60" style="1" customWidth="1"/>
    <col min="4" max="16384" width="8.7265625" style="1"/>
  </cols>
  <sheetData>
    <row r="1" spans="1:3" x14ac:dyDescent="0.35">
      <c r="A1" s="16" t="s">
        <v>200</v>
      </c>
    </row>
    <row r="3" spans="1:3" x14ac:dyDescent="0.35">
      <c r="A3" s="16" t="s">
        <v>199</v>
      </c>
    </row>
    <row r="4" spans="1:3" x14ac:dyDescent="0.35">
      <c r="A4" s="1" t="s">
        <v>65</v>
      </c>
      <c r="B4" s="12">
        <v>0.5</v>
      </c>
      <c r="C4" s="1" t="s">
        <v>66</v>
      </c>
    </row>
    <row r="5" spans="1:3" x14ac:dyDescent="0.35">
      <c r="A5" s="1" t="s">
        <v>67</v>
      </c>
      <c r="B5" s="12">
        <v>0.15</v>
      </c>
      <c r="C5" s="1" t="s">
        <v>68</v>
      </c>
    </row>
    <row r="6" spans="1:3" x14ac:dyDescent="0.35">
      <c r="A6" s="1" t="s">
        <v>69</v>
      </c>
      <c r="B6" s="12">
        <v>0.05</v>
      </c>
      <c r="C6" s="1" t="s">
        <v>70</v>
      </c>
    </row>
    <row r="7" spans="1:3" x14ac:dyDescent="0.35">
      <c r="A7" s="1" t="s">
        <v>71</v>
      </c>
      <c r="B7" s="12">
        <v>50</v>
      </c>
      <c r="C7" s="1" t="s">
        <v>72</v>
      </c>
    </row>
    <row r="8" spans="1:3" x14ac:dyDescent="0.35">
      <c r="A8" s="1" t="s">
        <v>73</v>
      </c>
      <c r="B8" s="12">
        <v>1.0000000000000001E-9</v>
      </c>
      <c r="C8" s="1" t="s">
        <v>74</v>
      </c>
    </row>
    <row r="11" spans="1:3" x14ac:dyDescent="0.35">
      <c r="A11" s="16" t="s">
        <v>197</v>
      </c>
    </row>
    <row r="12" spans="1:3" x14ac:dyDescent="0.35">
      <c r="A12" s="17" t="s">
        <v>198</v>
      </c>
    </row>
    <row r="13" spans="1:3" x14ac:dyDescent="0.35">
      <c r="A13" s="1" t="s">
        <v>22</v>
      </c>
      <c r="B13" s="18">
        <f>'1. インプット'!C11</f>
        <v>55332</v>
      </c>
      <c r="C13" s="1" t="s">
        <v>75</v>
      </c>
    </row>
    <row r="14" spans="1:3" x14ac:dyDescent="0.35">
      <c r="A14" s="1" t="s">
        <v>13</v>
      </c>
      <c r="B14" s="18">
        <f>'1. インプット'!C8</f>
        <v>13557</v>
      </c>
      <c r="C14" s="1" t="s">
        <v>75</v>
      </c>
    </row>
    <row r="15" spans="1:3" x14ac:dyDescent="0.35">
      <c r="A15" s="1" t="s">
        <v>15</v>
      </c>
      <c r="B15" s="18">
        <f>'1. インプット'!C9</f>
        <v>11447</v>
      </c>
      <c r="C15" s="1" t="s">
        <v>75</v>
      </c>
    </row>
    <row r="16" spans="1:3" x14ac:dyDescent="0.35">
      <c r="A16" s="1" t="s">
        <v>7</v>
      </c>
      <c r="B16" s="18">
        <f>'1. インプット'!C6</f>
        <v>27666</v>
      </c>
      <c r="C16" s="1" t="s">
        <v>75</v>
      </c>
    </row>
    <row r="17" spans="1:3" x14ac:dyDescent="0.35">
      <c r="A17" s="1" t="s">
        <v>10</v>
      </c>
      <c r="B17" s="18">
        <f>'1. インプット'!C7</f>
        <v>2618</v>
      </c>
      <c r="C17" s="1" t="s">
        <v>75</v>
      </c>
    </row>
    <row r="18" spans="1:3" x14ac:dyDescent="0.35">
      <c r="A18" s="1" t="s">
        <v>19</v>
      </c>
      <c r="B18" s="18">
        <f>'1. インプット'!C10</f>
        <v>5476</v>
      </c>
      <c r="C18" s="1" t="s">
        <v>75</v>
      </c>
    </row>
    <row r="19" spans="1:3" x14ac:dyDescent="0.35">
      <c r="A19" s="1" t="s">
        <v>25</v>
      </c>
      <c r="B19" s="18">
        <f>'1. インプット'!C12</f>
        <v>4484</v>
      </c>
      <c r="C19" s="1" t="s">
        <v>75</v>
      </c>
    </row>
    <row r="20" spans="1:3" x14ac:dyDescent="0.35">
      <c r="A20" s="1" t="s">
        <v>27</v>
      </c>
      <c r="B20" s="18">
        <f>'1. インプット'!C13</f>
        <v>-263</v>
      </c>
      <c r="C20" s="1" t="s">
        <v>75</v>
      </c>
    </row>
    <row r="21" spans="1:3" x14ac:dyDescent="0.35">
      <c r="A21" s="1" t="s">
        <v>30</v>
      </c>
      <c r="B21" s="18">
        <f>'1. インプット'!C14</f>
        <v>49</v>
      </c>
      <c r="C21" s="1" t="s">
        <v>75</v>
      </c>
    </row>
    <row r="22" spans="1:3" x14ac:dyDescent="0.35">
      <c r="A22" s="1" t="s">
        <v>33</v>
      </c>
      <c r="B22" s="18">
        <f>'1. インプット'!C15</f>
        <v>10</v>
      </c>
      <c r="C22" s="1" t="s">
        <v>75</v>
      </c>
    </row>
    <row r="23" spans="1:3" x14ac:dyDescent="0.35">
      <c r="A23" s="1" t="s">
        <v>36</v>
      </c>
      <c r="B23" s="18">
        <f>'1. インプット'!C16</f>
        <v>52</v>
      </c>
      <c r="C23" s="1" t="s">
        <v>75</v>
      </c>
    </row>
    <row r="24" spans="1:3" x14ac:dyDescent="0.35">
      <c r="A24" s="1" t="s">
        <v>64</v>
      </c>
      <c r="B24" s="18">
        <f>'1. インプット'!C29</f>
        <v>70</v>
      </c>
      <c r="C24" s="1" t="s">
        <v>75</v>
      </c>
    </row>
    <row r="25" spans="1:3" x14ac:dyDescent="0.35">
      <c r="A25" s="1" t="s">
        <v>39</v>
      </c>
      <c r="B25" s="14">
        <f>'1. インプット'!C17 / 100</f>
        <v>7.2399999999999999E-3</v>
      </c>
      <c r="C25" s="1" t="s">
        <v>76</v>
      </c>
    </row>
    <row r="26" spans="1:3" x14ac:dyDescent="0.35">
      <c r="A26" s="1" t="s">
        <v>42</v>
      </c>
      <c r="B26" s="14">
        <f>'1. インプット'!C18 / 100</f>
        <v>1E-3</v>
      </c>
      <c r="C26" s="1" t="s">
        <v>76</v>
      </c>
    </row>
    <row r="27" spans="1:3" x14ac:dyDescent="0.35">
      <c r="A27" s="1" t="s">
        <v>45</v>
      </c>
      <c r="B27" s="14">
        <f>'1. インプット'!C19 / 100</f>
        <v>1.0200000000000001E-2</v>
      </c>
      <c r="C27" s="1" t="s">
        <v>76</v>
      </c>
    </row>
    <row r="28" spans="1:3" x14ac:dyDescent="0.35">
      <c r="A28" s="1" t="s">
        <v>47</v>
      </c>
      <c r="B28" s="14">
        <f>'1. インプット'!C20 / 100</f>
        <v>5.1000000000000004E-3</v>
      </c>
      <c r="C28" s="1" t="s">
        <v>76</v>
      </c>
    </row>
    <row r="29" spans="1:3" x14ac:dyDescent="0.35">
      <c r="A29" s="1" t="s">
        <v>50</v>
      </c>
      <c r="B29" s="14">
        <f>'1. インプット'!C21 / 100</f>
        <v>5.6999999999999993E-3</v>
      </c>
      <c r="C29" s="1" t="s">
        <v>76</v>
      </c>
    </row>
    <row r="30" spans="1:3" x14ac:dyDescent="0.35">
      <c r="A30" s="1" t="s">
        <v>54</v>
      </c>
      <c r="B30" s="13">
        <f>'1. インプット'!C22</f>
        <v>5</v>
      </c>
      <c r="C30" s="1" t="s">
        <v>77</v>
      </c>
    </row>
    <row r="31" spans="1:3" x14ac:dyDescent="0.35">
      <c r="A31" s="1" t="s">
        <v>63</v>
      </c>
      <c r="B31" s="15">
        <f>'1. インプット'!C28 / 100</f>
        <v>0.17800000000000002</v>
      </c>
      <c r="C31" s="1" t="s">
        <v>76</v>
      </c>
    </row>
    <row r="32" spans="1:3" x14ac:dyDescent="0.35">
      <c r="A32" s="1" t="s">
        <v>57</v>
      </c>
      <c r="B32" s="15">
        <f>'1. インプット'!C23 / 100</f>
        <v>0.21</v>
      </c>
      <c r="C32" s="1" t="s">
        <v>76</v>
      </c>
    </row>
    <row r="33" spans="1:3" x14ac:dyDescent="0.35">
      <c r="A33" s="1" t="s">
        <v>59</v>
      </c>
      <c r="B33" s="15">
        <f>'1. インプット'!C24 / 100</f>
        <v>0.85</v>
      </c>
      <c r="C33" s="1" t="s">
        <v>76</v>
      </c>
    </row>
    <row r="34" spans="1:3" x14ac:dyDescent="0.35">
      <c r="A34" s="1" t="s">
        <v>60</v>
      </c>
      <c r="B34" s="15">
        <f>'1. インプット'!C25 / 100</f>
        <v>0.85</v>
      </c>
      <c r="C34" s="1" t="s">
        <v>76</v>
      </c>
    </row>
    <row r="35" spans="1:3" x14ac:dyDescent="0.35">
      <c r="A35" s="1" t="s">
        <v>61</v>
      </c>
      <c r="B35" s="15">
        <f>'1. インプット'!C26 / 100</f>
        <v>0.56940000000000002</v>
      </c>
      <c r="C35" s="1" t="s">
        <v>76</v>
      </c>
    </row>
    <row r="36" spans="1:3" x14ac:dyDescent="0.35">
      <c r="A36" s="1" t="s">
        <v>62</v>
      </c>
      <c r="B36" s="18">
        <f>'1. インプット'!C27</f>
        <v>2783</v>
      </c>
      <c r="C36" s="1" t="s">
        <v>75</v>
      </c>
    </row>
    <row r="38" spans="1:3" x14ac:dyDescent="0.35">
      <c r="A38" s="17" t="s">
        <v>195</v>
      </c>
    </row>
    <row r="39" spans="1:3" x14ac:dyDescent="0.35">
      <c r="A39" s="1" t="s">
        <v>196</v>
      </c>
      <c r="B39" s="1">
        <f>'1. インプット'!H7 / 100</f>
        <v>0</v>
      </c>
      <c r="C39" s="1" t="s">
        <v>76</v>
      </c>
    </row>
    <row r="40" spans="1:3" x14ac:dyDescent="0.35">
      <c r="A40" s="1" t="s">
        <v>14</v>
      </c>
      <c r="B40" s="1">
        <f>'1. インプット'!H8 / 100</f>
        <v>0</v>
      </c>
      <c r="C40" s="1" t="s">
        <v>76</v>
      </c>
    </row>
    <row r="41" spans="1:3" x14ac:dyDescent="0.35">
      <c r="A41" s="1" t="s">
        <v>17</v>
      </c>
      <c r="B41" s="1">
        <f>'1. インプット'!H9</f>
        <v>1</v>
      </c>
      <c r="C41" s="1" t="s">
        <v>78</v>
      </c>
    </row>
    <row r="42" spans="1:3" x14ac:dyDescent="0.35">
      <c r="A42" s="1" t="s">
        <v>20</v>
      </c>
      <c r="B42" s="1">
        <f>'1. インプット'!H10</f>
        <v>1</v>
      </c>
      <c r="C42" s="1" t="s">
        <v>78</v>
      </c>
    </row>
    <row r="43" spans="1:3" x14ac:dyDescent="0.35">
      <c r="A43" s="1" t="s">
        <v>23</v>
      </c>
      <c r="B43" s="1">
        <f>'1. インプット'!H11</f>
        <v>1</v>
      </c>
      <c r="C43" s="1" t="s">
        <v>78</v>
      </c>
    </row>
    <row r="44" spans="1:3" x14ac:dyDescent="0.35">
      <c r="A44" s="1" t="s">
        <v>26</v>
      </c>
      <c r="B44" s="1">
        <f>'1. インプット'!H12</f>
        <v>0.6</v>
      </c>
      <c r="C44" s="1" t="s">
        <v>78</v>
      </c>
    </row>
    <row r="45" spans="1:3" x14ac:dyDescent="0.35">
      <c r="A45" s="1" t="s">
        <v>32</v>
      </c>
      <c r="B45" s="1">
        <f>'1. インプット'!H14 / 10000</f>
        <v>0</v>
      </c>
      <c r="C45" s="1" t="s">
        <v>76</v>
      </c>
    </row>
    <row r="46" spans="1:3" x14ac:dyDescent="0.35">
      <c r="A46" s="1" t="s">
        <v>34</v>
      </c>
      <c r="B46" s="1">
        <f>'1. インプット'!H15 / 100</f>
        <v>0</v>
      </c>
      <c r="C46" s="1" t="s">
        <v>76</v>
      </c>
    </row>
    <row r="47" spans="1:3" x14ac:dyDescent="0.35">
      <c r="A47" s="1" t="s">
        <v>37</v>
      </c>
      <c r="B47" s="1">
        <f>'1. インプット'!H16 / 100</f>
        <v>0.2</v>
      </c>
      <c r="C47" s="1" t="s">
        <v>76</v>
      </c>
    </row>
    <row r="48" spans="1:3" x14ac:dyDescent="0.35">
      <c r="A48" s="1" t="s">
        <v>40</v>
      </c>
      <c r="B48" s="1">
        <f>'1. インプット'!H17</f>
        <v>5</v>
      </c>
      <c r="C48" s="1" t="s">
        <v>77</v>
      </c>
    </row>
    <row r="49" spans="1:3" x14ac:dyDescent="0.35">
      <c r="A49" s="1" t="s">
        <v>44</v>
      </c>
      <c r="B49" s="1">
        <f>'1. インプット'!H18 / 100</f>
        <v>0.4144160451813772</v>
      </c>
      <c r="C49" s="1" t="s">
        <v>76</v>
      </c>
    </row>
    <row r="50" spans="1:3" x14ac:dyDescent="0.35">
      <c r="A50" s="1" t="s">
        <v>46</v>
      </c>
      <c r="B50" s="1">
        <f>'1. インプット'!H19 / 100</f>
        <v>0.49080443125045259</v>
      </c>
      <c r="C50" s="1" t="s">
        <v>76</v>
      </c>
    </row>
    <row r="51" spans="1:3" x14ac:dyDescent="0.35">
      <c r="A51" s="1" t="s">
        <v>52</v>
      </c>
      <c r="B51" s="1">
        <f>'1. インプット'!H21 / 100</f>
        <v>0</v>
      </c>
      <c r="C51" s="1" t="s">
        <v>76</v>
      </c>
    </row>
    <row r="52" spans="1:3" x14ac:dyDescent="0.35">
      <c r="A52" s="1" t="s">
        <v>55</v>
      </c>
      <c r="B52" s="1">
        <f>'1. インプット'!H22 / 100</f>
        <v>0</v>
      </c>
      <c r="C52" s="1" t="s">
        <v>76</v>
      </c>
    </row>
    <row r="53" spans="1:3" x14ac:dyDescent="0.35">
      <c r="A53" s="1" t="s">
        <v>58</v>
      </c>
      <c r="B53" s="1">
        <f>'1. インプット'!H23 / 10000</f>
        <v>0</v>
      </c>
      <c r="C53" s="1" t="s">
        <v>76</v>
      </c>
    </row>
    <row r="56" spans="1:3" x14ac:dyDescent="0.35">
      <c r="A56" s="16" t="s">
        <v>201</v>
      </c>
    </row>
    <row r="57" spans="1:3" x14ac:dyDescent="0.35">
      <c r="A57" s="1" t="s">
        <v>79</v>
      </c>
      <c r="B57" s="1">
        <f>('2. 計算ロジック'!B16 * '2. 計算ロジック'!B25) + ('2. 計算ロジック'!B17 * '2. 計算ロジック'!B26) + ('2. 計算ロジック'!B14 * '2. 計算ロジック'!B27) + ('2. 計算ロジック'!B15 * '2. 計算ロジック'!B28)</f>
        <v>399.58094</v>
      </c>
    </row>
    <row r="58" spans="1:3" x14ac:dyDescent="0.35">
      <c r="A58" s="1" t="s">
        <v>80</v>
      </c>
      <c r="B58" s="1">
        <f>'2. 計算ロジック'!B13 * '2. 計算ロジック'!B29</f>
        <v>315.39239999999995</v>
      </c>
    </row>
    <row r="59" spans="1:3" x14ac:dyDescent="0.35">
      <c r="A59" s="1" t="s">
        <v>81</v>
      </c>
      <c r="B59" s="1">
        <f>'2. 計算ロジック'!B57 - '2. 計算ロジック'!B58</f>
        <v>84.188540000000046</v>
      </c>
    </row>
    <row r="60" spans="1:3" x14ac:dyDescent="0.35">
      <c r="A60" s="1" t="s">
        <v>82</v>
      </c>
      <c r="B60" s="1">
        <f>'2. 計算ロジック'!B59 + '2. 計算ロジック'!B23 - '2. 計算ロジック'!B21 - '2. 計算ロジック'!B22</f>
        <v>77.188540000000046</v>
      </c>
    </row>
    <row r="61" spans="1:3" x14ac:dyDescent="0.35">
      <c r="A61" s="1" t="s">
        <v>83</v>
      </c>
      <c r="B61" s="1">
        <f>'2. 計算ロジック'!B60 * (1 - '2. 計算ロジック'!B31)</f>
        <v>63.448979880000032</v>
      </c>
    </row>
    <row r="62" spans="1:3" x14ac:dyDescent="0.35">
      <c r="A62" s="1" t="s">
        <v>84</v>
      </c>
      <c r="B62" s="1">
        <f>('2. 計算ロジック'!B16 + '2. 計算ロジック'!B17) * '2. 計算ロジック'!B32</f>
        <v>6359.6399999999994</v>
      </c>
    </row>
    <row r="63" spans="1:3" x14ac:dyDescent="0.35">
      <c r="A63" s="1" t="s">
        <v>85</v>
      </c>
      <c r="B63" s="1">
        <f>'2. 計算ロジック'!B14 * '2. 計算ロジック'!B33</f>
        <v>11523.449999999999</v>
      </c>
    </row>
    <row r="64" spans="1:3" x14ac:dyDescent="0.35">
      <c r="A64" s="1" t="s">
        <v>86</v>
      </c>
      <c r="B64" s="1">
        <f>'2. 計算ロジック'!B15 * '2. 計算ロジック'!B34</f>
        <v>9729.9499999999989</v>
      </c>
    </row>
    <row r="65" spans="1:3" x14ac:dyDescent="0.35">
      <c r="A65" s="1" t="s">
        <v>87</v>
      </c>
      <c r="B65" s="1">
        <f>'2. 計算ロジック'!B18 * '2. 計算ロジック'!B35</f>
        <v>3118.0344</v>
      </c>
    </row>
    <row r="66" spans="1:3" x14ac:dyDescent="0.35">
      <c r="A66" s="1" t="s">
        <v>88</v>
      </c>
      <c r="B66" s="1">
        <f>'2. 計算ロジック'!B62 + '2. 計算ロジック'!B63 + '2. 計算ロジック'!B64 + '2. 計算ロジック'!B65 + '2. 計算ロジック'!B36</f>
        <v>33514.074399999998</v>
      </c>
    </row>
    <row r="67" spans="1:3" x14ac:dyDescent="0.35">
      <c r="A67" s="1" t="s">
        <v>89</v>
      </c>
      <c r="B67" s="1">
        <f>'2. 計算ロジック'!B16 + '2. 計算ロジック'!B17 + '2. 計算ロジック'!B14 + '2. 計算ロジック'!B15 + '2. 計算ロジック'!B18</f>
        <v>60764</v>
      </c>
    </row>
    <row r="68" spans="1:3" x14ac:dyDescent="0.35">
      <c r="A68" s="1" t="s">
        <v>90</v>
      </c>
      <c r="B68" s="1">
        <f>'2. 計算ロジック'!B67 - '2. 計算ロジック'!B18</f>
        <v>55288</v>
      </c>
    </row>
    <row r="69" spans="1:3" x14ac:dyDescent="0.35">
      <c r="A69" s="1" t="s">
        <v>91</v>
      </c>
      <c r="B69" s="1">
        <f>'2. 計算ロジック'!B19 + '2. 計算ロジック'!B20</f>
        <v>4221</v>
      </c>
    </row>
    <row r="70" spans="1:3" x14ac:dyDescent="0.35">
      <c r="A70" s="1" t="s">
        <v>92</v>
      </c>
      <c r="B70" s="1">
        <f>IFERROR(IF('2. 計算ロジック'!B69 &gt; 0, '2. 計算ロジック'!B61 / '2. 計算ロジック'!B69 * 100, 0), 0)</f>
        <v>1.5031741265103065</v>
      </c>
    </row>
    <row r="71" spans="1:3" x14ac:dyDescent="0.35">
      <c r="A71" s="1" t="s">
        <v>93</v>
      </c>
      <c r="B71" s="1">
        <f>IFERROR(IF('2. 計算ロジック'!B68 &gt; 0, '2. 計算ロジック'!B59 / '2. 計算ロジック'!B68 * 100, 0), 0)</f>
        <v>0.15227271740703235</v>
      </c>
    </row>
    <row r="72" spans="1:3" x14ac:dyDescent="0.35">
      <c r="A72" s="1" t="s">
        <v>94</v>
      </c>
      <c r="B72" s="1">
        <f>IFERROR(IF('2. 計算ロジック'!B66 &gt; 0, '2. 計算ロジック'!B19 / '2. 計算ロジック'!B66 * 100, 0), 0)</f>
        <v>13.379453499094698</v>
      </c>
    </row>
    <row r="73" spans="1:3" x14ac:dyDescent="0.35">
      <c r="A73" s="1" t="s">
        <v>95</v>
      </c>
      <c r="B73" s="1">
        <f>'2. 計算ロジック'!B17</f>
        <v>2618</v>
      </c>
      <c r="C73" s="1" t="s">
        <v>96</v>
      </c>
    </row>
    <row r="74" spans="1:3" x14ac:dyDescent="0.35">
      <c r="A74" s="1" t="s">
        <v>97</v>
      </c>
      <c r="B74" s="1">
        <f>'2. 計算ロジック'!B14</f>
        <v>13557</v>
      </c>
    </row>
    <row r="75" spans="1:3" x14ac:dyDescent="0.35">
      <c r="A75" s="1" t="s">
        <v>98</v>
      </c>
      <c r="B75" s="1">
        <f>IFERROR(IF(ABS(1 - '2. 計算ロジック'!B31) &gt; '2. 計算ロジック'!B8, '2. 計算ロジック'!B20 / (1 - '2. 計算ロジック'!B31), 0), 0)</f>
        <v>-319.95133819951337</v>
      </c>
    </row>
    <row r="76" spans="1:3" x14ac:dyDescent="0.35">
      <c r="A76" s="1" t="s">
        <v>99</v>
      </c>
      <c r="B76" s="1">
        <f>MAX(0, '2. 計算ロジック'!B74 + '2. 計算ロジック'!B75)</f>
        <v>13237.048661800487</v>
      </c>
    </row>
    <row r="77" spans="1:3" x14ac:dyDescent="0.35">
      <c r="A77" s="1" t="s">
        <v>100</v>
      </c>
      <c r="B77" s="1">
        <f>'2. 計算ロジック'!B76 * (1 - '2. 計算ロジック'!B5)</f>
        <v>11251.491362530414</v>
      </c>
    </row>
    <row r="78" spans="1:3" x14ac:dyDescent="0.35">
      <c r="A78" s="1" t="s">
        <v>101</v>
      </c>
      <c r="B78" s="1">
        <f>'2. 計算ロジック'!B73 + '2. 計算ロジック'!B77</f>
        <v>13869.491362530414</v>
      </c>
    </row>
    <row r="79" spans="1:3" x14ac:dyDescent="0.35">
      <c r="A79" s="1" t="s">
        <v>102</v>
      </c>
      <c r="B79" s="1">
        <f>'2. 計算ロジック'!B13 * '2. 計算ロジック'!B6</f>
        <v>2766.6000000000004</v>
      </c>
    </row>
    <row r="80" spans="1:3" x14ac:dyDescent="0.35">
      <c r="A80" s="1" t="s">
        <v>103</v>
      </c>
      <c r="B80" s="1">
        <f>IFERROR(IF('2. 計算ロジック'!B79 &gt; 0, '2. 計算ロジック'!B78 / '2. 計算ロジック'!B79 * 100, 0), 0)</f>
        <v>501.31899669379061</v>
      </c>
    </row>
    <row r="83" spans="1:2" x14ac:dyDescent="0.35">
      <c r="A83" s="16" t="s">
        <v>202</v>
      </c>
    </row>
    <row r="84" spans="1:2" x14ac:dyDescent="0.35">
      <c r="A84" s="1" t="s">
        <v>22</v>
      </c>
      <c r="B84" s="1">
        <f>'2. 計算ロジック'!B13 * (1 + '2. 計算ロジック'!B39)</f>
        <v>55332</v>
      </c>
    </row>
    <row r="85" spans="1:2" x14ac:dyDescent="0.35">
      <c r="A85" s="1" t="s">
        <v>104</v>
      </c>
      <c r="B85" s="1">
        <f>'2. 計算ロジック'!B84 * '2. 計算ロジック'!B4</f>
        <v>27666</v>
      </c>
    </row>
    <row r="86" spans="1:2" x14ac:dyDescent="0.35">
      <c r="A86" s="1" t="s">
        <v>105</v>
      </c>
      <c r="B86" s="1">
        <f>'2. 計算ロジック'!B84 - '2. 計算ロジック'!B13</f>
        <v>0</v>
      </c>
    </row>
    <row r="87" spans="1:2" x14ac:dyDescent="0.35">
      <c r="A87" s="1" t="s">
        <v>106</v>
      </c>
      <c r="B87" s="1">
        <f>'2. 計算ロジック'!B86 * (1 - '2. 計算ロジック'!B4)</f>
        <v>0</v>
      </c>
    </row>
    <row r="88" spans="1:2" x14ac:dyDescent="0.35">
      <c r="A88" s="1" t="s">
        <v>107</v>
      </c>
      <c r="B88" s="1">
        <f>'2. 計算ロジック'!B17 + '2. 計算ロジック'!B14 + '2. 計算ロジック'!B15</f>
        <v>27622</v>
      </c>
    </row>
    <row r="89" spans="1:2" x14ac:dyDescent="0.35">
      <c r="A89" s="1" t="s">
        <v>108</v>
      </c>
      <c r="B89" s="1">
        <f>MAX(0, '2. 計算ロジック'!B88 + '2. 計算ロジック'!B87)</f>
        <v>27622</v>
      </c>
    </row>
    <row r="90" spans="1:2" x14ac:dyDescent="0.35">
      <c r="A90" s="1" t="s">
        <v>15</v>
      </c>
      <c r="B90" s="1">
        <f>'2. 計算ロジック'!B89 * '2. 計算ロジック'!B49</f>
        <v>11447.000000000002</v>
      </c>
    </row>
    <row r="91" spans="1:2" x14ac:dyDescent="0.35">
      <c r="A91" s="1" t="s">
        <v>109</v>
      </c>
      <c r="B91" s="1">
        <f>'2. 計算ロジック'!B89 * '2. 計算ロジック'!B50</f>
        <v>13557.000000000002</v>
      </c>
    </row>
    <row r="92" spans="1:2" x14ac:dyDescent="0.35">
      <c r="A92" s="1" t="s">
        <v>96</v>
      </c>
      <c r="B92" s="1">
        <f>MAX(0, '2. 計算ロジック'!B89 - '2. 計算ロジック'!B90 - '2. 計算ロジック'!B91)</f>
        <v>2617.9999999999964</v>
      </c>
    </row>
    <row r="93" spans="1:2" x14ac:dyDescent="0.35">
      <c r="A93" s="1" t="s">
        <v>110</v>
      </c>
      <c r="B93" s="1">
        <f>'2. 計算ロジック'!B91 * '2. 計算ロジック'!B47</f>
        <v>2711.4000000000005</v>
      </c>
    </row>
    <row r="94" spans="1:2" x14ac:dyDescent="0.35">
      <c r="A94" s="1" t="s">
        <v>111</v>
      </c>
      <c r="B94" s="1">
        <f>'2. 計算ロジック'!B91 - '2. 計算ロジック'!B93</f>
        <v>10845.600000000002</v>
      </c>
    </row>
    <row r="95" spans="1:2" x14ac:dyDescent="0.35">
      <c r="A95" s="1" t="s">
        <v>50</v>
      </c>
      <c r="B95" s="1">
        <f>MAX(0, '2. 計算ロジック'!B29 + '2. 計算ロジック'!B40 * '2. 計算ロジック'!B41)</f>
        <v>5.6999999999999993E-3</v>
      </c>
    </row>
    <row r="96" spans="1:2" x14ac:dyDescent="0.35">
      <c r="A96" s="1" t="s">
        <v>112</v>
      </c>
      <c r="B96" s="1">
        <f>MAX(0, '2. 計算ロジック'!B25 + '2. 計算ロジック'!B40 * '2. 計算ロジック'!B42)</f>
        <v>7.2399999999999999E-3</v>
      </c>
    </row>
    <row r="97" spans="1:2" x14ac:dyDescent="0.35">
      <c r="A97" s="1" t="s">
        <v>113</v>
      </c>
      <c r="B97" s="1">
        <f>MAX(0, '2. 計算ロジック'!B26 + '2. 計算ロジック'!B40 * '2. 計算ロジック'!B43)</f>
        <v>1E-3</v>
      </c>
    </row>
    <row r="98" spans="1:2" x14ac:dyDescent="0.35">
      <c r="A98" s="1" t="s">
        <v>114</v>
      </c>
      <c r="B98" s="1">
        <f>'2. 計算ロジック'!B40 * '2. 計算ロジック'!B44</f>
        <v>0</v>
      </c>
    </row>
    <row r="99" spans="1:2" x14ac:dyDescent="0.35">
      <c r="A99" s="1" t="s">
        <v>115</v>
      </c>
      <c r="B99" s="1">
        <f>'2. 計算ロジック'!B53</f>
        <v>0</v>
      </c>
    </row>
    <row r="100" spans="1:2" x14ac:dyDescent="0.35">
      <c r="A100" s="1" t="s">
        <v>47</v>
      </c>
      <c r="B100" s="1">
        <f>MAX(0, '2. 計算ロジック'!B28 + '2. 計算ロジック'!B98 + '2. 計算ロジック'!B99)</f>
        <v>5.1000000000000004E-3</v>
      </c>
    </row>
    <row r="101" spans="1:2" x14ac:dyDescent="0.35">
      <c r="A101" s="1" t="s">
        <v>116</v>
      </c>
      <c r="B101" s="1">
        <f>'2. 計算ロジック'!B45</f>
        <v>0</v>
      </c>
    </row>
    <row r="102" spans="1:2" x14ac:dyDescent="0.35">
      <c r="A102" s="1" t="s">
        <v>45</v>
      </c>
      <c r="B102" s="1">
        <f>MAX(0, '2. 計算ロジック'!B27 + '2. 計算ロジック'!B101)</f>
        <v>1.0200000000000001E-2</v>
      </c>
    </row>
    <row r="103" spans="1:2" x14ac:dyDescent="0.35">
      <c r="A103" s="1" t="s">
        <v>117</v>
      </c>
      <c r="B103" s="1">
        <f>IFERROR(IF('2. 計算ロジック'!B30 &gt; 0, '2. 計算ロジック'!B14 / '2. 計算ロジック'!B30, 0), 0)</f>
        <v>2711.4</v>
      </c>
    </row>
    <row r="104" spans="1:2" x14ac:dyDescent="0.35">
      <c r="A104" s="1" t="s">
        <v>118</v>
      </c>
      <c r="B104" s="1">
        <f>'2. 計算ロジック'!B103 * '2. 計算ロジック'!B40</f>
        <v>0</v>
      </c>
    </row>
    <row r="105" spans="1:2" x14ac:dyDescent="0.35">
      <c r="A105" s="1" t="s">
        <v>119</v>
      </c>
      <c r="B105" s="1">
        <f>'2. 計算ロジック'!B91 * '2. 計算ロジック'!B46</f>
        <v>0</v>
      </c>
    </row>
    <row r="106" spans="1:2" x14ac:dyDescent="0.35">
      <c r="A106" s="1" t="s">
        <v>120</v>
      </c>
      <c r="B106" s="1">
        <f>'2. 計算ロジック'!B105 * '2. 計算ロジック'!B40</f>
        <v>0</v>
      </c>
    </row>
    <row r="107" spans="1:2" x14ac:dyDescent="0.35">
      <c r="A107" s="1" t="s">
        <v>121</v>
      </c>
      <c r="B107" s="1">
        <f>'2. 計算ロジック'!B104 + '2. 計算ロジック'!B106</f>
        <v>0</v>
      </c>
    </row>
    <row r="108" spans="1:2" x14ac:dyDescent="0.35">
      <c r="A108" s="1" t="s">
        <v>122</v>
      </c>
      <c r="B108" s="1">
        <f>('2. 計算ロジック'!B85 * '2. 計算ロジック'!B96) + ('2. 計算ロジック'!B92 * '2. 計算ロジック'!B97) + ('2. 計算ロジック'!B91 * '2. 計算ロジック'!B102) + ('2. 計算ロジック'!B90 * '2. 計算ロジック'!B100)</f>
        <v>399.58094</v>
      </c>
    </row>
    <row r="109" spans="1:2" x14ac:dyDescent="0.35">
      <c r="A109" s="1" t="s">
        <v>80</v>
      </c>
      <c r="B109" s="1">
        <f>'2. 計算ロジック'!B84 * '2. 計算ロジック'!B95</f>
        <v>315.39239999999995</v>
      </c>
    </row>
    <row r="110" spans="1:2" x14ac:dyDescent="0.35">
      <c r="A110" s="1" t="s">
        <v>81</v>
      </c>
      <c r="B110" s="1">
        <f>'2. 計算ロジック'!B108 + '2. 計算ロジック'!B107 - '2. 計算ロジック'!B109</f>
        <v>84.188540000000046</v>
      </c>
    </row>
    <row r="111" spans="1:2" x14ac:dyDescent="0.35">
      <c r="A111" s="1" t="s">
        <v>123</v>
      </c>
      <c r="B111" s="1">
        <f>IFERROR(IF('2. 計算ロジック'!B15 &gt; 0, '2. 計算ロジック'!B22 / '2. 計算ロジック'!B15, 0), 0)</f>
        <v>8.7359133397396703E-4</v>
      </c>
    </row>
    <row r="112" spans="1:2" x14ac:dyDescent="0.35">
      <c r="A112" s="1" t="s">
        <v>124</v>
      </c>
      <c r="B112" s="1">
        <f>'2. 計算ロジック'!B90 * '2. 計算ロジック'!B111</f>
        <v>10.000000000000002</v>
      </c>
    </row>
    <row r="113" spans="1:2" x14ac:dyDescent="0.35">
      <c r="A113" s="1" t="s">
        <v>125</v>
      </c>
      <c r="B113" s="1">
        <f>'2. 計算ロジック'!B23 * (1 + '2. 計算ロジック'!B52)</f>
        <v>52</v>
      </c>
    </row>
    <row r="114" spans="1:2" x14ac:dyDescent="0.35">
      <c r="A114" s="1" t="s">
        <v>126</v>
      </c>
      <c r="B114" s="1">
        <f>'2. 計算ロジック'!B21 * (1 + '2. 計算ロジック'!B51)</f>
        <v>49</v>
      </c>
    </row>
    <row r="115" spans="1:2" x14ac:dyDescent="0.35">
      <c r="A115" s="1" t="s">
        <v>82</v>
      </c>
      <c r="B115" s="1">
        <f>'2. 計算ロジック'!B110 + '2. 計算ロジック'!B113 - '2. 計算ロジック'!B114 - '2. 計算ロジック'!B112</f>
        <v>77.188540000000046</v>
      </c>
    </row>
    <row r="116" spans="1:2" x14ac:dyDescent="0.35">
      <c r="A116" s="1" t="s">
        <v>83</v>
      </c>
      <c r="B116" s="1">
        <f>'2. 計算ロジック'!B115 * (1 - '2. 計算ロジック'!B31)</f>
        <v>63.448979880000032</v>
      </c>
    </row>
    <row r="117" spans="1:2" x14ac:dyDescent="0.35">
      <c r="A117" s="1" t="s">
        <v>127</v>
      </c>
      <c r="B117" s="1">
        <f>- ('2. 計算ロジック'!B94 * '2. 計算ロジック'!B48 * '2. 計算ロジック'!B40) * (1 - '2. 計算ロジック'!B31)</f>
        <v>0</v>
      </c>
    </row>
    <row r="118" spans="1:2" x14ac:dyDescent="0.35">
      <c r="A118" s="1" t="s">
        <v>128</v>
      </c>
      <c r="B118" s="1">
        <f>'2. 計算ロジック'!B20 + '2. 計算ロジック'!B117</f>
        <v>-263</v>
      </c>
    </row>
    <row r="119" spans="1:2" x14ac:dyDescent="0.35">
      <c r="A119" s="1" t="s">
        <v>129</v>
      </c>
      <c r="B119" s="1">
        <f>'2. 計算ロジック'!B116 - '2. 計算ロジック'!B61</f>
        <v>0</v>
      </c>
    </row>
    <row r="120" spans="1:2" x14ac:dyDescent="0.35">
      <c r="A120" s="1" t="s">
        <v>130</v>
      </c>
      <c r="B120" s="1">
        <f>'2. 計算ロジック'!B19 + '2. 計算ロジック'!B119</f>
        <v>4484</v>
      </c>
    </row>
    <row r="121" spans="1:2" x14ac:dyDescent="0.35">
      <c r="A121" s="1" t="s">
        <v>131</v>
      </c>
      <c r="B121" s="1">
        <f>'2. 計算ロジック'!B101 * '2. 計算ロジック'!B7</f>
        <v>0</v>
      </c>
    </row>
    <row r="122" spans="1:2" x14ac:dyDescent="0.35">
      <c r="A122" s="1" t="s">
        <v>132</v>
      </c>
      <c r="B122" s="1">
        <f>IFERROR(IF('2. 計算ロジック'!B33 &gt; 0, ('2. 計算ロジック'!B33 + '2. 計算ロジック'!B121) / '2. 計算ロジック'!B33, 1), 1)</f>
        <v>1</v>
      </c>
    </row>
    <row r="123" spans="1:2" x14ac:dyDescent="0.35">
      <c r="A123" s="1" t="s">
        <v>133</v>
      </c>
      <c r="B123" s="1">
        <f>'2. 計算ロジック'!B33 * '2. 計算ロジック'!B122</f>
        <v>0.85</v>
      </c>
    </row>
    <row r="124" spans="1:2" x14ac:dyDescent="0.35">
      <c r="A124" s="1" t="s">
        <v>84</v>
      </c>
      <c r="B124" s="1">
        <f>('2. 計算ロジック'!B85 + '2. 計算ロジック'!B92) * '2. 計算ロジック'!B32</f>
        <v>6359.6399999999994</v>
      </c>
    </row>
    <row r="125" spans="1:2" x14ac:dyDescent="0.35">
      <c r="A125" s="1" t="s">
        <v>85</v>
      </c>
      <c r="B125" s="1">
        <f>'2. 計算ロジック'!B91 * '2. 計算ロジック'!B123</f>
        <v>11523.45</v>
      </c>
    </row>
    <row r="126" spans="1:2" x14ac:dyDescent="0.35">
      <c r="A126" s="1" t="s">
        <v>86</v>
      </c>
      <c r="B126" s="1">
        <f>'2. 計算ロジック'!B90 * '2. 計算ロジック'!B34</f>
        <v>9729.9500000000007</v>
      </c>
    </row>
    <row r="127" spans="1:2" x14ac:dyDescent="0.35">
      <c r="A127" s="1" t="s">
        <v>87</v>
      </c>
      <c r="B127" s="1">
        <f>'2. 計算ロジック'!B18 * '2. 計算ロジック'!B35</f>
        <v>3118.0344</v>
      </c>
    </row>
    <row r="128" spans="1:2" x14ac:dyDescent="0.35">
      <c r="A128" s="1" t="s">
        <v>88</v>
      </c>
      <c r="B128" s="1">
        <f>'2. 計算ロジック'!B124 + '2. 計算ロジック'!B125 + '2. 計算ロジック'!B126 + '2. 計算ロジック'!B127 + '2. 計算ロジック'!B36</f>
        <v>33514.074399999998</v>
      </c>
    </row>
    <row r="129" spans="1:2" x14ac:dyDescent="0.35">
      <c r="A129" s="1" t="s">
        <v>89</v>
      </c>
      <c r="B129" s="1">
        <f>'2. 計算ロジック'!B85 + '2. 計算ロジック'!B92 + '2. 計算ロジック'!B91 + '2. 計算ロジック'!B90 + '2. 計算ロジック'!B18</f>
        <v>60764</v>
      </c>
    </row>
    <row r="130" spans="1:2" x14ac:dyDescent="0.35">
      <c r="A130" s="1" t="s">
        <v>90</v>
      </c>
      <c r="B130" s="1">
        <f>'2. 計算ロジック'!B129 - '2. 計算ロジック'!B18</f>
        <v>55288</v>
      </c>
    </row>
    <row r="131" spans="1:2" x14ac:dyDescent="0.35">
      <c r="A131" s="1" t="s">
        <v>91</v>
      </c>
      <c r="B131" s="1">
        <f>'2. 計算ロジック'!B120 + '2. 計算ロジック'!B118</f>
        <v>4221</v>
      </c>
    </row>
    <row r="132" spans="1:2" x14ac:dyDescent="0.35">
      <c r="A132" s="1" t="s">
        <v>92</v>
      </c>
      <c r="B132" s="1">
        <f>IFERROR(IF('2. 計算ロジック'!B131 &gt; 0, '2. 計算ロジック'!B116 / '2. 計算ロジック'!B131 * 100, 0), 0)</f>
        <v>1.5031741265103065</v>
      </c>
    </row>
    <row r="133" spans="1:2" x14ac:dyDescent="0.35">
      <c r="A133" s="1" t="s">
        <v>93</v>
      </c>
      <c r="B133" s="1">
        <f>IFERROR(IF('2. 計算ロジック'!B130 &gt; 0, '2. 計算ロジック'!B110 / '2. 計算ロジック'!B130 * 100, 0), 0)</f>
        <v>0.15227271740703235</v>
      </c>
    </row>
    <row r="134" spans="1:2" x14ac:dyDescent="0.35">
      <c r="A134" s="1" t="s">
        <v>94</v>
      </c>
      <c r="B134" s="1">
        <f>IFERROR(IF('2. 計算ロジック'!B128 &gt; 0, '2. 計算ロジック'!B120 / '2. 計算ロジック'!B128 * 100, 0), 0)</f>
        <v>13.379453499094698</v>
      </c>
    </row>
    <row r="135" spans="1:2" x14ac:dyDescent="0.35">
      <c r="A135" s="1" t="s">
        <v>95</v>
      </c>
      <c r="B135" s="1">
        <f>'2. 計算ロジック'!B92</f>
        <v>2617.9999999999964</v>
      </c>
    </row>
    <row r="136" spans="1:2" x14ac:dyDescent="0.35">
      <c r="A136" s="1" t="s">
        <v>97</v>
      </c>
      <c r="B136" s="1">
        <f>'2. 計算ロジック'!B94</f>
        <v>10845.600000000002</v>
      </c>
    </row>
    <row r="137" spans="1:2" x14ac:dyDescent="0.35">
      <c r="A137" s="1" t="s">
        <v>98</v>
      </c>
      <c r="B137" s="1">
        <f>IFERROR(IF(ABS(1 - '2. 計算ロジック'!B31) &gt; '2. 計算ロジック'!B8, '2. 計算ロジック'!B118 / (1 - '2. 計算ロジック'!B31), 0), 0)</f>
        <v>-319.95133819951337</v>
      </c>
    </row>
    <row r="138" spans="1:2" x14ac:dyDescent="0.35">
      <c r="A138" s="1" t="s">
        <v>134</v>
      </c>
      <c r="B138" s="1">
        <f>MAX(0, '2. 計算ロジック'!B136 + '2. 計算ロジック'!B137)</f>
        <v>10525.648661800489</v>
      </c>
    </row>
    <row r="139" spans="1:2" x14ac:dyDescent="0.35">
      <c r="A139" s="1" t="s">
        <v>100</v>
      </c>
      <c r="B139" s="1">
        <f>'2. 計算ロジック'!B138 * (1 - '2. 計算ロジック'!B5)</f>
        <v>8946.8013625304156</v>
      </c>
    </row>
    <row r="140" spans="1:2" x14ac:dyDescent="0.35">
      <c r="A140" s="1" t="s">
        <v>101</v>
      </c>
      <c r="B140" s="1">
        <f>'2. 計算ロジック'!B135 + '2. 計算ロジック'!B139</f>
        <v>11564.801362530412</v>
      </c>
    </row>
    <row r="141" spans="1:2" x14ac:dyDescent="0.35">
      <c r="A141" s="1" t="s">
        <v>102</v>
      </c>
      <c r="B141" s="1">
        <f>'2. 計算ロジック'!B84 * '2. 計算ロジック'!B6</f>
        <v>2766.6000000000004</v>
      </c>
    </row>
    <row r="142" spans="1:2" x14ac:dyDescent="0.35">
      <c r="A142" s="1" t="s">
        <v>103</v>
      </c>
      <c r="B142" s="1">
        <f>IFERROR(IF('2. 計算ロジック'!B141 &gt; 0, '2. 計算ロジック'!B140 / '2. 計算ロジック'!B141 * 100, 0), 0)</f>
        <v>418.01494117438045</v>
      </c>
    </row>
    <row r="145" spans="1:2" x14ac:dyDescent="0.35">
      <c r="A145" s="16" t="s">
        <v>203</v>
      </c>
    </row>
    <row r="146" spans="1:2" x14ac:dyDescent="0.35">
      <c r="A146" s="1" t="s">
        <v>135</v>
      </c>
      <c r="B146" s="1">
        <f>'2. 計算ロジック'!B59</f>
        <v>84.188540000000046</v>
      </c>
    </row>
    <row r="147" spans="1:2" x14ac:dyDescent="0.35">
      <c r="A147" s="1" t="s">
        <v>136</v>
      </c>
      <c r="B147" s="1">
        <f>(('2. 計算ロジック'!B85 * '2. 計算ロジック'!B25) + ('2. 計算ロジック'!B92 * '2. 計算ロジック'!B26) + ('2. 計算ロジック'!B91 * '2. 計算ロジック'!B27) + ('2. 計算ロジック'!B90 * '2. 計算ロジック'!B28) + 0) - ('2. 計算ロジック'!B84 * '2. 計算ロジック'!B29)</f>
        <v>84.188540000000046</v>
      </c>
    </row>
    <row r="148" spans="1:2" x14ac:dyDescent="0.35">
      <c r="A148" s="1" t="s">
        <v>137</v>
      </c>
      <c r="B148" s="1">
        <f>'2. 計算ロジック'!B147 - '2. 計算ロジック'!B146</f>
        <v>0</v>
      </c>
    </row>
    <row r="149" spans="1:2" x14ac:dyDescent="0.35">
      <c r="A149" s="1" t="s">
        <v>138</v>
      </c>
      <c r="B149" s="1">
        <f>MAX(0, '2. 計算ロジック'!B29 + '2. 計算ロジック'!B40 * '2. 計算ロジック'!B41)</f>
        <v>5.6999999999999993E-3</v>
      </c>
    </row>
    <row r="150" spans="1:2" x14ac:dyDescent="0.35">
      <c r="A150" s="1" t="s">
        <v>139</v>
      </c>
      <c r="B150" s="1">
        <f>MAX(0, '2. 計算ロジック'!B25 + '2. 計算ロジック'!B40 * '2. 計算ロジック'!B42)</f>
        <v>7.2399999999999999E-3</v>
      </c>
    </row>
    <row r="151" spans="1:2" x14ac:dyDescent="0.35">
      <c r="A151" s="1" t="s">
        <v>140</v>
      </c>
      <c r="B151" s="1">
        <f>MAX(0, '2. 計算ロジック'!B26 + '2. 計算ロジック'!B40 * '2. 計算ロジック'!B43)</f>
        <v>1E-3</v>
      </c>
    </row>
    <row r="152" spans="1:2" x14ac:dyDescent="0.35">
      <c r="A152" s="1" t="s">
        <v>141</v>
      </c>
      <c r="B152" s="1">
        <f>MAX(0, '2. 計算ロジック'!B28 + '2. 計算ロジック'!B98)</f>
        <v>5.1000000000000004E-3</v>
      </c>
    </row>
    <row r="153" spans="1:2" x14ac:dyDescent="0.35">
      <c r="A153" s="1" t="s">
        <v>142</v>
      </c>
      <c r="B153" s="1">
        <f>'2. 計算ロジック'!B27</f>
        <v>1.0200000000000001E-2</v>
      </c>
    </row>
    <row r="154" spans="1:2" x14ac:dyDescent="0.35">
      <c r="A154" s="1" t="s">
        <v>143</v>
      </c>
      <c r="B154" s="1">
        <f>(('2. 計算ロジック'!B85 * '2. 計算ロジック'!B150) + ('2. 計算ロジック'!B92 * '2. 計算ロジック'!B151) + ('2. 計算ロジック'!B91 * '2. 計算ロジック'!B153) + ('2. 計算ロジック'!B90 * '2. 計算ロジック'!B152) + '2. 計算ロジック'!B104) - ('2. 計算ロジック'!B84 * '2. 計算ロジック'!B149)</f>
        <v>84.188540000000046</v>
      </c>
    </row>
    <row r="155" spans="1:2" x14ac:dyDescent="0.35">
      <c r="A155" s="1" t="s">
        <v>144</v>
      </c>
      <c r="B155" s="1">
        <f>'2. 計算ロジック'!B154 - '2. 計算ロジック'!B147</f>
        <v>0</v>
      </c>
    </row>
    <row r="156" spans="1:2" x14ac:dyDescent="0.35">
      <c r="A156" s="1" t="s">
        <v>145</v>
      </c>
      <c r="B156" s="1">
        <f>'2. 計算ロジック'!B90 * '2. 計算ロジック'!B99</f>
        <v>0</v>
      </c>
    </row>
    <row r="157" spans="1:2" x14ac:dyDescent="0.35">
      <c r="A157" s="1" t="s">
        <v>146</v>
      </c>
      <c r="B157" s="1">
        <f>'2. 計算ロジック'!B91 * '2. 計算ロジック'!B101</f>
        <v>0</v>
      </c>
    </row>
    <row r="158" spans="1:2" x14ac:dyDescent="0.35">
      <c r="A158" s="1" t="s">
        <v>147</v>
      </c>
      <c r="B158" s="1">
        <f>'2. 計算ロジック'!B106</f>
        <v>0</v>
      </c>
    </row>
    <row r="159" spans="1:2" x14ac:dyDescent="0.35">
      <c r="A159" s="1" t="s">
        <v>148</v>
      </c>
      <c r="B159" s="1">
        <f>'2. 計算ロジック'!B110</f>
        <v>84.188540000000046</v>
      </c>
    </row>
    <row r="160" spans="1:2" x14ac:dyDescent="0.35">
      <c r="A160" s="1" t="s">
        <v>149</v>
      </c>
      <c r="B160" s="1">
        <f>'2. 計算ロジック'!B146 + '2. 計算ロジック'!B148 + '2. 計算ロジック'!B155 + '2. 計算ロジック'!B156 + '2. 計算ロジック'!B157 + '2. 計算ロジック'!B158 - '2. 計算ロジック'!B159</f>
        <v>0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6"/>
  <sheetViews>
    <sheetView tabSelected="1" topLeftCell="A62" workbookViewId="0">
      <selection activeCell="H65" sqref="H65"/>
    </sheetView>
  </sheetViews>
  <sheetFormatPr defaultRowHeight="15" x14ac:dyDescent="0.35"/>
  <cols>
    <col min="1" max="1" width="20" style="1" customWidth="1"/>
    <col min="2" max="2" width="25" style="1" customWidth="1"/>
    <col min="3" max="5" width="15" style="1" customWidth="1"/>
    <col min="6" max="6" width="10" style="1" customWidth="1"/>
    <col min="7" max="7" width="5" style="1" customWidth="1"/>
    <col min="8" max="8" width="20" style="1" customWidth="1"/>
    <col min="9" max="9" width="15" style="1" customWidth="1"/>
    <col min="10" max="10" width="18" style="1" customWidth="1"/>
    <col min="11" max="16384" width="8.7265625" style="1"/>
  </cols>
  <sheetData>
    <row r="1" spans="1:6" ht="22" x14ac:dyDescent="0.5">
      <c r="A1" s="19" t="s">
        <v>150</v>
      </c>
    </row>
    <row r="3" spans="1:6" ht="19.5" x14ac:dyDescent="0.45">
      <c r="A3" s="20" t="s">
        <v>151</v>
      </c>
    </row>
    <row r="5" spans="1:6" x14ac:dyDescent="0.35">
      <c r="A5" s="28" t="s">
        <v>2</v>
      </c>
      <c r="B5" s="26" t="s">
        <v>152</v>
      </c>
      <c r="C5" s="24" t="s">
        <v>153</v>
      </c>
      <c r="D5" s="24" t="s">
        <v>154</v>
      </c>
      <c r="E5" s="24" t="s">
        <v>155</v>
      </c>
      <c r="F5" s="24" t="s">
        <v>156</v>
      </c>
    </row>
    <row r="6" spans="1:6" x14ac:dyDescent="0.35">
      <c r="A6" s="30" t="s">
        <v>157</v>
      </c>
      <c r="B6" s="27" t="s">
        <v>83</v>
      </c>
      <c r="C6" s="23">
        <f>'2. 計算ロジック'!B61</f>
        <v>63.448979880000032</v>
      </c>
      <c r="D6" s="23">
        <f>'2. 計算ロジック'!B116</f>
        <v>63.448979880000032</v>
      </c>
      <c r="E6" s="23">
        <f t="shared" ref="E6:E15" si="0">ROUND(D6 - C6, 5)</f>
        <v>0</v>
      </c>
      <c r="F6" s="21" t="s">
        <v>8</v>
      </c>
    </row>
    <row r="7" spans="1:6" x14ac:dyDescent="0.35">
      <c r="A7" s="31"/>
      <c r="B7" s="27" t="s">
        <v>158</v>
      </c>
      <c r="C7" s="25">
        <f>'2. 計算ロジック'!B70</f>
        <v>1.5031741265103065</v>
      </c>
      <c r="D7" s="25">
        <f>'2. 計算ロジック'!B132</f>
        <v>1.5031741265103065</v>
      </c>
      <c r="E7" s="25">
        <f t="shared" si="0"/>
        <v>0</v>
      </c>
      <c r="F7" s="21" t="s">
        <v>35</v>
      </c>
    </row>
    <row r="8" spans="1:6" x14ac:dyDescent="0.35">
      <c r="A8" s="32" t="s">
        <v>159</v>
      </c>
      <c r="B8" s="27" t="s">
        <v>81</v>
      </c>
      <c r="C8" s="23">
        <f>'2. 計算ロジック'!B59</f>
        <v>84.188540000000046</v>
      </c>
      <c r="D8" s="23">
        <f>'2. 計算ロジック'!B110</f>
        <v>84.188540000000046</v>
      </c>
      <c r="E8" s="23">
        <f t="shared" si="0"/>
        <v>0</v>
      </c>
      <c r="F8" s="21" t="s">
        <v>8</v>
      </c>
    </row>
    <row r="9" spans="1:6" x14ac:dyDescent="0.35">
      <c r="A9" s="33"/>
      <c r="B9" s="27" t="s">
        <v>160</v>
      </c>
      <c r="C9" s="25">
        <f>'2. 計算ロジック'!B71</f>
        <v>0.15227271740703235</v>
      </c>
      <c r="D9" s="25">
        <f>'2. 計算ロジック'!B133</f>
        <v>0.15227271740703235</v>
      </c>
      <c r="E9" s="25">
        <f t="shared" si="0"/>
        <v>0</v>
      </c>
      <c r="F9" s="21" t="s">
        <v>35</v>
      </c>
    </row>
    <row r="10" spans="1:6" x14ac:dyDescent="0.35">
      <c r="A10" s="34" t="s">
        <v>161</v>
      </c>
      <c r="B10" s="27" t="s">
        <v>162</v>
      </c>
      <c r="C10" s="25">
        <f>'2. 計算ロジック'!B72</f>
        <v>13.379453499094698</v>
      </c>
      <c r="D10" s="25">
        <f>'2. 計算ロジック'!B134</f>
        <v>13.379453499094698</v>
      </c>
      <c r="E10" s="25">
        <f t="shared" si="0"/>
        <v>0</v>
      </c>
      <c r="F10" s="21" t="s">
        <v>35</v>
      </c>
    </row>
    <row r="11" spans="1:6" x14ac:dyDescent="0.35">
      <c r="A11" s="35"/>
      <c r="B11" s="27" t="s">
        <v>163</v>
      </c>
      <c r="C11" s="23">
        <f>'2. 計算ロジック'!B20</f>
        <v>-263</v>
      </c>
      <c r="D11" s="23">
        <f>'2. 計算ロジック'!B118</f>
        <v>-263</v>
      </c>
      <c r="E11" s="23">
        <f t="shared" si="0"/>
        <v>0</v>
      </c>
      <c r="F11" s="21" t="s">
        <v>8</v>
      </c>
    </row>
    <row r="12" spans="1:6" x14ac:dyDescent="0.35">
      <c r="A12" s="36" t="s">
        <v>164</v>
      </c>
      <c r="B12" s="27" t="s">
        <v>165</v>
      </c>
      <c r="C12" s="23">
        <f>'2. 計算ロジック'!B80</f>
        <v>501.31899669379061</v>
      </c>
      <c r="D12" s="23">
        <f>'2. 計算ロジック'!B142</f>
        <v>418.01494117438045</v>
      </c>
      <c r="E12" s="23">
        <f t="shared" si="0"/>
        <v>-83.304060000000007</v>
      </c>
      <c r="F12" s="21" t="s">
        <v>35</v>
      </c>
    </row>
    <row r="13" spans="1:6" x14ac:dyDescent="0.35">
      <c r="A13" s="37"/>
      <c r="B13" s="27" t="s">
        <v>166</v>
      </c>
      <c r="C13" s="39">
        <f>'2. 計算ロジック'!B78</f>
        <v>13869.491362530414</v>
      </c>
      <c r="D13" s="39">
        <f>'2. 計算ロジック'!B140</f>
        <v>11564.801362530412</v>
      </c>
      <c r="E13" s="39">
        <f t="shared" si="0"/>
        <v>-2304.69</v>
      </c>
      <c r="F13" s="21" t="s">
        <v>8</v>
      </c>
    </row>
    <row r="14" spans="1:6" x14ac:dyDescent="0.35">
      <c r="A14" s="38" t="s">
        <v>167</v>
      </c>
      <c r="B14" s="27" t="s">
        <v>89</v>
      </c>
      <c r="C14" s="39">
        <f>'2. 計算ロジック'!B67</f>
        <v>60764</v>
      </c>
      <c r="D14" s="39">
        <f>'2. 計算ロジック'!B129</f>
        <v>60764</v>
      </c>
      <c r="E14" s="39">
        <f t="shared" si="0"/>
        <v>0</v>
      </c>
      <c r="F14" s="21" t="s">
        <v>8</v>
      </c>
    </row>
    <row r="15" spans="1:6" x14ac:dyDescent="0.35">
      <c r="A15" s="29"/>
      <c r="B15" s="27" t="s">
        <v>168</v>
      </c>
      <c r="C15" s="39">
        <f>'2. 計算ロジック'!B66</f>
        <v>33514.074399999998</v>
      </c>
      <c r="D15" s="39">
        <f>'2. 計算ロジック'!B128</f>
        <v>33514.074399999998</v>
      </c>
      <c r="E15" s="39">
        <f t="shared" si="0"/>
        <v>0</v>
      </c>
      <c r="F15" s="21" t="s">
        <v>8</v>
      </c>
    </row>
    <row r="18" spans="1:14" ht="19.5" x14ac:dyDescent="0.45">
      <c r="A18" s="20" t="s">
        <v>169</v>
      </c>
    </row>
    <row r="19" spans="1:14" x14ac:dyDescent="0.35">
      <c r="A19" s="16" t="s">
        <v>170</v>
      </c>
      <c r="H19" s="16" t="s">
        <v>171</v>
      </c>
    </row>
    <row r="20" spans="1:14" x14ac:dyDescent="0.35">
      <c r="A20" s="21" t="s">
        <v>135</v>
      </c>
      <c r="B20" s="23">
        <f>ROUND('2. 計算ロジック'!B146, 5)</f>
        <v>84.188540000000003</v>
      </c>
      <c r="H20" s="21" t="s">
        <v>3</v>
      </c>
      <c r="I20" s="21" t="s">
        <v>153</v>
      </c>
      <c r="J20" s="21" t="s">
        <v>154</v>
      </c>
    </row>
    <row r="21" spans="1:14" x14ac:dyDescent="0.35">
      <c r="A21" s="21" t="s">
        <v>137</v>
      </c>
      <c r="B21" s="23">
        <f>ROUND('2. 計算ロジック'!B148, 5)</f>
        <v>0</v>
      </c>
      <c r="H21" s="21" t="s">
        <v>19</v>
      </c>
      <c r="I21" s="22">
        <f>'2. 計算ロジック'!B18</f>
        <v>5476</v>
      </c>
      <c r="J21" s="22">
        <f>'2. 計算ロジック'!B18</f>
        <v>5476</v>
      </c>
    </row>
    <row r="22" spans="1:14" x14ac:dyDescent="0.35">
      <c r="A22" s="21" t="s">
        <v>172</v>
      </c>
      <c r="B22" s="23">
        <f>ROUND('2. 計算ロジック'!B155, 5)</f>
        <v>0</v>
      </c>
      <c r="H22" s="21" t="s">
        <v>173</v>
      </c>
      <c r="I22" s="22">
        <f>'2. 計算ロジック'!B15</f>
        <v>11447</v>
      </c>
      <c r="J22" s="22">
        <f>'2. 計算ロジック'!B90</f>
        <v>11447.000000000002</v>
      </c>
    </row>
    <row r="23" spans="1:14" x14ac:dyDescent="0.35">
      <c r="A23" s="21" t="s">
        <v>174</v>
      </c>
      <c r="B23" s="23">
        <f>ROUND('2. 計算ロジック'!B157, 5)</f>
        <v>0</v>
      </c>
      <c r="H23" s="21" t="s">
        <v>110</v>
      </c>
      <c r="I23" s="22">
        <v>0</v>
      </c>
      <c r="J23" s="22">
        <f>'2. 計算ロジック'!B93</f>
        <v>2711.4000000000005</v>
      </c>
    </row>
    <row r="24" spans="1:14" x14ac:dyDescent="0.35">
      <c r="A24" s="21" t="s">
        <v>175</v>
      </c>
      <c r="B24" s="23">
        <f>ROUND('2. 計算ロジック'!B158, 5)</f>
        <v>0</v>
      </c>
      <c r="H24" s="21" t="s">
        <v>176</v>
      </c>
      <c r="I24" s="22">
        <f>'2. 計算ロジック'!B14</f>
        <v>13557</v>
      </c>
      <c r="J24" s="22">
        <f>'2. 計算ロジック'!B94</f>
        <v>10845.600000000002</v>
      </c>
    </row>
    <row r="25" spans="1:14" x14ac:dyDescent="0.35">
      <c r="A25" s="21" t="s">
        <v>177</v>
      </c>
      <c r="B25" s="23">
        <f>ROUND('2. 計算ロジック'!B156, 5)</f>
        <v>0</v>
      </c>
      <c r="H25" s="21" t="s">
        <v>178</v>
      </c>
      <c r="I25" s="22">
        <f>'2. 計算ロジック'!B17</f>
        <v>2618</v>
      </c>
      <c r="J25" s="22">
        <f>'2. 計算ロジック'!B92</f>
        <v>2617.9999999999964</v>
      </c>
    </row>
    <row r="26" spans="1:14" x14ac:dyDescent="0.35">
      <c r="A26" s="21" t="s">
        <v>179</v>
      </c>
      <c r="B26" s="23">
        <f>ROUND('2. 計算ロジック'!B159, 5)</f>
        <v>84.188540000000003</v>
      </c>
      <c r="H26" s="21" t="s">
        <v>180</v>
      </c>
      <c r="I26" s="22">
        <f>'2. 計算ロジック'!B16</f>
        <v>27666</v>
      </c>
      <c r="J26" s="22">
        <f>'2. 計算ロジック'!B85</f>
        <v>27666</v>
      </c>
    </row>
    <row r="27" spans="1:14" x14ac:dyDescent="0.35">
      <c r="H27" s="21" t="s">
        <v>181</v>
      </c>
      <c r="I27" s="22">
        <f>SUM(I21:I26)</f>
        <v>60764</v>
      </c>
      <c r="J27" s="22">
        <f>SUM(J21:J26)</f>
        <v>60764</v>
      </c>
    </row>
    <row r="28" spans="1:14" x14ac:dyDescent="0.35">
      <c r="A28" s="16"/>
    </row>
    <row r="29" spans="1:14" x14ac:dyDescent="0.35">
      <c r="H29" s="21"/>
      <c r="I29" s="21" t="s">
        <v>19</v>
      </c>
      <c r="J29" s="21" t="s">
        <v>173</v>
      </c>
      <c r="K29" s="21" t="s">
        <v>110</v>
      </c>
      <c r="L29" s="21" t="s">
        <v>176</v>
      </c>
      <c r="M29" s="21" t="s">
        <v>178</v>
      </c>
      <c r="N29" s="21" t="s">
        <v>180</v>
      </c>
    </row>
    <row r="30" spans="1:14" x14ac:dyDescent="0.35">
      <c r="H30" s="21" t="s">
        <v>153</v>
      </c>
      <c r="I30" s="21">
        <f>'3. 結果サマリー'!I21</f>
        <v>5476</v>
      </c>
      <c r="J30" s="21">
        <f>'3. 結果サマリー'!I22</f>
        <v>11447</v>
      </c>
      <c r="K30" s="21">
        <f>'3. 結果サマリー'!I23</f>
        <v>0</v>
      </c>
      <c r="L30" s="21">
        <f>'3. 結果サマリー'!I24</f>
        <v>13557</v>
      </c>
      <c r="M30" s="21">
        <f>'3. 結果サマリー'!I25</f>
        <v>2618</v>
      </c>
      <c r="N30" s="21">
        <f>'3. 結果サマリー'!I26</f>
        <v>27666</v>
      </c>
    </row>
    <row r="31" spans="1:14" x14ac:dyDescent="0.35">
      <c r="H31" s="21" t="s">
        <v>154</v>
      </c>
      <c r="I31" s="21">
        <f>'3. 結果サマリー'!J21</f>
        <v>5476</v>
      </c>
      <c r="J31" s="21">
        <f>'3. 結果サマリー'!J22</f>
        <v>11447.000000000002</v>
      </c>
      <c r="K31" s="21">
        <f>'3. 結果サマリー'!J23</f>
        <v>2711.4000000000005</v>
      </c>
      <c r="L31" s="21">
        <f>'3. 結果サマリー'!J24</f>
        <v>10845.600000000002</v>
      </c>
      <c r="M31" s="21">
        <f>'3. 結果サマリー'!J25</f>
        <v>2617.9999999999964</v>
      </c>
      <c r="N31" s="21">
        <f>'3. 結果サマリー'!J26</f>
        <v>27666</v>
      </c>
    </row>
    <row r="60" spans="1:10" ht="19.5" x14ac:dyDescent="0.45">
      <c r="A60" s="20" t="s">
        <v>182</v>
      </c>
    </row>
    <row r="61" spans="1:10" x14ac:dyDescent="0.35">
      <c r="A61" s="9"/>
    </row>
    <row r="63" spans="1:10" x14ac:dyDescent="0.35">
      <c r="A63" s="16" t="s">
        <v>183</v>
      </c>
      <c r="H63" s="16" t="s">
        <v>184</v>
      </c>
    </row>
    <row r="64" spans="1:10" x14ac:dyDescent="0.35">
      <c r="A64" s="1" t="s">
        <v>185</v>
      </c>
      <c r="B64" s="1" t="s">
        <v>103</v>
      </c>
      <c r="C64" s="1" t="s">
        <v>186</v>
      </c>
      <c r="H64" s="1" t="s">
        <v>187</v>
      </c>
      <c r="I64" s="1" t="s">
        <v>188</v>
      </c>
      <c r="J64" s="1" t="s">
        <v>94</v>
      </c>
    </row>
    <row r="65" spans="1:10" x14ac:dyDescent="0.35">
      <c r="A65" s="1">
        <v>0</v>
      </c>
      <c r="B65" s="1">
        <f>'2. 計算ロジック'!B142</f>
        <v>418.01494117438045</v>
      </c>
      <c r="C65" s="1">
        <f>'2. 計算ロジック'!B118</f>
        <v>-263</v>
      </c>
      <c r="H65" s="1">
        <v>0</v>
      </c>
      <c r="I65" s="1">
        <f>'2. 計算ロジック'!B110</f>
        <v>84.188540000000046</v>
      </c>
      <c r="J65" s="1">
        <f>'2. 計算ロジック'!B134</f>
        <v>13.379453499094698</v>
      </c>
    </row>
    <row r="66" spans="1:10" x14ac:dyDescent="0.35">
      <c r="A66" s="1">
        <v>10</v>
      </c>
      <c r="H66" s="1">
        <v>20</v>
      </c>
    </row>
    <row r="67" spans="1:10" x14ac:dyDescent="0.35">
      <c r="A67" s="1">
        <v>20</v>
      </c>
      <c r="H67" s="1">
        <v>40</v>
      </c>
    </row>
    <row r="68" spans="1:10" x14ac:dyDescent="0.35">
      <c r="A68" s="1">
        <v>30</v>
      </c>
      <c r="H68" s="1">
        <v>60</v>
      </c>
    </row>
    <row r="69" spans="1:10" x14ac:dyDescent="0.35">
      <c r="A69" s="1">
        <v>40</v>
      </c>
      <c r="H69" s="1">
        <v>80</v>
      </c>
    </row>
    <row r="70" spans="1:10" x14ac:dyDescent="0.35">
      <c r="A70" s="1">
        <v>50</v>
      </c>
      <c r="H70" s="1">
        <v>100</v>
      </c>
    </row>
    <row r="71" spans="1:10" x14ac:dyDescent="0.35">
      <c r="A71" s="1">
        <v>60</v>
      </c>
      <c r="H71" s="1">
        <v>120</v>
      </c>
    </row>
    <row r="72" spans="1:10" x14ac:dyDescent="0.35">
      <c r="A72" s="1">
        <v>70</v>
      </c>
      <c r="H72" s="1">
        <v>140</v>
      </c>
    </row>
    <row r="73" spans="1:10" x14ac:dyDescent="0.35">
      <c r="A73" s="1">
        <v>80</v>
      </c>
      <c r="H73" s="1">
        <v>160</v>
      </c>
    </row>
    <row r="74" spans="1:10" x14ac:dyDescent="0.35">
      <c r="A74" s="1">
        <v>90</v>
      </c>
      <c r="H74" s="1">
        <v>180</v>
      </c>
    </row>
    <row r="75" spans="1:10" x14ac:dyDescent="0.35">
      <c r="A75" s="1">
        <v>100</v>
      </c>
      <c r="H75" s="1">
        <v>200</v>
      </c>
    </row>
    <row r="76" spans="1:10" x14ac:dyDescent="0.35">
      <c r="A76" s="1" t="s">
        <v>194</v>
      </c>
      <c r="H76" s="1" t="s">
        <v>189</v>
      </c>
    </row>
  </sheetData>
  <phoneticPr fontId="9"/>
  <conditionalFormatting sqref="E6:E1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1. インプット</vt:lpstr>
      <vt:lpstr>2. 計算ロジック</vt:lpstr>
      <vt:lpstr>3. 結果サマリー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智康 辻</cp:lastModifiedBy>
  <dcterms:created xsi:type="dcterms:W3CDTF">2025-11-29T01:58:34Z</dcterms:created>
  <dcterms:modified xsi:type="dcterms:W3CDTF">2025-11-29T02:18:57Z</dcterms:modified>
</cp:coreProperties>
</file>